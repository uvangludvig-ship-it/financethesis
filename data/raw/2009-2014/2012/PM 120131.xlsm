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wmf" ContentType="image/x-wmf"/>
  <Default Extension="rels" ContentType="application/vnd.openxmlformats-package.relationships+xml"/>
  <Default Extension="xml" ContentType="application/xml"/>
  <Default Extension="wdp" ContentType="image/vnd.ms-photo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trlProps/ctrlProp2.xml" ContentType="application/vnd.ms-excel.controlproperties+xml"/>
  <Override PartName="/xl/drawings/drawing5.xml" ContentType="application/vnd.openxmlformats-officedocument.drawing+xml"/>
  <Override PartName="/xl/charts/chart1.xml" ContentType="application/vnd.openxmlformats-officedocument.drawingml.chart+xml"/>
  <Override PartName="/xl/drawings/drawing6.xml" ContentType="application/vnd.openxmlformats-officedocument.drawingml.chartshapes+xml"/>
  <Override PartName="/xl/drawings/drawing7.xml" ContentType="application/vnd.openxmlformats-officedocument.drawing+xml"/>
  <Override PartName="/xl/embeddings/oleObject1.bin" ContentType="application/vnd.openxmlformats-officedocument.oleObject"/>
  <Override PartName="/xl/charts/chart2.xml" ContentType="application/vnd.openxmlformats-officedocument.drawingml.chart+xml"/>
  <Override PartName="/xl/drawings/drawing8.xml" ContentType="application/vnd.openxmlformats-officedocument.drawing+xml"/>
  <Override PartName="/xl/charts/chart3.xml" ContentType="application/vnd.openxmlformats-officedocument.drawingml.chart+xml"/>
  <Override PartName="/xl/drawings/drawing9.xml" ContentType="application/vnd.openxmlformats-officedocument.drawing+xml"/>
  <Override PartName="/xl/charts/chart4.xml" ContentType="application/vnd.openxmlformats-officedocument.drawingml.chart+xml"/>
  <Override PartName="/xl/drawings/drawing10.xml" ContentType="application/vnd.openxmlformats-officedocument.drawing+xml"/>
  <Override PartName="/xl/charts/chart5.xml" ContentType="application/vnd.openxmlformats-officedocument.drawingml.chart+xml"/>
  <Override PartName="/xl/drawings/drawing11.xml" ContentType="application/vnd.openxmlformats-officedocument.drawing+xml"/>
  <Override PartName="/xl/charts/chart6.xml" ContentType="application/vnd.openxmlformats-officedocument.drawingml.chart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drawings/drawing18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updateLinks="never" codeName="ThisWorkbook"/>
  <bookViews>
    <workbookView xWindow="-510" yWindow="630" windowWidth="13350" windowHeight="8550" tabRatio="917" firstSheet="10" activeTab="16"/>
  </bookViews>
  <sheets>
    <sheet name="Innehåll" sheetId="31" r:id="rId1"/>
    <sheet name="Fondval &amp; marknadsvärde" sheetId="13" r:id="rId2"/>
    <sheet name="10 mest valda fonder" sheetId="53" r:id="rId3"/>
    <sheet name="Fondstatistik" sheetId="14" r:id="rId4"/>
    <sheet name="Värdeutveckling, konto" sheetId="29" r:id="rId5"/>
    <sheet name="Värdeutv. Premiepensionssystem" sheetId="32" r:id="rId6"/>
    <sheet name="Värdeutv. fondrörelse per år" sheetId="38" r:id="rId7"/>
    <sheet name="Marknadsv. &amp; tillfört kapital" sheetId="39" r:id="rId8"/>
    <sheet name="Värdeutveckling - fondrörelse" sheetId="34" r:id="rId9"/>
    <sheet name="Värdeutv fondrörelse genomsnitt" sheetId="36" r:id="rId10"/>
    <sheet name="Avkastning pp-systemet" sheetId="27" r:id="rId11"/>
    <sheet name="Index, fondrörelsen" sheetId="25" r:id="rId12"/>
    <sheet name="Marknadsv. och tillfört kapital" sheetId="22" r:id="rId13"/>
    <sheet name="Avkastning sedan 2000" sheetId="47" r:id="rId14"/>
    <sheet name="Ordlista" sheetId="19" r:id="rId15"/>
    <sheet name="Beskrivning av mått" sheetId="45" r:id="rId16"/>
    <sheet name="Info Makro" sheetId="43" r:id="rId17"/>
  </sheets>
  <externalReferences>
    <externalReference r:id="rId18"/>
  </externalReferences>
  <definedNames>
    <definedName name="_xlnm._FilterDatabase" localSheetId="1" hidden="1">'Fondval &amp; marknadsvärde'!$A$18:$N$18</definedName>
    <definedName name="Fråga_från_FIDB" localSheetId="3">Fondstatistik!$A$18:$N$687</definedName>
    <definedName name="Innehållsfört">Innehåll!$A$1</definedName>
    <definedName name="MyTblStart" localSheetId="1">'Fondval &amp; marknadsvärde'!$A$18</definedName>
    <definedName name="MyTblStart">Fondstatistik!$A$18</definedName>
    <definedName name="N1000F" localSheetId="15">'Beskrivning av mått'!$C$3</definedName>
    <definedName name="N1000F" localSheetId="14">Ordlista!#REF!</definedName>
    <definedName name="N1001D" localSheetId="15">'Beskrivning av mått'!$C$23</definedName>
    <definedName name="N1001D" localSheetId="16">'Info Makro'!$B$17</definedName>
    <definedName name="N1001D" localSheetId="14">Ordlista!#REF!</definedName>
    <definedName name="N1004E" localSheetId="15">'Beskrivning av mått'!$C$30</definedName>
    <definedName name="N1004E" localSheetId="16">'Info Makro'!$B$22</definedName>
    <definedName name="N1004E" localSheetId="14">Ordlista!#REF!</definedName>
    <definedName name="N1006A" localSheetId="16">'Info Makro'!$B$40</definedName>
    <definedName name="RubrFondNamn">Fondstatistik!$A$18</definedName>
    <definedName name="RubrMArknV">'Fondval &amp; marknadsvärde'!$H$17</definedName>
    <definedName name="_xlnm.Print_Titles" localSheetId="1">'Fondval &amp; marknadsvärde'!$17:$18</definedName>
    <definedName name="ValPFondTyp">#REF!</definedName>
    <definedName name="ViewMacroSort">'Fondval &amp; marknadsvärde'!$12:$15</definedName>
    <definedName name="ViewMacroSortFondStat">Fondstatistik!$12:$15</definedName>
    <definedName name="ViewManualSort">'Fondval &amp; marknadsvärde'!$7:$10</definedName>
    <definedName name="ViewManualSortFondStat">Fondstatistik!$7:$10</definedName>
    <definedName name="VärdeUtvKontoChartData">'Värdeutveckling, konto'!$48:$59</definedName>
  </definedNames>
  <calcPr calcId="144525"/>
</workbook>
</file>

<file path=xl/calcChain.xml><?xml version="1.0" encoding="utf-8"?>
<calcChain xmlns="http://schemas.openxmlformats.org/spreadsheetml/2006/main">
  <c r="I10" i="53" l="1"/>
  <c r="I11" i="53"/>
  <c r="I12" i="53"/>
  <c r="I13" i="53"/>
  <c r="I14" i="53"/>
  <c r="I15" i="53"/>
  <c r="I16" i="53"/>
  <c r="I17" i="53"/>
  <c r="I18" i="53"/>
  <c r="I24" i="53" l="1"/>
  <c r="I25" i="53"/>
  <c r="I26" i="53"/>
  <c r="I27" i="53"/>
  <c r="I28" i="53"/>
  <c r="I29" i="53"/>
  <c r="I30" i="53"/>
  <c r="I31" i="53"/>
  <c r="I32" i="53"/>
</calcChain>
</file>

<file path=xl/sharedStrings.xml><?xml version="1.0" encoding="utf-8"?>
<sst xmlns="http://schemas.openxmlformats.org/spreadsheetml/2006/main" count="8329" uniqueCount="1161">
  <si>
    <t xml:space="preserve">Tillfört kapital är pengar från den tillfälliga förvaltningen (inklusive ränta) samt återförda fondavgifter och arvsvinster. Från det tillförda kapitalet har det dragits </t>
  </si>
  <si>
    <t xml:space="preserve">Från det tillförda kapitalet har det dragits av för pensionsutbetalningar, myndighetens avgift, samt överföringar till </t>
  </si>
  <si>
    <t xml:space="preserve">traditionell försäkring. Jämförelsen mellan marknadsvärde och tillfört kapital ger alltså inte en fullständig bild av </t>
  </si>
  <si>
    <t>utvecklingen av de inbetalda pensionsrätterna.</t>
  </si>
  <si>
    <t xml:space="preserve">Tillfört kapital är pengar från den tillfälliga förvaltningen (inklusive ränta) samt återförda fondavgifter och arvsvinster. </t>
  </si>
  <si>
    <t xml:space="preserve">Här visas värdeutvecklingen för alla fonder (inklusive Premiesparfonden) sedan systemets start 2000-12-13. </t>
  </si>
  <si>
    <t xml:space="preserve">Real avkastning = avkastning/inflation (KPI) </t>
  </si>
  <si>
    <t>Marknadsvärde och tillfört kapital till fondrörelsen</t>
  </si>
  <si>
    <t>Danske Invest SRI Global</t>
  </si>
  <si>
    <t>Danske Invest Offensiv</t>
  </si>
  <si>
    <t>Danske Invest Aktiv Förmögenhetsförvaltning</t>
  </si>
  <si>
    <t>Danske Invest Försiktig</t>
  </si>
  <si>
    <t>Danske Invest Balanserad</t>
  </si>
  <si>
    <t>Danske Invest Sverige Likviditet</t>
  </si>
  <si>
    <t>Danske Invest Sverige Obligationer</t>
  </si>
  <si>
    <t>Handelsbanken Råvarufond</t>
  </si>
  <si>
    <t>Pictet World Government Bonds</t>
  </si>
  <si>
    <t>Scientia Sverige</t>
  </si>
  <si>
    <t>Scientia Fund Management</t>
  </si>
  <si>
    <t>Invesco US Value Equity Fund</t>
  </si>
  <si>
    <t>Invesco Management S.A</t>
  </si>
  <si>
    <t>Solidar Sicav - Global Tillväxt</t>
  </si>
  <si>
    <t>Solidar Fondservice/Lemanik Asset Management Luxembourg S.A.</t>
  </si>
  <si>
    <t>Solidar Sicav - Global Fokus</t>
  </si>
  <si>
    <t>GustaviaDavegårdh Kazakstan och Centralasien</t>
  </si>
  <si>
    <t>Pictet Timber</t>
  </si>
  <si>
    <t>Pictet Biotech</t>
  </si>
  <si>
    <t>Pictet Emerging Markets</t>
  </si>
  <si>
    <t xml:space="preserve">Svensk/ </t>
  </si>
  <si>
    <t>Morgan Stanley Investment Funds Global Property Fund</t>
  </si>
  <si>
    <t>Morgan Stanley Investment Funds European Property Fund</t>
  </si>
  <si>
    <t>Alfred Berg Penningmarknadsfond</t>
  </si>
  <si>
    <t>Alfred Berg Obligationsfond Plus</t>
  </si>
  <si>
    <t>Alfred Berg Obligationsfond</t>
  </si>
  <si>
    <t>Morgan Stanley Investment Funds Euro Strategic Bond Fund</t>
  </si>
  <si>
    <t>Morgan Stanley Investment Funds Emerging Markets Debt Fund</t>
  </si>
  <si>
    <t>Alfred Berg Ryssland</t>
  </si>
  <si>
    <t>Simplicity AB</t>
  </si>
  <si>
    <t>Simplicity Norden</t>
  </si>
  <si>
    <t>PineBridge Global Bond Fund</t>
  </si>
  <si>
    <t>PineBridge American Equity Fund</t>
  </si>
  <si>
    <t>PineBridge Emerging Europe Equity Fund</t>
  </si>
  <si>
    <t>PineBridge Greater China Equity Fund</t>
  </si>
  <si>
    <t>Öhman Nordisk Miljöfond</t>
  </si>
  <si>
    <t>FIM Nordic Placeringsfond</t>
  </si>
  <si>
    <t>SEB Nordenfond</t>
  </si>
  <si>
    <t>Fondbolaget Fondita Ab</t>
  </si>
  <si>
    <t>Fondita Nordic Small Cap Placeringsfond</t>
  </si>
  <si>
    <t>ODIN Norden</t>
  </si>
  <si>
    <t>Europa</t>
  </si>
  <si>
    <t>ODIN Europa</t>
  </si>
  <si>
    <t>Nordea Selekta Europa</t>
  </si>
  <si>
    <t>Nordea Europafond</t>
  </si>
  <si>
    <t>Catella Europafond</t>
  </si>
  <si>
    <t>SEB Europafond</t>
  </si>
  <si>
    <t xml:space="preserve">Real avkastning </t>
  </si>
  <si>
    <t>Skandia Europa</t>
  </si>
  <si>
    <t>Handelsbanken Fondbolag Ab</t>
  </si>
  <si>
    <t>Handelsbanken Europa Aggressiv</t>
  </si>
  <si>
    <t>ING (L) Invest European Equity</t>
  </si>
  <si>
    <t>Evli Europe</t>
  </si>
  <si>
    <t>Länsförsäkringar Europafond</t>
  </si>
  <si>
    <t>Folksams Aktiefond Europa</t>
  </si>
  <si>
    <t>SG Asset Management S.A.</t>
  </si>
  <si>
    <t>Baring Europa Fund</t>
  </si>
  <si>
    <t>Banque de Luxembourg S.A.</t>
  </si>
  <si>
    <t>BL - Equities Europe</t>
  </si>
  <si>
    <t>CB Asset Management AB</t>
  </si>
  <si>
    <t>European Quality Fund SICAV - European Equity Fund</t>
  </si>
  <si>
    <t>AXA Rosenberg Pan-European Equity Alpha Fund</t>
  </si>
  <si>
    <t>AXA Rosenberg Europe Ex-UK Equity Alpha Fund</t>
  </si>
  <si>
    <t>Aberdeen Global - European Equity Fund</t>
  </si>
  <si>
    <t>Sparinvest - Ethical Global Value</t>
  </si>
  <si>
    <t>Sparinvest - Procedo</t>
  </si>
  <si>
    <t>Sparinvest - Securus</t>
  </si>
  <si>
    <t>Lannebo Sverige 130/30</t>
  </si>
  <si>
    <t>Aktie-Ansvar Europa</t>
  </si>
  <si>
    <t>Banco Etisk Europa</t>
  </si>
  <si>
    <t>Aviva Investors - Sustainable Future Pan-European Equity Fund</t>
  </si>
  <si>
    <t>BL Fund Selection - Equities</t>
  </si>
  <si>
    <t>desto bättre värdeutveckling i förhållande till risken. Med hjälp av Sharpe-kvoten kan man jämföra investeringar med olika risknivå.</t>
  </si>
  <si>
    <t xml:space="preserve">Ett mått på värdeförändringen i förhållande till risken i en fond. Beräknas genom att fondens värdeutveckling minus den riskfria räntan delas med fondens risk. Ju högre Sharpe-kvot, </t>
  </si>
  <si>
    <t>Internräntan kan inte jämföras med marknadsindex eller med enskilda fonders avkastning. För att beräkna internräntan behöver man känna till värdet på kontot vid den tidpunkt</t>
  </si>
  <si>
    <t>Marknadsvärde = Andelar x Fondkurs x Valutakurs.</t>
  </si>
  <si>
    <t>Marknadsvärdet på fondinnehavet blir då: 12 x 25 x 9,71 = 2913 SEK</t>
  </si>
  <si>
    <t>Exempel: Anta att du har 12 fondandelar i en fond som handlas i valutan Euro. Priset för en fondandel är 25 Euro. En Euro kostar 9,71 svenska kronor (SEK) per 2010-05-06.</t>
  </si>
  <si>
    <t>Anger den valuta som används vid handel i fonden. När marknadsvärdet på ditt fondinnehav anges är det alltid omräknat till svenska kronor.</t>
  </si>
  <si>
    <t xml:space="preserve">som man vill göra beräkningen på, flödena in och ut på kontot dvs. pengar ut och in på kontot och tidpunkterna för flödena.  </t>
  </si>
  <si>
    <t xml:space="preserve">Flöden som framförallt har betydelse vid beräkning av internräntan i premiepensionssystemet är de nya pensionsrätterna som kommer in på kontot i december varje år och pensionerna </t>
  </si>
  <si>
    <t>som betalas ut varje månad.</t>
  </si>
  <si>
    <t xml:space="preserve">Den tidsviktade avkastningen ("premiepensionsindex") mäter avkastningen på en genomsnittlig krona som sattes in i premiepensionssystemet 2000-12-13 (inklusive Premiesparfonden). </t>
  </si>
  <si>
    <t>Salus Alpha Equity Hedged</t>
  </si>
  <si>
    <t>Erste Kapitalanlagegesellschaft M.B:H</t>
  </si>
  <si>
    <t>Salus Alpha Real Estate</t>
  </si>
  <si>
    <t>Salus Alpha Managed Futures</t>
  </si>
  <si>
    <t>BL Fund Selection - 30</t>
  </si>
  <si>
    <t>Euroland</t>
  </si>
  <si>
    <t>ING (L) Invest EMU Equity</t>
  </si>
  <si>
    <t>Spiltan Aktiefond Dalarna</t>
  </si>
  <si>
    <t>UBS AG</t>
  </si>
  <si>
    <t>SGAM Fund Equities Euroland</t>
  </si>
  <si>
    <t>AXA Rosenberg Eurobloc Equity Alpha Fund</t>
  </si>
  <si>
    <t>Fondavgift, % netto:       TER minus myndighetens rabatt, pensionsspararens avgift till förvaltaren.</t>
  </si>
  <si>
    <t xml:space="preserve">TER:                               (Total expence ratio) När myndighetens rabatt på fondavgiften beräknas används TER. I TER ingår fondens alla </t>
  </si>
  <si>
    <t>Europa/Euroland småbolag</t>
  </si>
  <si>
    <t>FIM Vision Placeringsfond</t>
  </si>
  <si>
    <t>ODIN Europa SMB</t>
  </si>
  <si>
    <t>SEB Europafond Småbolag</t>
  </si>
  <si>
    <t>Europa/Euroland index</t>
  </si>
  <si>
    <t>Tidsviktad årsavkastning (TVA)</t>
  </si>
  <si>
    <t>Real tidsviktad årsavkastning (TVA)</t>
  </si>
  <si>
    <t>Öhman Etisk Index Europa</t>
  </si>
  <si>
    <t>Seligson &amp; Co Fondbolag Abp</t>
  </si>
  <si>
    <t>UBS (Lux) Equity Fund - Euro Stoxx 50</t>
  </si>
  <si>
    <t>Nordamerika och USA</t>
  </si>
  <si>
    <t>Credit Suisse Equity Fund (Lux) Small Cap USA</t>
  </si>
  <si>
    <t>Credit Suisse Equity Fund (Lux) USA Value</t>
  </si>
  <si>
    <t>Öhman Etisk Index USA</t>
  </si>
  <si>
    <t>Nordea Nordamerikafond</t>
  </si>
  <si>
    <t>BL - Equities America</t>
  </si>
  <si>
    <t>Alfred Berg Nordic Best Selection</t>
  </si>
  <si>
    <t>Nordea Rysslandsfond</t>
  </si>
  <si>
    <t>Nordea Indienfond</t>
  </si>
  <si>
    <t>Nordea Kinafond</t>
  </si>
  <si>
    <t>Handelsbanken Funds - Swedish Bonds Shares</t>
  </si>
  <si>
    <t>Handelsbanken Funds - Swedish Short Term Asset Shares</t>
  </si>
  <si>
    <t>Handelsbanken Funds - Far East Shares</t>
  </si>
  <si>
    <t>AXA Rosenberg US Equity Alpha Fund</t>
  </si>
  <si>
    <t>Skandia USA</t>
  </si>
  <si>
    <t>Länsförsäkringar Nordamerikafond</t>
  </si>
  <si>
    <t>SGAM Fund Equities US Large Cap Growth</t>
  </si>
  <si>
    <t>AP7 Såfa</t>
  </si>
  <si>
    <t>AP7 Försiktig</t>
  </si>
  <si>
    <t>AP7 Balanserad</t>
  </si>
  <si>
    <t>AP7 Offensiv</t>
  </si>
  <si>
    <t>Aktiefonder</t>
  </si>
  <si>
    <t>Räntefonder</t>
  </si>
  <si>
    <t>Blandfonder</t>
  </si>
  <si>
    <t>Swedbank Robur Ethica Försiktig</t>
  </si>
  <si>
    <t>Generationsfonder</t>
  </si>
  <si>
    <t>ING Asset Management BV</t>
  </si>
  <si>
    <t xml:space="preserve">av för pensionsutbetalningar, myndighetens avgift, samt överföringar till traditionell försäkring. Jämförelsen mellan marknadsvärde och tillfört kapital ger alltså </t>
  </si>
  <si>
    <t>inte en fullständig bild av utvecklingen av de inbetalda pensionsrätterna.</t>
  </si>
  <si>
    <t>SGAM Fund Equities US Small Cap Value</t>
  </si>
  <si>
    <t>SGAM Fund Equities US Relative Value</t>
  </si>
  <si>
    <t>SGAM Fund Equities US Mid Cap Growth</t>
  </si>
  <si>
    <t>SGAM Fund Equities US Multi Strategies</t>
  </si>
  <si>
    <t>Franklin US Equity Fund</t>
  </si>
  <si>
    <t>Folksams Aktiefond USA</t>
  </si>
  <si>
    <t>Baring North America Fund</t>
  </si>
  <si>
    <t>Asien och Fjärran östern</t>
  </si>
  <si>
    <t>Baring Hong Kong China Fund</t>
  </si>
  <si>
    <t>Baring Asia Growth Fund</t>
  </si>
  <si>
    <t>Nordea Fjärran Östernfond</t>
  </si>
  <si>
    <t>ING (L) Invest New Asia</t>
  </si>
  <si>
    <t>Öhman Etisk Index Pacific</t>
  </si>
  <si>
    <t>FIM India Placeringsfond</t>
  </si>
  <si>
    <t>FIM China Placeringsfond</t>
  </si>
  <si>
    <t>AXA Rosenberg Pacific Ex-Japan Equity Alpha Fund</t>
  </si>
  <si>
    <t>Folksams Aktiefond Asien</t>
  </si>
  <si>
    <t>UBS(Lux) Equity Fund- USA Multi Strategy (USD) P-acc</t>
  </si>
  <si>
    <t>Simplicity Indien</t>
  </si>
  <si>
    <t>UBS (Lux) Equity Fund - Greater China</t>
  </si>
  <si>
    <t>SGAM Fund Equities China</t>
  </si>
  <si>
    <t>Länsförsäkringar Asienfond</t>
  </si>
  <si>
    <t>JPM Funds - China Fund</t>
  </si>
  <si>
    <t>Global</t>
  </si>
  <si>
    <t>AXA Rosenberg Global Equity Alpha Fund</t>
  </si>
  <si>
    <t>ING (L) Invest World</t>
  </si>
  <si>
    <t>Öhman Varumärkesfond</t>
  </si>
  <si>
    <t>Länsförsäkringar Globalfond</t>
  </si>
  <si>
    <t>Länsförsäkringar Totalfond</t>
  </si>
  <si>
    <t>Seligson &amp; Co Global Top 25 Brands</t>
  </si>
  <si>
    <t>SKAGEN Global</t>
  </si>
  <si>
    <t>SKAGEN Vekst</t>
  </si>
  <si>
    <t>Folksam LO Världen</t>
  </si>
  <si>
    <t>First State Global Opportunities Fund</t>
  </si>
  <si>
    <t>Folksams Tjänstemannafond Världen</t>
  </si>
  <si>
    <t>Franklin Mutual Global Discovery Fund</t>
  </si>
  <si>
    <t>Folksams Globala Aktiefond</t>
  </si>
  <si>
    <t>SGAM Fund Equities Global</t>
  </si>
  <si>
    <t>Real avkastning = Avkastning / Inflation (KPI).</t>
  </si>
  <si>
    <t>Skandia Världen</t>
  </si>
  <si>
    <t>Nya marknader</t>
  </si>
  <si>
    <t>Baring Global Emerging Markets Fund</t>
  </si>
  <si>
    <t>F&amp;C Portfolio Fund - Japanese Equity A</t>
  </si>
  <si>
    <t>F&amp;C Portfolio Fund - European Equity A</t>
  </si>
  <si>
    <t>F&amp;C Portfolio Fund - European Small Cap A</t>
  </si>
  <si>
    <t>Etisk</t>
  </si>
  <si>
    <t>ING (L) Invest Latin America</t>
  </si>
  <si>
    <t>ING (L) Invest Emerging Markets</t>
  </si>
  <si>
    <t>JPM Funds - Emerging Markets Equity Fund</t>
  </si>
  <si>
    <t>Handelsbankens Nordiska Småbolagsfond</t>
  </si>
  <si>
    <t>SGAM Fund Equities India</t>
  </si>
  <si>
    <t>Handelsbankens Östeuropafond</t>
  </si>
  <si>
    <t>Handelsbankens IT-fond</t>
  </si>
  <si>
    <t>UBS (Lux) Equity Fund - Communication</t>
  </si>
  <si>
    <t>Handelsbankens Läkemedelsfond</t>
  </si>
  <si>
    <t>Swedbank Robur Fonder AB</t>
  </si>
  <si>
    <t>Franklin India Fund</t>
  </si>
  <si>
    <t>SKAGEN Kon-Tiki</t>
  </si>
  <si>
    <t>Balansindex är den siffra med vilken inkomstpensionen räknas upp årligen och är jämförbar med den kapitalviktade årsavkastningen.</t>
  </si>
  <si>
    <t xml:space="preserve">TVA, tidsviktad avkastning, mäter avkastningen på en genomsnittlig krona som sattes in i premiepensionssystemet 2000-12-13. </t>
  </si>
  <si>
    <t>Länsförsäkringar Tillväxtmarknadsfond</t>
  </si>
  <si>
    <t>SPP Penningsmarknadsfond</t>
  </si>
  <si>
    <t>SPP Aktieindexfond Global Sustainability</t>
  </si>
  <si>
    <t>Evli Likviditetsfond Sverige</t>
  </si>
  <si>
    <t>Evli Fonder AB</t>
  </si>
  <si>
    <t>Evli Obligationsfond Sverige</t>
  </si>
  <si>
    <t>Evli Aktieindexfond Sverige</t>
  </si>
  <si>
    <t>Swedbank Robur Ethica Balanserad</t>
  </si>
  <si>
    <t>Pictet EUR Bonds</t>
  </si>
  <si>
    <t>Pictet EUR Corporate Bonds</t>
  </si>
  <si>
    <t>Evli Sverigefond</t>
  </si>
  <si>
    <t>FIM Brands</t>
  </si>
  <si>
    <t>Pictet European Sustainable Equities</t>
  </si>
  <si>
    <t>BlackRock European Small &amp; MidCap Opportunities Fund</t>
  </si>
  <si>
    <t>Pictet Global Emerging Debt</t>
  </si>
  <si>
    <t>Pictet European Equity Selection</t>
  </si>
  <si>
    <t>Pictet Japanese Equity Selection</t>
  </si>
  <si>
    <t>Pictet Premium Brands</t>
  </si>
  <si>
    <t>Pictet Clean Energy</t>
  </si>
  <si>
    <t>premiepension istället avsatts till inkomstpensionen och haft samma värdeutveckling som balansindex (röd kurva).</t>
  </si>
  <si>
    <t>Pictet Generics</t>
  </si>
  <si>
    <t>Pictet Digital Communication</t>
  </si>
  <si>
    <t>Pictet Water</t>
  </si>
  <si>
    <t>Pictet Asian Equities (Ex Japan)</t>
  </si>
  <si>
    <t>Pictet Security</t>
  </si>
  <si>
    <t>Pictet Small Cap Europe</t>
  </si>
  <si>
    <t>Pictet Greater China</t>
  </si>
  <si>
    <t>Pictet Russian Equities</t>
  </si>
  <si>
    <t>Pictet Indian Equities</t>
  </si>
  <si>
    <t>Pictet Global Megatrend Selection</t>
  </si>
  <si>
    <t>Pictet Eastern Europe</t>
  </si>
  <si>
    <t>Östeuropa</t>
  </si>
  <si>
    <t>Baring Eastern Europe Fund</t>
  </si>
  <si>
    <t>UBS (Lux) Equity Fund - Central Europe</t>
  </si>
  <si>
    <t>Evli Greater Russia</t>
  </si>
  <si>
    <t>FIM Emerging Europe Placeringsfond</t>
  </si>
  <si>
    <t>East Capital Asset Management AB</t>
  </si>
  <si>
    <t>East Capital Rysslandsfonden</t>
  </si>
  <si>
    <t>FIM Russia Placeringsfond</t>
  </si>
  <si>
    <t>East Capital Östeuropafonden</t>
  </si>
  <si>
    <t>East Capital Baltikumfonden</t>
  </si>
  <si>
    <t>JF India D</t>
  </si>
  <si>
    <t>JPM Latin America D</t>
  </si>
  <si>
    <t>JPM Global Dynamic D</t>
  </si>
  <si>
    <t>Avanza Fonder AB</t>
  </si>
  <si>
    <t>JPM Europe Dynamic Mega Cap D</t>
  </si>
  <si>
    <t>JPM Global Natural Resources D</t>
  </si>
  <si>
    <t>Simplicity Nya Europa</t>
  </si>
  <si>
    <t>East Capital Balkanfonden</t>
  </si>
  <si>
    <t>SGAM Fund Equities Eastern Europe</t>
  </si>
  <si>
    <t>SEB Östeuropafond</t>
  </si>
  <si>
    <t>Japan</t>
  </si>
  <si>
    <t>AXA Rosenberg Japan Small Cap Alpha Fund</t>
  </si>
  <si>
    <t>UBS (Lux) Equity Fund - Global Innovators</t>
  </si>
  <si>
    <t>Capinordic High Yield</t>
  </si>
  <si>
    <t>Sparinvest Investment Grade Value Bonds</t>
  </si>
  <si>
    <t>Sparinvest - European Value</t>
  </si>
  <si>
    <t>AXA Rosenberg Japan Equity Alpha Fund</t>
  </si>
  <si>
    <t>JPM Investment Funds - Japan Select Equity Fund</t>
  </si>
  <si>
    <t>Folksams Aktiefond Japan</t>
  </si>
  <si>
    <t>Nordea Japanfond</t>
  </si>
  <si>
    <t>ING (L) Invest Japan</t>
  </si>
  <si>
    <t>Aberdeen Global - Japanese Equity Fund</t>
  </si>
  <si>
    <t>Skandia Japan</t>
  </si>
  <si>
    <t>Öhman Etisk Index Japan</t>
  </si>
  <si>
    <t>Övriga länder</t>
  </si>
  <si>
    <t>FIM Brazil Placeringsfond</t>
  </si>
  <si>
    <t>Evli Select</t>
  </si>
  <si>
    <t>East Capital Turkietfonden</t>
  </si>
  <si>
    <t>FIM Fenno Placeringsfond</t>
  </si>
  <si>
    <t>UBS (Lux) Equity Sicav - USA Growth B</t>
  </si>
  <si>
    <t>F&amp;C Portfolio Fund - Asia Pacific Dynamic</t>
  </si>
  <si>
    <t>transaktionskostnader, kupongskatt, räntekostnader eller valutaförluster. Rabatten baseras på hur mycket premiepensionspengar det finns i en fond; ju större en fond är i</t>
  </si>
  <si>
    <t xml:space="preserve">Real avkastning = avkastning justerad för inflation (KPI) </t>
  </si>
  <si>
    <t>Alfred Berg Global Quant</t>
  </si>
  <si>
    <t>Alfred Berg Aktiv</t>
  </si>
  <si>
    <t>Alfred Berg Norge</t>
  </si>
  <si>
    <t>Alfred Berg GAMBAK</t>
  </si>
  <si>
    <t>SGAM Fund Equities Luxury &amp; Lifestyle</t>
  </si>
  <si>
    <t>UBS (Lux) Str. Sicav - Rogers Int Commodity Index (EUR)</t>
  </si>
  <si>
    <t>Alfred Berg Obligasjon</t>
  </si>
  <si>
    <t>ODIN Norge</t>
  </si>
  <si>
    <t>ODIN Finland</t>
  </si>
  <si>
    <t>Fondita Equity Spice Placeringsfond</t>
  </si>
  <si>
    <t>Aviva Investors - European REIT Fund</t>
  </si>
  <si>
    <t>Aviva Investors - European Convergence Equity Fund</t>
  </si>
  <si>
    <t>Aviva Investors - European Equity Fund</t>
  </si>
  <si>
    <t>Aviva Investors - Global Convertibles Fund</t>
  </si>
  <si>
    <t>Aktia Fondbolag Ab</t>
  </si>
  <si>
    <t>Aktia Capital</t>
  </si>
  <si>
    <t>IT och kommunikation</t>
  </si>
  <si>
    <t>FIM Tekno Placeringsfond</t>
  </si>
  <si>
    <t>Quest Management N.V.</t>
  </si>
  <si>
    <t>Skandia Time Global</t>
  </si>
  <si>
    <t>SEB Teknologifond</t>
  </si>
  <si>
    <t>Folksams Framtidsfond</t>
  </si>
  <si>
    <t>SEB Sverigefond Stora Bolag</t>
  </si>
  <si>
    <t>Öhman IT-fond</t>
  </si>
  <si>
    <t>Länsförsäkringar Teknologifond</t>
  </si>
  <si>
    <t>Läkemedel</t>
  </si>
  <si>
    <t>UBS (Lux) Equity Fund - Biotech</t>
  </si>
  <si>
    <t>UBS (Lux) Equity Fund - Health Care</t>
  </si>
  <si>
    <t>Aktia Medica</t>
  </si>
  <si>
    <t>Cicero Biotech &amp; Healthcare</t>
  </si>
  <si>
    <t>Snitt 5 år:                        Geometriska medelvärdet av fondernas värdeutveckling i SEK för de senaste 60 månaderna (5 år).</t>
  </si>
  <si>
    <t xml:space="preserve">Bilden visar  årlig värdeutveckling och spridningen i värdeutveckling på de individuella kontona. Uppgifterna baseras på ett stickprov om knappt 17 000 personer. </t>
  </si>
  <si>
    <t>Seligson &amp; Co Global Top 25 Pharmaceuticals</t>
  </si>
  <si>
    <t>SEB Läkemedelsfond</t>
  </si>
  <si>
    <t>Öhman Hjärt-Lungfond</t>
  </si>
  <si>
    <t>Övriga branscher</t>
  </si>
  <si>
    <t>UBS (Lux) Equity Fund - Financial Services</t>
  </si>
  <si>
    <t>UBS (Lux) Equity Fund - Eco Performance</t>
  </si>
  <si>
    <t>Länsförsäkringar Fastighetsfond</t>
  </si>
  <si>
    <t>Lannebo Vision</t>
  </si>
  <si>
    <t>Nordea Tillväxtbolagsfond</t>
  </si>
  <si>
    <t>Baring Global Resources Fund</t>
  </si>
  <si>
    <t>First State Global Resources Fund</t>
  </si>
  <si>
    <t>Fondita 2000+ Placeringsfond</t>
  </si>
  <si>
    <t>Credit Suisse Equity Fund (Lux) European Property</t>
  </si>
  <si>
    <t>SGAM Fund Equities Euroland Financial</t>
  </si>
  <si>
    <t xml:space="preserve">Observera att kontona i staplarna har olika startår, beroende på när pensionsspararen fått sin första insättning till premiepensionen. </t>
  </si>
  <si>
    <t>De tio mest valda fonderna</t>
  </si>
  <si>
    <t>De tio fonderna med mest kapital</t>
  </si>
  <si>
    <t>De tio fonderna med högst värdeutveckling, snitt 5 år</t>
  </si>
  <si>
    <t>SGAM Fund Equities Gold Mines</t>
  </si>
  <si>
    <t>Svenska aktier och räntor</t>
  </si>
  <si>
    <t>Svenska och utländska aktier samt svenska räntor</t>
  </si>
  <si>
    <t>Lärarfond 59+</t>
  </si>
  <si>
    <t>Lärarfond 45-58 år</t>
  </si>
  <si>
    <t>Länsförsäkringar Trygghetsfond</t>
  </si>
  <si>
    <t>Lannebo Mix</t>
  </si>
  <si>
    <t>SEB Världenfond</t>
  </si>
  <si>
    <t>Folksams Förvaltningsfond</t>
  </si>
  <si>
    <t>KPA Etisk Blandfond 2</t>
  </si>
  <si>
    <t>KPA Etisk Blandfond 1</t>
  </si>
  <si>
    <t>Utländska aktier och räntor</t>
  </si>
  <si>
    <t>SPP EMU Blandfond</t>
  </si>
  <si>
    <t>Ålandsbanken Fondbolag Ab</t>
  </si>
  <si>
    <t xml:space="preserve">Beräkningen av värdutvecklingen i premiepensionssystemet är beräknad som internränta. Det innebär att man vid beräkningen tar hänsyn till alla flöden in och ut ur systemet </t>
  </si>
  <si>
    <t xml:space="preserve">De första flödena till premiepensionesystemet kom in under 1995 då det nya pensionssystemet startade. </t>
  </si>
  <si>
    <t>När vi gör motsvarande internränteberäkning med hjälp av inkomstindex/balansindex använder vi samma flöden och marknadvärden som vid beräkning av värdeutvecklingen i premiepensionen.</t>
  </si>
  <si>
    <t>Så här har vi räknat</t>
  </si>
  <si>
    <t>Internräntan är beräknad enligt nedanstående formel:</t>
  </si>
  <si>
    <t>där</t>
  </si>
  <si>
    <t>r = internräntan under perioden uttryckt i årstakt</t>
  </si>
  <si>
    <t>t = antalet dagar sedan startpunkten</t>
  </si>
  <si>
    <t>Ct = kassflöde vid tidpunkten t (CT är slutvärdet som antas vara ett negativt kassaflöde)</t>
  </si>
  <si>
    <t>Ålandsbanken Euro High Yield</t>
  </si>
  <si>
    <t>Ålandsbanken Finland Value</t>
  </si>
  <si>
    <t>Systematiska Sverige</t>
  </si>
  <si>
    <t>Ålandsbanken Europe Value</t>
  </si>
  <si>
    <t>Ålandsbanken Premium 70</t>
  </si>
  <si>
    <t>Simplicity Kina</t>
  </si>
  <si>
    <t>Systematiska Covered Call</t>
  </si>
  <si>
    <t>Evli Finland Mix</t>
  </si>
  <si>
    <t>FIM Forte Placeringsfond</t>
  </si>
  <si>
    <t>UBS (Lux) Strategy Fund - Growth (EUR)</t>
  </si>
  <si>
    <t>UBS (Lux) Strategy Fund - Balanced (EUR)</t>
  </si>
  <si>
    <t>Amundi Funds Equity Euro Select</t>
  </si>
  <si>
    <t>Carnegie - Total</t>
  </si>
  <si>
    <t>Amundi Funds Equity Emerging World</t>
  </si>
  <si>
    <t>Amundi Funds Equity US Relative Value</t>
  </si>
  <si>
    <t>Amundi Funds Equity Global Luxury and Lifestyle</t>
  </si>
  <si>
    <t>Amundi Funds Equity Japan CoreAlpha</t>
  </si>
  <si>
    <t>Amundi Funds Equity Global Gold Mines</t>
  </si>
  <si>
    <t>Amundi Funds Equity Global Alpha</t>
  </si>
  <si>
    <t>Carnegie - Swedish Equity Fund</t>
  </si>
  <si>
    <t>Carnegie Corporate Bond</t>
  </si>
  <si>
    <t>Amundi Funds Equity Europe Select</t>
  </si>
  <si>
    <t>Amundi Funds Equity US Growth</t>
  </si>
  <si>
    <t>Amundi Funds Equity US Concentrated Core</t>
  </si>
  <si>
    <t>Pictet Japanese Equities Opportunities</t>
  </si>
  <si>
    <t>Carnegie - Gorilla</t>
  </si>
  <si>
    <t>Amundi Funds Equity Global Resources</t>
  </si>
  <si>
    <t>Amundi Funds Equity Europe Restructuring</t>
  </si>
  <si>
    <t>Cicero World Wide</t>
  </si>
  <si>
    <t>BL - Global 30</t>
  </si>
  <si>
    <t>BL - Global 75</t>
  </si>
  <si>
    <t>BL - Global 50</t>
  </si>
  <si>
    <t>Pension om mindre än 10 år</t>
  </si>
  <si>
    <t>SPP Generation 40-tal</t>
  </si>
  <si>
    <t>Länsförsäkringar Pension 2010</t>
  </si>
  <si>
    <t>Länsförsäkringar Pension 2015</t>
  </si>
  <si>
    <t>Pension om mindre än 20 år</t>
  </si>
  <si>
    <t>Monetar Pensionsförvaltning AB</t>
  </si>
  <si>
    <t xml:space="preserve">Amundi Funds - Global Bond </t>
  </si>
  <si>
    <t xml:space="preserve">Amundi Funds - Volatility Euro Equities </t>
  </si>
  <si>
    <t xml:space="preserve">Amundi Funds - Gems World </t>
  </si>
  <si>
    <t xml:space="preserve">Amundi Funds - Euro Quant </t>
  </si>
  <si>
    <t xml:space="preserve">Amundi Funds - Gems Europe </t>
  </si>
  <si>
    <t xml:space="preserve">Amundi Funds - US Innovative Companies </t>
  </si>
  <si>
    <t xml:space="preserve">Amundi Funds - Aqua Global </t>
  </si>
  <si>
    <t xml:space="preserve">Amundi Funds - Global Finance </t>
  </si>
  <si>
    <t xml:space="preserve">Amundi Funds - Europe Smaller Companies </t>
  </si>
  <si>
    <t xml:space="preserve">Amundi Funds - Emerging Markets </t>
  </si>
  <si>
    <t>Morgan Stanley Investment Funds US Growth Fund</t>
  </si>
  <si>
    <t>Morgan Stanley Investment Funds US Advantage Fund</t>
  </si>
  <si>
    <t>Länsförsäkringar Pension 2025</t>
  </si>
  <si>
    <t>Länsförsäkringar Pension 2020</t>
  </si>
  <si>
    <t>Handelsbankens Nordenfond</t>
  </si>
  <si>
    <t>Baring International Fund Managers (Ireland) Ltd</t>
  </si>
  <si>
    <t>First State Global Property Securities Fund</t>
  </si>
  <si>
    <t>Handelsbankens Latinamerikafond</t>
  </si>
  <si>
    <t>First State Asian Property Securities Fund</t>
  </si>
  <si>
    <t>Morgan Stanley Investment Management Ltd</t>
  </si>
  <si>
    <t>SEB Choice Japanfond</t>
  </si>
  <si>
    <t>Handelsbankens Europafond Index</t>
  </si>
  <si>
    <t>First State Investments (UK) Ltd</t>
  </si>
  <si>
    <t>Sparinvest S.A.</t>
  </si>
  <si>
    <t>Handelsbankens Tillväxtmarknadsfond</t>
  </si>
  <si>
    <t>UBS (Lux) Equity Fund - Small &amp; Mid Caps Japan</t>
  </si>
  <si>
    <t>Handelsbankens Japanfond</t>
  </si>
  <si>
    <t>Handelsbankens Flermarknadsfond</t>
  </si>
  <si>
    <t>Kina</t>
  </si>
  <si>
    <t>Ryssland</t>
  </si>
  <si>
    <t>Latinamerika</t>
  </si>
  <si>
    <t>Nordamerika och USA småbolag</t>
  </si>
  <si>
    <t>Bioteknik</t>
  </si>
  <si>
    <t>Franklin U.S. Opportunities Fund</t>
  </si>
  <si>
    <t>Spiltan Aktiefond Stabil</t>
  </si>
  <si>
    <t>FIM Union Placeringsfond</t>
  </si>
  <si>
    <t>Credit Suisse Systematic Alpha (Lux) Equity USA</t>
  </si>
  <si>
    <t>Capinordic Asset Management AB</t>
  </si>
  <si>
    <t>Credit Suisse Systematic Alpha (Lux) Equity Japan</t>
  </si>
  <si>
    <t>Aktie-Ansvar Avkastningsfond</t>
  </si>
  <si>
    <t>Carnegie Likviditetsfond</t>
  </si>
  <si>
    <t>Carnegie Obligationsfond</t>
  </si>
  <si>
    <t>Carnegie - Svensk Obligationsfond</t>
  </si>
  <si>
    <t>Ålandsbanken Euro Bond</t>
  </si>
  <si>
    <t>SEB Asset Selection Lux Ack</t>
  </si>
  <si>
    <t>Carnegie Sverigefond</t>
  </si>
  <si>
    <t>UBS (Lux) Bond Fund-Global (CHF) (EUR hedged) P - acc</t>
  </si>
  <si>
    <t>Aktiva Fonder - Global Stabil</t>
  </si>
  <si>
    <t>Carnegie Utlandsfond</t>
  </si>
  <si>
    <t>Carnegie Strategifond</t>
  </si>
  <si>
    <t>SEB Globalfond Chans/Risk</t>
  </si>
  <si>
    <t>Handelsbanken Amerikafond</t>
  </si>
  <si>
    <t>BL - Equities Dividend</t>
  </si>
  <si>
    <t>Carnegie Emerging Markets</t>
  </si>
  <si>
    <t>ING (L) Invest Alternative Beta</t>
  </si>
  <si>
    <t>Carnegie Kinafond</t>
  </si>
  <si>
    <t>Skandia Asia</t>
  </si>
  <si>
    <t>BL - Emerging Markets</t>
  </si>
  <si>
    <t>Ålandsbanken Eco Performance</t>
  </si>
  <si>
    <t>Carnegie Indienfond</t>
  </si>
  <si>
    <t>Sparinvest Emerging Markets Corporate Value Bonds</t>
  </si>
  <si>
    <t>Carnegie Afrikafond</t>
  </si>
  <si>
    <t>SEB Fund Services S.A.</t>
  </si>
  <si>
    <t>Carnegie Rysslandsfond</t>
  </si>
  <si>
    <t>Ålandsbanken SICAV - Swedish Growth</t>
  </si>
  <si>
    <t>SEB Rysslandsfonden</t>
  </si>
  <si>
    <t>Ålandsbanken SICAV - Nordic Growth</t>
  </si>
  <si>
    <t>Sparinvest  - Equitas</t>
  </si>
  <si>
    <t>Independent Free 70</t>
  </si>
  <si>
    <t>Independent Free 100</t>
  </si>
  <si>
    <t>Granit Sverige 130/30</t>
  </si>
  <si>
    <t>Granit Fonder AB</t>
  </si>
  <si>
    <t>Granit Kina 130/30</t>
  </si>
  <si>
    <t>Granit Småbolag</t>
  </si>
  <si>
    <t>Beskrivning av mått</t>
  </si>
  <si>
    <t>Risk:                               Standardavvikelse, 36 månader, anger hur kursutvecklingen avviker från medelvärdet.</t>
  </si>
  <si>
    <t xml:space="preserve">Fondavgift, % brutto:      Motsvarar TER. </t>
  </si>
  <si>
    <t xml:space="preserve">                                       kostnader utom transaktionskostnader, kupongskatt, räntekostnader eller valutaförluster.</t>
  </si>
  <si>
    <t>Andel i %</t>
  </si>
  <si>
    <t xml:space="preserve">Antal </t>
  </si>
  <si>
    <t>Under -4</t>
  </si>
  <si>
    <t>-4 - -2</t>
  </si>
  <si>
    <t>-2 - 0</t>
  </si>
  <si>
    <t>0 - 2</t>
  </si>
  <si>
    <t>2 - 4</t>
  </si>
  <si>
    <t>4- 6</t>
  </si>
  <si>
    <t>6 - 8</t>
  </si>
  <si>
    <t>8 - 10</t>
  </si>
  <si>
    <t>Över 10</t>
  </si>
  <si>
    <t>Sharpe-kvot:                   Ett mått på riskjusterad avkastning. Sharpe-kvot = (Värdeutvecklingen hos fonden - riskfria räntan) / Standardavvikelsen hos fonden (risk).</t>
  </si>
  <si>
    <t>Simplicity Likviditet</t>
  </si>
  <si>
    <t>Värdeutveckling i fondrörelsen</t>
  </si>
  <si>
    <t>Balansindex, (IR)</t>
  </si>
  <si>
    <t>Swedbank Robur Ethica Sverige</t>
  </si>
  <si>
    <t>Didner &amp; Gerge Global</t>
  </si>
  <si>
    <t>Fondita European Top Picks B</t>
  </si>
  <si>
    <t>Invesco Japanese Value Equity  Fund</t>
  </si>
  <si>
    <t>Scientia Asien</t>
  </si>
  <si>
    <t>Svensk Fondservice Maximal</t>
  </si>
  <si>
    <t>Kan du ändå inte sortera?</t>
  </si>
  <si>
    <t>Simplicity Asien</t>
  </si>
  <si>
    <t>SEB Realräntefond SEK (SEB Fund 3- SEB Index Linked Bond Fund)</t>
  </si>
  <si>
    <t>Pictet Funds (Europe) S.A.</t>
  </si>
  <si>
    <t>Evli Ruble Debt</t>
  </si>
  <si>
    <t>Evli Nordic Dividend</t>
  </si>
  <si>
    <t>Evli New Republics</t>
  </si>
  <si>
    <t>SKAGEN Krona</t>
  </si>
  <si>
    <t>BL - Global Equities</t>
  </si>
  <si>
    <t>ING (L) Invest Computer Technologies</t>
  </si>
  <si>
    <t xml:space="preserve">   </t>
  </si>
  <si>
    <t xml:space="preserve">I premiepensionssystemet har varje fond ett nummer med sex siffror. Använd numret för en fond när du vill välja eller byta fonden. </t>
  </si>
  <si>
    <t>Den värdeutveckling som man kan erhålla utan någon finansiell risk. Den riskfria räntan motsvarar ofta räntan på en statsskuldväxel med kort löptid.</t>
  </si>
  <si>
    <t>Internränta (IR)</t>
  </si>
  <si>
    <t>Tidsviktade avkastning, TVA</t>
  </si>
  <si>
    <t>Danske Capital AB</t>
  </si>
  <si>
    <t>Evli European High Yield SEK</t>
  </si>
  <si>
    <t>PineBridge Investments Ireland Limited</t>
  </si>
  <si>
    <t>Nordea Beta</t>
  </si>
  <si>
    <t>Independent Kameleont</t>
  </si>
  <si>
    <t>I år</t>
  </si>
  <si>
    <t>3 mån.</t>
  </si>
  <si>
    <t>6 mån.</t>
  </si>
  <si>
    <t>12 mån.</t>
  </si>
  <si>
    <t>36 mån.</t>
  </si>
  <si>
    <t>60 mån.</t>
  </si>
  <si>
    <t>Seligson &amp; Co Asien - Indexfond</t>
  </si>
  <si>
    <t>Carnegie - Swedish Small Cap</t>
  </si>
  <si>
    <t>Carnegie - Swedish Large Cap</t>
  </si>
  <si>
    <t>HealthInvest Access Fund</t>
  </si>
  <si>
    <t>HealthInvest Partners AB</t>
  </si>
  <si>
    <t>Sparinvest Ethical High Yield Value Bonds</t>
  </si>
  <si>
    <t>Carnegie - WorldWide Ethical</t>
  </si>
  <si>
    <t>FIM Kapitalförvaltning Ab</t>
  </si>
  <si>
    <t>GustaviaDavegårdh Nanofond</t>
  </si>
  <si>
    <t>UBS (Lux) Equity Fund - Asian Consumption (USD)</t>
  </si>
  <si>
    <t>F&amp;C Portfolio Fund - Pacific Equity A</t>
  </si>
  <si>
    <t>UBS (Lux) Equity Sicav - Emerging Markets Innovator</t>
  </si>
  <si>
    <t>Sparinvest - Global - Small Cap Value</t>
  </si>
  <si>
    <t>Aktiva Fonder Sicav - Global Tillväxt</t>
  </si>
  <si>
    <t>Conventum Asset Management</t>
  </si>
  <si>
    <t>BlackRock Global Funds US Small &amp; MidCap Opportunities Fund</t>
  </si>
  <si>
    <t>Quest Mangement Sicav - Quest Cleantech Fund A</t>
  </si>
  <si>
    <t xml:space="preserve">räntekostnader eller valutaförluster. </t>
  </si>
  <si>
    <t/>
  </si>
  <si>
    <t>De tio mest valda fonderna m.m</t>
  </si>
  <si>
    <t>Värdeutveckling - individuella konton</t>
  </si>
  <si>
    <t>Värdeutveckling - pensionssystemet</t>
  </si>
  <si>
    <t>(klicka på resp rubrik för att komma till sidan)</t>
  </si>
  <si>
    <t>Netto</t>
  </si>
  <si>
    <t>Brutto (TER)</t>
  </si>
  <si>
    <t>PineBridge Europe Small Cap Equity Fund</t>
  </si>
  <si>
    <t>Taaleritehdas Arvo Markka Equity</t>
  </si>
  <si>
    <t>Taaleritehtaan Rahastoyhtiö Oy</t>
  </si>
  <si>
    <t>Taaleritehdas Rouble Equity</t>
  </si>
  <si>
    <t>Limestone Fund - New Europe Socially Responsible</t>
  </si>
  <si>
    <t>Kredietrust Luxembourg S.A</t>
  </si>
  <si>
    <t>Taaleritehdas Lydian Lion Equity</t>
  </si>
  <si>
    <t>Taaleritehdas Troika Equity</t>
  </si>
  <si>
    <t>Klicka på resp rubrik för att sortera (stigande eller fallande)</t>
  </si>
  <si>
    <t>Alternativt välj menyn Data och välj Sortera</t>
  </si>
  <si>
    <t>premiepensionssystemet, desto mer rabatt går tillbaka till dem som sparar i fonden.</t>
  </si>
  <si>
    <t>SPP Generation 50-tal</t>
  </si>
  <si>
    <t>SEB Generationsfond 50-tal</t>
  </si>
  <si>
    <t>Pension om mer än 20 år</t>
  </si>
  <si>
    <t>SEB Generationsfond 60-tal</t>
  </si>
  <si>
    <t>SEB Generationsfond 70-tal</t>
  </si>
  <si>
    <t>SPP Generation 80-tal</t>
  </si>
  <si>
    <t>SPP Generation 70-tal</t>
  </si>
  <si>
    <t xml:space="preserve">Internräntan (IR), är den kapitalviktade avkastningen under perioden uttryckt i årstakt. Den anger årlig genomsnittlig värdeutveckling för en persons </t>
  </si>
  <si>
    <t xml:space="preserve">premiepension och kan jämföras med räntan på ett bankkonto. Internräntan kan däremot inte jämföras med marknadsindex eller med den enskilda fondens avkastning. </t>
  </si>
  <si>
    <t xml:space="preserve">Tidsviktad avkastning TVA, mäter avkastningen på en genomsnittlig krona som sattes in i premiepensionssystemet 2000-12-13. Premiepensionsindex </t>
  </si>
  <si>
    <t>För att sortera tabellen så kan man klicka på resp rubrik och därefter på A-Ö eller Ö-A - knapparna i verktygsfältet ovan.</t>
  </si>
  <si>
    <t>SPP Generation 60-tal</t>
  </si>
  <si>
    <t>Länsförsäkringar Pension 2045</t>
  </si>
  <si>
    <t>Länsförsäkringar Pension 2040</t>
  </si>
  <si>
    <t>CB Fund Save Earth Fund</t>
  </si>
  <si>
    <t>Nordea Generationsfond 1950-54</t>
  </si>
  <si>
    <t>Då kan inställningarna till säkerhetsnivån för makron vara för hög på din dator. Ett alternativ</t>
  </si>
  <si>
    <t>kan då vara att kontakta nätverksadministratören på din arbetsplats.</t>
  </si>
  <si>
    <t>Nordea Generationsfond 1945-49</t>
  </si>
  <si>
    <t>Nordea Generationsfond 1938-44</t>
  </si>
  <si>
    <t>Nordea Generationsfond 1960-64</t>
  </si>
  <si>
    <t>Nordea Generationsfond 1955-59</t>
  </si>
  <si>
    <t>Nordea Generationsfond 1985-89</t>
  </si>
  <si>
    <t>Nordea Generationsfond 1980-84</t>
  </si>
  <si>
    <t>Nordea Generationsfond 1975-79</t>
  </si>
  <si>
    <t>Nordea Generationsfond 1970-74</t>
  </si>
  <si>
    <t>Nordea Generationsfond 1965-69</t>
  </si>
  <si>
    <t>Länsförsäkringar Pension 2035</t>
  </si>
  <si>
    <t>Länsförsäkringar Pension 2030</t>
  </si>
  <si>
    <t>Sverige kort</t>
  </si>
  <si>
    <t>SEB Penningmarknadsfond SEK</t>
  </si>
  <si>
    <t>Enter Penningmarknadsfond</t>
  </si>
  <si>
    <t>Öhman Penningmarknadsfond</t>
  </si>
  <si>
    <t>Nordea Räntefond</t>
  </si>
  <si>
    <t>KPA Etisk Räntefond</t>
  </si>
  <si>
    <t>Folksams Penningmarknadsfond</t>
  </si>
  <si>
    <t>När balanstalet är mindre än 1 går pensionssystemet med underskott. För att återställa balansen i systemet används balansindex i stället för inkomstindex.</t>
  </si>
  <si>
    <t>Balansindex</t>
  </si>
  <si>
    <t>Skandia Penningmarknadsfond</t>
  </si>
  <si>
    <t>Lundmark &amp; Co Fondförvaltning AB</t>
  </si>
  <si>
    <t>SGAM Fund Equities Concentrated Europe</t>
  </si>
  <si>
    <t>Swedbank Robur Pacificfond</t>
  </si>
  <si>
    <t>Swedbank Robur Kommunikationsfond</t>
  </si>
  <si>
    <t>Swedbank Robur Kapitalinvest</t>
  </si>
  <si>
    <t>Swedbank Robur Balkanfond</t>
  </si>
  <si>
    <t>Swedbank Robur Japanfond</t>
  </si>
  <si>
    <t>Swedbank Robur Finansfond</t>
  </si>
  <si>
    <t>Swedbank Robur Contura</t>
  </si>
  <si>
    <t>Nordea Småbolagsfond Norden</t>
  </si>
  <si>
    <t>Nordea Fondbolag Finland Ab</t>
  </si>
  <si>
    <t>Swedbank Robur Amerikafond</t>
  </si>
  <si>
    <t>Swedbank Robur Kinafond</t>
  </si>
  <si>
    <t>Swedbank Robur Privatiseringsfond</t>
  </si>
  <si>
    <t>Swedbank Robur Ethica Sverige Global</t>
  </si>
  <si>
    <t>Swedbank Robur Realräntefond</t>
  </si>
  <si>
    <t>Swedbank Robur Räntefond Pension</t>
  </si>
  <si>
    <t>Swedbank Robur Obligationsfond MEGA</t>
  </si>
  <si>
    <t>Swedbank Robur Ethica Global MEGA</t>
  </si>
  <si>
    <t>Swedbank Robur Penningmarknadsfond</t>
  </si>
  <si>
    <t>Swedbank Robur Transfer 80</t>
  </si>
  <si>
    <t>Swedbank Robur Mixfond Pension</t>
  </si>
  <si>
    <t>Swedbank Robur Rysslandsfond</t>
  </si>
  <si>
    <t>Swedbank Robur Globalfond MEGA</t>
  </si>
  <si>
    <t>Swedbank Robur Transfer 70</t>
  </si>
  <si>
    <t>Swedbank Robur Aktiefond Pension</t>
  </si>
  <si>
    <t>Swedbank Robur Sverigefond MEGA</t>
  </si>
  <si>
    <t>Capinordic MM Global Focus</t>
  </si>
  <si>
    <t>Capinordic Global Opportunities</t>
  </si>
  <si>
    <t>Capinordic BRICA</t>
  </si>
  <si>
    <t>Holberg Fondsforvaltning AS</t>
  </si>
  <si>
    <t>Holberg Global</t>
  </si>
  <si>
    <t>Holberg Norge</t>
  </si>
  <si>
    <t>Holberg Norden</t>
  </si>
  <si>
    <t>Capinordic FoF Global</t>
  </si>
  <si>
    <t>Västernorrlandsfonden Likviditet</t>
  </si>
  <si>
    <t>Swedbank Robur Transfer 60</t>
  </si>
  <si>
    <t>Swedbank Robur Nordenfond</t>
  </si>
  <si>
    <t>Swedbank Robur Östeuropafond</t>
  </si>
  <si>
    <t>Swedbank Robur Transfer 50</t>
  </si>
  <si>
    <t>Swedbank Robur Småbolagsfond Sverige</t>
  </si>
  <si>
    <t>Swedbank Robur Småbolagsfond Norden</t>
  </si>
  <si>
    <t>Amundi Funds Absolute Volatility World</t>
  </si>
  <si>
    <t>IKC Sverige Flexibel</t>
  </si>
  <si>
    <t>Alpcot Active  - Alpcot Active Greater Russia</t>
  </si>
  <si>
    <t>Svensk Fondservice Balanserad</t>
  </si>
  <si>
    <t>Svensk Fondservice Offensiv</t>
  </si>
  <si>
    <t>Swedbank Robur Småbolagsfond Europa</t>
  </si>
  <si>
    <t>Swedbank Robur Ethica Sverige MEGA</t>
  </si>
  <si>
    <t>Swedbank Robur Medica</t>
  </si>
  <si>
    <t>Swedbank Robur Skogsfond</t>
  </si>
  <si>
    <t>Swedbank Robur Exportfond</t>
  </si>
  <si>
    <t>Swedbank Robur Europafond MEGA</t>
  </si>
  <si>
    <t>Swedbank Robur Realinvest</t>
  </si>
  <si>
    <t>Länsförsäkringar Penningmarknadsfond</t>
  </si>
  <si>
    <t>Lannebo Likviditetsfond</t>
  </si>
  <si>
    <t>Catella Likviditetsfond</t>
  </si>
  <si>
    <t>Sverige lång</t>
  </si>
  <si>
    <t>Öhman Obligationsfond</t>
  </si>
  <si>
    <t>Öhman Företagsobligationsfond</t>
  </si>
  <si>
    <t>SEB Obligationsfond SEK</t>
  </si>
  <si>
    <t>SEB Obligationsfond Flexibel SEK</t>
  </si>
  <si>
    <t>Skandia Kapitalmarknadsfond</t>
  </si>
  <si>
    <t>SPP Obligationsfond</t>
  </si>
  <si>
    <t>Enter Trend Räntefond</t>
  </si>
  <si>
    <t>Catella Avkastningsfond</t>
  </si>
  <si>
    <t>BlackRock Japan Fund</t>
  </si>
  <si>
    <t>Nordea Nya Tillväxtmarknader</t>
  </si>
  <si>
    <t>BlackRock Global SmallCap Fund</t>
  </si>
  <si>
    <t>BlackRock Emerging Markets Fund</t>
  </si>
  <si>
    <t>BlackRock Japan Value Fund</t>
  </si>
  <si>
    <t>BlackRock Global Allocation Fund</t>
  </si>
  <si>
    <t>BlackRock World Gold Fund</t>
  </si>
  <si>
    <t>BlackRock World Healthscience Fund</t>
  </si>
  <si>
    <t>BlackRock World Financials Fund</t>
  </si>
  <si>
    <t>SGAM Fund Equities Europe Opportunities</t>
  </si>
  <si>
    <t>BlackRock World Mining Fund</t>
  </si>
  <si>
    <t>BlackRock World Energy Fund</t>
  </si>
  <si>
    <t>BlackRock Global Equity Fund</t>
  </si>
  <si>
    <t>BlackRock New Energy Fund</t>
  </si>
  <si>
    <t>Nordea Latinamerikafonden</t>
  </si>
  <si>
    <t>BlackRock Latin American Fund</t>
  </si>
  <si>
    <t>BlackRock European Value Fund</t>
  </si>
  <si>
    <t>SGAM Fund Equities Latin America</t>
  </si>
  <si>
    <t>BlackRock European Fund</t>
  </si>
  <si>
    <t>Capinordic FoF Strategi</t>
  </si>
  <si>
    <t>BlackRock India Fund</t>
  </si>
  <si>
    <t>BlackRock US Basic Value Fund</t>
  </si>
  <si>
    <t>SGAM Fund Equities Global Resources</t>
  </si>
  <si>
    <t>BlackRock US Flexible Equity Fund</t>
  </si>
  <si>
    <t>SGAM Fund Equities Global Emerging Countries</t>
  </si>
  <si>
    <t>SGAM Fund Equities Japan CoreAlpha</t>
  </si>
  <si>
    <t>TurnPoint Global Allocation</t>
  </si>
  <si>
    <t>TurnPoint Asset Management AB</t>
  </si>
  <si>
    <t>East Capital (Lux) Eastern European Fund</t>
  </si>
  <si>
    <t>East Capital (Lux) Russian Fund</t>
  </si>
  <si>
    <t>Trigon New Europe Value Fund</t>
  </si>
  <si>
    <t>AS Trigon Funds</t>
  </si>
  <si>
    <t>Morgan Stanley Investment Funds Global Brands</t>
  </si>
  <si>
    <t>Trigon Emerging Agri Sector Fund</t>
  </si>
  <si>
    <t>Trigon Emerging Financials Fund</t>
  </si>
  <si>
    <t>Trigon Balkan Fund</t>
  </si>
  <si>
    <t>sorteringsfunktionaliteten måste du stänga dokumentet och öppna på nytt med valet "Aktivera makron".</t>
  </si>
  <si>
    <t>För att kunna få tillgång till enkel sorteringsfunktionalitet i vissa blad behöver man aktivera makron.</t>
  </si>
  <si>
    <t>Man kan även sortera manuellt om man inte vill utnyttja makrofunktionaliteten. Gå då direkt till</t>
  </si>
  <si>
    <t xml:space="preserve">Detta görs genom att klicka på "Aktivera makron" när detta dokument öppnas (se nedan). </t>
  </si>
  <si>
    <t>Har du valt att klicka på "Inaktivera makron" när detta dokument öppnades och vill kunna använda</t>
  </si>
  <si>
    <t>Spiltan Räntefond Sverige</t>
  </si>
  <si>
    <t>BlackRock Emerging Europe Fund</t>
  </si>
  <si>
    <t>Nordea Globala Tillväxtmarknader</t>
  </si>
  <si>
    <t>Cicero Avkastningsfond</t>
  </si>
  <si>
    <t>Folksam LO Obligation</t>
  </si>
  <si>
    <t>PineBridge Global Focus Equity Fund</t>
  </si>
  <si>
    <t>PineBridge Global Emerging Markets Equity Fund</t>
  </si>
  <si>
    <t>Amundi Funds Equity Japan Value</t>
  </si>
  <si>
    <t>Amundi Funds Equity Global Select</t>
  </si>
  <si>
    <t>Amundi Funds Equity ASEAN</t>
  </si>
  <si>
    <t xml:space="preserve">Amundi Funds Equity Latin America </t>
  </si>
  <si>
    <t>Amundi Funds Equity India</t>
  </si>
  <si>
    <t>Amundi Funds Equity Asia ex Japan</t>
  </si>
  <si>
    <t>Amundi Funds Equity Greater China</t>
  </si>
  <si>
    <t>GustaviaDavegårdh Småbolag</t>
  </si>
  <si>
    <t>PineBridge Japan New Horizon Equity Fund</t>
  </si>
  <si>
    <t>BL Fund Selection - 50-100</t>
  </si>
  <si>
    <t>Värdeutveckling för fondrörelsen i genomsnitt per år</t>
  </si>
  <si>
    <t>Folksams Tjänstemannafond Obligation</t>
  </si>
  <si>
    <t>Folksams Obligationsfond</t>
  </si>
  <si>
    <t>Nordea Obligationsfond</t>
  </si>
  <si>
    <t>Länsförsäkringar Obligationsfond</t>
  </si>
  <si>
    <t>Sverige realränta</t>
  </si>
  <si>
    <t>Spiltan Aktiefond Småland</t>
  </si>
  <si>
    <t>Öhman Realobligationsfond</t>
  </si>
  <si>
    <t>Skandia Realräntefond</t>
  </si>
  <si>
    <t>Europa och Euroland</t>
  </si>
  <si>
    <t>Evli Euro Statsobligation</t>
  </si>
  <si>
    <t>Evli Target Return</t>
  </si>
  <si>
    <t>Evli Corporate Bond</t>
  </si>
  <si>
    <t>Evli European High Yield</t>
  </si>
  <si>
    <t>ING (L) Renta Fund Euromix Bond</t>
  </si>
  <si>
    <t>JPM Investment Funds - Europe Bond Fund</t>
  </si>
  <si>
    <t>Spiltan Fonder AB</t>
  </si>
  <si>
    <t>Spiltan Aktiefond Sverige</t>
  </si>
  <si>
    <t>Baring Latin America Fund</t>
  </si>
  <si>
    <t>SKAGEN Tellus</t>
  </si>
  <si>
    <t>Aktieinvest FK AB</t>
  </si>
  <si>
    <t>Fondita Nordic Micro Cap Placeringsfond</t>
  </si>
  <si>
    <t>BL - Bond Euro</t>
  </si>
  <si>
    <t>Övriga utländska</t>
  </si>
  <si>
    <t>Credit Suisse Bond Fund (Lux) Inflation Linked (Euro)</t>
  </si>
  <si>
    <t>Baring International Bond Fund</t>
  </si>
  <si>
    <t>Baring High Yield Bond Fund US$ (USD)</t>
  </si>
  <si>
    <t>BL - Global Bond</t>
  </si>
  <si>
    <t>Baring High Yield Bond Fund Euro Hedged (EUR)</t>
  </si>
  <si>
    <t>BL - Bond Dollar</t>
  </si>
  <si>
    <t>Utländsk</t>
  </si>
  <si>
    <t>Sparinvest - Global Value</t>
  </si>
  <si>
    <t>Sparinvest - High Yield Value Bonds</t>
  </si>
  <si>
    <t>Fondnamn</t>
  </si>
  <si>
    <t>Fondkategori</t>
  </si>
  <si>
    <t>Risk</t>
  </si>
  <si>
    <t>Antal gjorda val</t>
  </si>
  <si>
    <t>Marknadsvärde</t>
  </si>
  <si>
    <t>Förvaltare</t>
  </si>
  <si>
    <t>Fondnr</t>
  </si>
  <si>
    <t>Kvinnor</t>
  </si>
  <si>
    <t>Män</t>
  </si>
  <si>
    <t>Total</t>
  </si>
  <si>
    <t>Fondtyp</t>
  </si>
  <si>
    <t>Värdeutveckling i SEK (%)</t>
  </si>
  <si>
    <t>Sharpe-</t>
  </si>
  <si>
    <t>kvot</t>
  </si>
  <si>
    <t>valuta</t>
  </si>
  <si>
    <t>Noterings-</t>
  </si>
  <si>
    <t>Fondnummer</t>
  </si>
  <si>
    <t>Riskfri ränta</t>
  </si>
  <si>
    <t>Sharpe-kvot</t>
  </si>
  <si>
    <t>Valuta</t>
  </si>
  <si>
    <t>Värdeutveckling</t>
  </si>
  <si>
    <t xml:space="preserve">och vid vilka tidpunkter som flödena har skett samt det totala marknadsvärdet i fonderna vid tidpunkten för beräkningen. </t>
  </si>
  <si>
    <t>Fondens utveckling under angiven period, inklusive återinvesterad utdelning. Alla avgifter är redan avdragna.</t>
  </si>
  <si>
    <t>Ordlista</t>
  </si>
  <si>
    <t xml:space="preserve">Standardavvikelse, 36 månader, anger hur kursutvecklingen avviker från medelvärdet mellan olika tidsperioder. Högre siffra innebär större variationer och högre risk. Lägre siffra innebär </t>
  </si>
  <si>
    <t>mindre variationer och lägre risk.</t>
  </si>
  <si>
    <t>Med årsavkastning avses genomsnittlig årsavkastning sedan start.</t>
  </si>
  <si>
    <t>Siffrorna omfattar både avkastningen i fondrörelsen och avkastningen av pengarna fram till tidpunkten då de placerades i fonderna.</t>
  </si>
  <si>
    <t>Tidsviktad avkastning sedan start (TVA)</t>
  </si>
  <si>
    <t>Real tidsviktad avkastning sedan start (TVA)</t>
  </si>
  <si>
    <t xml:space="preserve">Den kapitalviktade avkastningen kan inte jämföras med marknadsindex eller med enskilda fonders avkastning. </t>
  </si>
  <si>
    <t xml:space="preserve">I tabellen nedan kan man därför jämföra den genomsnittlige personens avkastning i premiepensionssystemet med personens avkastning i inkomstpensionen. </t>
  </si>
  <si>
    <t xml:space="preserve"> </t>
  </si>
  <si>
    <t>Svensk/</t>
  </si>
  <si>
    <t>Catella Sverige Passiv</t>
  </si>
  <si>
    <t>Fondavgift (%)</t>
  </si>
  <si>
    <t>Sverige</t>
  </si>
  <si>
    <t>Aktie-Ansvar AB</t>
  </si>
  <si>
    <t>Aktie-Ansvar Sverige</t>
  </si>
  <si>
    <t>Cicero Fonder AB</t>
  </si>
  <si>
    <t>Catella Fondförvaltning AB</t>
  </si>
  <si>
    <t>Catella Reavinstfond</t>
  </si>
  <si>
    <t>Handelsbanken Fonder AB</t>
  </si>
  <si>
    <t>Netto tillfört kapital, mdr</t>
  </si>
  <si>
    <t>Marknadsvärde, mdr</t>
  </si>
  <si>
    <t>Västernorrlandsfonden</t>
  </si>
  <si>
    <t>Skandia Fonder AB</t>
  </si>
  <si>
    <t>Skandia Sverige</t>
  </si>
  <si>
    <t>Didner &amp; Gerge Fonder AB</t>
  </si>
  <si>
    <t>Didner &amp; Gerge Aktiefond</t>
  </si>
  <si>
    <t>E. Öhman J:or Fonder AB</t>
  </si>
  <si>
    <t>Öhman Sverigefond</t>
  </si>
  <si>
    <t>innehållsförteckningen genom att klicka på knappen här bredvid.</t>
  </si>
  <si>
    <t>INNEHÅLLSFÖRTECKNING</t>
  </si>
  <si>
    <t>Aktiv Europa</t>
  </si>
  <si>
    <t>Didner &amp; Gerge Småbolag</t>
  </si>
  <si>
    <t>Danske Invest Management Company S.A.</t>
  </si>
  <si>
    <t>Danske Invest Eastern Europe Convergence A</t>
  </si>
  <si>
    <t>BL Fund Selection - Asia</t>
  </si>
  <si>
    <t>Credit Suisse Equity Fund (Lux) Small and Mid Cap Europe</t>
  </si>
  <si>
    <t>Handelsbanken Svenska Småbolagsfond</t>
  </si>
  <si>
    <t>Natixis Europe Smaller Companies Fund</t>
  </si>
  <si>
    <t>Sjunde AP-fonden</t>
  </si>
  <si>
    <t>Marknadsvärde = Fondandelar * Fondkurs * Valutakurs.</t>
  </si>
  <si>
    <t>Morgan Stanley Investment Funds Latin American Equity Fund</t>
  </si>
  <si>
    <t>Länsförsäkringar Fondförvaltning AB</t>
  </si>
  <si>
    <t>Länsförsäkringar Sverigefond</t>
  </si>
  <si>
    <t>Lannebo Fonder AB</t>
  </si>
  <si>
    <t>Lannebo Sverige</t>
  </si>
  <si>
    <t>Nordea Fonder AB</t>
  </si>
  <si>
    <t>Enter Fonder AB</t>
  </si>
  <si>
    <t>Enter Sverige</t>
  </si>
  <si>
    <t>Nordea Sverigefond</t>
  </si>
  <si>
    <t>ODIN Fonder</t>
  </si>
  <si>
    <t>ODIN Sverige</t>
  </si>
  <si>
    <t>Folksam LO Sverige</t>
  </si>
  <si>
    <t>Folksam LO Västfonden</t>
  </si>
  <si>
    <t>Aberdeen Global - Japanese Smaller Companies Fund</t>
  </si>
  <si>
    <t>Capinordic FoF Avkastning</t>
  </si>
  <si>
    <t>Aberdeen Global - American Equity Fund</t>
  </si>
  <si>
    <t>Aberdeen Global - UK Equity Fund</t>
  </si>
  <si>
    <t xml:space="preserve">Kapitalviktad avkastning anger genomsnittlig årlig utveckling för en genomsnittlig persons premiepensionskonto. </t>
  </si>
  <si>
    <t>Måttet kan jämföras med räntan på ett bankkonto.</t>
  </si>
  <si>
    <t>ValueInvest LUX Global</t>
  </si>
  <si>
    <t>Natixis Impact Europe Equities Fund</t>
  </si>
  <si>
    <t>ValueInvest LUX Japan</t>
  </si>
  <si>
    <t>Merrill Lynch International</t>
  </si>
  <si>
    <t>Aberdeen Global - European Equity (Ex UK) Fund</t>
  </si>
  <si>
    <t>UBS (Lux) Equity Sicav - Brazil</t>
  </si>
  <si>
    <t>Folksams Tjänstemannafond Sverige</t>
  </si>
  <si>
    <t>Folksams Aktiefond Sverige</t>
  </si>
  <si>
    <t>SPP Aktiefond Sverige</t>
  </si>
  <si>
    <t>Sverige småbolag</t>
  </si>
  <si>
    <t>Lannebo Småbolag</t>
  </si>
  <si>
    <t>Skandia Småbolag Sverige</t>
  </si>
  <si>
    <t>Sverige index</t>
  </si>
  <si>
    <t>Öhman Etisk Index Sverige</t>
  </si>
  <si>
    <t>Aktiespararna Topp Sverige</t>
  </si>
  <si>
    <t>Svenska och utländska aktier</t>
  </si>
  <si>
    <t>AP7 Räntefond</t>
  </si>
  <si>
    <t>AP7 Aktiefond</t>
  </si>
  <si>
    <t>Danske Invest Global Corporate Bonds</t>
  </si>
  <si>
    <t>IKC Fonder AB</t>
  </si>
  <si>
    <t>Danske Invest Global Stockpicking</t>
  </si>
  <si>
    <t>ING (L) Invest Global Opportunities</t>
  </si>
  <si>
    <t>ING (L) Invest Global Real Estate</t>
  </si>
  <si>
    <t>ING (L) Invest Middle East &amp; North Africa</t>
  </si>
  <si>
    <t>ING (L) Invest Greater China</t>
  </si>
  <si>
    <t>IKC World Wide</t>
  </si>
  <si>
    <t>ING (L) Invest Europe Opportunities</t>
  </si>
  <si>
    <t>Fondbytesprogrammet 0-50</t>
  </si>
  <si>
    <t>GustaviaDavegårdh Global Tillväxt</t>
  </si>
  <si>
    <t>SEB Aktiesparfond</t>
  </si>
  <si>
    <t>KPA Etisk Aktiefond</t>
  </si>
  <si>
    <t>Svenska Lärarfonder AB</t>
  </si>
  <si>
    <t>Lärarfond 21-44 år</t>
  </si>
  <si>
    <t>Norden</t>
  </si>
  <si>
    <t>Morgan Stanley Investment Funds European Small Cap Value Fund</t>
  </si>
  <si>
    <t>Seligson &amp; Co Europa Indexfond</t>
  </si>
  <si>
    <t>Morgan Stanley Investment Funds Asian Equity Fund</t>
  </si>
  <si>
    <t>Morgan Stanley Investment Funds Indian Equity Fund</t>
  </si>
  <si>
    <t>Aberdeen International Fund Managers Ltd</t>
  </si>
  <si>
    <t>Svensk</t>
  </si>
  <si>
    <t>Alfred Berg Kapitalforvaltning AS</t>
  </si>
  <si>
    <t>Avanza Zero - Fonden utan avgifter</t>
  </si>
  <si>
    <t>Aviva Investors Luxembourg S.A.</t>
  </si>
  <si>
    <t>Aviva Investors - European Corporate Bond Fund</t>
  </si>
  <si>
    <t>AXA Rosenberg Management Ireland Ltd</t>
  </si>
  <si>
    <t>BL- Equities Horizon</t>
  </si>
  <si>
    <t>BlackRock (Channel Islands) Ltd</t>
  </si>
  <si>
    <t>BlackRock Euro Markets Fund</t>
  </si>
  <si>
    <t>BlackRock World Technology Fund</t>
  </si>
  <si>
    <t>Carlson Fonder AB</t>
  </si>
  <si>
    <t>Carnegie Fund Management Company S.A.</t>
  </si>
  <si>
    <t>Cicero SRI Sverige</t>
  </si>
  <si>
    <t>Evli Fondbolag Ab</t>
  </si>
  <si>
    <t>Evli Swedish Small Cap Selection</t>
  </si>
  <si>
    <t>F&amp;C Management Ltd.</t>
  </si>
  <si>
    <t>F&amp;C Portfolio Fund - Emerging Markets Bond</t>
  </si>
  <si>
    <t>F&amp;C Portfolio Fund - European High Yield Bond</t>
  </si>
  <si>
    <t>F&amp;C Portfolio Fund - Global Climate Opportunities A</t>
  </si>
  <si>
    <t>F&amp;C Portfolio Fund - Global Convertible Bond A</t>
  </si>
  <si>
    <t>F&amp;C Portfolio Fund - Global Emerging Markets Portfolio A</t>
  </si>
  <si>
    <t>F&amp;C Portfolio Fund - North America Equity A</t>
  </si>
  <si>
    <t>F&amp;C Portfolio Fund - Stewardship International A</t>
  </si>
  <si>
    <t>F&amp;C Portfolio Fund - US Smaller Companies A</t>
  </si>
  <si>
    <t>FIM BRIC+ Placeringsfond</t>
  </si>
  <si>
    <t>Folksam LO Fond AB</t>
  </si>
  <si>
    <t>Folksam Fond AB</t>
  </si>
  <si>
    <t>Franklin Templeton Investment Management Ltd</t>
  </si>
  <si>
    <t>Franklin European Growth Fund</t>
  </si>
  <si>
    <t>Handelsbanken Finlandsfond (Placeringsfonden HB Aktie)</t>
  </si>
  <si>
    <t>Handelsbanken Globalfond</t>
  </si>
  <si>
    <t>Handelsbanken Sverigefond</t>
  </si>
  <si>
    <t>JPMorgan Asset Management (Europe) S.à.r.l.</t>
  </si>
  <si>
    <t>JPM Investment Funds - Global Balanced Fund (EUR)</t>
  </si>
  <si>
    <t>JPM Investment Funds - Global Bond Fund (EUR)</t>
  </si>
  <si>
    <t xml:space="preserve">Statens förvaltningsalternativ </t>
  </si>
  <si>
    <t>Nordea Nordenfond</t>
  </si>
  <si>
    <t>Nordea Realräntefond</t>
  </si>
  <si>
    <t>Snitt 5 år</t>
  </si>
  <si>
    <t>Sjunde AP-Fonden</t>
  </si>
  <si>
    <t>SEB Investment Management AB</t>
  </si>
  <si>
    <t>SEB Generationsfond 80-tal - Lux ack</t>
  </si>
  <si>
    <t>SEB Asset Management S.A.</t>
  </si>
  <si>
    <t>Seligson &amp; Co Finland - Indexfond</t>
  </si>
  <si>
    <t>SGAM Fund Equities Asia Pac Dual Strategies</t>
  </si>
  <si>
    <t>Simplicity Afrika</t>
  </si>
  <si>
    <t>SKAGEN Fonder</t>
  </si>
  <si>
    <t>SPP Fonder AB</t>
  </si>
  <si>
    <t>UBS (Lux) Equity Fund - Emerging Markets</t>
  </si>
  <si>
    <t>UBS (Lux) Equity Sicav - Russia</t>
  </si>
  <si>
    <t>UBS (Lux) Equity Sicav - Small Caps Europe</t>
  </si>
  <si>
    <t>ValueInvest Asset Management S.A.</t>
  </si>
  <si>
    <t>Morgan Stanley Investment Funds Emerging Markets Equity Fund</t>
  </si>
  <si>
    <t>Danske Invest Sverige</t>
  </si>
  <si>
    <t>Danske Invest Sverige Fokus</t>
  </si>
  <si>
    <t>Danske Invest Sverige/Europa</t>
  </si>
  <si>
    <t>Danske Invest Utland</t>
  </si>
  <si>
    <t>Danske Invest Global Index</t>
  </si>
  <si>
    <t xml:space="preserve">Med årsavkastningn menas genomsnittlig avkastning sedan start. </t>
  </si>
  <si>
    <t>AMF Räntefond kort</t>
  </si>
  <si>
    <t>AMF Fonder AB</t>
  </si>
  <si>
    <t>AMF Räntefond Lång</t>
  </si>
  <si>
    <t>Nordnet Ränteindex Sverige</t>
  </si>
  <si>
    <t>Amundi Funds</t>
  </si>
  <si>
    <t>GustaviaDavegårdh Sverige</t>
  </si>
  <si>
    <t>GustaviaDavegårdh Fonder AB</t>
  </si>
  <si>
    <t>GustaviaDavegårdh Sol Vind &amp; vatten</t>
  </si>
  <si>
    <t>GustaviaDavegårdh Greater Russia Small/Mid Cap</t>
  </si>
  <si>
    <t>GustaviaDavegårdh Balkan</t>
  </si>
  <si>
    <t>AMF Aktiefond Euroland</t>
  </si>
  <si>
    <t>AMF Balansfond</t>
  </si>
  <si>
    <t>AMF Aktiefond Världen</t>
  </si>
  <si>
    <t>AMF Aktiefond Sverige</t>
  </si>
  <si>
    <t>AMF Aktiefond Global</t>
  </si>
  <si>
    <t>Nordnet Aktieindex Sverige</t>
  </si>
  <si>
    <t>AMF Aktiefond Nordamerika</t>
  </si>
  <si>
    <t>Handelsbanken Generationsfond 70-tal</t>
  </si>
  <si>
    <t>Handelsbanken Generationsfond 60-tal</t>
  </si>
  <si>
    <t>Credit Suisse Fund Services (Luxembourg) S.A</t>
  </si>
  <si>
    <t>East Capital China Fund</t>
  </si>
  <si>
    <t>Handelsbanken Generationsfond 50-tal</t>
  </si>
  <si>
    <t>Handelsbanken Generationsfond 40-tal</t>
  </si>
  <si>
    <t>Handelsbanken Generationsfond 80-tal</t>
  </si>
  <si>
    <t>AMF Aktiefond Asien Stilla Havet</t>
  </si>
  <si>
    <t>AMF Aktiefond  Småbolag</t>
  </si>
  <si>
    <t>SEK</t>
  </si>
  <si>
    <t>Fonden tar miljö och/eller etisk hänsyn</t>
  </si>
  <si>
    <t>Seligson &amp; Co Euroobligation</t>
  </si>
  <si>
    <t>EUR</t>
  </si>
  <si>
    <t>NOK</t>
  </si>
  <si>
    <t>USD</t>
  </si>
  <si>
    <t>GBP</t>
  </si>
  <si>
    <t>ING (L) Index Linked Continous Click Fund</t>
  </si>
  <si>
    <t>Öhman Sicav 1 - Öhman High Yield Fund</t>
  </si>
  <si>
    <t>RBS (Luxembourg) S.A.</t>
  </si>
  <si>
    <t>SEB Nordamerikafond</t>
  </si>
  <si>
    <t>JPY</t>
  </si>
  <si>
    <t>ING (L) Renta Fund Emerging Market Debt Local Currency</t>
  </si>
  <si>
    <t>Aberdeen Global - Asia Local Currency Short Duration Bond Fund</t>
  </si>
  <si>
    <t>ING (L) Renta Fund Emerging Market Debt Hard Currency</t>
  </si>
  <si>
    <t>East Capital China East Asia Fund</t>
  </si>
  <si>
    <t>Sparinvest High Yield Value Bonds SEK R</t>
  </si>
  <si>
    <t>CHF</t>
  </si>
  <si>
    <t>Aktiv Världen</t>
  </si>
  <si>
    <t>Ålandsbanken Sweden OMXS30</t>
  </si>
  <si>
    <t>Ålandsbanken Fonder AB</t>
  </si>
  <si>
    <t>Ålandsbanken Money Market SEK</t>
  </si>
  <si>
    <t>Alfred Berg Fonder AB</t>
  </si>
  <si>
    <t>Handelsbanken Sverigefond Index</t>
  </si>
  <si>
    <t>Catella Sverige Select</t>
  </si>
  <si>
    <t>Ålandsbanken Global Value</t>
  </si>
  <si>
    <t>Swedbank Robur Ny Teknik</t>
  </si>
  <si>
    <t>Skandia Försiktig</t>
  </si>
  <si>
    <t>Delphi Verden</t>
  </si>
  <si>
    <t>Storebrand Fondene AS</t>
  </si>
  <si>
    <t xml:space="preserve">FIM Mondo Placeringsfond </t>
  </si>
  <si>
    <t>Skandia Offensiv</t>
  </si>
  <si>
    <t>Skandia Balanserad</t>
  </si>
  <si>
    <t xml:space="preserve">Tidsviktad avkastning, TVA mäter avkastningen på en genomsnittlig krona som sattes in i premiepensionssystemet 2000-12-13. Premiepensionsindex </t>
  </si>
  <si>
    <t>Handelsbanken Kinafond</t>
  </si>
  <si>
    <t>Fondavgift brutto, TER</t>
  </si>
  <si>
    <t>Fondavgift netto (TER minus rabatt)</t>
  </si>
  <si>
    <t xml:space="preserve">Antal fondval, visar aktuellt läge vid månadsslut. </t>
  </si>
  <si>
    <t>Antal fondval</t>
  </si>
  <si>
    <t>Fondval och aktuellt marknadsvärde</t>
  </si>
  <si>
    <t>Antal val</t>
  </si>
  <si>
    <t>TKA, ett mått för totala kostnader inklusive förvaltningsavgifter, skatter och transaktionskostnader. Courtage ingår.</t>
  </si>
  <si>
    <t>TKA</t>
  </si>
  <si>
    <t>Internräntan, benämns även kapitalviktad avkastning, anger utvecklingen för en genomsnittlig persons premiepensionskonto. Måttet kan jämföras med räntan på ett bankkonto.</t>
  </si>
  <si>
    <t xml:space="preserve">I fondavgiften ingår fondens förvaltningsavgift och övriga administrativa kostnader, men inte transaktionskostnader, kupongskatt, </t>
  </si>
  <si>
    <t xml:space="preserve">Den årliga fondavgiften anges i procent efter att Pensionsmyndighetens rabatt dragits av. I fondavgiften ingår fondens förvaltningsavgift och övriga administrativa kostnader, men inte </t>
  </si>
  <si>
    <t>Ålandsbanken TIME</t>
  </si>
  <si>
    <t>First State Global Listed Infrastructure Fund</t>
  </si>
  <si>
    <t>Carnegie Fonder AB</t>
  </si>
  <si>
    <t xml:space="preserve">Carnegie - Svensk kort ränte </t>
  </si>
  <si>
    <t>MLCX Commodity Enhanced Beta fund</t>
  </si>
  <si>
    <t xml:space="preserve">Carnegie - Safety 90 Sverige </t>
  </si>
  <si>
    <t xml:space="preserve">Carnegie - European Equity </t>
  </si>
  <si>
    <t xml:space="preserve">Carnegie - Nordic Markets </t>
  </si>
  <si>
    <t xml:space="preserve">Carnegie - WorldWide </t>
  </si>
  <si>
    <t xml:space="preserve">Carnegie - Medical </t>
  </si>
  <si>
    <t xml:space="preserve">Carnegie - East European </t>
  </si>
  <si>
    <t xml:space="preserve">Carnegie - Safety 90 BRIC </t>
  </si>
  <si>
    <t>GustaviaDavegårdh Östeuropa Maximal</t>
  </si>
  <si>
    <t>Prudentis Baltic Fund</t>
  </si>
  <si>
    <t>Prudentis UAB</t>
  </si>
  <si>
    <t xml:space="preserve">Ålandsbanken Swedish Small Cap </t>
  </si>
  <si>
    <t>Handelsbanken Indienfond</t>
  </si>
  <si>
    <t xml:space="preserve">Baring Global Select Fund </t>
  </si>
  <si>
    <t>Alfred Berg Norge Etisk</t>
  </si>
  <si>
    <t>BlackRock Global Funds Japan Small &amp; MidCap Opportunities Fund</t>
  </si>
  <si>
    <t>Blackrock Global Funds China Fund</t>
  </si>
  <si>
    <t>Alfred Berg Småbolagsfond</t>
  </si>
  <si>
    <t>Natixis Global Associates International</t>
  </si>
  <si>
    <t>LHV Persian Gulf Fund</t>
  </si>
  <si>
    <t>AS LHV Varahaldus</t>
  </si>
  <si>
    <t>UBS (Lux) Equity Fund - Mid Caps USA (USD)</t>
  </si>
  <si>
    <t>Handelsbanken Rysslandsfond</t>
  </si>
  <si>
    <t>Ålandsbanken Sverige AB</t>
  </si>
  <si>
    <t>Simplicity Balans</t>
  </si>
  <si>
    <t>Ålandsbanken China Growth</t>
  </si>
  <si>
    <t>Fondmarknaden Global Edge</t>
  </si>
  <si>
    <t xml:space="preserve">Fondab AB </t>
  </si>
  <si>
    <t>Fondita European Small Cap Placeringsfond</t>
  </si>
  <si>
    <t>Delphi Norden</t>
  </si>
  <si>
    <t>Enter Maximal</t>
  </si>
  <si>
    <t>Independent Investment Group Sweden AB</t>
  </si>
  <si>
    <t>Delphi Europa</t>
  </si>
  <si>
    <t>UBS (Lux) Equity Fund - Global Multi Tech</t>
  </si>
  <si>
    <t>East Capital (Lux) Convergence Eastern European Fund</t>
  </si>
  <si>
    <t>East Capital (Lux)</t>
  </si>
  <si>
    <t>Morgan Stanley Investment Funds Euro Corporate Bond</t>
  </si>
  <si>
    <t>Morgan Stanley Investment Funds European Curr High Yield Bond</t>
  </si>
  <si>
    <t>UBS (Lux) Key Sel. SICAV 2 - Asian Equities 130/30 (USD)</t>
  </si>
  <si>
    <t>Independent Fonddoktorn</t>
  </si>
  <si>
    <t>Morgan Stanley Investment Funds European Equity Alpha Fund</t>
  </si>
  <si>
    <t>Morgan Stanley Investment Funds Eurozone Equity Alpha Fund</t>
  </si>
  <si>
    <t>Morgan Stanley Investment Funds Emerging Markets Domestic Debt</t>
  </si>
  <si>
    <t>Morgan Stanley Investment Funds Emerging Europe Middle East Afr</t>
  </si>
  <si>
    <t xml:space="preserve">kan jämföras med marknadsindex och enskilda fonders avkastning. Rabatten på fondavgiften, myndighetens avgift och arvsvinster är inte medräknade. </t>
  </si>
  <si>
    <t>Värdeutveckling för premiepensionsfondernas index</t>
  </si>
  <si>
    <t xml:space="preserve">Med årsavkastning menas genomsnittlig avkastning sedan start. </t>
  </si>
  <si>
    <t xml:space="preserve">Premiepensionsindex kan jämföras med marknadsindex och enskilda fonders avkastning. Rabatten på fondavgiften, myndighetens avgift och arvsvinster är inte medräknade. </t>
  </si>
  <si>
    <t>Kapitalviktad 
årsavkastning (IR)</t>
  </si>
  <si>
    <t>Real kapitalviktad årsavkastning (IR)</t>
  </si>
  <si>
    <t>Balansindex, realt (IR)</t>
  </si>
  <si>
    <t>Här visas den årliga genomsnittliga värdeutvecklingen för alla fonder sedan start.</t>
  </si>
  <si>
    <t>Värdeutveckling för fondrörelsen per kalenderår</t>
  </si>
  <si>
    <t>och enskilda fonders avkastning. Rabatter på fondavgifter, myndighetens avgift och arvsvinster är inte medräknade.</t>
  </si>
  <si>
    <t xml:space="preserve">Avkastningen i fondrörelsen mäter avkastningen på en genomsnittlig krona som sattes in i början på året. </t>
  </si>
  <si>
    <t xml:space="preserve">Det kan jämföras med marknadsindex och enskilda fonders avkastning. </t>
  </si>
  <si>
    <t>Rabatter på fondavgifter, myndighetens avgift och arvsvinster är inte medräknade.</t>
  </si>
  <si>
    <t>Monyx Short-term Euro Interest Saving</t>
  </si>
  <si>
    <t>Monyx Short-term SEK Interest Saving</t>
  </si>
  <si>
    <t>Monyx  SEK Bond Index Saving</t>
  </si>
  <si>
    <t>Monyx Strategi Ränta</t>
  </si>
  <si>
    <t>Monyx Sweden Top 30</t>
  </si>
  <si>
    <t>Monyx Euro Stoxx 50</t>
  </si>
  <si>
    <t>Monyx Nordic Small Caps</t>
  </si>
  <si>
    <t>Monyx Strategi Trygghet</t>
  </si>
  <si>
    <t>Monyx Strategi Balanserad</t>
  </si>
  <si>
    <t>Solidar Fonder AB</t>
  </si>
  <si>
    <t>Monyx Strategi Sverige/Världen</t>
  </si>
  <si>
    <t>Monyx Strategi Världen</t>
  </si>
  <si>
    <t>Monyx Strategi Nya Marknader</t>
  </si>
  <si>
    <t>Trigon New Europe Growth Fund</t>
  </si>
  <si>
    <t>Invesco Global Equity Income Fund</t>
  </si>
  <si>
    <t>Värdeutveckling - Premiepensionssystemet</t>
  </si>
  <si>
    <t>Värdeutveckling - fondrörelsen per kalenderår</t>
  </si>
  <si>
    <t>Värdeutveckling - fondrörelsen i genomsnitt per år</t>
  </si>
  <si>
    <t>Startdatum</t>
  </si>
  <si>
    <t>Solidar Fonder Flex 40</t>
  </si>
  <si>
    <t>Solidar Fonder Aggressiv</t>
  </si>
  <si>
    <t>Solidar Fonder Flex 100</t>
  </si>
  <si>
    <t>Solidar Fonder Flex 70</t>
  </si>
  <si>
    <t>DNB Fund - SEK Short Bond</t>
  </si>
  <si>
    <t>DNB Asset Management S.A.</t>
  </si>
  <si>
    <t>DNB Fund - SEK Long Bond</t>
  </si>
  <si>
    <t>DNB Realräntefond</t>
  </si>
  <si>
    <t>DNB Sverigefond</t>
  </si>
  <si>
    <t>DNB Utlandsfond</t>
  </si>
  <si>
    <t>DNB Fund - Scandinavia</t>
  </si>
  <si>
    <t>DNB Fund - Global SRI</t>
  </si>
  <si>
    <t>DNB Fund - Far East</t>
  </si>
  <si>
    <t>DNB Sweden Micro Cap</t>
  </si>
  <si>
    <t>DNB Småbolagsfond</t>
  </si>
  <si>
    <t>DNB Nordic Technology</t>
  </si>
  <si>
    <t>DNB Asset Management AS</t>
  </si>
  <si>
    <t>DNB Fund - Navigator</t>
  </si>
  <si>
    <t>BL - Global Flexible EUR</t>
  </si>
  <si>
    <t>Solidar Fonder Etisk</t>
  </si>
  <si>
    <t>DNB Fund - Asian Small Cap</t>
  </si>
  <si>
    <t>Alfred Berg Fastighetsfond Norden</t>
  </si>
  <si>
    <t>DNB Fund - Global Emerging Markets</t>
  </si>
  <si>
    <t>IKC Global Brand</t>
  </si>
  <si>
    <t>Cicero World Asset Selection</t>
  </si>
  <si>
    <t>Tundra Pakistanfond</t>
  </si>
  <si>
    <t>Tundra Fonder AB</t>
  </si>
  <si>
    <t>Tundra Rysslandsfond</t>
  </si>
  <si>
    <t>Luxembourg Selection Fund - Prognosia Galaxy</t>
  </si>
  <si>
    <t>UBS Third Party Management Company S.A.</t>
  </si>
  <si>
    <t>Navigera Balans</t>
  </si>
  <si>
    <t>Luxembourg Selection Fund - Prognosia Supernova</t>
  </si>
  <si>
    <t>Navigera Tillväxt</t>
  </si>
  <si>
    <t>Navigera Aktie</t>
  </si>
  <si>
    <t>I beräkningen av värdeutvecklingen i fondrörelsen ingår alla fonder på fondtorget inklusive AP7 Aktiefond och AP7 Räntefond.</t>
  </si>
  <si>
    <t>I beräkningen av värdeutveckling för Sjunde AP-fondens förvaltning ingår AP7 Aktiefond och AP7 Räntefond.</t>
  </si>
  <si>
    <t xml:space="preserve">Avkastningen i fondrörelsen, inklusive Sjunde AP-fonden, mäter avkastningen på en genomsnittlig krona som sattes in i början på året. Det kan jämföras med marknadsindex </t>
  </si>
  <si>
    <t>I beräkningen av värdeutveckling för Sjunde AP-fondena förvaltning ingår AP7 Aktiefond och AP7 Räntefond.</t>
  </si>
  <si>
    <t xml:space="preserve">Fram till 21 maj 2010 är det värdeutvecklingen i Premiesparfonden. Efter den den tidpunkten är det värdeutvecklingen i Sjunde AP-fonden. </t>
  </si>
  <si>
    <t>Aberdeen Global - Select Global Credit Bond Fund</t>
  </si>
  <si>
    <t xml:space="preserve">Aberdeen Global - Select Sterling Financials Bond Fund </t>
  </si>
  <si>
    <t>Aberdeen Global - Select Emerging Markets Bond Fund</t>
  </si>
  <si>
    <t>Aberdeen Global - Select High Yield Bond Fund</t>
  </si>
  <si>
    <t>Aberdeen Global - Technology Equity Fund</t>
  </si>
  <si>
    <t>SPP Aktiefond Europa</t>
  </si>
  <si>
    <t>SPP Aktiefond Japan</t>
  </si>
  <si>
    <t>SPP Aktiefond USA</t>
  </si>
  <si>
    <t>SPP Aktiefond Sverige Aktiv</t>
  </si>
  <si>
    <t>SPP Emerging Markets SRI</t>
  </si>
  <si>
    <t xml:space="preserve">Aberdeen Global - Select Euro High Yield Bond </t>
  </si>
  <si>
    <t>Monyx Global Opportunities</t>
  </si>
  <si>
    <t>SEB Asienfond ex Japan</t>
  </si>
  <si>
    <t>SEB Latinamerikafond</t>
  </si>
  <si>
    <t>SEB Emerging Marketsfond</t>
  </si>
  <si>
    <t>Monyx BRICA</t>
  </si>
  <si>
    <t>Naventi Offensiv</t>
  </si>
  <si>
    <t>Naventi Kapitalförvaltning AB</t>
  </si>
  <si>
    <t>Naventi Balanserad</t>
  </si>
  <si>
    <t>Naventi Offensiv Tillväxt</t>
  </si>
  <si>
    <t>FBP Pension Variabel</t>
  </si>
  <si>
    <t>FBP Opportunities Flexible</t>
  </si>
  <si>
    <t>Fondstatistik</t>
  </si>
  <si>
    <t>För år 2012 är balansindex beräknat till 140,45</t>
  </si>
  <si>
    <t>Vid omräkning av ålderspensionen för 2012 används balansindex i stället för inkomstindex.</t>
  </si>
  <si>
    <t>1 mån</t>
  </si>
  <si>
    <t>Fondstatistik per 2012-01-31</t>
  </si>
  <si>
    <t>AMF Räntefond Mix</t>
  </si>
  <si>
    <t>AMF Aktiefond Mix</t>
  </si>
  <si>
    <t>Nordea Etiskt Urval Sverige</t>
  </si>
  <si>
    <t>PineBridge US Focus Equity Fund</t>
  </si>
  <si>
    <t>ING Invest Sustainable Equity</t>
  </si>
  <si>
    <t>Amundi Funds Equity Emerging Europe</t>
  </si>
  <si>
    <t>Tundra Agri &amp; Food</t>
  </si>
  <si>
    <t>JP Global Trend</t>
  </si>
  <si>
    <t>MDO Management Company S.A</t>
  </si>
  <si>
    <t>Söderberg &amp; Partners Trygghet 80 PM</t>
  </si>
  <si>
    <t>Söderberg &amp; Partners Trygghet 75 PM</t>
  </si>
  <si>
    <t>Lannebo Mixfond</t>
  </si>
  <si>
    <t>Antal fondval och marknadsvärde i fonderna 2012-01-31</t>
  </si>
  <si>
    <t xml:space="preserve">Här visas den årliga värdeutvecklingen för spararnas totala premiepension inom fondförsäkring sedan 1995 (orangea kurva) och hur motsvarande utveckling varit om insättningarna till </t>
  </si>
  <si>
    <t>Internränta uttryckt i årstakt innebär att man för varje år under en given period av år har fått den angivna avkastningen.</t>
  </si>
  <si>
    <t>Premiepensionsindex kan jämföras med marknadsindex och enskilda fonders avkastning. Pensionsmyndighetens rabatter, avgift och arvsvinster är inte medräknade i premiepensionsindex.</t>
  </si>
  <si>
    <t>För att sortera tabellen, klicka på respektive rubrik och därefter på A-Ö eller Ö-A Knapparna i verktygsfältet ovan.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</si>
</sst>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7">
    <numFmt numFmtId="43" formatCode="_-* #,##0.00\ _k_r_-;\-* #,##0.00\ _k_r_-;_-* &quot;-&quot;??\ _k_r_-;_-@_-"/>
    <numFmt numFmtId="164" formatCode="yyyy/mm/dd;@"/>
    <numFmt numFmtId="165" formatCode="0.0"/>
    <numFmt numFmtId="166" formatCode="0.0000"/>
    <numFmt numFmtId="167" formatCode="yyyy;@"/>
    <numFmt numFmtId="168" formatCode="0.0%"/>
    <numFmt numFmtId="169" formatCode="#,##0_ ;\-#,##0\ "/>
  </numFmts>
  <fonts count="31" x14ac:knownFonts="1">
    <font>
      <sz val="10"/>
      <name val="Arial"/>
    </font>
    <font>
      <sz val="10"/>
      <name val="Arial"/>
      <family val="2"/>
    </font>
    <font>
      <u/>
      <sz val="10"/>
      <color indexed="12"/>
      <name val="Arial"/>
      <family val="2"/>
    </font>
    <font>
      <b/>
      <sz val="10"/>
      <name val="Arial"/>
      <family val="2"/>
    </font>
    <font>
      <sz val="10"/>
      <name val="Arial"/>
      <family val="2"/>
    </font>
    <font>
      <sz val="8"/>
      <name val="Arial"/>
      <family val="2"/>
    </font>
    <font>
      <b/>
      <sz val="12"/>
      <name val="Arial"/>
      <family val="2"/>
    </font>
    <font>
      <sz val="10"/>
      <color indexed="53"/>
      <name val="Arial"/>
      <family val="2"/>
    </font>
    <font>
      <sz val="10"/>
      <color indexed="61"/>
      <name val="Verdana"/>
      <family val="2"/>
    </font>
    <font>
      <b/>
      <sz val="10"/>
      <color indexed="61"/>
      <name val="Verdana"/>
      <family val="2"/>
    </font>
    <font>
      <sz val="10"/>
      <color indexed="61"/>
      <name val="Arial"/>
      <family val="2"/>
    </font>
    <font>
      <b/>
      <sz val="10"/>
      <color indexed="61"/>
      <name val="Arial"/>
      <family val="2"/>
    </font>
    <font>
      <i/>
      <sz val="10"/>
      <color indexed="61"/>
      <name val="Arial"/>
      <family val="2"/>
    </font>
    <font>
      <b/>
      <sz val="14"/>
      <color indexed="61"/>
      <name val="Arial"/>
      <family val="2"/>
    </font>
    <font>
      <sz val="7"/>
      <color indexed="61"/>
      <name val="Arial"/>
      <family val="2"/>
    </font>
    <font>
      <sz val="12"/>
      <name val="Arial"/>
      <family val="2"/>
    </font>
    <font>
      <sz val="10"/>
      <color indexed="61"/>
      <name val="Arial"/>
      <family val="2"/>
    </font>
    <font>
      <b/>
      <sz val="14"/>
      <color indexed="61"/>
      <name val="Arial"/>
      <family val="2"/>
    </font>
    <font>
      <b/>
      <sz val="10"/>
      <color indexed="61"/>
      <name val="Arial"/>
      <family val="2"/>
    </font>
    <font>
      <b/>
      <sz val="12"/>
      <color indexed="61"/>
      <name val="Arial"/>
      <family val="2"/>
    </font>
    <font>
      <sz val="5"/>
      <color indexed="61"/>
      <name val="Arial"/>
      <family val="2"/>
    </font>
    <font>
      <sz val="10"/>
      <color indexed="10"/>
      <name val="Arial"/>
      <family val="2"/>
    </font>
    <font>
      <b/>
      <sz val="10"/>
      <name val="Verdana"/>
      <family val="2"/>
    </font>
    <font>
      <sz val="11.2"/>
      <name val="Arial"/>
      <family val="2"/>
    </font>
    <font>
      <b/>
      <sz val="12"/>
      <color indexed="53"/>
      <name val="Arial"/>
      <family val="2"/>
    </font>
    <font>
      <sz val="10.5"/>
      <color indexed="53"/>
      <name val="Arial"/>
      <family val="2"/>
    </font>
    <font>
      <b/>
      <sz val="10.5"/>
      <color indexed="53"/>
      <name val="Arial"/>
      <family val="2"/>
    </font>
    <font>
      <u/>
      <sz val="10.5"/>
      <color indexed="12"/>
      <name val="Arial"/>
      <family val="2"/>
    </font>
    <font>
      <u/>
      <sz val="10.5"/>
      <color indexed="53"/>
      <name val="Arial"/>
      <family val="2"/>
    </font>
    <font>
      <vertAlign val="subscript"/>
      <sz val="10"/>
      <name val="Arial"/>
      <family val="2"/>
    </font>
    <font>
      <sz val="10"/>
      <color rgb="FF000000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</fills>
  <borders count="20">
    <border>
      <left/>
      <right/>
      <top/>
      <bottom/>
      <diagonal/>
    </border>
    <border>
      <left style="thin">
        <color indexed="61"/>
      </left>
      <right style="thin">
        <color indexed="61"/>
      </right>
      <top style="thin">
        <color indexed="61"/>
      </top>
      <bottom style="thin">
        <color indexed="61"/>
      </bottom>
      <diagonal/>
    </border>
    <border>
      <left style="thin">
        <color indexed="61"/>
      </left>
      <right style="thin">
        <color indexed="61"/>
      </right>
      <top style="thin">
        <color indexed="61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1"/>
      </left>
      <right style="thin">
        <color indexed="61"/>
      </right>
      <top/>
      <bottom style="thin">
        <color indexed="61"/>
      </bottom>
      <diagonal/>
    </border>
    <border>
      <left style="thin">
        <color indexed="61"/>
      </left>
      <right/>
      <top/>
      <bottom style="thin">
        <color indexed="61"/>
      </bottom>
      <diagonal/>
    </border>
    <border>
      <left/>
      <right style="thin">
        <color indexed="61"/>
      </right>
      <top style="thin">
        <color indexed="61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1"/>
      </right>
      <top/>
      <bottom style="thin">
        <color indexed="61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1"/>
      </left>
      <right/>
      <top style="thin">
        <color indexed="61"/>
      </top>
      <bottom/>
      <diagonal/>
    </border>
    <border>
      <left/>
      <right/>
      <top style="thin">
        <color indexed="61"/>
      </top>
      <bottom/>
      <diagonal/>
    </border>
    <border>
      <left style="thin">
        <color indexed="61"/>
      </left>
      <right/>
      <top style="thin">
        <color indexed="61"/>
      </top>
      <bottom style="thin">
        <color indexed="61"/>
      </bottom>
      <diagonal/>
    </border>
    <border>
      <left/>
      <right/>
      <top style="thin">
        <color indexed="61"/>
      </top>
      <bottom style="thin">
        <color indexed="6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">
    <xf numFmtId="0" fontId="0" fillId="0" borderId="0"/>
    <xf numFmtId="0" fontId="2" fillId="0" borderId="0" applyNumberFormat="0" applyFill="0" applyBorder="0" applyAlignment="0" applyProtection="0">
      <alignment vertical="top"/>
      <protection locked="0"/>
    </xf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</cellStyleXfs>
  <cellXfs count="277">
    <xf numFmtId="0" fontId="0" fillId="0" borderId="0" xfId="0"/>
    <xf numFmtId="0" fontId="4" fillId="0" borderId="0" xfId="0" applyFont="1"/>
    <xf numFmtId="0" fontId="0" fillId="0" borderId="0" xfId="0" applyFill="1"/>
    <xf numFmtId="0" fontId="7" fillId="2" borderId="0" xfId="0" applyFont="1" applyFill="1"/>
    <xf numFmtId="0" fontId="4" fillId="0" borderId="0" xfId="0" applyFont="1" applyFill="1"/>
    <xf numFmtId="0" fontId="8" fillId="0" borderId="0" xfId="0" applyFont="1" applyFill="1" applyBorder="1"/>
    <xf numFmtId="0" fontId="8" fillId="0" borderId="0" xfId="0" applyFont="1" applyFill="1" applyBorder="1" applyAlignment="1">
      <alignment horizontal="left"/>
    </xf>
    <xf numFmtId="0" fontId="8" fillId="0" borderId="0" xfId="0" applyFont="1" applyFill="1" applyBorder="1" applyAlignment="1"/>
    <xf numFmtId="3" fontId="8" fillId="0" borderId="0" xfId="0" applyNumberFormat="1" applyFont="1" applyFill="1" applyBorder="1" applyAlignment="1" applyProtection="1">
      <alignment horizontal="left"/>
    </xf>
    <xf numFmtId="0" fontId="9" fillId="0" borderId="0" xfId="0" applyFont="1" applyFill="1" applyBorder="1"/>
    <xf numFmtId="0" fontId="10" fillId="0" borderId="0" xfId="0" applyFont="1" applyFill="1" applyAlignment="1">
      <alignment horizontal="left"/>
    </xf>
    <xf numFmtId="3" fontId="10" fillId="0" borderId="0" xfId="0" applyNumberFormat="1" applyFont="1" applyFill="1" applyAlignment="1">
      <alignment horizontal="left"/>
    </xf>
    <xf numFmtId="3" fontId="10" fillId="0" borderId="0" xfId="0" applyNumberFormat="1" applyFont="1" applyFill="1" applyAlignment="1">
      <alignment horizontal="center"/>
    </xf>
    <xf numFmtId="3" fontId="10" fillId="0" borderId="0" xfId="0" applyNumberFormat="1" applyFont="1" applyFill="1" applyAlignment="1">
      <alignment horizontal="right"/>
    </xf>
    <xf numFmtId="0" fontId="10" fillId="0" borderId="0" xfId="0" applyFont="1" applyFill="1" applyAlignment="1">
      <alignment horizontal="right"/>
    </xf>
    <xf numFmtId="3" fontId="11" fillId="0" borderId="0" xfId="0" applyNumberFormat="1" applyFont="1" applyFill="1" applyBorder="1" applyAlignment="1" applyProtection="1">
      <alignment horizontal="left"/>
    </xf>
    <xf numFmtId="3" fontId="10" fillId="0" borderId="0" xfId="0" applyNumberFormat="1" applyFont="1" applyFill="1" applyAlignment="1">
      <alignment horizontal="right" indent="1"/>
    </xf>
    <xf numFmtId="3" fontId="12" fillId="0" borderId="0" xfId="0" applyNumberFormat="1" applyFont="1" applyFill="1" applyAlignment="1">
      <alignment horizontal="right"/>
    </xf>
    <xf numFmtId="0" fontId="10" fillId="0" borderId="0" xfId="0" applyFont="1" applyFill="1" applyBorder="1"/>
    <xf numFmtId="0" fontId="10" fillId="0" borderId="0" xfId="0" applyFont="1" applyFill="1"/>
    <xf numFmtId="0" fontId="10" fillId="0" borderId="0" xfId="0" applyFont="1" applyFill="1" applyAlignment="1">
      <alignment horizontal="center"/>
    </xf>
    <xf numFmtId="0" fontId="11" fillId="0" borderId="0" xfId="0" applyFont="1" applyFill="1" applyAlignment="1">
      <alignment horizontal="left"/>
    </xf>
    <xf numFmtId="3" fontId="10" fillId="0" borderId="0" xfId="0" applyNumberFormat="1" applyFont="1" applyFill="1"/>
    <xf numFmtId="0" fontId="10" fillId="0" borderId="0" xfId="0" applyFont="1" applyFill="1" applyBorder="1" applyAlignment="1">
      <alignment horizontal="left"/>
    </xf>
    <xf numFmtId="3" fontId="10" fillId="0" borderId="0" xfId="0" applyNumberFormat="1" applyFont="1" applyFill="1" applyBorder="1" applyAlignment="1">
      <alignment horizontal="center"/>
    </xf>
    <xf numFmtId="0" fontId="10" fillId="0" borderId="0" xfId="0" applyFont="1" applyFill="1" applyBorder="1" applyAlignment="1">
      <alignment horizontal="center"/>
    </xf>
    <xf numFmtId="164" fontId="11" fillId="0" borderId="2" xfId="0" applyNumberFormat="1" applyFont="1" applyFill="1" applyBorder="1" applyAlignment="1" applyProtection="1">
      <alignment horizontal="center"/>
    </xf>
    <xf numFmtId="0" fontId="3" fillId="0" borderId="0" xfId="0" applyFont="1" applyFill="1"/>
    <xf numFmtId="3" fontId="3" fillId="0" borderId="1" xfId="0" applyNumberFormat="1" applyFont="1" applyFill="1" applyBorder="1" applyAlignment="1">
      <alignment horizontal="center"/>
    </xf>
    <xf numFmtId="3" fontId="4" fillId="0" borderId="0" xfId="0" applyNumberFormat="1" applyFont="1" applyFill="1"/>
    <xf numFmtId="3" fontId="3" fillId="0" borderId="0" xfId="0" applyNumberFormat="1" applyFont="1" applyFill="1"/>
    <xf numFmtId="0" fontId="3" fillId="0" borderId="1" xfId="0" applyFont="1" applyFill="1" applyBorder="1" applyAlignment="1">
      <alignment horizontal="center"/>
    </xf>
    <xf numFmtId="1" fontId="3" fillId="0" borderId="1" xfId="0" applyNumberFormat="1" applyFont="1" applyFill="1" applyBorder="1" applyAlignment="1">
      <alignment horizontal="center"/>
    </xf>
    <xf numFmtId="1" fontId="3" fillId="0" borderId="0" xfId="0" applyNumberFormat="1" applyFont="1" applyFill="1" applyBorder="1" applyAlignment="1">
      <alignment horizontal="center"/>
    </xf>
    <xf numFmtId="3" fontId="3" fillId="0" borderId="0" xfId="0" applyNumberFormat="1" applyFont="1" applyFill="1" applyBorder="1" applyAlignment="1">
      <alignment horizontal="center"/>
    </xf>
    <xf numFmtId="3" fontId="4" fillId="0" borderId="0" xfId="0" applyNumberFormat="1" applyFont="1" applyFill="1" applyBorder="1"/>
    <xf numFmtId="0" fontId="15" fillId="0" borderId="0" xfId="0" applyFont="1"/>
    <xf numFmtId="0" fontId="4" fillId="2" borderId="0" xfId="0" applyFont="1" applyFill="1"/>
    <xf numFmtId="0" fontId="4" fillId="2" borderId="0" xfId="0" applyFont="1" applyFill="1" applyBorder="1"/>
    <xf numFmtId="0" fontId="4" fillId="0" borderId="0" xfId="0" applyFont="1" applyAlignment="1">
      <alignment wrapText="1"/>
    </xf>
    <xf numFmtId="1" fontId="4" fillId="0" borderId="0" xfId="0" applyNumberFormat="1" applyFont="1"/>
    <xf numFmtId="49" fontId="4" fillId="0" borderId="0" xfId="0" applyNumberFormat="1" applyFont="1"/>
    <xf numFmtId="169" fontId="4" fillId="0" borderId="0" xfId="3" applyNumberFormat="1" applyFont="1"/>
    <xf numFmtId="0" fontId="6" fillId="0" borderId="0" xfId="0" applyFont="1" applyAlignment="1"/>
    <xf numFmtId="0" fontId="16" fillId="0" borderId="0" xfId="0" applyFont="1" applyFill="1"/>
    <xf numFmtId="0" fontId="17" fillId="0" borderId="0" xfId="0" applyNumberFormat="1" applyFont="1" applyFill="1" applyBorder="1" applyAlignment="1" applyProtection="1">
      <alignment horizontal="left"/>
    </xf>
    <xf numFmtId="0" fontId="17" fillId="0" borderId="0" xfId="0" applyFont="1" applyFill="1"/>
    <xf numFmtId="0" fontId="18" fillId="0" borderId="0" xfId="0" applyFont="1" applyFill="1"/>
    <xf numFmtId="0" fontId="19" fillId="0" borderId="0" xfId="0" applyNumberFormat="1" applyFont="1" applyFill="1" applyBorder="1" applyAlignment="1" applyProtection="1">
      <alignment horizontal="left"/>
    </xf>
    <xf numFmtId="14" fontId="18" fillId="0" borderId="0" xfId="0" applyNumberFormat="1" applyFont="1" applyFill="1" applyBorder="1" applyAlignment="1">
      <alignment horizontal="left"/>
    </xf>
    <xf numFmtId="0" fontId="16" fillId="0" borderId="0" xfId="0" applyFont="1" applyFill="1" applyAlignment="1">
      <alignment horizontal="center"/>
    </xf>
    <xf numFmtId="0" fontId="18" fillId="0" borderId="0" xfId="0" applyNumberFormat="1" applyFont="1" applyFill="1" applyBorder="1" applyAlignment="1" applyProtection="1">
      <alignment horizontal="left"/>
    </xf>
    <xf numFmtId="0" fontId="18" fillId="0" borderId="0" xfId="0" applyNumberFormat="1" applyFont="1" applyFill="1"/>
    <xf numFmtId="9" fontId="18" fillId="0" borderId="0" xfId="0" applyNumberFormat="1" applyFont="1" applyFill="1" applyBorder="1" applyAlignment="1">
      <alignment horizontal="center"/>
    </xf>
    <xf numFmtId="0" fontId="18" fillId="0" borderId="0" xfId="0" applyFont="1" applyFill="1" applyBorder="1" applyAlignment="1">
      <alignment horizontal="center"/>
    </xf>
    <xf numFmtId="0" fontId="18" fillId="0" borderId="0" xfId="0" applyFont="1" applyFill="1" applyBorder="1"/>
    <xf numFmtId="14" fontId="18" fillId="0" borderId="0" xfId="0" applyNumberFormat="1" applyFont="1" applyFill="1" applyAlignment="1">
      <alignment horizontal="center"/>
    </xf>
    <xf numFmtId="167" fontId="18" fillId="0" borderId="0" xfId="0" applyNumberFormat="1" applyFont="1" applyFill="1" applyAlignment="1">
      <alignment horizontal="center"/>
    </xf>
    <xf numFmtId="9" fontId="18" fillId="0" borderId="0" xfId="0" applyNumberFormat="1" applyFont="1" applyFill="1" applyAlignment="1">
      <alignment horizontal="center"/>
    </xf>
    <xf numFmtId="1" fontId="18" fillId="0" borderId="0" xfId="0" applyNumberFormat="1" applyFont="1" applyFill="1" applyAlignment="1">
      <alignment horizontal="center"/>
    </xf>
    <xf numFmtId="0" fontId="18" fillId="0" borderId="0" xfId="0" applyNumberFormat="1" applyFont="1" applyFill="1" applyAlignment="1">
      <alignment horizontal="center"/>
    </xf>
    <xf numFmtId="14" fontId="16" fillId="0" borderId="0" xfId="0" applyNumberFormat="1" applyFont="1" applyFill="1" applyAlignment="1">
      <alignment horizontal="center"/>
    </xf>
    <xf numFmtId="168" fontId="16" fillId="0" borderId="0" xfId="0" applyNumberFormat="1" applyFont="1" applyFill="1" applyAlignment="1">
      <alignment horizontal="center"/>
    </xf>
    <xf numFmtId="168" fontId="16" fillId="0" borderId="0" xfId="2" applyNumberFormat="1" applyFont="1" applyFill="1" applyAlignment="1">
      <alignment horizontal="center"/>
    </xf>
    <xf numFmtId="165" fontId="16" fillId="0" borderId="0" xfId="0" applyNumberFormat="1" applyFont="1" applyFill="1" applyAlignment="1">
      <alignment horizontal="center"/>
    </xf>
    <xf numFmtId="1" fontId="16" fillId="0" borderId="0" xfId="0" applyNumberFormat="1" applyFont="1" applyFill="1" applyAlignment="1">
      <alignment horizontal="center"/>
    </xf>
    <xf numFmtId="0" fontId="16" fillId="0" borderId="0" xfId="0" applyNumberFormat="1" applyFont="1" applyFill="1" applyAlignment="1">
      <alignment horizontal="center"/>
    </xf>
    <xf numFmtId="14" fontId="16" fillId="0" borderId="0" xfId="0" applyNumberFormat="1" applyFont="1" applyFill="1"/>
    <xf numFmtId="164" fontId="16" fillId="0" borderId="0" xfId="0" applyNumberFormat="1" applyFont="1" applyFill="1" applyAlignment="1">
      <alignment horizontal="center"/>
    </xf>
    <xf numFmtId="0" fontId="16" fillId="0" borderId="0" xfId="0" applyFont="1" applyFill="1" applyAlignment="1"/>
    <xf numFmtId="0" fontId="18" fillId="0" borderId="0" xfId="0" applyFont="1" applyFill="1" applyAlignment="1"/>
    <xf numFmtId="0" fontId="18" fillId="0" borderId="0" xfId="0" applyFont="1" applyFill="1" applyAlignment="1">
      <alignment horizontal="left"/>
    </xf>
    <xf numFmtId="166" fontId="16" fillId="0" borderId="0" xfId="0" applyNumberFormat="1" applyFont="1" applyFill="1" applyAlignment="1">
      <alignment horizontal="center"/>
    </xf>
    <xf numFmtId="165" fontId="18" fillId="0" borderId="0" xfId="0" applyNumberFormat="1" applyFont="1" applyFill="1" applyAlignment="1">
      <alignment horizontal="center"/>
    </xf>
    <xf numFmtId="3" fontId="16" fillId="0" borderId="0" xfId="0" applyNumberFormat="1" applyFont="1" applyFill="1" applyBorder="1" applyAlignment="1" applyProtection="1">
      <alignment horizontal="left"/>
    </xf>
    <xf numFmtId="0" fontId="16" fillId="0" borderId="0" xfId="0" applyFont="1" applyFill="1" applyAlignment="1">
      <alignment horizontal="left"/>
    </xf>
    <xf numFmtId="1" fontId="16" fillId="0" borderId="0" xfId="0" applyNumberFormat="1" applyFont="1" applyFill="1" applyAlignment="1">
      <alignment horizontal="left"/>
    </xf>
    <xf numFmtId="0" fontId="18" fillId="0" borderId="3" xfId="0" applyFont="1" applyFill="1" applyBorder="1"/>
    <xf numFmtId="0" fontId="18" fillId="0" borderId="3" xfId="0" applyFont="1" applyFill="1" applyBorder="1" applyAlignment="1">
      <alignment horizontal="center"/>
    </xf>
    <xf numFmtId="167" fontId="18" fillId="0" borderId="3" xfId="0" applyNumberFormat="1" applyFont="1" applyFill="1" applyBorder="1" applyAlignment="1">
      <alignment horizontal="center"/>
    </xf>
    <xf numFmtId="9" fontId="18" fillId="0" borderId="3" xfId="0" applyNumberFormat="1" applyFont="1" applyFill="1" applyBorder="1" applyAlignment="1">
      <alignment horizontal="center"/>
    </xf>
    <xf numFmtId="1" fontId="20" fillId="0" borderId="0" xfId="0" applyNumberFormat="1" applyFont="1" applyFill="1" applyAlignment="1">
      <alignment horizontal="center"/>
    </xf>
    <xf numFmtId="0" fontId="16" fillId="0" borderId="0" xfId="0" applyFont="1" applyFill="1" applyBorder="1" applyAlignment="1">
      <alignment horizontal="center"/>
    </xf>
    <xf numFmtId="0" fontId="16" fillId="0" borderId="0" xfId="0" applyFont="1" applyFill="1" applyBorder="1"/>
    <xf numFmtId="1" fontId="18" fillId="0" borderId="3" xfId="0" applyNumberFormat="1" applyFont="1" applyFill="1" applyBorder="1" applyAlignment="1">
      <alignment horizontal="center"/>
    </xf>
    <xf numFmtId="9" fontId="18" fillId="0" borderId="3" xfId="0" applyNumberFormat="1" applyFont="1" applyFill="1" applyBorder="1" applyAlignment="1">
      <alignment horizontal="left"/>
    </xf>
    <xf numFmtId="168" fontId="16" fillId="0" borderId="0" xfId="0" applyNumberFormat="1" applyFont="1" applyFill="1" applyAlignment="1">
      <alignment horizontal="right"/>
    </xf>
    <xf numFmtId="168" fontId="16" fillId="0" borderId="0" xfId="2" applyNumberFormat="1" applyFont="1" applyFill="1" applyAlignment="1">
      <alignment horizontal="right"/>
    </xf>
    <xf numFmtId="1" fontId="16" fillId="0" borderId="0" xfId="0" applyNumberFormat="1" applyFont="1" applyFill="1" applyBorder="1" applyAlignment="1">
      <alignment horizontal="left"/>
    </xf>
    <xf numFmtId="168" fontId="16" fillId="0" borderId="0" xfId="0" applyNumberFormat="1" applyFont="1" applyFill="1" applyBorder="1"/>
    <xf numFmtId="168" fontId="16" fillId="0" borderId="0" xfId="0" applyNumberFormat="1" applyFont="1" applyFill="1"/>
    <xf numFmtId="14" fontId="18" fillId="0" borderId="0" xfId="0" applyNumberFormat="1" applyFont="1" applyFill="1" applyBorder="1" applyAlignment="1">
      <alignment horizontal="right"/>
    </xf>
    <xf numFmtId="9" fontId="16" fillId="0" borderId="0" xfId="0" applyNumberFormat="1" applyFont="1" applyFill="1" applyBorder="1" applyAlignment="1">
      <alignment horizontal="center"/>
    </xf>
    <xf numFmtId="164" fontId="16" fillId="0" borderId="0" xfId="0" applyNumberFormat="1" applyFont="1" applyFill="1"/>
    <xf numFmtId="0" fontId="16" fillId="0" borderId="0" xfId="0" applyFont="1" applyFill="1" applyBorder="1" applyAlignment="1"/>
    <xf numFmtId="0" fontId="2" fillId="2" borderId="0" xfId="1" applyFill="1" applyAlignment="1" applyProtection="1"/>
    <xf numFmtId="0" fontId="2" fillId="2" borderId="0" xfId="1" applyFont="1" applyFill="1" applyAlignment="1" applyProtection="1"/>
    <xf numFmtId="0" fontId="21" fillId="2" borderId="0" xfId="0" applyFont="1" applyFill="1"/>
    <xf numFmtId="0" fontId="1" fillId="0" borderId="0" xfId="0" applyFont="1" applyFill="1"/>
    <xf numFmtId="0" fontId="1" fillId="0" borderId="0" xfId="0" applyFont="1" applyFill="1" applyBorder="1"/>
    <xf numFmtId="1" fontId="11" fillId="0" borderId="0" xfId="0" applyNumberFormat="1" applyFont="1" applyFill="1" applyAlignment="1">
      <alignment horizontal="left"/>
    </xf>
    <xf numFmtId="0" fontId="0" fillId="0" borderId="0" xfId="0" applyAlignment="1">
      <alignment horizontal="center"/>
    </xf>
    <xf numFmtId="2" fontId="0" fillId="0" borderId="0" xfId="0" applyNumberFormat="1" applyAlignment="1">
      <alignment horizontal="center"/>
    </xf>
    <xf numFmtId="1" fontId="16" fillId="2" borderId="0" xfId="0" applyNumberFormat="1" applyFont="1" applyFill="1" applyAlignment="1">
      <alignment horizontal="center"/>
    </xf>
    <xf numFmtId="0" fontId="16" fillId="2" borderId="0" xfId="0" applyFont="1" applyFill="1" applyAlignment="1">
      <alignment horizontal="center"/>
    </xf>
    <xf numFmtId="166" fontId="16" fillId="2" borderId="0" xfId="0" applyNumberFormat="1" applyFont="1" applyFill="1" applyAlignment="1">
      <alignment horizontal="center"/>
    </xf>
    <xf numFmtId="165" fontId="16" fillId="2" borderId="0" xfId="0" applyNumberFormat="1" applyFont="1" applyFill="1" applyAlignment="1">
      <alignment horizontal="center"/>
    </xf>
    <xf numFmtId="0" fontId="16" fillId="2" borderId="0" xfId="0" applyFont="1" applyFill="1"/>
    <xf numFmtId="0" fontId="16" fillId="2" borderId="0" xfId="0" applyFont="1" applyFill="1" applyBorder="1"/>
    <xf numFmtId="0" fontId="17" fillId="2" borderId="0" xfId="0" applyNumberFormat="1" applyFont="1" applyFill="1" applyBorder="1" applyAlignment="1" applyProtection="1">
      <alignment horizontal="left"/>
    </xf>
    <xf numFmtId="0" fontId="17" fillId="2" borderId="0" xfId="0" applyNumberFormat="1" applyFont="1" applyFill="1" applyBorder="1" applyAlignment="1" applyProtection="1">
      <alignment horizontal="center"/>
    </xf>
    <xf numFmtId="0" fontId="10" fillId="2" borderId="0" xfId="0" applyFont="1" applyFill="1" applyAlignment="1">
      <alignment horizontal="left"/>
    </xf>
    <xf numFmtId="3" fontId="10" fillId="2" borderId="0" xfId="0" applyNumberFormat="1" applyFont="1" applyFill="1" applyAlignment="1">
      <alignment horizontal="left"/>
    </xf>
    <xf numFmtId="3" fontId="10" fillId="2" borderId="0" xfId="0" applyNumberFormat="1" applyFont="1" applyFill="1" applyAlignment="1">
      <alignment horizontal="center"/>
    </xf>
    <xf numFmtId="3" fontId="11" fillId="2" borderId="0" xfId="0" applyNumberFormat="1" applyFont="1" applyFill="1" applyBorder="1" applyAlignment="1" applyProtection="1">
      <alignment horizontal="left"/>
    </xf>
    <xf numFmtId="0" fontId="14" fillId="2" borderId="0" xfId="0" applyFont="1" applyFill="1"/>
    <xf numFmtId="3" fontId="10" fillId="2" borderId="0" xfId="0" applyNumberFormat="1" applyFont="1" applyFill="1" applyAlignment="1">
      <alignment horizontal="right" indent="1"/>
    </xf>
    <xf numFmtId="3" fontId="12" fillId="2" borderId="0" xfId="0" applyNumberFormat="1" applyFont="1" applyFill="1" applyAlignment="1">
      <alignment horizontal="right"/>
    </xf>
    <xf numFmtId="0" fontId="10" fillId="2" borderId="0" xfId="0" applyFont="1" applyFill="1" applyAlignment="1">
      <alignment horizontal="center"/>
    </xf>
    <xf numFmtId="0" fontId="10" fillId="2" borderId="0" xfId="0" applyFont="1" applyFill="1" applyBorder="1"/>
    <xf numFmtId="3" fontId="11" fillId="2" borderId="0" xfId="0" applyNumberFormat="1" applyFont="1" applyFill="1" applyBorder="1" applyAlignment="1" applyProtection="1">
      <alignment horizontal="center"/>
    </xf>
    <xf numFmtId="3" fontId="10" fillId="2" borderId="0" xfId="0" applyNumberFormat="1" applyFont="1" applyFill="1"/>
    <xf numFmtId="0" fontId="4" fillId="2" borderId="0" xfId="0" applyFont="1" applyFill="1" applyAlignment="1">
      <alignment horizontal="left"/>
    </xf>
    <xf numFmtId="3" fontId="11" fillId="2" borderId="0" xfId="0" applyNumberFormat="1" applyFont="1" applyFill="1" applyBorder="1" applyAlignment="1" applyProtection="1">
      <alignment horizontal="right"/>
    </xf>
    <xf numFmtId="3" fontId="11" fillId="2" borderId="0" xfId="0" applyNumberFormat="1" applyFont="1" applyFill="1" applyBorder="1" applyAlignment="1" applyProtection="1"/>
    <xf numFmtId="3" fontId="11" fillId="2" borderId="0" xfId="0" applyNumberFormat="1" applyFont="1" applyFill="1" applyBorder="1" applyAlignment="1" applyProtection="1">
      <alignment horizontal="right" indent="1"/>
    </xf>
    <xf numFmtId="3" fontId="10" fillId="2" borderId="0" xfId="0" applyNumberFormat="1" applyFont="1" applyFill="1" applyAlignment="1">
      <alignment horizontal="right"/>
    </xf>
    <xf numFmtId="0" fontId="10" fillId="2" borderId="0" xfId="0" applyFont="1" applyFill="1" applyAlignment="1">
      <alignment horizontal="right"/>
    </xf>
    <xf numFmtId="0" fontId="16" fillId="2" borderId="0" xfId="0" applyFont="1" applyFill="1" applyBorder="1" applyAlignment="1">
      <alignment horizontal="center"/>
    </xf>
    <xf numFmtId="166" fontId="16" fillId="2" borderId="3" xfId="0" applyNumberFormat="1" applyFont="1" applyFill="1" applyBorder="1" applyAlignment="1">
      <alignment horizontal="center"/>
    </xf>
    <xf numFmtId="165" fontId="16" fillId="2" borderId="3" xfId="0" applyNumberFormat="1" applyFont="1" applyFill="1" applyBorder="1" applyAlignment="1">
      <alignment horizontal="center"/>
    </xf>
    <xf numFmtId="165" fontId="16" fillId="2" borderId="0" xfId="0" applyNumberFormat="1" applyFont="1" applyFill="1" applyBorder="1" applyAlignment="1">
      <alignment horizontal="center"/>
    </xf>
    <xf numFmtId="0" fontId="18" fillId="2" borderId="2" xfId="0" applyFont="1" applyFill="1" applyBorder="1" applyAlignment="1">
      <alignment horizontal="center"/>
    </xf>
    <xf numFmtId="0" fontId="16" fillId="2" borderId="2" xfId="0" applyFont="1" applyFill="1" applyBorder="1"/>
    <xf numFmtId="0" fontId="18" fillId="0" borderId="5" xfId="0" applyFont="1" applyFill="1" applyBorder="1" applyAlignment="1">
      <alignment horizontal="center"/>
    </xf>
    <xf numFmtId="0" fontId="18" fillId="0" borderId="5" xfId="0" applyFont="1" applyFill="1" applyBorder="1" applyAlignment="1">
      <alignment horizontal="left"/>
    </xf>
    <xf numFmtId="0" fontId="18" fillId="0" borderId="5" xfId="0" applyFont="1" applyFill="1" applyBorder="1"/>
    <xf numFmtId="0" fontId="11" fillId="0" borderId="2" xfId="0" applyFont="1" applyFill="1" applyBorder="1" applyAlignment="1" applyProtection="1">
      <alignment horizontal="left"/>
      <protection locked="0"/>
    </xf>
    <xf numFmtId="3" fontId="11" fillId="0" borderId="2" xfId="0" applyNumberFormat="1" applyFont="1" applyFill="1" applyBorder="1" applyAlignment="1" applyProtection="1">
      <alignment horizontal="center"/>
      <protection locked="0"/>
    </xf>
    <xf numFmtId="164" fontId="10" fillId="2" borderId="0" xfId="0" applyNumberFormat="1" applyFont="1" applyFill="1" applyAlignment="1">
      <alignment horizontal="center"/>
    </xf>
    <xf numFmtId="0" fontId="13" fillId="2" borderId="0" xfId="0" applyNumberFormat="1" applyFont="1" applyFill="1" applyBorder="1" applyAlignment="1" applyProtection="1">
      <alignment horizontal="left"/>
    </xf>
    <xf numFmtId="3" fontId="13" fillId="2" borderId="0" xfId="0" applyNumberFormat="1" applyFont="1" applyFill="1" applyBorder="1" applyAlignment="1" applyProtection="1">
      <alignment horizontal="left"/>
    </xf>
    <xf numFmtId="0" fontId="10" fillId="2" borderId="0" xfId="0" applyFont="1" applyFill="1"/>
    <xf numFmtId="0" fontId="11" fillId="2" borderId="0" xfId="0" applyFont="1" applyFill="1" applyAlignment="1">
      <alignment horizontal="left"/>
    </xf>
    <xf numFmtId="0" fontId="10" fillId="2" borderId="0" xfId="0" applyFont="1" applyFill="1" applyBorder="1" applyAlignment="1">
      <alignment horizontal="left"/>
    </xf>
    <xf numFmtId="3" fontId="10" fillId="2" borderId="0" xfId="0" applyNumberFormat="1" applyFont="1" applyFill="1" applyBorder="1" applyAlignment="1">
      <alignment horizontal="left"/>
    </xf>
    <xf numFmtId="3" fontId="10" fillId="2" borderId="0" xfId="0" applyNumberFormat="1" applyFont="1" applyFill="1" applyBorder="1" applyAlignment="1">
      <alignment horizontal="center"/>
    </xf>
    <xf numFmtId="3" fontId="10" fillId="2" borderId="0" xfId="0" applyNumberFormat="1" applyFont="1" applyFill="1" applyBorder="1" applyAlignment="1">
      <alignment horizontal="right"/>
    </xf>
    <xf numFmtId="0" fontId="10" fillId="2" borderId="0" xfId="0" applyFont="1" applyFill="1" applyBorder="1" applyAlignment="1">
      <alignment horizontal="right"/>
    </xf>
    <xf numFmtId="3" fontId="10" fillId="2" borderId="0" xfId="0" applyNumberFormat="1" applyFont="1" applyFill="1" applyBorder="1" applyAlignment="1">
      <alignment horizontal="right" indent="1"/>
    </xf>
    <xf numFmtId="3" fontId="12" fillId="2" borderId="0" xfId="0" applyNumberFormat="1" applyFont="1" applyFill="1" applyBorder="1" applyAlignment="1">
      <alignment horizontal="right"/>
    </xf>
    <xf numFmtId="0" fontId="10" fillId="2" borderId="0" xfId="0" applyFont="1" applyFill="1" applyBorder="1" applyAlignment="1">
      <alignment horizontal="center"/>
    </xf>
    <xf numFmtId="3" fontId="0" fillId="0" borderId="0" xfId="0" applyNumberFormat="1"/>
    <xf numFmtId="0" fontId="4" fillId="0" borderId="0" xfId="0" applyFont="1" applyFill="1" applyAlignment="1">
      <alignment horizontal="left" indent="1"/>
    </xf>
    <xf numFmtId="0" fontId="6" fillId="0" borderId="0" xfId="0" applyFont="1" applyFill="1" applyAlignment="1">
      <alignment horizontal="left" indent="1"/>
    </xf>
    <xf numFmtId="0" fontId="10" fillId="2" borderId="0" xfId="0" applyFont="1" applyFill="1" applyAlignment="1">
      <alignment horizontal="left" indent="3"/>
    </xf>
    <xf numFmtId="3" fontId="16" fillId="0" borderId="0" xfId="0" applyNumberFormat="1" applyFont="1" applyFill="1" applyAlignment="1">
      <alignment horizontal="right"/>
    </xf>
    <xf numFmtId="0" fontId="7" fillId="2" borderId="0" xfId="0" applyFont="1" applyFill="1" applyAlignment="1">
      <alignment horizontal="left" indent="2"/>
    </xf>
    <xf numFmtId="0" fontId="4" fillId="0" borderId="0" xfId="0" applyFont="1" applyFill="1" applyBorder="1"/>
    <xf numFmtId="165" fontId="0" fillId="0" borderId="0" xfId="0" applyNumberFormat="1" applyAlignment="1">
      <alignment horizontal="center"/>
    </xf>
    <xf numFmtId="14" fontId="0" fillId="0" borderId="0" xfId="0" applyNumberFormat="1" applyAlignment="1">
      <alignment horizontal="center"/>
    </xf>
    <xf numFmtId="168" fontId="0" fillId="0" borderId="0" xfId="0" applyNumberFormat="1" applyFill="1" applyAlignment="1">
      <alignment horizontal="center"/>
    </xf>
    <xf numFmtId="168" fontId="4" fillId="0" borderId="0" xfId="0" applyNumberFormat="1" applyFont="1" applyAlignment="1">
      <alignment horizontal="center"/>
    </xf>
    <xf numFmtId="168" fontId="0" fillId="0" borderId="0" xfId="0" applyNumberFormat="1" applyAlignment="1">
      <alignment horizontal="center"/>
    </xf>
    <xf numFmtId="0" fontId="11" fillId="0" borderId="2" xfId="0" applyFont="1" applyFill="1" applyBorder="1" applyAlignment="1">
      <alignment horizontal="center"/>
    </xf>
    <xf numFmtId="0" fontId="4" fillId="0" borderId="0" xfId="0" applyFont="1" applyFill="1" applyBorder="1" applyAlignment="1">
      <alignment horizontal="center"/>
    </xf>
    <xf numFmtId="0" fontId="7" fillId="2" borderId="0" xfId="0" applyFont="1" applyFill="1" applyBorder="1"/>
    <xf numFmtId="0" fontId="2" fillId="2" borderId="0" xfId="1" applyFill="1" applyBorder="1" applyAlignment="1" applyProtection="1"/>
    <xf numFmtId="0" fontId="1" fillId="2" borderId="0" xfId="1" applyFont="1" applyFill="1" applyBorder="1" applyAlignment="1" applyProtection="1"/>
    <xf numFmtId="0" fontId="2" fillId="2" borderId="0" xfId="1" applyFont="1" applyFill="1" applyBorder="1" applyAlignment="1" applyProtection="1"/>
    <xf numFmtId="3" fontId="3" fillId="0" borderId="5" xfId="0" applyNumberFormat="1" applyFont="1" applyFill="1" applyBorder="1" applyAlignment="1">
      <alignment horizontal="center"/>
    </xf>
    <xf numFmtId="1" fontId="0" fillId="0" borderId="0" xfId="0" applyNumberFormat="1" applyAlignment="1">
      <alignment horizontal="center"/>
    </xf>
    <xf numFmtId="0" fontId="18" fillId="0" borderId="1" xfId="0" applyFont="1" applyFill="1" applyBorder="1" applyAlignment="1">
      <alignment horizontal="center"/>
    </xf>
    <xf numFmtId="0" fontId="22" fillId="0" borderId="0" xfId="0" applyFont="1" applyFill="1"/>
    <xf numFmtId="0" fontId="0" fillId="0" borderId="0" xfId="0" applyFill="1" applyBorder="1"/>
    <xf numFmtId="0" fontId="4" fillId="2" borderId="4" xfId="0" applyFont="1" applyFill="1" applyBorder="1"/>
    <xf numFmtId="168" fontId="1" fillId="0" borderId="0" xfId="2" applyNumberFormat="1" applyFont="1" applyFill="1" applyAlignment="1">
      <alignment horizontal="center"/>
    </xf>
    <xf numFmtId="168" fontId="16" fillId="0" borderId="0" xfId="0" applyNumberFormat="1" applyFont="1" applyFill="1" applyBorder="1" applyAlignment="1">
      <alignment horizontal="center"/>
    </xf>
    <xf numFmtId="168" fontId="1" fillId="0" borderId="0" xfId="2" applyNumberFormat="1" applyFont="1" applyFill="1" applyBorder="1" applyAlignment="1">
      <alignment horizontal="center"/>
    </xf>
    <xf numFmtId="168" fontId="1" fillId="0" borderId="0" xfId="0" applyNumberFormat="1" applyFont="1" applyFill="1" applyBorder="1" applyAlignment="1">
      <alignment horizontal="center"/>
    </xf>
    <xf numFmtId="0" fontId="23" fillId="0" borderId="0" xfId="0" applyFont="1"/>
    <xf numFmtId="0" fontId="24" fillId="2" borderId="0" xfId="0" applyFont="1" applyFill="1" applyBorder="1"/>
    <xf numFmtId="0" fontId="25" fillId="2" borderId="0" xfId="0" applyFont="1" applyFill="1" applyAlignment="1">
      <alignment horizontal="left" indent="2"/>
    </xf>
    <xf numFmtId="0" fontId="25" fillId="2" borderId="0" xfId="0" applyFont="1" applyFill="1"/>
    <xf numFmtId="0" fontId="26" fillId="2" borderId="0" xfId="0" applyFont="1" applyFill="1" applyAlignment="1">
      <alignment horizontal="left" indent="2"/>
    </xf>
    <xf numFmtId="0" fontId="27" fillId="2" borderId="0" xfId="1" applyFont="1" applyFill="1" applyAlignment="1" applyProtection="1">
      <alignment horizontal="left" indent="2"/>
    </xf>
    <xf numFmtId="0" fontId="28" fillId="2" borderId="0" xfId="1" applyFont="1" applyFill="1" applyAlignment="1" applyProtection="1">
      <alignment horizontal="left" indent="2"/>
    </xf>
    <xf numFmtId="0" fontId="28" fillId="2" borderId="0" xfId="1" applyFont="1" applyFill="1" applyBorder="1" applyAlignment="1" applyProtection="1">
      <alignment horizontal="left" indent="2"/>
    </xf>
    <xf numFmtId="0" fontId="25" fillId="2" borderId="0" xfId="0" applyFont="1" applyFill="1" applyBorder="1"/>
    <xf numFmtId="0" fontId="27" fillId="2" borderId="0" xfId="1" applyFont="1" applyFill="1" applyBorder="1" applyAlignment="1" applyProtection="1">
      <alignment horizontal="left" indent="2"/>
    </xf>
    <xf numFmtId="0" fontId="25" fillId="2" borderId="0" xfId="0" applyFont="1" applyFill="1" applyBorder="1" applyAlignment="1">
      <alignment horizontal="left" indent="2"/>
    </xf>
    <xf numFmtId="0" fontId="3" fillId="0" borderId="0" xfId="0" applyFont="1" applyFill="1" applyAlignment="1">
      <alignment horizontal="left" indent="1"/>
    </xf>
    <xf numFmtId="3" fontId="3" fillId="0" borderId="6" xfId="0" applyNumberFormat="1" applyFont="1" applyFill="1" applyBorder="1" applyAlignment="1">
      <alignment horizontal="center"/>
    </xf>
    <xf numFmtId="1" fontId="4" fillId="0" borderId="0" xfId="0" applyNumberFormat="1" applyFont="1" applyFill="1"/>
    <xf numFmtId="1" fontId="11" fillId="0" borderId="0" xfId="0" applyNumberFormat="1" applyFont="1" applyFill="1" applyAlignment="1">
      <alignment horizontal="center"/>
    </xf>
    <xf numFmtId="0" fontId="0" fillId="0" borderId="0" xfId="0" applyNumberFormat="1" applyFill="1"/>
    <xf numFmtId="0" fontId="29" fillId="0" borderId="0" xfId="0" applyFont="1" applyFill="1"/>
    <xf numFmtId="167" fontId="3" fillId="0" borderId="0" xfId="0" applyNumberFormat="1" applyFont="1" applyAlignment="1">
      <alignment horizontal="center"/>
    </xf>
    <xf numFmtId="0" fontId="10" fillId="0" borderId="7" xfId="0" applyFont="1" applyFill="1" applyBorder="1" applyAlignment="1">
      <alignment horizontal="center"/>
    </xf>
    <xf numFmtId="0" fontId="11" fillId="0" borderId="7" xfId="0" applyFont="1" applyFill="1" applyBorder="1" applyAlignment="1" applyProtection="1">
      <alignment horizontal="left"/>
      <protection locked="0"/>
    </xf>
    <xf numFmtId="3" fontId="10" fillId="2" borderId="3" xfId="0" applyNumberFormat="1" applyFont="1" applyFill="1" applyBorder="1" applyAlignment="1">
      <alignment horizontal="right" indent="1"/>
    </xf>
    <xf numFmtId="0" fontId="10" fillId="0" borderId="8" xfId="0" applyFont="1" applyFill="1" applyBorder="1" applyAlignment="1">
      <alignment horizontal="center"/>
    </xf>
    <xf numFmtId="0" fontId="11" fillId="0" borderId="8" xfId="0" applyFont="1" applyFill="1" applyBorder="1" applyAlignment="1" applyProtection="1">
      <alignment horizontal="left"/>
      <protection locked="0"/>
    </xf>
    <xf numFmtId="0" fontId="11" fillId="0" borderId="9" xfId="0" applyNumberFormat="1" applyFont="1" applyFill="1" applyBorder="1" applyAlignment="1" applyProtection="1">
      <alignment horizontal="center"/>
    </xf>
    <xf numFmtId="3" fontId="11" fillId="0" borderId="10" xfId="0" applyNumberFormat="1" applyFont="1" applyFill="1" applyBorder="1" applyAlignment="1" applyProtection="1">
      <alignment horizontal="center"/>
      <protection locked="0"/>
    </xf>
    <xf numFmtId="1" fontId="16" fillId="2" borderId="0" xfId="0" applyNumberFormat="1" applyFont="1" applyFill="1" applyAlignment="1">
      <alignment horizontal="left"/>
    </xf>
    <xf numFmtId="1" fontId="16" fillId="2" borderId="0" xfId="0" applyNumberFormat="1" applyFont="1" applyFill="1" applyBorder="1" applyAlignment="1">
      <alignment horizontal="left"/>
    </xf>
    <xf numFmtId="0" fontId="16" fillId="2" borderId="2" xfId="0" applyFont="1" applyFill="1" applyBorder="1" applyAlignment="1">
      <alignment horizontal="left"/>
    </xf>
    <xf numFmtId="0" fontId="4" fillId="0" borderId="0" xfId="0" applyFont="1" applyFill="1" applyAlignment="1">
      <alignment horizontal="left" indent="3"/>
    </xf>
    <xf numFmtId="3" fontId="0" fillId="0" borderId="0" xfId="0" applyNumberFormat="1" applyBorder="1"/>
    <xf numFmtId="165" fontId="16" fillId="0" borderId="0" xfId="0" applyNumberFormat="1" applyFont="1" applyFill="1" applyBorder="1"/>
    <xf numFmtId="1" fontId="0" fillId="0" borderId="0" xfId="0" applyNumberFormat="1" applyBorder="1" applyAlignment="1">
      <alignment horizontal="center"/>
    </xf>
    <xf numFmtId="0" fontId="4" fillId="0" borderId="0" xfId="0" applyFont="1" applyFill="1" applyBorder="1" applyAlignment="1">
      <alignment horizontal="left"/>
    </xf>
    <xf numFmtId="0" fontId="18" fillId="2" borderId="7" xfId="0" applyFont="1" applyFill="1" applyBorder="1" applyAlignment="1">
      <alignment horizontal="center"/>
    </xf>
    <xf numFmtId="0" fontId="16" fillId="2" borderId="3" xfId="0" applyFont="1" applyFill="1" applyBorder="1" applyAlignment="1">
      <alignment horizontal="center"/>
    </xf>
    <xf numFmtId="0" fontId="18" fillId="0" borderId="11" xfId="0" applyFont="1" applyFill="1" applyBorder="1" applyAlignment="1">
      <alignment horizontal="center"/>
    </xf>
    <xf numFmtId="0" fontId="18" fillId="2" borderId="9" xfId="0" applyFont="1" applyFill="1" applyBorder="1" applyAlignment="1">
      <alignment horizontal="center"/>
    </xf>
    <xf numFmtId="0" fontId="18" fillId="0" borderId="12" xfId="0" applyFont="1" applyFill="1" applyBorder="1" applyAlignment="1">
      <alignment horizontal="center"/>
    </xf>
    <xf numFmtId="3" fontId="3" fillId="0" borderId="8" xfId="0" applyNumberFormat="1" applyFont="1" applyFill="1" applyBorder="1" applyAlignment="1">
      <alignment horizontal="center"/>
    </xf>
    <xf numFmtId="0" fontId="3" fillId="0" borderId="8" xfId="0" applyFont="1" applyFill="1" applyBorder="1" applyAlignment="1">
      <alignment horizontal="center"/>
    </xf>
    <xf numFmtId="3" fontId="0" fillId="0" borderId="0" xfId="0" applyNumberFormat="1" applyAlignment="1">
      <alignment horizontal="center"/>
    </xf>
    <xf numFmtId="3" fontId="0" fillId="0" borderId="4" xfId="0" applyNumberFormat="1" applyBorder="1" applyAlignment="1">
      <alignment horizontal="center"/>
    </xf>
    <xf numFmtId="0" fontId="3" fillId="0" borderId="0" xfId="0" applyFont="1"/>
    <xf numFmtId="14" fontId="0" fillId="0" borderId="0" xfId="0" applyNumberFormat="1"/>
    <xf numFmtId="10" fontId="16" fillId="0" borderId="0" xfId="0" applyNumberFormat="1" applyFont="1" applyFill="1" applyAlignment="1">
      <alignment horizontal="center"/>
    </xf>
    <xf numFmtId="0" fontId="0" fillId="0" borderId="0" xfId="0" applyAlignment="1">
      <alignment horizontal="left" indent="1"/>
    </xf>
    <xf numFmtId="168" fontId="1" fillId="0" borderId="0" xfId="2" applyNumberFormat="1" applyAlignment="1">
      <alignment horizontal="center"/>
    </xf>
    <xf numFmtId="0" fontId="13" fillId="2" borderId="0" xfId="0" applyNumberFormat="1" applyFont="1" applyFill="1" applyBorder="1" applyAlignment="1" applyProtection="1">
      <alignment horizontal="left" indent="1"/>
    </xf>
    <xf numFmtId="168" fontId="16" fillId="0" borderId="0" xfId="0" applyNumberFormat="1" applyFont="1" applyFill="1" applyAlignment="1">
      <alignment horizontal="center" vertical="center"/>
    </xf>
    <xf numFmtId="0" fontId="13" fillId="0" borderId="0" xfId="0" applyNumberFormat="1" applyFont="1" applyFill="1" applyBorder="1" applyAlignment="1" applyProtection="1">
      <alignment horizontal="left"/>
    </xf>
    <xf numFmtId="0" fontId="13" fillId="0" borderId="0" xfId="0" applyFont="1" applyFill="1"/>
    <xf numFmtId="0" fontId="10" fillId="2" borderId="0" xfId="0" applyFont="1" applyFill="1" applyAlignment="1">
      <alignment horizontal="left" indent="4"/>
    </xf>
    <xf numFmtId="0" fontId="13" fillId="2" borderId="0" xfId="0" applyNumberFormat="1" applyFont="1" applyFill="1" applyBorder="1" applyAlignment="1" applyProtection="1">
      <alignment horizontal="left" indent="3"/>
    </xf>
    <xf numFmtId="0" fontId="11" fillId="2" borderId="0" xfId="0" applyFont="1" applyFill="1" applyAlignment="1">
      <alignment horizontal="left" indent="3"/>
    </xf>
    <xf numFmtId="3" fontId="11" fillId="2" borderId="0" xfId="0" applyNumberFormat="1" applyFont="1" applyFill="1" applyBorder="1" applyAlignment="1" applyProtection="1">
      <alignment horizontal="left" indent="3"/>
    </xf>
    <xf numFmtId="3" fontId="11" fillId="0" borderId="0" xfId="0" applyNumberFormat="1" applyFont="1" applyFill="1" applyBorder="1" applyAlignment="1" applyProtection="1">
      <alignment horizontal="left" indent="3"/>
    </xf>
    <xf numFmtId="0" fontId="4" fillId="2" borderId="0" xfId="0" applyFont="1" applyFill="1" applyAlignment="1">
      <alignment horizontal="left" indent="2"/>
    </xf>
    <xf numFmtId="0" fontId="10" fillId="2" borderId="0" xfId="0" applyFont="1" applyFill="1" applyBorder="1" applyAlignment="1">
      <alignment horizontal="left" indent="3"/>
    </xf>
    <xf numFmtId="0" fontId="10" fillId="0" borderId="2" xfId="0" applyFont="1" applyFill="1" applyBorder="1" applyAlignment="1">
      <alignment horizontal="left" indent="3"/>
    </xf>
    <xf numFmtId="0" fontId="11" fillId="0" borderId="2" xfId="0" applyFont="1" applyFill="1" applyBorder="1" applyAlignment="1" applyProtection="1">
      <alignment horizontal="left" indent="3"/>
      <protection locked="0"/>
    </xf>
    <xf numFmtId="0" fontId="10" fillId="0" borderId="0" xfId="0" applyFont="1" applyFill="1" applyBorder="1" applyAlignment="1">
      <alignment horizontal="left" indent="3"/>
    </xf>
    <xf numFmtId="0" fontId="10" fillId="0" borderId="0" xfId="0" applyFont="1" applyFill="1" applyAlignment="1">
      <alignment horizontal="left" indent="3"/>
    </xf>
    <xf numFmtId="10" fontId="0" fillId="0" borderId="0" xfId="0" applyNumberFormat="1" applyFill="1" applyAlignment="1">
      <alignment horizontal="center"/>
    </xf>
    <xf numFmtId="3" fontId="11" fillId="0" borderId="13" xfId="0" applyNumberFormat="1" applyFont="1" applyFill="1" applyBorder="1" applyAlignment="1" applyProtection="1">
      <alignment horizontal="center"/>
      <protection locked="0"/>
    </xf>
    <xf numFmtId="0" fontId="3" fillId="0" borderId="0" xfId="0" applyFont="1" applyFill="1" applyAlignment="1">
      <alignment horizontal="left" indent="3"/>
    </xf>
    <xf numFmtId="1" fontId="16" fillId="2" borderId="0" xfId="0" applyNumberFormat="1" applyFont="1" applyFill="1" applyAlignment="1"/>
    <xf numFmtId="0" fontId="13" fillId="2" borderId="0" xfId="0" applyNumberFormat="1" applyFont="1" applyFill="1" applyBorder="1" applyAlignment="1" applyProtection="1"/>
    <xf numFmtId="0" fontId="10" fillId="2" borderId="0" xfId="0" applyFont="1" applyFill="1" applyAlignment="1"/>
    <xf numFmtId="0" fontId="11" fillId="2" borderId="0" xfId="0" applyFont="1" applyFill="1" applyAlignment="1"/>
    <xf numFmtId="0" fontId="4" fillId="2" borderId="0" xfId="0" applyFont="1" applyFill="1" applyAlignment="1"/>
    <xf numFmtId="0" fontId="16" fillId="2" borderId="3" xfId="0" applyFont="1" applyFill="1" applyBorder="1" applyAlignment="1"/>
    <xf numFmtId="14" fontId="16" fillId="2" borderId="0" xfId="0" applyNumberFormat="1" applyFont="1" applyFill="1" applyBorder="1" applyAlignment="1"/>
    <xf numFmtId="0" fontId="18" fillId="0" borderId="0" xfId="0" applyFont="1" applyFill="1" applyBorder="1" applyAlignment="1"/>
    <xf numFmtId="0" fontId="0" fillId="0" borderId="0" xfId="0" applyAlignment="1"/>
    <xf numFmtId="0" fontId="16" fillId="0" borderId="4" xfId="0" applyFont="1" applyFill="1" applyBorder="1" applyAlignment="1"/>
    <xf numFmtId="1" fontId="16" fillId="0" borderId="0" xfId="0" applyNumberFormat="1" applyFont="1" applyFill="1" applyAlignment="1"/>
    <xf numFmtId="0" fontId="3" fillId="0" borderId="0" xfId="0" applyFont="1" applyFill="1" applyAlignment="1">
      <alignment horizontal="left" indent="4"/>
    </xf>
    <xf numFmtId="0" fontId="3" fillId="0" borderId="0" xfId="0" applyFont="1" applyFill="1" applyAlignment="1">
      <alignment horizontal="left" indent="2"/>
    </xf>
    <xf numFmtId="14" fontId="11" fillId="0" borderId="0" xfId="0" applyNumberFormat="1" applyFont="1" applyFill="1" applyAlignment="1">
      <alignment horizontal="center"/>
    </xf>
    <xf numFmtId="0" fontId="11" fillId="0" borderId="0" xfId="0" applyFont="1" applyFill="1"/>
    <xf numFmtId="14" fontId="18" fillId="0" borderId="3" xfId="0" applyNumberFormat="1" applyFont="1" applyFill="1" applyBorder="1" applyAlignment="1">
      <alignment horizontal="center"/>
    </xf>
    <xf numFmtId="0" fontId="1" fillId="2" borderId="0" xfId="0" applyFont="1" applyFill="1"/>
    <xf numFmtId="3" fontId="11" fillId="0" borderId="13" xfId="0" applyNumberFormat="1" applyFont="1" applyFill="1" applyBorder="1" applyAlignment="1">
      <alignment horizontal="center"/>
    </xf>
    <xf numFmtId="3" fontId="11" fillId="0" borderId="14" xfId="0" applyNumberFormat="1" applyFont="1" applyFill="1" applyBorder="1" applyAlignment="1">
      <alignment horizontal="center"/>
    </xf>
    <xf numFmtId="3" fontId="11" fillId="0" borderId="7" xfId="0" applyNumberFormat="1" applyFont="1" applyFill="1" applyBorder="1" applyAlignment="1">
      <alignment horizontal="center"/>
    </xf>
    <xf numFmtId="3" fontId="11" fillId="0" borderId="15" xfId="0" applyNumberFormat="1" applyFont="1" applyFill="1" applyBorder="1" applyAlignment="1">
      <alignment horizontal="center"/>
    </xf>
    <xf numFmtId="3" fontId="11" fillId="0" borderId="16" xfId="0" applyNumberFormat="1" applyFont="1" applyFill="1" applyBorder="1" applyAlignment="1">
      <alignment horizontal="center"/>
    </xf>
    <xf numFmtId="3" fontId="3" fillId="0" borderId="15" xfId="0" applyNumberFormat="1" applyFont="1" applyFill="1" applyBorder="1" applyAlignment="1">
      <alignment horizontal="center"/>
    </xf>
    <xf numFmtId="3" fontId="3" fillId="0" borderId="16" xfId="0" applyNumberFormat="1" applyFont="1" applyFill="1" applyBorder="1" applyAlignment="1">
      <alignment horizontal="center"/>
    </xf>
    <xf numFmtId="3" fontId="3" fillId="0" borderId="17" xfId="0" applyNumberFormat="1" applyFont="1" applyFill="1" applyBorder="1" applyAlignment="1">
      <alignment horizontal="center"/>
    </xf>
    <xf numFmtId="3" fontId="3" fillId="0" borderId="18" xfId="0" applyNumberFormat="1" applyFont="1" applyFill="1" applyBorder="1" applyAlignment="1">
      <alignment horizontal="center"/>
    </xf>
    <xf numFmtId="0" fontId="18" fillId="2" borderId="17" xfId="0" applyFont="1" applyFill="1" applyBorder="1" applyAlignment="1">
      <alignment horizontal="center"/>
    </xf>
    <xf numFmtId="0" fontId="18" fillId="2" borderId="18" xfId="0" applyFont="1" applyFill="1" applyBorder="1" applyAlignment="1">
      <alignment horizontal="center"/>
    </xf>
    <xf numFmtId="0" fontId="18" fillId="2" borderId="19" xfId="0" applyFont="1" applyFill="1" applyBorder="1" applyAlignment="1">
      <alignment horizontal="center"/>
    </xf>
    <xf numFmtId="9" fontId="18" fillId="0" borderId="0" xfId="0" applyNumberFormat="1" applyFont="1" applyFill="1" applyAlignment="1">
      <alignment horizontal="center" wrapText="1"/>
    </xf>
    <xf numFmtId="0" fontId="18" fillId="0" borderId="0" xfId="0" applyFont="1" applyFill="1" applyBorder="1" applyAlignment="1">
      <alignment horizontal="center" wrapText="1"/>
    </xf>
    <xf numFmtId="0" fontId="16" fillId="0" borderId="0" xfId="0" applyFont="1" applyFill="1" applyAlignment="1">
      <alignment horizontal="center" wrapText="1"/>
    </xf>
  </cellXfs>
  <cellStyles count="4">
    <cellStyle name="Hyperlänk" xfId="1" builtinId="8"/>
    <cellStyle name="Normal" xfId="0" builtinId="0"/>
    <cellStyle name="Procent" xfId="2" builtinId="5"/>
    <cellStyle name="Tusental" xfId="3" builtinId="3"/>
  </cellStyles>
  <dxfs count="0"/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766A63"/>
      <rgbColor rgb="00FFFF00"/>
      <rgbColor rgb="00FF00FF"/>
      <rgbColor rgb="0000FFFF"/>
      <rgbColor rgb="00C42695"/>
      <rgbColor rgb="00545F1D"/>
      <rgbColor rgb="00AC1A2F"/>
      <rgbColor rgb="005EB0E6"/>
      <rgbColor rgb="00808080"/>
      <rgbColor rgb="00AFA500"/>
      <rgbColor rgb="00C0C0C0"/>
      <rgbColor rgb="00FFFFFF"/>
      <rgbColor rgb="00E34912"/>
      <rgbColor rgb="00EF8200"/>
      <rgbColor rgb="00FFB70F"/>
      <rgbColor rgb="00F6CF47"/>
      <rgbColor rgb="00AC1A2F"/>
      <rgbColor rgb="00D53044"/>
      <rgbColor rgb="00870150"/>
      <rgbColor rgb="00C42695"/>
      <rgbColor rgb="00000000"/>
      <rgbColor rgb="00E34912"/>
      <rgbColor rgb="00EF8200"/>
      <rgbColor rgb="00FFB70F"/>
      <rgbColor rgb="00AC1A2F"/>
      <rgbColor rgb="00C42695"/>
      <rgbColor rgb="00AFA500"/>
      <rgbColor rgb="00766A63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EF8200"/>
      <rgbColor rgb="00125687"/>
      <rgbColor rgb="00B9B1A9"/>
      <rgbColor rgb="00969696"/>
      <rgbColor rgb="00F6CF47"/>
      <rgbColor rgb="00339966"/>
      <rgbColor rgb="00FFB70F"/>
      <rgbColor rgb="00EF8200"/>
      <rgbColor rgb="00E34912"/>
      <rgbColor rgb="00333333"/>
      <rgbColor rgb="00D53044"/>
      <rgbColor rgb="00870150"/>
    </indexed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externalLink" Target="externalLinks/externalLink1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sv-SE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sv-SE"/>
              <a:t>Värdeutveckling - individuella konton 2012-01-31
</a:t>
            </a:r>
          </a:p>
        </c:rich>
      </c:tx>
      <c:layout>
        <c:manualLayout>
          <c:xMode val="edge"/>
          <c:yMode val="edge"/>
          <c:x val="0.28733264675592174"/>
          <c:y val="2.9795158286778398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8.6508753861997939E-2"/>
          <c:y val="0.15270046391349495"/>
          <c:w val="0.89186405767250254"/>
          <c:h val="0.70577409540505598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FFB70F"/>
            </a:solidFill>
            <a:ln w="25400">
              <a:noFill/>
            </a:ln>
          </c:spPr>
          <c:invertIfNegative val="1"/>
          <c:dPt>
            <c:idx val="0"/>
            <c:invertIfNegative val="1"/>
            <c:bubble3D val="0"/>
            <c:spPr>
              <a:solidFill>
                <a:srgbClr val="AC1A2F"/>
              </a:solidFill>
              <a:ln w="25400">
                <a:noFill/>
              </a:ln>
            </c:spPr>
          </c:dPt>
          <c:dPt>
            <c:idx val="1"/>
            <c:invertIfNegative val="1"/>
            <c:bubble3D val="0"/>
            <c:spPr>
              <a:solidFill>
                <a:srgbClr val="AC1A2F"/>
              </a:solidFill>
              <a:ln w="25400">
                <a:noFill/>
              </a:ln>
            </c:spPr>
          </c:dPt>
          <c:dPt>
            <c:idx val="2"/>
            <c:invertIfNegative val="1"/>
            <c:bubble3D val="0"/>
            <c:spPr>
              <a:solidFill>
                <a:srgbClr val="AC1A2F"/>
              </a:solidFill>
              <a:ln w="25400">
                <a:noFill/>
              </a:ln>
            </c:spPr>
          </c:dPt>
          <c:dPt>
            <c:idx val="3"/>
            <c:invertIfNegative val="1"/>
            <c:bubble3D val="0"/>
            <c:spPr>
              <a:solidFill>
                <a:srgbClr val="FFC000"/>
              </a:solidFill>
              <a:ln w="25400">
                <a:noFill/>
              </a:ln>
            </c:spPr>
          </c:dPt>
          <c:dLbls>
            <c:dLbl>
              <c:idx val="2"/>
              <c:layout>
                <c:manualLayout>
                  <c:x val="-1.3731548232063166E-3"/>
                  <c:y val="4.9658597144630664E-3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3"/>
              <c:layout>
                <c:manualLayout>
                  <c:x val="1.3731548232063166E-3"/>
                  <c:y val="7.4487895716945996E-3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</c:dLbl>
            <c:numFmt formatCode="#,##0" sourceLinked="0"/>
            <c:txPr>
              <a:bodyPr/>
              <a:lstStyle/>
              <a:p>
                <a:pPr>
                  <a:defRPr sz="1000" baseline="0"/>
                </a:pPr>
                <a:endParaRPr lang="sv-SE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[1]rodingenData!$G$2:$G$11</c:f>
              <c:strCache>
                <c:ptCount val="10"/>
                <c:pt idx="0">
                  <c:v>Under -4</c:v>
                </c:pt>
                <c:pt idx="1">
                  <c:v>-4 till -2</c:v>
                </c:pt>
                <c:pt idx="2">
                  <c:v>-2 till 0</c:v>
                </c:pt>
                <c:pt idx="3">
                  <c:v>0 till +2</c:v>
                </c:pt>
                <c:pt idx="4">
                  <c:v>+2 till +4</c:v>
                </c:pt>
                <c:pt idx="5">
                  <c:v>+4 till +6</c:v>
                </c:pt>
                <c:pt idx="6">
                  <c:v>+6 till +8</c:v>
                </c:pt>
                <c:pt idx="7">
                  <c:v>+8 till +10</c:v>
                </c:pt>
                <c:pt idx="8">
                  <c:v>Över +10</c:v>
                </c:pt>
              </c:strCache>
            </c:strRef>
          </c:cat>
          <c:val>
            <c:numRef>
              <c:f>[1]rodingenData!$K$2:$K$10</c:f>
              <c:numCache>
                <c:formatCode>General</c:formatCode>
                <c:ptCount val="9"/>
                <c:pt idx="0">
                  <c:v>6000</c:v>
                </c:pt>
                <c:pt idx="1">
                  <c:v>13000</c:v>
                </c:pt>
                <c:pt idx="2">
                  <c:v>114000</c:v>
                </c:pt>
                <c:pt idx="3">
                  <c:v>767000</c:v>
                </c:pt>
                <c:pt idx="4">
                  <c:v>3503000</c:v>
                </c:pt>
                <c:pt idx="5">
                  <c:v>1466000</c:v>
                </c:pt>
                <c:pt idx="6">
                  <c:v>292000</c:v>
                </c:pt>
                <c:pt idx="7">
                  <c:v>73000</c:v>
                </c:pt>
                <c:pt idx="8">
                  <c:v>27000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FFFFFF"/>
                  </a:solidFill>
                  <a:ln w="25400">
                    <a:noFill/>
                  </a:ln>
                </c14:spPr>
              </c14:invertSolidFillFmt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10"/>
        <c:axId val="196965504"/>
        <c:axId val="196967040"/>
      </c:barChart>
      <c:catAx>
        <c:axId val="19696550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sv-SE"/>
          </a:p>
        </c:txPr>
        <c:crossAx val="19696704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196967040"/>
        <c:scaling>
          <c:orientation val="minMax"/>
        </c:scaling>
        <c:delete val="0"/>
        <c:axPos val="l"/>
        <c:majorGridlines>
          <c:spPr>
            <a:ln w="3175">
              <a:solidFill>
                <a:srgbClr val="808080"/>
              </a:solidFill>
              <a:prstDash val="sysDash"/>
            </a:ln>
          </c:spPr>
        </c:majorGridlines>
        <c:numFmt formatCode="#,##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sv-SE"/>
          </a:p>
        </c:txPr>
        <c:crossAx val="196965504"/>
        <c:crosses val="autoZero"/>
        <c:crossBetween val="between"/>
      </c:valAx>
      <c:spPr>
        <a:solidFill>
          <a:srgbClr val="FFFFFF"/>
        </a:solidFill>
        <a:ln w="25400">
          <a:noFill/>
        </a:ln>
      </c:spPr>
    </c:plotArea>
    <c:plotVisOnly val="1"/>
    <c:dispBlanksAs val="gap"/>
    <c:showDLblsOverMax val="0"/>
  </c:chart>
  <c:spPr>
    <a:solidFill>
      <a:srgbClr val="FFFFFF"/>
    </a:solidFill>
    <a:ln w="12700">
      <a:solidFill>
        <a:srgbClr val="80808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sv-SE"/>
    </a:p>
  </c:txPr>
  <c:printSettings>
    <c:headerFooter alignWithMargins="0"/>
    <c:pageMargins b="1" l="0.75" r="0.75" t="1" header="0.5" footer="0.5"/>
    <c:pageSetup paperSize="9" orientation="landscape"/>
  </c:printSettings>
  <c:userShapes r:id="rId1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sv-SE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 i="0" u="none" strike="noStrike" baseline="0">
                <a:solidFill>
                  <a:srgbClr val="333333"/>
                </a:solidFill>
                <a:latin typeface="Arial"/>
                <a:ea typeface="Arial"/>
                <a:cs typeface="Arial"/>
              </a:defRPr>
            </a:pPr>
            <a:r>
              <a:rPr lang="sv-SE"/>
              <a:t>Värdeutveckling - Premiepensionssystemet 2012-01-31</a:t>
            </a:r>
          </a:p>
        </c:rich>
      </c:tx>
      <c:layout>
        <c:manualLayout>
          <c:xMode val="edge"/>
          <c:yMode val="edge"/>
          <c:x val="0.28425390077774021"/>
          <c:y val="2.7491408934707903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8.8957144041115516E-2"/>
          <c:y val="0.12886619561150198"/>
          <c:w val="0.84867160407041242"/>
          <c:h val="0.69587745630211073"/>
        </c:manualLayout>
      </c:layout>
      <c:lineChart>
        <c:grouping val="standard"/>
        <c:varyColors val="0"/>
        <c:ser>
          <c:idx val="0"/>
          <c:order val="0"/>
          <c:tx>
            <c:v>Premiepensionssystemet (IR)</c:v>
          </c:tx>
          <c:spPr>
            <a:ln w="38100">
              <a:solidFill>
                <a:srgbClr val="FFB70F"/>
              </a:solidFill>
              <a:prstDash val="solid"/>
            </a:ln>
          </c:spPr>
          <c:marker>
            <c:symbol val="none"/>
          </c:marker>
          <c:cat>
            <c:numRef>
              <c:f>'Avkastning pp-systemet'!$B$23:$B$219</c:f>
              <c:numCache>
                <c:formatCode>m/d/yyyy</c:formatCode>
                <c:ptCount val="197"/>
                <c:pt idx="0">
                  <c:v>36873</c:v>
                </c:pt>
                <c:pt idx="1">
                  <c:v>36891</c:v>
                </c:pt>
                <c:pt idx="2">
                  <c:v>36922</c:v>
                </c:pt>
                <c:pt idx="3">
                  <c:v>36950</c:v>
                </c:pt>
                <c:pt idx="4">
                  <c:v>36981</c:v>
                </c:pt>
                <c:pt idx="5">
                  <c:v>37011</c:v>
                </c:pt>
                <c:pt idx="6">
                  <c:v>37042</c:v>
                </c:pt>
                <c:pt idx="7">
                  <c:v>37072</c:v>
                </c:pt>
                <c:pt idx="8">
                  <c:v>37103</c:v>
                </c:pt>
                <c:pt idx="9">
                  <c:v>37134</c:v>
                </c:pt>
                <c:pt idx="10">
                  <c:v>37164</c:v>
                </c:pt>
                <c:pt idx="11">
                  <c:v>37195</c:v>
                </c:pt>
                <c:pt idx="12">
                  <c:v>37225</c:v>
                </c:pt>
                <c:pt idx="13">
                  <c:v>37256</c:v>
                </c:pt>
                <c:pt idx="14">
                  <c:v>37287</c:v>
                </c:pt>
                <c:pt idx="15">
                  <c:v>37315</c:v>
                </c:pt>
                <c:pt idx="16">
                  <c:v>37346</c:v>
                </c:pt>
                <c:pt idx="17">
                  <c:v>37376</c:v>
                </c:pt>
                <c:pt idx="18">
                  <c:v>37407</c:v>
                </c:pt>
                <c:pt idx="19">
                  <c:v>37437</c:v>
                </c:pt>
                <c:pt idx="20">
                  <c:v>37468</c:v>
                </c:pt>
                <c:pt idx="21">
                  <c:v>37499</c:v>
                </c:pt>
                <c:pt idx="22">
                  <c:v>37529</c:v>
                </c:pt>
                <c:pt idx="23">
                  <c:v>37560</c:v>
                </c:pt>
                <c:pt idx="24">
                  <c:v>37590</c:v>
                </c:pt>
                <c:pt idx="25">
                  <c:v>37621</c:v>
                </c:pt>
                <c:pt idx="26">
                  <c:v>37652</c:v>
                </c:pt>
                <c:pt idx="27">
                  <c:v>37680</c:v>
                </c:pt>
                <c:pt idx="28">
                  <c:v>37711</c:v>
                </c:pt>
                <c:pt idx="29">
                  <c:v>37741</c:v>
                </c:pt>
                <c:pt idx="30">
                  <c:v>37772</c:v>
                </c:pt>
                <c:pt idx="31">
                  <c:v>37802</c:v>
                </c:pt>
                <c:pt idx="32">
                  <c:v>37833</c:v>
                </c:pt>
                <c:pt idx="33">
                  <c:v>37864</c:v>
                </c:pt>
                <c:pt idx="34">
                  <c:v>37894</c:v>
                </c:pt>
                <c:pt idx="35">
                  <c:v>37925</c:v>
                </c:pt>
                <c:pt idx="36">
                  <c:v>37955</c:v>
                </c:pt>
                <c:pt idx="37">
                  <c:v>37986</c:v>
                </c:pt>
                <c:pt idx="38">
                  <c:v>38017</c:v>
                </c:pt>
                <c:pt idx="39">
                  <c:v>38046</c:v>
                </c:pt>
                <c:pt idx="40">
                  <c:v>38077</c:v>
                </c:pt>
                <c:pt idx="41">
                  <c:v>38107</c:v>
                </c:pt>
                <c:pt idx="42">
                  <c:v>38138</c:v>
                </c:pt>
                <c:pt idx="43">
                  <c:v>38168</c:v>
                </c:pt>
                <c:pt idx="44">
                  <c:v>38199</c:v>
                </c:pt>
                <c:pt idx="45">
                  <c:v>38230</c:v>
                </c:pt>
                <c:pt idx="46">
                  <c:v>38260</c:v>
                </c:pt>
                <c:pt idx="47">
                  <c:v>38291</c:v>
                </c:pt>
                <c:pt idx="48">
                  <c:v>38321</c:v>
                </c:pt>
                <c:pt idx="49">
                  <c:v>38352</c:v>
                </c:pt>
                <c:pt idx="50">
                  <c:v>38383</c:v>
                </c:pt>
                <c:pt idx="51">
                  <c:v>38411</c:v>
                </c:pt>
                <c:pt idx="52">
                  <c:v>38442</c:v>
                </c:pt>
                <c:pt idx="53">
                  <c:v>38472</c:v>
                </c:pt>
                <c:pt idx="54">
                  <c:v>38503</c:v>
                </c:pt>
                <c:pt idx="55">
                  <c:v>38533</c:v>
                </c:pt>
                <c:pt idx="56">
                  <c:v>38564</c:v>
                </c:pt>
                <c:pt idx="57">
                  <c:v>38595</c:v>
                </c:pt>
                <c:pt idx="58">
                  <c:v>38625</c:v>
                </c:pt>
                <c:pt idx="59">
                  <c:v>38656</c:v>
                </c:pt>
                <c:pt idx="60">
                  <c:v>38686</c:v>
                </c:pt>
                <c:pt idx="61">
                  <c:v>38717</c:v>
                </c:pt>
                <c:pt idx="62">
                  <c:v>38748</c:v>
                </c:pt>
                <c:pt idx="63">
                  <c:v>38776</c:v>
                </c:pt>
                <c:pt idx="64">
                  <c:v>38807</c:v>
                </c:pt>
                <c:pt idx="65">
                  <c:v>38837</c:v>
                </c:pt>
                <c:pt idx="66">
                  <c:v>38868</c:v>
                </c:pt>
                <c:pt idx="67">
                  <c:v>38898</c:v>
                </c:pt>
                <c:pt idx="68">
                  <c:v>38929</c:v>
                </c:pt>
                <c:pt idx="69">
                  <c:v>38960</c:v>
                </c:pt>
                <c:pt idx="70">
                  <c:v>38990</c:v>
                </c:pt>
                <c:pt idx="71">
                  <c:v>39021</c:v>
                </c:pt>
                <c:pt idx="72">
                  <c:v>39051</c:v>
                </c:pt>
                <c:pt idx="73">
                  <c:v>39082</c:v>
                </c:pt>
                <c:pt idx="74" formatCode="yyyy/mm/dd;@">
                  <c:v>39113</c:v>
                </c:pt>
                <c:pt idx="75">
                  <c:v>39141</c:v>
                </c:pt>
                <c:pt idx="76">
                  <c:v>39172</c:v>
                </c:pt>
                <c:pt idx="77">
                  <c:v>39202</c:v>
                </c:pt>
                <c:pt idx="78">
                  <c:v>39233</c:v>
                </c:pt>
                <c:pt idx="79">
                  <c:v>39263</c:v>
                </c:pt>
                <c:pt idx="80">
                  <c:v>39294</c:v>
                </c:pt>
                <c:pt idx="81">
                  <c:v>39325</c:v>
                </c:pt>
                <c:pt idx="82">
                  <c:v>39353</c:v>
                </c:pt>
                <c:pt idx="83">
                  <c:v>39386</c:v>
                </c:pt>
                <c:pt idx="84">
                  <c:v>39416</c:v>
                </c:pt>
                <c:pt idx="85">
                  <c:v>39447</c:v>
                </c:pt>
                <c:pt idx="86">
                  <c:v>39478</c:v>
                </c:pt>
                <c:pt idx="87">
                  <c:v>39507</c:v>
                </c:pt>
                <c:pt idx="88">
                  <c:v>39538</c:v>
                </c:pt>
                <c:pt idx="89">
                  <c:v>39568</c:v>
                </c:pt>
                <c:pt idx="90">
                  <c:v>39599</c:v>
                </c:pt>
                <c:pt idx="91">
                  <c:v>39629</c:v>
                </c:pt>
                <c:pt idx="92">
                  <c:v>39660</c:v>
                </c:pt>
                <c:pt idx="93">
                  <c:v>39691</c:v>
                </c:pt>
                <c:pt idx="94">
                  <c:v>39721</c:v>
                </c:pt>
                <c:pt idx="95">
                  <c:v>39752</c:v>
                </c:pt>
                <c:pt idx="96">
                  <c:v>39782</c:v>
                </c:pt>
                <c:pt idx="97">
                  <c:v>39813</c:v>
                </c:pt>
                <c:pt idx="98">
                  <c:v>39844</c:v>
                </c:pt>
                <c:pt idx="99">
                  <c:v>39872</c:v>
                </c:pt>
                <c:pt idx="100">
                  <c:v>39903</c:v>
                </c:pt>
                <c:pt idx="101">
                  <c:v>39933</c:v>
                </c:pt>
                <c:pt idx="102">
                  <c:v>39964</c:v>
                </c:pt>
                <c:pt idx="103">
                  <c:v>39994</c:v>
                </c:pt>
                <c:pt idx="104">
                  <c:v>40025</c:v>
                </c:pt>
                <c:pt idx="105">
                  <c:v>40056</c:v>
                </c:pt>
                <c:pt idx="106">
                  <c:v>40086</c:v>
                </c:pt>
                <c:pt idx="107">
                  <c:v>40117</c:v>
                </c:pt>
                <c:pt idx="108">
                  <c:v>40147</c:v>
                </c:pt>
                <c:pt idx="109">
                  <c:v>40178</c:v>
                </c:pt>
                <c:pt idx="110">
                  <c:v>40209</c:v>
                </c:pt>
                <c:pt idx="111">
                  <c:v>40237</c:v>
                </c:pt>
                <c:pt idx="112">
                  <c:v>40268</c:v>
                </c:pt>
                <c:pt idx="113">
                  <c:v>40298</c:v>
                </c:pt>
                <c:pt idx="114">
                  <c:v>40329</c:v>
                </c:pt>
                <c:pt idx="115">
                  <c:v>40359</c:v>
                </c:pt>
                <c:pt idx="116">
                  <c:v>40390</c:v>
                </c:pt>
                <c:pt idx="117">
                  <c:v>40421</c:v>
                </c:pt>
                <c:pt idx="118">
                  <c:v>40451</c:v>
                </c:pt>
                <c:pt idx="119">
                  <c:v>40482</c:v>
                </c:pt>
                <c:pt idx="120">
                  <c:v>40512</c:v>
                </c:pt>
                <c:pt idx="121">
                  <c:v>40543</c:v>
                </c:pt>
                <c:pt idx="122">
                  <c:v>40574</c:v>
                </c:pt>
                <c:pt idx="123">
                  <c:v>40602</c:v>
                </c:pt>
                <c:pt idx="124">
                  <c:v>40633</c:v>
                </c:pt>
                <c:pt idx="125">
                  <c:v>40663</c:v>
                </c:pt>
                <c:pt idx="126">
                  <c:v>40694</c:v>
                </c:pt>
                <c:pt idx="127">
                  <c:v>40724</c:v>
                </c:pt>
                <c:pt idx="128">
                  <c:v>40755</c:v>
                </c:pt>
                <c:pt idx="129">
                  <c:v>40786</c:v>
                </c:pt>
                <c:pt idx="130">
                  <c:v>40816</c:v>
                </c:pt>
                <c:pt idx="131">
                  <c:v>40847</c:v>
                </c:pt>
                <c:pt idx="132">
                  <c:v>40877</c:v>
                </c:pt>
                <c:pt idx="133">
                  <c:v>40908</c:v>
                </c:pt>
                <c:pt idx="134">
                  <c:v>40939</c:v>
                </c:pt>
              </c:numCache>
            </c:numRef>
          </c:cat>
          <c:val>
            <c:numRef>
              <c:f>'Avkastning pp-systemet'!$C$23:$C$219</c:f>
              <c:numCache>
                <c:formatCode>0.0%</c:formatCode>
                <c:ptCount val="197"/>
                <c:pt idx="0">
                  <c:v>4.1944485443448101E-2</c:v>
                </c:pt>
                <c:pt idx="1">
                  <c:v>2.9213223139710559E-2</c:v>
                </c:pt>
                <c:pt idx="2">
                  <c:v>3.4470444993645266E-2</c:v>
                </c:pt>
                <c:pt idx="3">
                  <c:v>1.5265800868734553E-2</c:v>
                </c:pt>
                <c:pt idx="4">
                  <c:v>-1.8410568162869163E-3</c:v>
                </c:pt>
                <c:pt idx="5">
                  <c:v>2.0691238008785837E-2</c:v>
                </c:pt>
                <c:pt idx="6">
                  <c:v>2.985371110015975E-2</c:v>
                </c:pt>
                <c:pt idx="7">
                  <c:v>2.1832256757043877E-2</c:v>
                </c:pt>
                <c:pt idx="8">
                  <c:v>9.9048701493387632E-3</c:v>
                </c:pt>
                <c:pt idx="9">
                  <c:v>-5.8520358709966656E-3</c:v>
                </c:pt>
                <c:pt idx="10">
                  <c:v>-2.8352978395008131E-2</c:v>
                </c:pt>
                <c:pt idx="11">
                  <c:v>-1.585379730917981E-2</c:v>
                </c:pt>
                <c:pt idx="12">
                  <c:v>1.5011297694889443E-3</c:v>
                </c:pt>
                <c:pt idx="13">
                  <c:v>4.0482393961585482E-3</c:v>
                </c:pt>
                <c:pt idx="14">
                  <c:v>-5.667357900465719E-3</c:v>
                </c:pt>
                <c:pt idx="15">
                  <c:v>-3.2903120307584913E-3</c:v>
                </c:pt>
                <c:pt idx="16">
                  <c:v>2.3982886472156918E-3</c:v>
                </c:pt>
                <c:pt idx="17">
                  <c:v>-1.2952820132294431E-2</c:v>
                </c:pt>
                <c:pt idx="18">
                  <c:v>-2.2360659830725063E-2</c:v>
                </c:pt>
                <c:pt idx="19">
                  <c:v>-4.5427655968047501E-2</c:v>
                </c:pt>
                <c:pt idx="20">
                  <c:v>-6.1224875463743861E-2</c:v>
                </c:pt>
                <c:pt idx="21">
                  <c:v>-6.1997545623277285E-2</c:v>
                </c:pt>
                <c:pt idx="22">
                  <c:v>-8.5605650565585945E-2</c:v>
                </c:pt>
                <c:pt idx="23">
                  <c:v>-6.703261910928289E-2</c:v>
                </c:pt>
                <c:pt idx="24">
                  <c:v>-5.2669649763952171E-2</c:v>
                </c:pt>
                <c:pt idx="25">
                  <c:v>-7.069027551758654E-2</c:v>
                </c:pt>
                <c:pt idx="26">
                  <c:v>-7.0135071498244037E-2</c:v>
                </c:pt>
                <c:pt idx="27">
                  <c:v>-7.2571541857751262E-2</c:v>
                </c:pt>
                <c:pt idx="28">
                  <c:v>-7.1063686828130704E-2</c:v>
                </c:pt>
                <c:pt idx="29">
                  <c:v>-5.4954814205048427E-2</c:v>
                </c:pt>
                <c:pt idx="30">
                  <c:v>-5.1866752709012774E-2</c:v>
                </c:pt>
                <c:pt idx="31">
                  <c:v>-4.0726863641158295E-2</c:v>
                </c:pt>
                <c:pt idx="32">
                  <c:v>-3.2080109833262468E-2</c:v>
                </c:pt>
                <c:pt idx="33">
                  <c:v>-2.3525179201037201E-2</c:v>
                </c:pt>
                <c:pt idx="34">
                  <c:v>-3.3240878057555143E-2</c:v>
                </c:pt>
                <c:pt idx="35">
                  <c:v>-2.0371364102513268E-2</c:v>
                </c:pt>
                <c:pt idx="36">
                  <c:v>-2.0828327760144809E-2</c:v>
                </c:pt>
                <c:pt idx="37">
                  <c:v>-1.6658330381532478E-2</c:v>
                </c:pt>
                <c:pt idx="38">
                  <c:v>-4.7650734584944116E-3</c:v>
                </c:pt>
                <c:pt idx="39">
                  <c:v>1.0376537058383413E-3</c:v>
                </c:pt>
                <c:pt idx="40">
                  <c:v>6.9231923160418716E-4</c:v>
                </c:pt>
                <c:pt idx="41">
                  <c:v>-5.9282198337367719E-4</c:v>
                </c:pt>
                <c:pt idx="42">
                  <c:v>-4.4633515740136499E-3</c:v>
                </c:pt>
                <c:pt idx="43">
                  <c:v>6.494845643696661E-4</c:v>
                </c:pt>
                <c:pt idx="44">
                  <c:v>-4.0807779733609889E-3</c:v>
                </c:pt>
                <c:pt idx="45">
                  <c:v>-5.081345602871332E-3</c:v>
                </c:pt>
                <c:pt idx="46">
                  <c:v>-3.5102540217259244E-3</c:v>
                </c:pt>
                <c:pt idx="47">
                  <c:v>-3.4181846243503907E-3</c:v>
                </c:pt>
                <c:pt idx="48">
                  <c:v>3.4493808749515471E-4</c:v>
                </c:pt>
                <c:pt idx="49">
                  <c:v>3.2353919745398267E-3</c:v>
                </c:pt>
                <c:pt idx="50">
                  <c:v>1.0241518593147002E-2</c:v>
                </c:pt>
                <c:pt idx="51">
                  <c:v>1.482239235496002E-2</c:v>
                </c:pt>
                <c:pt idx="52">
                  <c:v>1.4477044854297232E-2</c:v>
                </c:pt>
                <c:pt idx="53">
                  <c:v>1.2525283838135183E-2</c:v>
                </c:pt>
                <c:pt idx="54">
                  <c:v>2.2922137451328074E-2</c:v>
                </c:pt>
                <c:pt idx="55">
                  <c:v>3.1608211033280577E-2</c:v>
                </c:pt>
                <c:pt idx="56">
                  <c:v>3.7373515279066051E-2</c:v>
                </c:pt>
                <c:pt idx="57">
                  <c:v>3.4547599092232276E-2</c:v>
                </c:pt>
                <c:pt idx="58">
                  <c:v>4.2610079736795259E-2</c:v>
                </c:pt>
                <c:pt idx="59">
                  <c:v>3.9599620455029606E-2</c:v>
                </c:pt>
                <c:pt idx="60">
                  <c:v>4.7240474686750543E-2</c:v>
                </c:pt>
                <c:pt idx="61">
                  <c:v>5.1023952329731635E-2</c:v>
                </c:pt>
                <c:pt idx="62">
                  <c:v>5.0136571265158199E-2</c:v>
                </c:pt>
                <c:pt idx="63">
                  <c:v>5.6744259739211399E-2</c:v>
                </c:pt>
                <c:pt idx="64">
                  <c:v>5.9380883833274292E-2</c:v>
                </c:pt>
                <c:pt idx="65">
                  <c:v>5.7893895207078321E-2</c:v>
                </c:pt>
                <c:pt idx="66">
                  <c:v>4.3999999999999997E-2</c:v>
                </c:pt>
                <c:pt idx="67">
                  <c:v>4.3799999999999999E-2</c:v>
                </c:pt>
                <c:pt idx="68">
                  <c:v>4.359794932972591E-2</c:v>
                </c:pt>
                <c:pt idx="69">
                  <c:v>4.7822286996518748E-2</c:v>
                </c:pt>
                <c:pt idx="70">
                  <c:v>5.1760927419626929E-2</c:v>
                </c:pt>
                <c:pt idx="71">
                  <c:v>5.5149368696020322E-2</c:v>
                </c:pt>
                <c:pt idx="72">
                  <c:v>5.3271803275811547E-2</c:v>
                </c:pt>
                <c:pt idx="73">
                  <c:v>5.8892379627384812E-2</c:v>
                </c:pt>
                <c:pt idx="74">
                  <c:v>6.2E-2</c:v>
                </c:pt>
                <c:pt idx="75">
                  <c:v>6.0193528731770071E-2</c:v>
                </c:pt>
                <c:pt idx="76">
                  <c:v>6.4564324830753222E-2</c:v>
                </c:pt>
                <c:pt idx="77">
                  <c:v>6.7463896782851265E-2</c:v>
                </c:pt>
                <c:pt idx="78">
                  <c:v>7.2349404324642028E-2</c:v>
                </c:pt>
                <c:pt idx="79">
                  <c:v>7.0343827295215947E-2</c:v>
                </c:pt>
                <c:pt idx="80">
                  <c:v>6.7299999999999999E-2</c:v>
                </c:pt>
                <c:pt idx="81">
                  <c:v>6.5489151248442859E-2</c:v>
                </c:pt>
                <c:pt idx="82">
                  <c:v>6.5394162553259028E-2</c:v>
                </c:pt>
                <c:pt idx="83">
                  <c:v>6.6821058285115434E-2</c:v>
                </c:pt>
                <c:pt idx="84">
                  <c:v>5.9590164348598797E-2</c:v>
                </c:pt>
                <c:pt idx="85">
                  <c:v>5.8044997942331818E-2</c:v>
                </c:pt>
                <c:pt idx="86">
                  <c:v>3.8598902509140144E-2</c:v>
                </c:pt>
                <c:pt idx="87">
                  <c:v>4.0303905909068509E-2</c:v>
                </c:pt>
                <c:pt idx="88">
                  <c:v>3.244250437241801E-2</c:v>
                </c:pt>
                <c:pt idx="89">
                  <c:v>3.9764054710611244E-2</c:v>
                </c:pt>
                <c:pt idx="90">
                  <c:v>4.2500000000000003E-2</c:v>
                </c:pt>
                <c:pt idx="91">
                  <c:v>2.7672873595805437E-2</c:v>
                </c:pt>
                <c:pt idx="92">
                  <c:v>2.5698025510801501E-2</c:v>
                </c:pt>
                <c:pt idx="93">
                  <c:v>2.7445335039780076E-2</c:v>
                </c:pt>
                <c:pt idx="94">
                  <c:v>1.250261342755922E-2</c:v>
                </c:pt>
                <c:pt idx="95">
                  <c:v>-7.5383875148255456E-3</c:v>
                </c:pt>
                <c:pt idx="96">
                  <c:v>-1.1504305720920358E-2</c:v>
                </c:pt>
                <c:pt idx="97">
                  <c:v>-8.1448477384566571E-3</c:v>
                </c:pt>
                <c:pt idx="98" formatCode="0.00%">
                  <c:v>-1.0905817471719459E-2</c:v>
                </c:pt>
                <c:pt idx="99" formatCode="0.00%">
                  <c:v>-1.1421187647476256E-2</c:v>
                </c:pt>
                <c:pt idx="100" formatCode="0.00%">
                  <c:v>-1.1433679364785697E-2</c:v>
                </c:pt>
                <c:pt idx="101" formatCode="0.00%">
                  <c:v>5.8475468159503363E-3</c:v>
                </c:pt>
                <c:pt idx="102" formatCode="0.00%">
                  <c:v>1.1170524943810163E-2</c:v>
                </c:pt>
                <c:pt idx="103" formatCode="0.00%">
                  <c:v>1.3029093251482361E-2</c:v>
                </c:pt>
                <c:pt idx="104" formatCode="0.00%">
                  <c:v>1.8901288726589967E-2</c:v>
                </c:pt>
                <c:pt idx="105" formatCode="0.00%">
                  <c:v>2.1092283118913844E-2</c:v>
                </c:pt>
                <c:pt idx="106" formatCode="0.00%">
                  <c:v>2.4270381294047346E-2</c:v>
                </c:pt>
                <c:pt idx="107" formatCode="0.00%">
                  <c:v>2.6668072977410431E-2</c:v>
                </c:pt>
                <c:pt idx="108" formatCode="0.00%">
                  <c:v>2.8385516527609313E-2</c:v>
                </c:pt>
                <c:pt idx="109" formatCode="0.00%">
                  <c:v>3.1944349909616948E-2</c:v>
                </c:pt>
                <c:pt idx="110" formatCode="0.00%">
                  <c:v>3.0703852564881555E-2</c:v>
                </c:pt>
                <c:pt idx="111" formatCode="0.00%">
                  <c:v>2.7390350802765685E-2</c:v>
                </c:pt>
                <c:pt idx="112" formatCode="0.00%">
                  <c:v>3.669809625032866E-2</c:v>
                </c:pt>
                <c:pt idx="113" formatCode="0.00%">
                  <c:v>3.8628510169618754E-2</c:v>
                </c:pt>
                <c:pt idx="114">
                  <c:v>3.3225234782453976E-2</c:v>
                </c:pt>
                <c:pt idx="115">
                  <c:v>3.0566288151634442E-2</c:v>
                </c:pt>
                <c:pt idx="116">
                  <c:v>3.2312782361443991E-2</c:v>
                </c:pt>
                <c:pt idx="117">
                  <c:v>2.9506999372779858E-2</c:v>
                </c:pt>
                <c:pt idx="118">
                  <c:v>3.335931017917132E-2</c:v>
                </c:pt>
                <c:pt idx="119">
                  <c:v>3.5975209023492986E-2</c:v>
                </c:pt>
                <c:pt idx="120">
                  <c:v>3.7473871553749323E-2</c:v>
                </c:pt>
                <c:pt idx="121">
                  <c:v>4.2412769241055637E-2</c:v>
                </c:pt>
                <c:pt idx="122">
                  <c:v>3.8442396321812032E-2</c:v>
                </c:pt>
                <c:pt idx="123">
                  <c:v>3.8625571906551304E-2</c:v>
                </c:pt>
                <c:pt idx="124">
                  <c:v>3.905410892308208E-2</c:v>
                </c:pt>
                <c:pt idx="125">
                  <c:v>3.9851568220885765E-2</c:v>
                </c:pt>
                <c:pt idx="126">
                  <c:v>3.8890105359171354E-2</c:v>
                </c:pt>
                <c:pt idx="127">
                  <c:v>3.7436450723536942E-2</c:v>
                </c:pt>
                <c:pt idx="128">
                  <c:v>3.4277375851144785E-2</c:v>
                </c:pt>
                <c:pt idx="129">
                  <c:v>2.3176244540428031E-2</c:v>
                </c:pt>
                <c:pt idx="130">
                  <c:v>1.6991182799443404E-2</c:v>
                </c:pt>
                <c:pt idx="131">
                  <c:v>2.4613764648437501E-2</c:v>
                </c:pt>
                <c:pt idx="132">
                  <c:v>2.3371118164062503E-2</c:v>
                </c:pt>
                <c:pt idx="133">
                  <c:v>2.412726074218751E-2</c:v>
                </c:pt>
                <c:pt idx="134">
                  <c:v>3.1015268554687503E-2</c:v>
                </c:pt>
              </c:numCache>
            </c:numRef>
          </c:val>
          <c:smooth val="0"/>
        </c:ser>
        <c:ser>
          <c:idx val="2"/>
          <c:order val="1"/>
          <c:tx>
            <c:v>Premiepensionssystemet, realt (IR)</c:v>
          </c:tx>
          <c:spPr>
            <a:ln w="3175">
              <a:solidFill>
                <a:srgbClr val="FFB70F"/>
              </a:solidFill>
              <a:prstDash val="solid"/>
            </a:ln>
          </c:spPr>
          <c:marker>
            <c:symbol val="none"/>
          </c:marker>
          <c:val>
            <c:numRef>
              <c:f>'Avkastning pp-systemet'!$D$23:$D$160</c:f>
              <c:numCache>
                <c:formatCode>0.0%</c:formatCode>
                <c:ptCount val="138"/>
                <c:pt idx="0">
                  <c:v>3.4185081486749702E-2</c:v>
                </c:pt>
                <c:pt idx="1">
                  <c:v>2.1548629423359555E-2</c:v>
                </c:pt>
                <c:pt idx="2">
                  <c:v>2.7404682439887473E-2</c:v>
                </c:pt>
                <c:pt idx="3">
                  <c:v>7.8503517895816E-3</c:v>
                </c:pt>
                <c:pt idx="4">
                  <c:v>-1.0267239300616793E-2</c:v>
                </c:pt>
                <c:pt idx="5">
                  <c:v>1.0771200659497771E-2</c:v>
                </c:pt>
                <c:pt idx="6">
                  <c:v>1.8881108471976438E-2</c:v>
                </c:pt>
                <c:pt idx="7">
                  <c:v>1.1325475944840457E-2</c:v>
                </c:pt>
                <c:pt idx="8">
                  <c:v>4.7028351006228597E-4</c:v>
                </c:pt>
                <c:pt idx="9">
                  <c:v>-1.5417734422042306E-2</c:v>
                </c:pt>
                <c:pt idx="10">
                  <c:v>-3.8834699205131495E-2</c:v>
                </c:pt>
                <c:pt idx="11">
                  <c:v>-2.5904718303681462E-2</c:v>
                </c:pt>
                <c:pt idx="12">
                  <c:v>-8.6559676423678678E-3</c:v>
                </c:pt>
                <c:pt idx="13">
                  <c:v>-6.1731336402864878E-3</c:v>
                </c:pt>
                <c:pt idx="14">
                  <c:v>-1.5298287953683931E-2</c:v>
                </c:pt>
                <c:pt idx="15">
                  <c:v>-1.3144274988336146E-2</c:v>
                </c:pt>
                <c:pt idx="16">
                  <c:v>-8.6379847426899525E-3</c:v>
                </c:pt>
                <c:pt idx="17">
                  <c:v>-2.4244469021596826E-2</c:v>
                </c:pt>
                <c:pt idx="18">
                  <c:v>-3.3758340216878069E-2</c:v>
                </c:pt>
                <c:pt idx="19">
                  <c:v>-5.6242413003703695E-2</c:v>
                </c:pt>
                <c:pt idx="20">
                  <c:v>-7.1328747213725285E-2</c:v>
                </c:pt>
                <c:pt idx="21">
                  <c:v>-7.2026959066810781E-2</c:v>
                </c:pt>
                <c:pt idx="22">
                  <c:v>-9.6191525348371942E-2</c:v>
                </c:pt>
                <c:pt idx="23">
                  <c:v>-7.811047611313271E-2</c:v>
                </c:pt>
                <c:pt idx="24">
                  <c:v>-6.3490325914083545E-2</c:v>
                </c:pt>
                <c:pt idx="25">
                  <c:v>-8.1363488144732155E-2</c:v>
                </c:pt>
                <c:pt idx="26">
                  <c:v>-8.1082083561948126E-2</c:v>
                </c:pt>
                <c:pt idx="27">
                  <c:v>-8.4368288687806992E-2</c:v>
                </c:pt>
                <c:pt idx="28">
                  <c:v>-8.3327589721909345E-2</c:v>
                </c:pt>
                <c:pt idx="29">
                  <c:v>-6.6895914983121973E-2</c:v>
                </c:pt>
                <c:pt idx="30">
                  <c:v>-6.3604430327384165E-2</c:v>
                </c:pt>
                <c:pt idx="31">
                  <c:v>-5.2157286858934504E-2</c:v>
                </c:pt>
                <c:pt idx="32">
                  <c:v>-4.3131071458743397E-2</c:v>
                </c:pt>
                <c:pt idx="33">
                  <c:v>-3.4524092565202391E-2</c:v>
                </c:pt>
                <c:pt idx="34">
                  <c:v>-4.4827020282767416E-2</c:v>
                </c:pt>
                <c:pt idx="35">
                  <c:v>-3.2079646012366569E-2</c:v>
                </c:pt>
                <c:pt idx="36">
                  <c:v>-3.2182176662197692E-2</c:v>
                </c:pt>
                <c:pt idx="37">
                  <c:v>-2.8072136451758656E-2</c:v>
                </c:pt>
                <c:pt idx="38">
                  <c:v>-1.5971690400716887E-2</c:v>
                </c:pt>
                <c:pt idx="39">
                  <c:v>-9.8531879500926012E-3</c:v>
                </c:pt>
                <c:pt idx="40">
                  <c:v>-1.0917284193586507E-2</c:v>
                </c:pt>
                <c:pt idx="41">
                  <c:v>-1.2082717703069346E-2</c:v>
                </c:pt>
                <c:pt idx="42">
                  <c:v>-1.6072427072010176E-2</c:v>
                </c:pt>
                <c:pt idx="43">
                  <c:v>-1.0460542731541622E-2</c:v>
                </c:pt>
                <c:pt idx="44">
                  <c:v>-1.489083907696509E-2</c:v>
                </c:pt>
                <c:pt idx="45">
                  <c:v>-1.5674661955586866E-2</c:v>
                </c:pt>
                <c:pt idx="46">
                  <c:v>-1.476524487914932E-2</c:v>
                </c:pt>
                <c:pt idx="47">
                  <c:v>-1.4868318328853047E-2</c:v>
                </c:pt>
                <c:pt idx="48">
                  <c:v>-1.0471397953667361E-2</c:v>
                </c:pt>
                <c:pt idx="49">
                  <c:v>-7.5207632668000679E-3</c:v>
                </c:pt>
                <c:pt idx="50">
                  <c:v>4.3491823343178027E-5</c:v>
                </c:pt>
                <c:pt idx="51">
                  <c:v>4.1942931763401248E-3</c:v>
                </c:pt>
                <c:pt idx="52">
                  <c:v>3.7261994448885005E-3</c:v>
                </c:pt>
                <c:pt idx="53">
                  <c:v>1.741840457652799E-3</c:v>
                </c:pt>
                <c:pt idx="54">
                  <c:v>1.2080834781232008E-2</c:v>
                </c:pt>
                <c:pt idx="55">
                  <c:v>2.0727322154043826E-2</c:v>
                </c:pt>
                <c:pt idx="56">
                  <c:v>2.6871026698744638E-2</c:v>
                </c:pt>
                <c:pt idx="57">
                  <c:v>2.3982048101524711E-2</c:v>
                </c:pt>
                <c:pt idx="58">
                  <c:v>3.1351522851562619E-2</c:v>
                </c:pt>
                <c:pt idx="59">
                  <c:v>2.8289954554848729E-2</c:v>
                </c:pt>
                <c:pt idx="60">
                  <c:v>3.6174714678961495E-2</c:v>
                </c:pt>
                <c:pt idx="61">
                  <c:v>3.9969120847023198E-2</c:v>
                </c:pt>
                <c:pt idx="62">
                  <c:v>3.9924696157996209E-2</c:v>
                </c:pt>
                <c:pt idx="63">
                  <c:v>4.6057149056302427E-2</c:v>
                </c:pt>
                <c:pt idx="64">
                  <c:v>4.8141964784657709E-2</c:v>
                </c:pt>
                <c:pt idx="65">
                  <c:v>4.6268814703733341E-2</c:v>
                </c:pt>
                <c:pt idx="66">
                  <c:v>3.2266482805877184E-2</c:v>
                </c:pt>
                <c:pt idx="67">
                  <c:v>3.2376415782498835E-2</c:v>
                </c:pt>
                <c:pt idx="68">
                  <c:v>3.2415263728103216E-2</c:v>
                </c:pt>
                <c:pt idx="69">
                  <c:v>3.6615016583132709E-2</c:v>
                </c:pt>
                <c:pt idx="70">
                  <c:v>4.0069293877977863E-2</c:v>
                </c:pt>
                <c:pt idx="71">
                  <c:v>4.3494004748145132E-2</c:v>
                </c:pt>
                <c:pt idx="72">
                  <c:v>4.1607747360923319E-2</c:v>
                </c:pt>
                <c:pt idx="73">
                  <c:v>4.7248204632641677E-2</c:v>
                </c:pt>
                <c:pt idx="74">
                  <c:v>5.0643140205407722E-2</c:v>
                </c:pt>
                <c:pt idx="75">
                  <c:v>4.8689985855187246E-2</c:v>
                </c:pt>
                <c:pt idx="76">
                  <c:v>5.2522620695754307E-2</c:v>
                </c:pt>
                <c:pt idx="77">
                  <c:v>5.5033553075613639E-2</c:v>
                </c:pt>
                <c:pt idx="78">
                  <c:v>6.0039238342899148E-2</c:v>
                </c:pt>
                <c:pt idx="79">
                  <c:v>5.8000055826007646E-2</c:v>
                </c:pt>
                <c:pt idx="80">
                  <c:v>5.5202713208013732E-2</c:v>
                </c:pt>
                <c:pt idx="81">
                  <c:v>5.3521367869992176E-2</c:v>
                </c:pt>
                <c:pt idx="82">
                  <c:v>5.2674689687163712E-2</c:v>
                </c:pt>
                <c:pt idx="83">
                  <c:v>5.3727785198714129E-2</c:v>
                </c:pt>
                <c:pt idx="84">
                  <c:v>4.6141160304356443E-2</c:v>
                </c:pt>
                <c:pt idx="85">
                  <c:v>4.4545527707018584E-2</c:v>
                </c:pt>
                <c:pt idx="86">
                  <c:v>2.6024271859803161E-2</c:v>
                </c:pt>
                <c:pt idx="87">
                  <c:v>2.7461672860831232E-2</c:v>
                </c:pt>
                <c:pt idx="88">
                  <c:v>1.9037555292700015E-2</c:v>
                </c:pt>
                <c:pt idx="89">
                  <c:v>2.6007256561989545E-2</c:v>
                </c:pt>
                <c:pt idx="90">
                  <c:v>2.8487882226032157E-2</c:v>
                </c:pt>
                <c:pt idx="91">
                  <c:v>1.358501620340391E-2</c:v>
                </c:pt>
                <c:pt idx="92">
                  <c:v>1.1878917786482424E-2</c:v>
                </c:pt>
                <c:pt idx="93">
                  <c:v>1.3558157509492297E-2</c:v>
                </c:pt>
                <c:pt idx="94">
                  <c:v>-1.8499898710262475E-3</c:v>
                </c:pt>
                <c:pt idx="95">
                  <c:v>-2.1634276779328276E-2</c:v>
                </c:pt>
                <c:pt idx="96">
                  <c:v>-2.4876939720925084E-2</c:v>
                </c:pt>
                <c:pt idx="97">
                  <c:v>-2.0525774681651843E-2</c:v>
                </c:pt>
                <c:pt idx="98">
                  <c:v>-2.2917707176761448E-2</c:v>
                </c:pt>
                <c:pt idx="99">
                  <c:v>-2.3372180736469406E-2</c:v>
                </c:pt>
                <c:pt idx="100">
                  <c:v>-2.3511776323394629E-2</c:v>
                </c:pt>
                <c:pt idx="101">
                  <c:v>-6.4777286344437357E-3</c:v>
                </c:pt>
                <c:pt idx="102">
                  <c:v>-1.1924484536891544E-3</c:v>
                </c:pt>
                <c:pt idx="103">
                  <c:v>5.473128672552896E-4</c:v>
                </c:pt>
                <c:pt idx="104">
                  <c:v>6.7386723308759944E-3</c:v>
                </c:pt>
                <c:pt idx="105">
                  <c:v>8.8289205702789531E-3</c:v>
                </c:pt>
                <c:pt idx="106">
                  <c:v>1.1823532400842218E-2</c:v>
                </c:pt>
                <c:pt idx="107">
                  <c:v>1.4087793226733147E-2</c:v>
                </c:pt>
                <c:pt idx="108">
                  <c:v>1.5873251118418308E-2</c:v>
                </c:pt>
                <c:pt idx="109">
                  <c:v>1.9308385716834797E-2</c:v>
                </c:pt>
                <c:pt idx="110">
                  <c:v>1.8584471684042425E-2</c:v>
                </c:pt>
                <c:pt idx="111">
                  <c:v>1.4971511735579091E-2</c:v>
                </c:pt>
                <c:pt idx="112">
                  <c:v>2.4071410714172625E-2</c:v>
                </c:pt>
                <c:pt idx="113">
                  <c:v>2.603844629148E-2</c:v>
                </c:pt>
                <c:pt idx="114">
                  <c:v>2.0644845305179516E-2</c:v>
                </c:pt>
                <c:pt idx="115">
                  <c:v>1.8075096199156038E-2</c:v>
                </c:pt>
                <c:pt idx="116">
                  <c:v>2.0071045031447188E-2</c:v>
                </c:pt>
                <c:pt idx="117">
                  <c:v>1.7359436795189032E-2</c:v>
                </c:pt>
                <c:pt idx="118">
                  <c:v>2.0682496548403373E-2</c:v>
                </c:pt>
                <c:pt idx="119">
                  <c:v>2.3125833495651227E-2</c:v>
                </c:pt>
                <c:pt idx="120">
                  <c:v>2.4458909450991939E-2</c:v>
                </c:pt>
                <c:pt idx="121">
                  <c:v>2.8949994981807947E-2</c:v>
                </c:pt>
                <c:pt idx="122">
                  <c:v>2.5641282056729553E-2</c:v>
                </c:pt>
                <c:pt idx="123">
                  <c:v>2.5498098365235977E-2</c:v>
                </c:pt>
                <c:pt idx="124">
                  <c:v>2.5557541452574606E-2</c:v>
                </c:pt>
                <c:pt idx="125">
                  <c:v>2.61421381643685E-2</c:v>
                </c:pt>
                <c:pt idx="126">
                  <c:v>2.5145744937958403E-2</c:v>
                </c:pt>
                <c:pt idx="127">
                  <c:v>2.3929728238789583E-2</c:v>
                </c:pt>
                <c:pt idx="128">
                  <c:v>2.0909664735007993E-2</c:v>
                </c:pt>
                <c:pt idx="129">
                  <c:v>9.9986986813036527E-3</c:v>
                </c:pt>
                <c:pt idx="130">
                  <c:v>3.5362049089282532E-3</c:v>
                </c:pt>
                <c:pt idx="131">
                  <c:v>1.1123333942320901E-2</c:v>
                </c:pt>
                <c:pt idx="132">
                  <c:v>9.8214578965045707E-3</c:v>
                </c:pt>
                <c:pt idx="133">
                  <c:v>1.0515910236677195E-2</c:v>
                </c:pt>
              </c:numCache>
            </c:numRef>
          </c:val>
          <c:smooth val="0"/>
        </c:ser>
        <c:ser>
          <c:idx val="1"/>
          <c:order val="2"/>
          <c:tx>
            <c:strRef>
              <c:f>'Avkastning pp-systemet'!$E$21:$E$22</c:f>
              <c:strCache>
                <c:ptCount val="1"/>
                <c:pt idx="0">
                  <c:v>Balansindex, (IR)</c:v>
                </c:pt>
              </c:strCache>
            </c:strRef>
          </c:tx>
          <c:spPr>
            <a:ln w="12700">
              <a:solidFill>
                <a:srgbClr val="E34912"/>
              </a:solidFill>
              <a:prstDash val="solid"/>
            </a:ln>
          </c:spPr>
          <c:marker>
            <c:symbol val="circle"/>
            <c:size val="5"/>
            <c:spPr>
              <a:solidFill>
                <a:srgbClr val="E34912"/>
              </a:solidFill>
              <a:ln>
                <a:solidFill>
                  <a:srgbClr val="E34912"/>
                </a:solidFill>
                <a:prstDash val="solid"/>
              </a:ln>
            </c:spPr>
          </c:marker>
          <c:trendline>
            <c:spPr>
              <a:ln w="38100">
                <a:solidFill>
                  <a:srgbClr val="E34912"/>
                </a:solidFill>
                <a:prstDash val="solid"/>
              </a:ln>
            </c:spPr>
            <c:trendlineType val="movingAvg"/>
            <c:period val="2"/>
            <c:dispRSqr val="0"/>
            <c:dispEq val="0"/>
          </c:trendline>
          <c:val>
            <c:numRef>
              <c:f>'Avkastning pp-systemet'!$E$23:$E$156</c:f>
              <c:numCache>
                <c:formatCode>0.0%</c:formatCode>
                <c:ptCount val="134"/>
                <c:pt idx="1">
                  <c:v>2.136166095733642E-2</c:v>
                </c:pt>
                <c:pt idx="13">
                  <c:v>2.276482105255127E-2</c:v>
                </c:pt>
                <c:pt idx="25">
                  <c:v>2.9435410499572753E-2</c:v>
                </c:pt>
                <c:pt idx="37">
                  <c:v>3.1078791618347163E-2</c:v>
                </c:pt>
                <c:pt idx="49">
                  <c:v>2.9857726097106928E-2</c:v>
                </c:pt>
                <c:pt idx="61">
                  <c:v>2.89111852645874E-2</c:v>
                </c:pt>
                <c:pt idx="73">
                  <c:v>2.9000000000000001E-2</c:v>
                </c:pt>
                <c:pt idx="85">
                  <c:v>3.1099999999999999E-2</c:v>
                </c:pt>
                <c:pt idx="97">
                  <c:v>3.5105043945312511E-2</c:v>
                </c:pt>
                <c:pt idx="109">
                  <c:v>2.79359130859375E-2</c:v>
                </c:pt>
                <c:pt idx="121">
                  <c:v>2.15332568359375E-2</c:v>
                </c:pt>
                <c:pt idx="133">
                  <c:v>2.0072153320312508E-2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'Avkastning pp-systemet'!$F$21:$F$22</c:f>
              <c:strCache>
                <c:ptCount val="1"/>
                <c:pt idx="0">
                  <c:v>Balansindex, realt (IR)</c:v>
                </c:pt>
              </c:strCache>
            </c:strRef>
          </c:tx>
          <c:spPr>
            <a:ln w="12700">
              <a:solidFill>
                <a:srgbClr val="E34912"/>
              </a:solidFill>
              <a:prstDash val="solid"/>
            </a:ln>
          </c:spPr>
          <c:marker>
            <c:symbol val="circle"/>
            <c:size val="5"/>
            <c:spPr>
              <a:solidFill>
                <a:srgbClr val="D53044"/>
              </a:solidFill>
              <a:ln>
                <a:solidFill>
                  <a:srgbClr val="D53044"/>
                </a:solidFill>
                <a:prstDash val="solid"/>
              </a:ln>
            </c:spPr>
          </c:marker>
          <c:trendline>
            <c:spPr>
              <a:ln w="12700">
                <a:solidFill>
                  <a:srgbClr val="E34912"/>
                </a:solidFill>
                <a:prstDash val="solid"/>
              </a:ln>
            </c:spPr>
            <c:trendlineType val="movingAvg"/>
            <c:period val="2"/>
            <c:dispRSqr val="0"/>
            <c:dispEq val="0"/>
          </c:trendline>
          <c:val>
            <c:numRef>
              <c:f>'Avkastning pp-systemet'!$F$23:$F$156</c:f>
              <c:numCache>
                <c:formatCode>0.0%</c:formatCode>
                <c:ptCount val="134"/>
                <c:pt idx="1">
                  <c:v>1.4385435572878524E-2</c:v>
                </c:pt>
                <c:pt idx="13">
                  <c:v>1.2858501944238876E-2</c:v>
                </c:pt>
                <c:pt idx="25">
                  <c:v>1.731618596262785E-2</c:v>
                </c:pt>
                <c:pt idx="37">
                  <c:v>1.946856297105648E-2</c:v>
                </c:pt>
                <c:pt idx="49">
                  <c:v>1.946168072920984E-2</c:v>
                </c:pt>
                <c:pt idx="61">
                  <c:v>1.8905712826249532E-2</c:v>
                </c:pt>
                <c:pt idx="73">
                  <c:v>1.8187786090944069E-2</c:v>
                </c:pt>
                <c:pt idx="85">
                  <c:v>1.7944317787332631E-2</c:v>
                </c:pt>
                <c:pt idx="97">
                  <c:v>2.2184246086472958E-2</c:v>
                </c:pt>
                <c:pt idx="109">
                  <c:v>1.5349031447052131E-2</c:v>
                </c:pt>
                <c:pt idx="121">
                  <c:v>8.3401417466919536E-3</c:v>
                </c:pt>
                <c:pt idx="133">
                  <c:v>6.5146979610135602E-3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97388544"/>
        <c:axId val="196808704"/>
      </c:lineChart>
      <c:dateAx>
        <c:axId val="197388544"/>
        <c:scaling>
          <c:orientation val="minMax"/>
          <c:max val="41275"/>
        </c:scaling>
        <c:delete val="0"/>
        <c:axPos val="b"/>
        <c:numFmt formatCode="yyyy;@" sourceLinked="0"/>
        <c:majorTickMark val="cross"/>
        <c:minorTickMark val="none"/>
        <c:tickLblPos val="low"/>
        <c:spPr>
          <a:ln w="3175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333333"/>
                </a:solidFill>
                <a:latin typeface="Arial"/>
                <a:ea typeface="Arial"/>
                <a:cs typeface="Arial"/>
              </a:defRPr>
            </a:pPr>
            <a:endParaRPr lang="sv-SE"/>
          </a:p>
        </c:txPr>
        <c:crossAx val="196808704"/>
        <c:crosses val="autoZero"/>
        <c:auto val="1"/>
        <c:lblOffset val="100"/>
        <c:baseTimeUnit val="months"/>
        <c:majorUnit val="1"/>
        <c:majorTimeUnit val="years"/>
        <c:minorUnit val="1"/>
        <c:minorTimeUnit val="years"/>
      </c:dateAx>
      <c:valAx>
        <c:axId val="196808704"/>
        <c:scaling>
          <c:orientation val="minMax"/>
          <c:max val="0.08"/>
          <c:min val="-0.1"/>
        </c:scaling>
        <c:delete val="0"/>
        <c:axPos val="l"/>
        <c:majorGridlines>
          <c:spPr>
            <a:ln w="3175">
              <a:solidFill>
                <a:srgbClr val="C0C0C0"/>
              </a:solidFill>
              <a:prstDash val="sysDash"/>
            </a:ln>
          </c:spPr>
        </c:majorGridlines>
        <c:numFmt formatCode="0%" sourceLinked="0"/>
        <c:majorTickMark val="out"/>
        <c:minorTickMark val="none"/>
        <c:tickLblPos val="nextTo"/>
        <c:spPr>
          <a:ln w="3175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333333"/>
                </a:solidFill>
                <a:latin typeface="Arial"/>
                <a:ea typeface="Arial"/>
                <a:cs typeface="Arial"/>
              </a:defRPr>
            </a:pPr>
            <a:endParaRPr lang="sv-SE"/>
          </a:p>
        </c:txPr>
        <c:crossAx val="197388544"/>
        <c:crosses val="autoZero"/>
        <c:crossBetween val="midCat"/>
      </c:valAx>
      <c:spPr>
        <a:noFill/>
        <a:ln w="25400">
          <a:noFill/>
        </a:ln>
      </c:spPr>
    </c:plotArea>
    <c:legend>
      <c:legendPos val="r"/>
      <c:legendEntry>
        <c:idx val="4"/>
        <c:delete val="1"/>
      </c:legendEntry>
      <c:legendEntry>
        <c:idx val="5"/>
        <c:delete val="1"/>
      </c:legendEntry>
      <c:layout>
        <c:manualLayout>
          <c:xMode val="edge"/>
          <c:yMode val="edge"/>
          <c:x val="1.9427402862985686E-2"/>
          <c:y val="0.88144474208765133"/>
          <c:w val="0.96625863484855801"/>
          <c:h val="0.10652939001181549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1010" b="0" i="0" u="none" strike="noStrike" baseline="0">
              <a:solidFill>
                <a:srgbClr val="333333"/>
              </a:solidFill>
              <a:latin typeface="Arial"/>
              <a:ea typeface="Arial"/>
              <a:cs typeface="Arial"/>
            </a:defRPr>
          </a:pPr>
          <a:endParaRPr lang="sv-SE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969696"/>
      </a:solidFill>
      <a:prstDash val="solid"/>
    </a:ln>
  </c:spPr>
  <c:txPr>
    <a:bodyPr/>
    <a:lstStyle/>
    <a:p>
      <a:pPr>
        <a:defRPr sz="1025" b="0" i="0" u="none" strike="noStrike" baseline="0">
          <a:solidFill>
            <a:srgbClr val="333333"/>
          </a:solidFill>
          <a:latin typeface="Arial"/>
          <a:ea typeface="Arial"/>
          <a:cs typeface="Arial"/>
        </a:defRPr>
      </a:pPr>
      <a:endParaRPr lang="sv-SE"/>
    </a:p>
  </c:txPr>
  <c:printSettings>
    <c:headerFooter alignWithMargins="0"/>
    <c:pageMargins b="1" l="0.75" r="0.75" t="1" header="0.5" footer="0.5"/>
    <c:pageSetup paperSize="9" orientation="landscape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sv-SE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sv-SE"/>
              <a:t>Värdeutveckling - fondrörelsen per kalenderår</a:t>
            </a:r>
          </a:p>
        </c:rich>
      </c:tx>
      <c:layout>
        <c:manualLayout>
          <c:xMode val="edge"/>
          <c:yMode val="edge"/>
          <c:x val="0.30959784825658399"/>
          <c:y val="2.823920265780731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6.5015545399116151E-2"/>
          <c:y val="0.15116279069767441"/>
          <c:w val="0.92088149971965583"/>
          <c:h val="0.68438538205980071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'Index, fondrörelsen'!$B$12</c:f>
              <c:strCache>
                <c:ptCount val="1"/>
                <c:pt idx="0">
                  <c:v>Värdeutveckling i fondrörelsen</c:v>
                </c:pt>
              </c:strCache>
            </c:strRef>
          </c:tx>
          <c:spPr>
            <a:solidFill>
              <a:srgbClr val="FFB70F"/>
            </a:solidFill>
            <a:ln w="25400">
              <a:noFill/>
            </a:ln>
          </c:spPr>
          <c:invertIfNegative val="0"/>
          <c:cat>
            <c:numRef>
              <c:f>'Index, fondrörelsen'!$C$11:$N$11</c:f>
              <c:numCache>
                <c:formatCode>General</c:formatCode>
                <c:ptCount val="12"/>
                <c:pt idx="0">
                  <c:v>2001</c:v>
                </c:pt>
                <c:pt idx="1">
                  <c:v>2002</c:v>
                </c:pt>
                <c:pt idx="2">
                  <c:v>2003</c:v>
                </c:pt>
                <c:pt idx="3">
                  <c:v>2004</c:v>
                </c:pt>
                <c:pt idx="4">
                  <c:v>2005</c:v>
                </c:pt>
                <c:pt idx="5" formatCode="yyyy;@">
                  <c:v>39082</c:v>
                </c:pt>
                <c:pt idx="6">
                  <c:v>2007</c:v>
                </c:pt>
                <c:pt idx="7">
                  <c:v>2008</c:v>
                </c:pt>
                <c:pt idx="8" formatCode="0">
                  <c:v>2009</c:v>
                </c:pt>
                <c:pt idx="9" formatCode="0">
                  <c:v>2010</c:v>
                </c:pt>
                <c:pt idx="10" formatCode="0">
                  <c:v>2011</c:v>
                </c:pt>
                <c:pt idx="11" formatCode="m/d/yyyy">
                  <c:v>40939</c:v>
                </c:pt>
              </c:numCache>
            </c:numRef>
          </c:cat>
          <c:val>
            <c:numRef>
              <c:f>'Index, fondrörelsen'!$C$12:$N$12</c:f>
              <c:numCache>
                <c:formatCode>0.0%</c:formatCode>
                <c:ptCount val="12"/>
                <c:pt idx="0">
                  <c:v>-0.111</c:v>
                </c:pt>
                <c:pt idx="1">
                  <c:v>-0.31223079839764201</c:v>
                </c:pt>
                <c:pt idx="2">
                  <c:v>0.1782730775091621</c:v>
                </c:pt>
                <c:pt idx="3">
                  <c:v>8.7501758829949594E-2</c:v>
                </c:pt>
                <c:pt idx="4">
                  <c:v>0.30552648011758543</c:v>
                </c:pt>
                <c:pt idx="5">
                  <c:v>0.12140116450721394</c:v>
                </c:pt>
                <c:pt idx="6">
                  <c:v>5.6636805614445285E-2</c:v>
                </c:pt>
                <c:pt idx="7">
                  <c:v>-0.34156819000074978</c:v>
                </c:pt>
                <c:pt idx="8">
                  <c:v>0.34685505788951732</c:v>
                </c:pt>
                <c:pt idx="9">
                  <c:v>0.12151293044644662</c:v>
                </c:pt>
                <c:pt idx="10">
                  <c:v>-0.10687426681227297</c:v>
                </c:pt>
                <c:pt idx="11">
                  <c:v>5.8039755815538996E-2</c:v>
                </c:pt>
              </c:numCache>
            </c:numRef>
          </c:val>
        </c:ser>
        <c:ser>
          <c:idx val="2"/>
          <c:order val="1"/>
          <c:tx>
            <c:strRef>
              <c:f>'Index, fondrörelsen'!$B$13</c:f>
              <c:strCache>
                <c:ptCount val="1"/>
                <c:pt idx="0">
                  <c:v>Sjunde AP-fonden</c:v>
                </c:pt>
              </c:strCache>
            </c:strRef>
          </c:tx>
          <c:spPr>
            <a:solidFill>
              <a:srgbClr val="5EB0E6"/>
            </a:solidFill>
            <a:ln w="25400">
              <a:noFill/>
            </a:ln>
          </c:spPr>
          <c:invertIfNegative val="0"/>
          <c:dPt>
            <c:idx val="0"/>
            <c:invertIfNegative val="0"/>
            <c:bubble3D val="0"/>
            <c:spPr>
              <a:solidFill>
                <a:srgbClr val="969696"/>
              </a:solidFill>
              <a:ln w="25400">
                <a:noFill/>
              </a:ln>
            </c:spPr>
          </c:dPt>
          <c:dPt>
            <c:idx val="1"/>
            <c:invertIfNegative val="0"/>
            <c:bubble3D val="0"/>
            <c:spPr>
              <a:solidFill>
                <a:srgbClr val="969696"/>
              </a:solidFill>
              <a:ln w="25400">
                <a:noFill/>
              </a:ln>
            </c:spPr>
          </c:dPt>
          <c:dPt>
            <c:idx val="2"/>
            <c:invertIfNegative val="0"/>
            <c:bubble3D val="0"/>
            <c:spPr>
              <a:solidFill>
                <a:srgbClr val="969696"/>
              </a:solidFill>
              <a:ln w="25400">
                <a:noFill/>
              </a:ln>
            </c:spPr>
          </c:dPt>
          <c:dPt>
            <c:idx val="3"/>
            <c:invertIfNegative val="0"/>
            <c:bubble3D val="0"/>
            <c:spPr>
              <a:solidFill>
                <a:srgbClr val="969696"/>
              </a:solidFill>
              <a:ln w="25400">
                <a:noFill/>
              </a:ln>
            </c:spPr>
          </c:dPt>
          <c:dPt>
            <c:idx val="4"/>
            <c:invertIfNegative val="0"/>
            <c:bubble3D val="0"/>
            <c:spPr>
              <a:solidFill>
                <a:srgbClr val="969696"/>
              </a:solidFill>
              <a:ln w="25400">
                <a:noFill/>
              </a:ln>
            </c:spPr>
          </c:dPt>
          <c:dPt>
            <c:idx val="5"/>
            <c:invertIfNegative val="0"/>
            <c:bubble3D val="0"/>
            <c:spPr>
              <a:solidFill>
                <a:srgbClr val="969696"/>
              </a:solidFill>
              <a:ln w="25400">
                <a:noFill/>
              </a:ln>
            </c:spPr>
          </c:dPt>
          <c:dPt>
            <c:idx val="6"/>
            <c:invertIfNegative val="0"/>
            <c:bubble3D val="0"/>
            <c:spPr>
              <a:solidFill>
                <a:srgbClr val="969696"/>
              </a:solidFill>
              <a:ln w="25400">
                <a:noFill/>
              </a:ln>
            </c:spPr>
          </c:dPt>
          <c:dPt>
            <c:idx val="7"/>
            <c:invertIfNegative val="0"/>
            <c:bubble3D val="0"/>
            <c:spPr>
              <a:solidFill>
                <a:srgbClr val="969696"/>
              </a:solidFill>
              <a:ln w="25400">
                <a:noFill/>
              </a:ln>
            </c:spPr>
          </c:dPt>
          <c:dPt>
            <c:idx val="8"/>
            <c:invertIfNegative val="0"/>
            <c:bubble3D val="0"/>
            <c:spPr>
              <a:solidFill>
                <a:srgbClr val="969696"/>
              </a:solidFill>
              <a:ln w="25400">
                <a:noFill/>
              </a:ln>
            </c:spPr>
          </c:dPt>
          <c:dPt>
            <c:idx val="9"/>
            <c:invertIfNegative val="0"/>
            <c:bubble3D val="0"/>
            <c:spPr>
              <a:pattFill prst="wdUpDiag">
                <a:fgClr>
                  <a:srgbClr xmlns:mc="http://schemas.openxmlformats.org/markup-compatibility/2006" xmlns:a14="http://schemas.microsoft.com/office/drawing/2010/main" val="5EB0E6" mc:Ignorable="a14" a14:legacySpreadsheetColorIndex="19"/>
                </a:fgClr>
                <a:bgClr>
                  <a:srgbClr xmlns:mc="http://schemas.openxmlformats.org/markup-compatibility/2006" xmlns:a14="http://schemas.microsoft.com/office/drawing/2010/main" val="969696" mc:Ignorable="a14" a14:legacySpreadsheetColorIndex="55"/>
                </a:bgClr>
              </a:pattFill>
              <a:ln w="25400">
                <a:noFill/>
              </a:ln>
            </c:spPr>
          </c:dPt>
          <c:cat>
            <c:numRef>
              <c:f>'Index, fondrörelsen'!$C$11:$N$11</c:f>
              <c:numCache>
                <c:formatCode>General</c:formatCode>
                <c:ptCount val="12"/>
                <c:pt idx="0">
                  <c:v>2001</c:v>
                </c:pt>
                <c:pt idx="1">
                  <c:v>2002</c:v>
                </c:pt>
                <c:pt idx="2">
                  <c:v>2003</c:v>
                </c:pt>
                <c:pt idx="3">
                  <c:v>2004</c:v>
                </c:pt>
                <c:pt idx="4">
                  <c:v>2005</c:v>
                </c:pt>
                <c:pt idx="5" formatCode="yyyy;@">
                  <c:v>39082</c:v>
                </c:pt>
                <c:pt idx="6">
                  <c:v>2007</c:v>
                </c:pt>
                <c:pt idx="7">
                  <c:v>2008</c:v>
                </c:pt>
                <c:pt idx="8" formatCode="0">
                  <c:v>2009</c:v>
                </c:pt>
                <c:pt idx="9" formatCode="0">
                  <c:v>2010</c:v>
                </c:pt>
                <c:pt idx="10" formatCode="0">
                  <c:v>2011</c:v>
                </c:pt>
                <c:pt idx="11" formatCode="m/d/yyyy">
                  <c:v>40939</c:v>
                </c:pt>
              </c:numCache>
            </c:numRef>
          </c:cat>
          <c:val>
            <c:numRef>
              <c:f>'Index, fondrörelsen'!$C$13:$N$13</c:f>
              <c:numCache>
                <c:formatCode>0.0%</c:formatCode>
                <c:ptCount val="12"/>
                <c:pt idx="0">
                  <c:v>-0.106</c:v>
                </c:pt>
                <c:pt idx="1">
                  <c:v>-0.26700000000000002</c:v>
                </c:pt>
                <c:pt idx="2">
                  <c:v>0.187</c:v>
                </c:pt>
                <c:pt idx="3">
                  <c:v>0.10100000000000001</c:v>
                </c:pt>
                <c:pt idx="4">
                  <c:v>0.251</c:v>
                </c:pt>
                <c:pt idx="5">
                  <c:v>0.105</c:v>
                </c:pt>
                <c:pt idx="6">
                  <c:v>4.7E-2</c:v>
                </c:pt>
                <c:pt idx="7">
                  <c:v>-0.36199999999999999</c:v>
                </c:pt>
                <c:pt idx="8">
                  <c:v>0.35141800246609134</c:v>
                </c:pt>
                <c:pt idx="9">
                  <c:v>0.14644453351666153</c:v>
                </c:pt>
                <c:pt idx="10">
                  <c:v>-0.10536246609942557</c:v>
                </c:pt>
                <c:pt idx="11">
                  <c:v>7.5060110134398839E-2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10"/>
        <c:axId val="196934656"/>
        <c:axId val="197133056"/>
      </c:barChart>
      <c:catAx>
        <c:axId val="19693465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ln w="3175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sv-SE"/>
          </a:p>
        </c:txPr>
        <c:crossAx val="19713305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197133056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numFmt formatCode="0%" sourceLinked="0"/>
        <c:majorTickMark val="out"/>
        <c:minorTickMark val="none"/>
        <c:tickLblPos val="nextTo"/>
        <c:spPr>
          <a:ln w="3175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sv-SE"/>
          </a:p>
        </c:txPr>
        <c:crossAx val="196934656"/>
        <c:crosses val="autoZero"/>
        <c:crossBetween val="between"/>
      </c:valAx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5.8823637757354628E-2"/>
          <c:y val="0.94850498338870437"/>
          <c:w val="0.89267372538185041"/>
          <c:h val="4.1528239202657802E-2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101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sv-SE"/>
        </a:p>
      </c:txPr>
    </c:legend>
    <c:plotVisOnly val="0"/>
    <c:dispBlanksAs val="gap"/>
    <c:showDLblsOverMax val="0"/>
  </c:chart>
  <c:spPr>
    <a:solidFill>
      <a:srgbClr val="FFFFFF"/>
    </a:solidFill>
    <a:ln w="12700">
      <a:solidFill>
        <a:srgbClr val="80808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sv-SE"/>
    </a:p>
  </c:txPr>
  <c:printSettings>
    <c:headerFooter alignWithMargins="0"/>
    <c:pageMargins b="1" l="0.75" r="0.75" t="1" header="0.5" footer="0.5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sv-SE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sv-SE"/>
              <a:t>Marknadsvärde och netto tillfört kapital till fondrörelsen</a:t>
            </a:r>
          </a:p>
        </c:rich>
      </c:tx>
      <c:layout>
        <c:manualLayout>
          <c:xMode val="edge"/>
          <c:yMode val="edge"/>
          <c:x val="0.27962577962577961"/>
          <c:y val="2.9304029304029304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7.2765072765072769E-2"/>
          <c:y val="0.15750943922676144"/>
          <c:w val="0.90436590436590436"/>
          <c:h val="0.68315140501839555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'Marknadsv. och tillfört kapital'!$B$12</c:f>
              <c:strCache>
                <c:ptCount val="1"/>
                <c:pt idx="0">
                  <c:v>Netto tillfört kapital, mdr</c:v>
                </c:pt>
              </c:strCache>
            </c:strRef>
          </c:tx>
          <c:spPr>
            <a:solidFill>
              <a:srgbClr val="545F1D"/>
            </a:solidFill>
            <a:ln w="3175">
              <a:solidFill>
                <a:srgbClr val="766A63"/>
              </a:solidFill>
              <a:prstDash val="solid"/>
            </a:ln>
          </c:spPr>
          <c:invertIfNegative val="0"/>
          <c:cat>
            <c:numRef>
              <c:f>'Marknadsv. och tillfört kapital'!$C$11:$O$11</c:f>
              <c:numCache>
                <c:formatCode>General</c:formatCode>
                <c:ptCount val="13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 formatCode="yyyy;@">
                  <c:v>39082</c:v>
                </c:pt>
                <c:pt idx="7" formatCode="yyyy;@">
                  <c:v>39447</c:v>
                </c:pt>
                <c:pt idx="8" formatCode="yyyy;@">
                  <c:v>39448</c:v>
                </c:pt>
                <c:pt idx="9" formatCode="yyyy;@">
                  <c:v>40178</c:v>
                </c:pt>
                <c:pt idx="10" formatCode="yyyy;@">
                  <c:v>40543</c:v>
                </c:pt>
                <c:pt idx="11" formatCode="yyyy;@">
                  <c:v>40908</c:v>
                </c:pt>
                <c:pt idx="12" formatCode="m/d/yyyy">
                  <c:v>40939</c:v>
                </c:pt>
              </c:numCache>
            </c:numRef>
          </c:cat>
          <c:val>
            <c:numRef>
              <c:f>'Marknadsv. och tillfört kapital'!$C$12:$O$12</c:f>
              <c:numCache>
                <c:formatCode>0</c:formatCode>
                <c:ptCount val="13"/>
                <c:pt idx="0">
                  <c:v>55.831616023629408</c:v>
                </c:pt>
                <c:pt idx="1">
                  <c:v>74.033547998326426</c:v>
                </c:pt>
                <c:pt idx="2">
                  <c:v>93.93715098490317</c:v>
                </c:pt>
                <c:pt idx="3">
                  <c:v>114.64956724755694</c:v>
                </c:pt>
                <c:pt idx="4">
                  <c:v>136.62021154457284</c:v>
                </c:pt>
                <c:pt idx="5">
                  <c:v>159.77779842054943</c:v>
                </c:pt>
                <c:pt idx="6">
                  <c:v>209</c:v>
                </c:pt>
                <c:pt idx="7">
                  <c:v>235.50159071018251</c:v>
                </c:pt>
                <c:pt idx="8">
                  <c:v>263.98657166722467</c:v>
                </c:pt>
                <c:pt idx="9">
                  <c:v>293.39683174242759</c:v>
                </c:pt>
                <c:pt idx="10">
                  <c:v>323.04324834873717</c:v>
                </c:pt>
                <c:pt idx="11">
                  <c:v>354.29697772737427</c:v>
                </c:pt>
                <c:pt idx="12">
                  <c:v>353.99534268455272</c:v>
                </c:pt>
              </c:numCache>
            </c:numRef>
          </c:val>
        </c:ser>
        <c:ser>
          <c:idx val="1"/>
          <c:order val="1"/>
          <c:tx>
            <c:strRef>
              <c:f>'Marknadsv. och tillfört kapital'!$B$13</c:f>
              <c:strCache>
                <c:ptCount val="1"/>
                <c:pt idx="0">
                  <c:v>Marknadsvärde, mdr</c:v>
                </c:pt>
              </c:strCache>
            </c:strRef>
          </c:tx>
          <c:spPr>
            <a:solidFill>
              <a:srgbClr val="FFB70F"/>
            </a:solidFill>
            <a:ln w="25400">
              <a:noFill/>
            </a:ln>
          </c:spPr>
          <c:invertIfNegative val="0"/>
          <c:cat>
            <c:numRef>
              <c:f>'Marknadsv. och tillfört kapital'!$C$11:$O$11</c:f>
              <c:numCache>
                <c:formatCode>General</c:formatCode>
                <c:ptCount val="13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 formatCode="yyyy;@">
                  <c:v>39082</c:v>
                </c:pt>
                <c:pt idx="7" formatCode="yyyy;@">
                  <c:v>39447</c:v>
                </c:pt>
                <c:pt idx="8" formatCode="yyyy;@">
                  <c:v>39448</c:v>
                </c:pt>
                <c:pt idx="9" formatCode="yyyy;@">
                  <c:v>40178</c:v>
                </c:pt>
                <c:pt idx="10" formatCode="yyyy;@">
                  <c:v>40543</c:v>
                </c:pt>
                <c:pt idx="11" formatCode="yyyy;@">
                  <c:v>40908</c:v>
                </c:pt>
                <c:pt idx="12" formatCode="m/d/yyyy">
                  <c:v>40939</c:v>
                </c:pt>
              </c:numCache>
            </c:numRef>
          </c:cat>
          <c:val>
            <c:numRef>
              <c:f>'Marknadsv. och tillfört kapital'!$C$13:$O$13</c:f>
              <c:numCache>
                <c:formatCode>0</c:formatCode>
                <c:ptCount val="13"/>
                <c:pt idx="0">
                  <c:v>52.735199475111202</c:v>
                </c:pt>
                <c:pt idx="1">
                  <c:v>65.023593666597904</c:v>
                </c:pt>
                <c:pt idx="2">
                  <c:v>59.275358189472996</c:v>
                </c:pt>
                <c:pt idx="3">
                  <c:v>93.920076415257597</c:v>
                </c:pt>
                <c:pt idx="4">
                  <c:v>124.75628531142399</c:v>
                </c:pt>
                <c:pt idx="5">
                  <c:v>192.35696213467801</c:v>
                </c:pt>
                <c:pt idx="6">
                  <c:v>267</c:v>
                </c:pt>
                <c:pt idx="7">
                  <c:v>308.29568458589898</c:v>
                </c:pt>
                <c:pt idx="8">
                  <c:v>230.23493756186801</c:v>
                </c:pt>
                <c:pt idx="9" formatCode="#,##0">
                  <c:v>340.16227208294498</c:v>
                </c:pt>
                <c:pt idx="10">
                  <c:v>408.47751268748601</c:v>
                </c:pt>
                <c:pt idx="11">
                  <c:v>393.15689279941199</c:v>
                </c:pt>
                <c:pt idx="12">
                  <c:v>415.59691731884999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0"/>
        <c:axId val="197187072"/>
        <c:axId val="197188608"/>
      </c:barChart>
      <c:catAx>
        <c:axId val="19718707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ln w="3175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9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sv-SE"/>
          </a:p>
        </c:txPr>
        <c:crossAx val="19718860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197188608"/>
        <c:scaling>
          <c:orientation val="minMax"/>
        </c:scaling>
        <c:delete val="0"/>
        <c:axPos val="l"/>
        <c:majorGridlines>
          <c:spPr>
            <a:ln w="3175">
              <a:solidFill>
                <a:srgbClr val="969696"/>
              </a:solidFill>
              <a:prstDash val="sysDash"/>
            </a:ln>
          </c:spPr>
        </c:majorGridlines>
        <c:title>
          <c:tx>
            <c:rich>
              <a:bodyPr rot="0" vert="horz"/>
              <a:lstStyle/>
              <a:p>
                <a:pPr algn="ctr">
                  <a:defRPr sz="87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sv-SE"/>
                  <a:t>Mdkr</a:t>
                </a:r>
              </a:p>
            </c:rich>
          </c:tx>
          <c:layout>
            <c:manualLayout>
              <c:xMode val="edge"/>
              <c:yMode val="edge"/>
              <c:x val="3.4303534303534305E-2"/>
              <c:y val="8.0586272869737421E-2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out"/>
        <c:minorTickMark val="none"/>
        <c:tickLblPos val="nextTo"/>
        <c:spPr>
          <a:ln w="3175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9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sv-SE"/>
          </a:p>
        </c:txPr>
        <c:crossAx val="197187072"/>
        <c:crosses val="autoZero"/>
        <c:crossBetween val="between"/>
      </c:valAx>
      <c:spPr>
        <a:solidFill>
          <a:srgbClr val="FFFFFF"/>
        </a:solidFill>
        <a:ln w="25400">
          <a:noFill/>
        </a:ln>
      </c:spPr>
    </c:plotArea>
    <c:legend>
      <c:legendPos val="b"/>
      <c:layout>
        <c:manualLayout>
          <c:xMode val="edge"/>
          <c:yMode val="edge"/>
          <c:x val="0.16839916839916841"/>
          <c:y val="0.94322517377635484"/>
          <c:w val="0.70582120582120589"/>
          <c:h val="4.0293040293040261E-2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101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sv-SE"/>
        </a:p>
      </c:txPr>
    </c:legend>
    <c:plotVisOnly val="0"/>
    <c:dispBlanksAs val="gap"/>
    <c:showDLblsOverMax val="0"/>
  </c:chart>
  <c:spPr>
    <a:solidFill>
      <a:srgbClr val="FFFFFF"/>
    </a:solidFill>
    <a:ln w="12700">
      <a:solidFill>
        <a:srgbClr val="808080"/>
      </a:solidFill>
      <a:prstDash val="solid"/>
    </a:ln>
  </c:spPr>
  <c:txPr>
    <a:bodyPr/>
    <a:lstStyle/>
    <a:p>
      <a:pPr>
        <a:defRPr sz="9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sv-SE"/>
    </a:p>
  </c:txPr>
  <c:printSettings>
    <c:headerFooter alignWithMargins="0"/>
    <c:pageMargins b="1" l="0.75" r="0.75" t="1" header="0.5" footer="0.5"/>
    <c:pageSetup paperSize="9" orientation="landscape"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sv-SE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 i="0" u="none" strike="noStrike" baseline="0">
                <a:solidFill>
                  <a:srgbClr val="333333"/>
                </a:solidFill>
                <a:latin typeface="Arial"/>
                <a:ea typeface="Arial"/>
                <a:cs typeface="Arial"/>
              </a:defRPr>
            </a:pPr>
            <a:r>
              <a:rPr lang="sv-SE"/>
              <a:t>Värdeutveckling - fondrörelsen sedan start, 2000-12-13</a:t>
            </a:r>
          </a:p>
        </c:rich>
      </c:tx>
      <c:layout>
        <c:manualLayout>
          <c:xMode val="edge"/>
          <c:yMode val="edge"/>
          <c:x val="0.27338877338877338"/>
          <c:y val="2.9304029304029304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9.1476091476091481E-2"/>
          <c:y val="0.14102589326117013"/>
          <c:w val="0.86902286902286907"/>
          <c:h val="0.67582538458924379"/>
        </c:manualLayout>
      </c:layout>
      <c:lineChart>
        <c:grouping val="standard"/>
        <c:varyColors val="0"/>
        <c:ser>
          <c:idx val="0"/>
          <c:order val="0"/>
          <c:tx>
            <c:strRef>
              <c:f>'Avkastning sedan 2000'!$E$18:$E$19</c:f>
              <c:strCache>
                <c:ptCount val="1"/>
                <c:pt idx="0">
                  <c:v>Tidsviktad avkastning sedan start (TVA)</c:v>
                </c:pt>
              </c:strCache>
            </c:strRef>
          </c:tx>
          <c:spPr>
            <a:ln w="38100">
              <a:solidFill>
                <a:srgbClr val="FFB70F"/>
              </a:solidFill>
              <a:prstDash val="solid"/>
            </a:ln>
          </c:spPr>
          <c:marker>
            <c:symbol val="none"/>
          </c:marker>
          <c:cat>
            <c:numRef>
              <c:f>'Avkastning sedan 2000'!$B$20:$B$201</c:f>
              <c:numCache>
                <c:formatCode>yyyy/mm/dd;@</c:formatCode>
                <c:ptCount val="182"/>
                <c:pt idx="0">
                  <c:v>36873</c:v>
                </c:pt>
                <c:pt idx="1">
                  <c:v>36891</c:v>
                </c:pt>
                <c:pt idx="2">
                  <c:v>36922</c:v>
                </c:pt>
                <c:pt idx="3">
                  <c:v>36950</c:v>
                </c:pt>
                <c:pt idx="4">
                  <c:v>36981</c:v>
                </c:pt>
                <c:pt idx="5">
                  <c:v>37011</c:v>
                </c:pt>
                <c:pt idx="6">
                  <c:v>37042</c:v>
                </c:pt>
                <c:pt idx="7">
                  <c:v>37072</c:v>
                </c:pt>
                <c:pt idx="8">
                  <c:v>37103</c:v>
                </c:pt>
                <c:pt idx="9">
                  <c:v>37134</c:v>
                </c:pt>
                <c:pt idx="10">
                  <c:v>37164</c:v>
                </c:pt>
                <c:pt idx="11">
                  <c:v>37195</c:v>
                </c:pt>
                <c:pt idx="12">
                  <c:v>37225</c:v>
                </c:pt>
                <c:pt idx="13">
                  <c:v>37256</c:v>
                </c:pt>
                <c:pt idx="14">
                  <c:v>37287</c:v>
                </c:pt>
                <c:pt idx="15">
                  <c:v>37315</c:v>
                </c:pt>
                <c:pt idx="16">
                  <c:v>37346</c:v>
                </c:pt>
                <c:pt idx="17">
                  <c:v>37376</c:v>
                </c:pt>
                <c:pt idx="18">
                  <c:v>37407</c:v>
                </c:pt>
                <c:pt idx="19">
                  <c:v>37437</c:v>
                </c:pt>
                <c:pt idx="20">
                  <c:v>37468</c:v>
                </c:pt>
                <c:pt idx="21">
                  <c:v>37499</c:v>
                </c:pt>
                <c:pt idx="22">
                  <c:v>37529</c:v>
                </c:pt>
                <c:pt idx="23">
                  <c:v>37560</c:v>
                </c:pt>
                <c:pt idx="24">
                  <c:v>37590</c:v>
                </c:pt>
                <c:pt idx="25">
                  <c:v>37621</c:v>
                </c:pt>
                <c:pt idx="26">
                  <c:v>37652</c:v>
                </c:pt>
                <c:pt idx="27">
                  <c:v>37680</c:v>
                </c:pt>
                <c:pt idx="28">
                  <c:v>37711</c:v>
                </c:pt>
                <c:pt idx="29">
                  <c:v>37741</c:v>
                </c:pt>
                <c:pt idx="30">
                  <c:v>37772</c:v>
                </c:pt>
                <c:pt idx="31">
                  <c:v>37802</c:v>
                </c:pt>
                <c:pt idx="32">
                  <c:v>37833</c:v>
                </c:pt>
                <c:pt idx="33">
                  <c:v>37864</c:v>
                </c:pt>
                <c:pt idx="34">
                  <c:v>37894</c:v>
                </c:pt>
                <c:pt idx="35">
                  <c:v>37925</c:v>
                </c:pt>
                <c:pt idx="36">
                  <c:v>37955</c:v>
                </c:pt>
                <c:pt idx="37">
                  <c:v>37986</c:v>
                </c:pt>
                <c:pt idx="38">
                  <c:v>38017</c:v>
                </c:pt>
                <c:pt idx="39">
                  <c:v>38046</c:v>
                </c:pt>
                <c:pt idx="40">
                  <c:v>38077</c:v>
                </c:pt>
                <c:pt idx="41">
                  <c:v>38107</c:v>
                </c:pt>
                <c:pt idx="42">
                  <c:v>38138</c:v>
                </c:pt>
                <c:pt idx="43">
                  <c:v>38168</c:v>
                </c:pt>
                <c:pt idx="44">
                  <c:v>38199</c:v>
                </c:pt>
                <c:pt idx="45">
                  <c:v>38230</c:v>
                </c:pt>
                <c:pt idx="46">
                  <c:v>38260</c:v>
                </c:pt>
                <c:pt idx="47">
                  <c:v>38291</c:v>
                </c:pt>
                <c:pt idx="48">
                  <c:v>38321</c:v>
                </c:pt>
                <c:pt idx="49">
                  <c:v>38352</c:v>
                </c:pt>
                <c:pt idx="50">
                  <c:v>38383</c:v>
                </c:pt>
                <c:pt idx="51">
                  <c:v>38411</c:v>
                </c:pt>
                <c:pt idx="52">
                  <c:v>38442</c:v>
                </c:pt>
                <c:pt idx="53">
                  <c:v>38472</c:v>
                </c:pt>
                <c:pt idx="54">
                  <c:v>38503</c:v>
                </c:pt>
                <c:pt idx="55">
                  <c:v>38533</c:v>
                </c:pt>
                <c:pt idx="56">
                  <c:v>38564</c:v>
                </c:pt>
                <c:pt idx="57">
                  <c:v>38595</c:v>
                </c:pt>
                <c:pt idx="58">
                  <c:v>38625</c:v>
                </c:pt>
                <c:pt idx="59">
                  <c:v>38656</c:v>
                </c:pt>
                <c:pt idx="60">
                  <c:v>38686</c:v>
                </c:pt>
                <c:pt idx="61">
                  <c:v>38717</c:v>
                </c:pt>
                <c:pt idx="62">
                  <c:v>38748</c:v>
                </c:pt>
                <c:pt idx="63">
                  <c:v>38776</c:v>
                </c:pt>
                <c:pt idx="64">
                  <c:v>38807</c:v>
                </c:pt>
                <c:pt idx="65">
                  <c:v>38837</c:v>
                </c:pt>
                <c:pt idx="66">
                  <c:v>38868</c:v>
                </c:pt>
                <c:pt idx="67">
                  <c:v>38898</c:v>
                </c:pt>
                <c:pt idx="68">
                  <c:v>38929</c:v>
                </c:pt>
                <c:pt idx="69">
                  <c:v>38960</c:v>
                </c:pt>
                <c:pt idx="70">
                  <c:v>38990</c:v>
                </c:pt>
                <c:pt idx="71">
                  <c:v>39021</c:v>
                </c:pt>
                <c:pt idx="72">
                  <c:v>39051</c:v>
                </c:pt>
                <c:pt idx="73">
                  <c:v>39082</c:v>
                </c:pt>
                <c:pt idx="74">
                  <c:v>39113</c:v>
                </c:pt>
                <c:pt idx="75">
                  <c:v>39141</c:v>
                </c:pt>
                <c:pt idx="76">
                  <c:v>39172</c:v>
                </c:pt>
                <c:pt idx="77">
                  <c:v>39202</c:v>
                </c:pt>
                <c:pt idx="78">
                  <c:v>39233</c:v>
                </c:pt>
                <c:pt idx="79">
                  <c:v>39263</c:v>
                </c:pt>
                <c:pt idx="80">
                  <c:v>39294</c:v>
                </c:pt>
                <c:pt idx="81">
                  <c:v>39325</c:v>
                </c:pt>
                <c:pt idx="82">
                  <c:v>39353</c:v>
                </c:pt>
                <c:pt idx="83">
                  <c:v>39386</c:v>
                </c:pt>
                <c:pt idx="84">
                  <c:v>39416</c:v>
                </c:pt>
                <c:pt idx="85">
                  <c:v>39447</c:v>
                </c:pt>
                <c:pt idx="86">
                  <c:v>39478</c:v>
                </c:pt>
                <c:pt idx="87">
                  <c:v>39507</c:v>
                </c:pt>
                <c:pt idx="88">
                  <c:v>39538</c:v>
                </c:pt>
                <c:pt idx="89">
                  <c:v>39568</c:v>
                </c:pt>
                <c:pt idx="90">
                  <c:v>39599</c:v>
                </c:pt>
                <c:pt idx="91">
                  <c:v>39629</c:v>
                </c:pt>
                <c:pt idx="92">
                  <c:v>39660</c:v>
                </c:pt>
                <c:pt idx="93">
                  <c:v>39691</c:v>
                </c:pt>
                <c:pt idx="94">
                  <c:v>39721</c:v>
                </c:pt>
                <c:pt idx="95">
                  <c:v>39752</c:v>
                </c:pt>
                <c:pt idx="96">
                  <c:v>39782</c:v>
                </c:pt>
                <c:pt idx="97">
                  <c:v>39813</c:v>
                </c:pt>
                <c:pt idx="98">
                  <c:v>39844</c:v>
                </c:pt>
                <c:pt idx="99">
                  <c:v>39872</c:v>
                </c:pt>
                <c:pt idx="100">
                  <c:v>39903</c:v>
                </c:pt>
                <c:pt idx="101">
                  <c:v>39933</c:v>
                </c:pt>
                <c:pt idx="102">
                  <c:v>39964</c:v>
                </c:pt>
                <c:pt idx="103">
                  <c:v>39994</c:v>
                </c:pt>
                <c:pt idx="104">
                  <c:v>40025</c:v>
                </c:pt>
                <c:pt idx="105">
                  <c:v>40056</c:v>
                </c:pt>
                <c:pt idx="106">
                  <c:v>40086</c:v>
                </c:pt>
                <c:pt idx="107">
                  <c:v>40117</c:v>
                </c:pt>
                <c:pt idx="108">
                  <c:v>40147</c:v>
                </c:pt>
                <c:pt idx="109">
                  <c:v>40178</c:v>
                </c:pt>
                <c:pt idx="110">
                  <c:v>40209</c:v>
                </c:pt>
                <c:pt idx="111">
                  <c:v>40237</c:v>
                </c:pt>
                <c:pt idx="112">
                  <c:v>40268</c:v>
                </c:pt>
                <c:pt idx="113">
                  <c:v>40298</c:v>
                </c:pt>
                <c:pt idx="114">
                  <c:v>40329</c:v>
                </c:pt>
                <c:pt idx="115">
                  <c:v>40359</c:v>
                </c:pt>
                <c:pt idx="116">
                  <c:v>40390</c:v>
                </c:pt>
                <c:pt idx="117">
                  <c:v>40421</c:v>
                </c:pt>
                <c:pt idx="118">
                  <c:v>40451</c:v>
                </c:pt>
                <c:pt idx="119">
                  <c:v>40482</c:v>
                </c:pt>
                <c:pt idx="120">
                  <c:v>40512</c:v>
                </c:pt>
                <c:pt idx="121">
                  <c:v>40543</c:v>
                </c:pt>
                <c:pt idx="122">
                  <c:v>40574</c:v>
                </c:pt>
                <c:pt idx="123">
                  <c:v>40602</c:v>
                </c:pt>
                <c:pt idx="124">
                  <c:v>40633</c:v>
                </c:pt>
                <c:pt idx="125">
                  <c:v>40663</c:v>
                </c:pt>
                <c:pt idx="126">
                  <c:v>40694</c:v>
                </c:pt>
                <c:pt idx="127">
                  <c:v>40724</c:v>
                </c:pt>
                <c:pt idx="128" formatCode="m/d/yyyy">
                  <c:v>40755</c:v>
                </c:pt>
                <c:pt idx="129" formatCode="m/d/yyyy">
                  <c:v>40786</c:v>
                </c:pt>
                <c:pt idx="130" formatCode="m/d/yyyy">
                  <c:v>40816</c:v>
                </c:pt>
                <c:pt idx="131" formatCode="m/d/yyyy">
                  <c:v>40847</c:v>
                </c:pt>
                <c:pt idx="132" formatCode="m/d/yyyy">
                  <c:v>40877</c:v>
                </c:pt>
                <c:pt idx="133" formatCode="m/d/yyyy">
                  <c:v>40908</c:v>
                </c:pt>
                <c:pt idx="134" formatCode="m/d/yyyy">
                  <c:v>40939</c:v>
                </c:pt>
              </c:numCache>
            </c:numRef>
          </c:cat>
          <c:val>
            <c:numRef>
              <c:f>'Avkastning sedan 2000'!$E$20:$E$201</c:f>
              <c:numCache>
                <c:formatCode>0.0%</c:formatCode>
                <c:ptCount val="182"/>
                <c:pt idx="0">
                  <c:v>0</c:v>
                </c:pt>
                <c:pt idx="1">
                  <c:v>-4.5388155165690725E-2</c:v>
                </c:pt>
                <c:pt idx="2">
                  <c:v>-2.3061835549637144E-2</c:v>
                </c:pt>
                <c:pt idx="3">
                  <c:v>-9.3336214097018311E-2</c:v>
                </c:pt>
                <c:pt idx="4">
                  <c:v>-0.15455948709528244</c:v>
                </c:pt>
                <c:pt idx="5">
                  <c:v>-0.10298425231858033</c:v>
                </c:pt>
                <c:pt idx="6">
                  <c:v>-7.016137882463358E-2</c:v>
                </c:pt>
                <c:pt idx="7">
                  <c:v>-9.557327690967421E-2</c:v>
                </c:pt>
                <c:pt idx="8">
                  <c:v>-0.13384481410068805</c:v>
                </c:pt>
                <c:pt idx="9">
                  <c:v>-0.18550338163818569</c:v>
                </c:pt>
                <c:pt idx="10">
                  <c:v>-0.25676123723683508</c:v>
                </c:pt>
                <c:pt idx="11">
                  <c:v>-0.21912568174453229</c:v>
                </c:pt>
                <c:pt idx="12">
                  <c:v>-0.16090624193691538</c:v>
                </c:pt>
                <c:pt idx="13">
                  <c:v>-0.15163030159442259</c:v>
                </c:pt>
                <c:pt idx="14">
                  <c:v>-0.18662022488362295</c:v>
                </c:pt>
                <c:pt idx="15">
                  <c:v>-0.19577125072951806</c:v>
                </c:pt>
                <c:pt idx="16">
                  <c:v>-0.17796435824374601</c:v>
                </c:pt>
                <c:pt idx="17">
                  <c:v>-0.22660606519990201</c:v>
                </c:pt>
                <c:pt idx="18">
                  <c:v>-0.25645158127320089</c:v>
                </c:pt>
                <c:pt idx="19">
                  <c:v>-0.32593737992429506</c:v>
                </c:pt>
                <c:pt idx="20">
                  <c:v>-0.37284385787911678</c:v>
                </c:pt>
                <c:pt idx="21">
                  <c:v>-0.37825195439072901</c:v>
                </c:pt>
                <c:pt idx="22">
                  <c:v>-0.44458184201584461</c:v>
                </c:pt>
                <c:pt idx="23">
                  <c:v>-0.39921608781484508</c:v>
                </c:pt>
                <c:pt idx="24">
                  <c:v>-0.36113506922304062</c:v>
                </c:pt>
                <c:pt idx="25">
                  <c:v>-0.41650742840072186</c:v>
                </c:pt>
                <c:pt idx="26">
                  <c:v>-0.43969955560310947</c:v>
                </c:pt>
                <c:pt idx="27">
                  <c:v>-0.44849588278422881</c:v>
                </c:pt>
                <c:pt idx="28">
                  <c:v>-0.44851136723349694</c:v>
                </c:pt>
                <c:pt idx="29">
                  <c:v>-0.41183682582898196</c:v>
                </c:pt>
                <c:pt idx="30">
                  <c:v>-0.40646780652014425</c:v>
                </c:pt>
                <c:pt idx="31">
                  <c:v>-0.37846552335272365</c:v>
                </c:pt>
                <c:pt idx="32">
                  <c:v>-0.35534931744811826</c:v>
                </c:pt>
                <c:pt idx="33">
                  <c:v>-0.33047415193973351</c:v>
                </c:pt>
                <c:pt idx="34">
                  <c:v>-0.36228741759380223</c:v>
                </c:pt>
                <c:pt idx="35">
                  <c:v>-0.32288254981017206</c:v>
                </c:pt>
                <c:pt idx="36">
                  <c:v>-0.32551293599988529</c:v>
                </c:pt>
                <c:pt idx="37">
                  <c:v>-0.31237214995239981</c:v>
                </c:pt>
                <c:pt idx="38">
                  <c:v>-0.28042428168822753</c:v>
                </c:pt>
                <c:pt idx="39">
                  <c:v>-0.26159113811669987</c:v>
                </c:pt>
                <c:pt idx="40">
                  <c:v>-0.26279025098696795</c:v>
                </c:pt>
                <c:pt idx="41">
                  <c:v>-0.26724240937259902</c:v>
                </c:pt>
                <c:pt idx="42">
                  <c:v>-0.28095073852229646</c:v>
                </c:pt>
                <c:pt idx="43">
                  <c:v>-0.26287547044942672</c:v>
                </c:pt>
                <c:pt idx="44">
                  <c:v>-0.28002496412248912</c:v>
                </c:pt>
                <c:pt idx="45">
                  <c:v>-0.28394579712309564</c:v>
                </c:pt>
                <c:pt idx="46">
                  <c:v>-0.27840323907420905</c:v>
                </c:pt>
                <c:pt idx="47">
                  <c:v>-0.27824987083614972</c:v>
                </c:pt>
                <c:pt idx="48">
                  <c:v>-0.26384370438779248</c:v>
                </c:pt>
                <c:pt idx="49">
                  <c:v>-0.2521934119949012</c:v>
                </c:pt>
                <c:pt idx="50">
                  <c:v>-0.23887742096441089</c:v>
                </c:pt>
                <c:pt idx="51">
                  <c:v>-0.22044037074748646</c:v>
                </c:pt>
                <c:pt idx="52">
                  <c:v>-0.2207386506537321</c:v>
                </c:pt>
                <c:pt idx="53">
                  <c:v>-0.22788257530025025</c:v>
                </c:pt>
                <c:pt idx="54">
                  <c:v>-0.1832471684524668</c:v>
                </c:pt>
                <c:pt idx="55">
                  <c:v>-0.14263136710218371</c:v>
                </c:pt>
                <c:pt idx="56">
                  <c:v>-0.11281950386238349</c:v>
                </c:pt>
                <c:pt idx="57">
                  <c:v>-0.12389555584764222</c:v>
                </c:pt>
                <c:pt idx="58">
                  <c:v>-8.0690388803733248E-2</c:v>
                </c:pt>
                <c:pt idx="59">
                  <c:v>-9.3126559629821304E-2</c:v>
                </c:pt>
                <c:pt idx="60">
                  <c:v>-4.8914028745870031E-2</c:v>
                </c:pt>
                <c:pt idx="61">
                  <c:v>-2.3718697352962059E-2</c:v>
                </c:pt>
                <c:pt idx="62">
                  <c:v>-1.0424394650775493E-2</c:v>
                </c:pt>
                <c:pt idx="63">
                  <c:v>3.0014183035481645E-2</c:v>
                </c:pt>
                <c:pt idx="64">
                  <c:v>5.0193361401623671E-2</c:v>
                </c:pt>
                <c:pt idx="65">
                  <c:v>4.4662754434510399E-2</c:v>
                </c:pt>
                <c:pt idx="66">
                  <c:v>-2.9381641778342127E-2</c:v>
                </c:pt>
                <c:pt idx="67">
                  <c:v>-2.6726971994004423E-2</c:v>
                </c:pt>
                <c:pt idx="68">
                  <c:v>-2.4535188841549926E-2</c:v>
                </c:pt>
                <c:pt idx="69">
                  <c:v>3.9915687660647681E-3</c:v>
                </c:pt>
                <c:pt idx="70">
                  <c:v>3.2231571212107513E-2</c:v>
                </c:pt>
                <c:pt idx="71">
                  <c:v>5.8520543949904802E-2</c:v>
                </c:pt>
                <c:pt idx="72">
                  <c:v>5.1558894569992075E-2</c:v>
                </c:pt>
                <c:pt idx="73">
                  <c:v>9.4850367645782585E-2</c:v>
                </c:pt>
                <c:pt idx="74">
                  <c:v>0.11980107996956058</c:v>
                </c:pt>
                <c:pt idx="75">
                  <c:v>0.11414872101073859</c:v>
                </c:pt>
                <c:pt idx="76">
                  <c:v>0.14950697704275284</c:v>
                </c:pt>
                <c:pt idx="77">
                  <c:v>0.17663535705172673</c:v>
                </c:pt>
                <c:pt idx="78">
                  <c:v>0.20524677975003369</c:v>
                </c:pt>
                <c:pt idx="79">
                  <c:v>0.21105391484399494</c:v>
                </c:pt>
                <c:pt idx="80">
                  <c:v>0.19508971689613053</c:v>
                </c:pt>
                <c:pt idx="81">
                  <c:v>0.18834052508861676</c:v>
                </c:pt>
                <c:pt idx="82">
                  <c:v>0.19255668247413049</c:v>
                </c:pt>
                <c:pt idx="83">
                  <c:v>0.21191040166843123</c:v>
                </c:pt>
                <c:pt idx="84">
                  <c:v>0.16049908722911277</c:v>
                </c:pt>
                <c:pt idx="85">
                  <c:v>0.15685919509504065</c:v>
                </c:pt>
                <c:pt idx="86">
                  <c:v>2.9603655926605077E-2</c:v>
                </c:pt>
                <c:pt idx="87">
                  <c:v>4.3304412307429985E-2</c:v>
                </c:pt>
                <c:pt idx="88">
                  <c:v>-3.7615058640585453E-3</c:v>
                </c:pt>
                <c:pt idx="89">
                  <c:v>4.7132150716817645E-2</c:v>
                </c:pt>
                <c:pt idx="90">
                  <c:v>6.9816677234908697E-2</c:v>
                </c:pt>
                <c:pt idx="91">
                  <c:v>-2.5443851449256316E-2</c:v>
                </c:pt>
                <c:pt idx="92">
                  <c:v>-3.6344304655599347E-2</c:v>
                </c:pt>
                <c:pt idx="93">
                  <c:v>-2.3133182299815203E-2</c:v>
                </c:pt>
                <c:pt idx="94">
                  <c:v>-0.1139665830023523</c:v>
                </c:pt>
                <c:pt idx="95">
                  <c:v>-0.22384848303838767</c:v>
                </c:pt>
                <c:pt idx="96">
                  <c:v>-0.24457663096656557</c:v>
                </c:pt>
                <c:pt idx="97">
                  <c:v>-0.23864830860065911</c:v>
                </c:pt>
                <c:pt idx="98">
                  <c:v>-0.25390891467117582</c:v>
                </c:pt>
                <c:pt idx="99">
                  <c:v>-0.25701157299710631</c:v>
                </c:pt>
                <c:pt idx="100">
                  <c:v>-0.2576288552075241</c:v>
                </c:pt>
                <c:pt idx="101">
                  <c:v>-0.1653259798016975</c:v>
                </c:pt>
                <c:pt idx="102">
                  <c:v>-0.13497363507801818</c:v>
                </c:pt>
                <c:pt idx="103">
                  <c:v>-0.12276691325653688</c:v>
                </c:pt>
                <c:pt idx="104">
                  <c:v>-8.5073921557098142E-2</c:v>
                </c:pt>
                <c:pt idx="105">
                  <c:v>-6.898388992072102E-2</c:v>
                </c:pt>
                <c:pt idx="106">
                  <c:v>-4.5585246709528682E-2</c:v>
                </c:pt>
                <c:pt idx="107">
                  <c:v>-2.6613904350038076E-2</c:v>
                </c:pt>
                <c:pt idx="108">
                  <c:v>-1.1782473478652467E-2</c:v>
                </c:pt>
                <c:pt idx="109">
                  <c:v>2.543037639394119E-2</c:v>
                </c:pt>
                <c:pt idx="110">
                  <c:v>1.8453875080511217E-2</c:v>
                </c:pt>
                <c:pt idx="111">
                  <c:v>-3.0876251228501017E-3</c:v>
                </c:pt>
                <c:pt idx="112">
                  <c:v>6.9960321678838921E-2</c:v>
                </c:pt>
                <c:pt idx="113">
                  <c:v>8.7738537739706191E-2</c:v>
                </c:pt>
                <c:pt idx="114">
                  <c:v>4.8410525516147551E-2</c:v>
                </c:pt>
                <c:pt idx="115">
                  <c:v>3.0469170916279431E-2</c:v>
                </c:pt>
                <c:pt idx="116">
                  <c:v>4.6388077815640472E-2</c:v>
                </c:pt>
                <c:pt idx="117">
                  <c:v>2.6161055074352735E-2</c:v>
                </c:pt>
                <c:pt idx="118">
                  <c:v>6.0743965551832924E-2</c:v>
                </c:pt>
                <c:pt idx="119">
                  <c:v>8.6387826673868018E-2</c:v>
                </c:pt>
                <c:pt idx="120">
                  <c:v>0.10229897799027432</c:v>
                </c:pt>
                <c:pt idx="121">
                  <c:v>0.15001935030402835</c:v>
                </c:pt>
                <c:pt idx="122">
                  <c:v>0.12223841378123068</c:v>
                </c:pt>
                <c:pt idx="123">
                  <c:v>0.127289614049932</c:v>
                </c:pt>
                <c:pt idx="124">
                  <c:v>0.13478587383121199</c:v>
                </c:pt>
                <c:pt idx="125">
                  <c:v>0.14514347137673544</c:v>
                </c:pt>
                <c:pt idx="126">
                  <c:v>0.14047567324230759</c:v>
                </c:pt>
                <c:pt idx="127">
                  <c:v>0.13083147670429729</c:v>
                </c:pt>
                <c:pt idx="128">
                  <c:v>0.10565007916458669</c:v>
                </c:pt>
                <c:pt idx="129">
                  <c:v>1.289215747942829E-2</c:v>
                </c:pt>
                <c:pt idx="130">
                  <c:v>-3.4398096944852075E-2</c:v>
                </c:pt>
                <c:pt idx="131">
                  <c:v>3.0839724905906474E-2</c:v>
                </c:pt>
                <c:pt idx="132">
                  <c:v>1.9730563284597435E-2</c:v>
                </c:pt>
                <c:pt idx="133">
                  <c:v>2.7124447142439667E-2</c:v>
                </c:pt>
                <c:pt idx="134">
                  <c:v>8.673849924675725E-2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'Avkastning sedan 2000'!$F$18:$F$19</c:f>
              <c:strCache>
                <c:ptCount val="1"/>
                <c:pt idx="0">
                  <c:v>Real tidsviktad avkastning sedan start (TVA)</c:v>
                </c:pt>
              </c:strCache>
            </c:strRef>
          </c:tx>
          <c:spPr>
            <a:ln w="12700">
              <a:solidFill>
                <a:srgbClr val="FFB70F"/>
              </a:solidFill>
              <a:prstDash val="solid"/>
            </a:ln>
          </c:spPr>
          <c:marker>
            <c:symbol val="none"/>
          </c:marker>
          <c:cat>
            <c:numRef>
              <c:f>'Avkastning sedan 2000'!$B$20:$B$201</c:f>
              <c:numCache>
                <c:formatCode>yyyy/mm/dd;@</c:formatCode>
                <c:ptCount val="182"/>
                <c:pt idx="0">
                  <c:v>36873</c:v>
                </c:pt>
                <c:pt idx="1">
                  <c:v>36891</c:v>
                </c:pt>
                <c:pt idx="2">
                  <c:v>36922</c:v>
                </c:pt>
                <c:pt idx="3">
                  <c:v>36950</c:v>
                </c:pt>
                <c:pt idx="4">
                  <c:v>36981</c:v>
                </c:pt>
                <c:pt idx="5">
                  <c:v>37011</c:v>
                </c:pt>
                <c:pt idx="6">
                  <c:v>37042</c:v>
                </c:pt>
                <c:pt idx="7">
                  <c:v>37072</c:v>
                </c:pt>
                <c:pt idx="8">
                  <c:v>37103</c:v>
                </c:pt>
                <c:pt idx="9">
                  <c:v>37134</c:v>
                </c:pt>
                <c:pt idx="10">
                  <c:v>37164</c:v>
                </c:pt>
                <c:pt idx="11">
                  <c:v>37195</c:v>
                </c:pt>
                <c:pt idx="12">
                  <c:v>37225</c:v>
                </c:pt>
                <c:pt idx="13">
                  <c:v>37256</c:v>
                </c:pt>
                <c:pt idx="14">
                  <c:v>37287</c:v>
                </c:pt>
                <c:pt idx="15">
                  <c:v>37315</c:v>
                </c:pt>
                <c:pt idx="16">
                  <c:v>37346</c:v>
                </c:pt>
                <c:pt idx="17">
                  <c:v>37376</c:v>
                </c:pt>
                <c:pt idx="18">
                  <c:v>37407</c:v>
                </c:pt>
                <c:pt idx="19">
                  <c:v>37437</c:v>
                </c:pt>
                <c:pt idx="20">
                  <c:v>37468</c:v>
                </c:pt>
                <c:pt idx="21">
                  <c:v>37499</c:v>
                </c:pt>
                <c:pt idx="22">
                  <c:v>37529</c:v>
                </c:pt>
                <c:pt idx="23">
                  <c:v>37560</c:v>
                </c:pt>
                <c:pt idx="24">
                  <c:v>37590</c:v>
                </c:pt>
                <c:pt idx="25">
                  <c:v>37621</c:v>
                </c:pt>
                <c:pt idx="26">
                  <c:v>37652</c:v>
                </c:pt>
                <c:pt idx="27">
                  <c:v>37680</c:v>
                </c:pt>
                <c:pt idx="28">
                  <c:v>37711</c:v>
                </c:pt>
                <c:pt idx="29">
                  <c:v>37741</c:v>
                </c:pt>
                <c:pt idx="30">
                  <c:v>37772</c:v>
                </c:pt>
                <c:pt idx="31">
                  <c:v>37802</c:v>
                </c:pt>
                <c:pt idx="32">
                  <c:v>37833</c:v>
                </c:pt>
                <c:pt idx="33">
                  <c:v>37864</c:v>
                </c:pt>
                <c:pt idx="34">
                  <c:v>37894</c:v>
                </c:pt>
                <c:pt idx="35">
                  <c:v>37925</c:v>
                </c:pt>
                <c:pt idx="36">
                  <c:v>37955</c:v>
                </c:pt>
                <c:pt idx="37">
                  <c:v>37986</c:v>
                </c:pt>
                <c:pt idx="38">
                  <c:v>38017</c:v>
                </c:pt>
                <c:pt idx="39">
                  <c:v>38046</c:v>
                </c:pt>
                <c:pt idx="40">
                  <c:v>38077</c:v>
                </c:pt>
                <c:pt idx="41">
                  <c:v>38107</c:v>
                </c:pt>
                <c:pt idx="42">
                  <c:v>38138</c:v>
                </c:pt>
                <c:pt idx="43">
                  <c:v>38168</c:v>
                </c:pt>
                <c:pt idx="44">
                  <c:v>38199</c:v>
                </c:pt>
                <c:pt idx="45">
                  <c:v>38230</c:v>
                </c:pt>
                <c:pt idx="46">
                  <c:v>38260</c:v>
                </c:pt>
                <c:pt idx="47">
                  <c:v>38291</c:v>
                </c:pt>
                <c:pt idx="48">
                  <c:v>38321</c:v>
                </c:pt>
                <c:pt idx="49">
                  <c:v>38352</c:v>
                </c:pt>
                <c:pt idx="50">
                  <c:v>38383</c:v>
                </c:pt>
                <c:pt idx="51">
                  <c:v>38411</c:v>
                </c:pt>
                <c:pt idx="52">
                  <c:v>38442</c:v>
                </c:pt>
                <c:pt idx="53">
                  <c:v>38472</c:v>
                </c:pt>
                <c:pt idx="54">
                  <c:v>38503</c:v>
                </c:pt>
                <c:pt idx="55">
                  <c:v>38533</c:v>
                </c:pt>
                <c:pt idx="56">
                  <c:v>38564</c:v>
                </c:pt>
                <c:pt idx="57">
                  <c:v>38595</c:v>
                </c:pt>
                <c:pt idx="58">
                  <c:v>38625</c:v>
                </c:pt>
                <c:pt idx="59">
                  <c:v>38656</c:v>
                </c:pt>
                <c:pt idx="60">
                  <c:v>38686</c:v>
                </c:pt>
                <c:pt idx="61">
                  <c:v>38717</c:v>
                </c:pt>
                <c:pt idx="62">
                  <c:v>38748</c:v>
                </c:pt>
                <c:pt idx="63">
                  <c:v>38776</c:v>
                </c:pt>
                <c:pt idx="64">
                  <c:v>38807</c:v>
                </c:pt>
                <c:pt idx="65">
                  <c:v>38837</c:v>
                </c:pt>
                <c:pt idx="66">
                  <c:v>38868</c:v>
                </c:pt>
                <c:pt idx="67">
                  <c:v>38898</c:v>
                </c:pt>
                <c:pt idx="68">
                  <c:v>38929</c:v>
                </c:pt>
                <c:pt idx="69">
                  <c:v>38960</c:v>
                </c:pt>
                <c:pt idx="70">
                  <c:v>38990</c:v>
                </c:pt>
                <c:pt idx="71">
                  <c:v>39021</c:v>
                </c:pt>
                <c:pt idx="72">
                  <c:v>39051</c:v>
                </c:pt>
                <c:pt idx="73">
                  <c:v>39082</c:v>
                </c:pt>
                <c:pt idx="74">
                  <c:v>39113</c:v>
                </c:pt>
                <c:pt idx="75">
                  <c:v>39141</c:v>
                </c:pt>
                <c:pt idx="76">
                  <c:v>39172</c:v>
                </c:pt>
                <c:pt idx="77">
                  <c:v>39202</c:v>
                </c:pt>
                <c:pt idx="78">
                  <c:v>39233</c:v>
                </c:pt>
                <c:pt idx="79">
                  <c:v>39263</c:v>
                </c:pt>
                <c:pt idx="80">
                  <c:v>39294</c:v>
                </c:pt>
                <c:pt idx="81">
                  <c:v>39325</c:v>
                </c:pt>
                <c:pt idx="82">
                  <c:v>39353</c:v>
                </c:pt>
                <c:pt idx="83">
                  <c:v>39386</c:v>
                </c:pt>
                <c:pt idx="84">
                  <c:v>39416</c:v>
                </c:pt>
                <c:pt idx="85">
                  <c:v>39447</c:v>
                </c:pt>
                <c:pt idx="86">
                  <c:v>39478</c:v>
                </c:pt>
                <c:pt idx="87">
                  <c:v>39507</c:v>
                </c:pt>
                <c:pt idx="88">
                  <c:v>39538</c:v>
                </c:pt>
                <c:pt idx="89">
                  <c:v>39568</c:v>
                </c:pt>
                <c:pt idx="90">
                  <c:v>39599</c:v>
                </c:pt>
                <c:pt idx="91">
                  <c:v>39629</c:v>
                </c:pt>
                <c:pt idx="92">
                  <c:v>39660</c:v>
                </c:pt>
                <c:pt idx="93">
                  <c:v>39691</c:v>
                </c:pt>
                <c:pt idx="94">
                  <c:v>39721</c:v>
                </c:pt>
                <c:pt idx="95">
                  <c:v>39752</c:v>
                </c:pt>
                <c:pt idx="96">
                  <c:v>39782</c:v>
                </c:pt>
                <c:pt idx="97">
                  <c:v>39813</c:v>
                </c:pt>
                <c:pt idx="98">
                  <c:v>39844</c:v>
                </c:pt>
                <c:pt idx="99">
                  <c:v>39872</c:v>
                </c:pt>
                <c:pt idx="100">
                  <c:v>39903</c:v>
                </c:pt>
                <c:pt idx="101">
                  <c:v>39933</c:v>
                </c:pt>
                <c:pt idx="102">
                  <c:v>39964</c:v>
                </c:pt>
                <c:pt idx="103">
                  <c:v>39994</c:v>
                </c:pt>
                <c:pt idx="104">
                  <c:v>40025</c:v>
                </c:pt>
                <c:pt idx="105">
                  <c:v>40056</c:v>
                </c:pt>
                <c:pt idx="106">
                  <c:v>40086</c:v>
                </c:pt>
                <c:pt idx="107">
                  <c:v>40117</c:v>
                </c:pt>
                <c:pt idx="108">
                  <c:v>40147</c:v>
                </c:pt>
                <c:pt idx="109">
                  <c:v>40178</c:v>
                </c:pt>
                <c:pt idx="110">
                  <c:v>40209</c:v>
                </c:pt>
                <c:pt idx="111">
                  <c:v>40237</c:v>
                </c:pt>
                <c:pt idx="112">
                  <c:v>40268</c:v>
                </c:pt>
                <c:pt idx="113">
                  <c:v>40298</c:v>
                </c:pt>
                <c:pt idx="114">
                  <c:v>40329</c:v>
                </c:pt>
                <c:pt idx="115">
                  <c:v>40359</c:v>
                </c:pt>
                <c:pt idx="116">
                  <c:v>40390</c:v>
                </c:pt>
                <c:pt idx="117">
                  <c:v>40421</c:v>
                </c:pt>
                <c:pt idx="118">
                  <c:v>40451</c:v>
                </c:pt>
                <c:pt idx="119">
                  <c:v>40482</c:v>
                </c:pt>
                <c:pt idx="120">
                  <c:v>40512</c:v>
                </c:pt>
                <c:pt idx="121">
                  <c:v>40543</c:v>
                </c:pt>
                <c:pt idx="122">
                  <c:v>40574</c:v>
                </c:pt>
                <c:pt idx="123">
                  <c:v>40602</c:v>
                </c:pt>
                <c:pt idx="124">
                  <c:v>40633</c:v>
                </c:pt>
                <c:pt idx="125">
                  <c:v>40663</c:v>
                </c:pt>
                <c:pt idx="126">
                  <c:v>40694</c:v>
                </c:pt>
                <c:pt idx="127">
                  <c:v>40724</c:v>
                </c:pt>
                <c:pt idx="128" formatCode="m/d/yyyy">
                  <c:v>40755</c:v>
                </c:pt>
                <c:pt idx="129" formatCode="m/d/yyyy">
                  <c:v>40786</c:v>
                </c:pt>
                <c:pt idx="130" formatCode="m/d/yyyy">
                  <c:v>40816</c:v>
                </c:pt>
                <c:pt idx="131" formatCode="m/d/yyyy">
                  <c:v>40847</c:v>
                </c:pt>
                <c:pt idx="132" formatCode="m/d/yyyy">
                  <c:v>40877</c:v>
                </c:pt>
                <c:pt idx="133" formatCode="m/d/yyyy">
                  <c:v>40908</c:v>
                </c:pt>
                <c:pt idx="134" formatCode="m/d/yyyy">
                  <c:v>40939</c:v>
                </c:pt>
              </c:numCache>
            </c:numRef>
          </c:cat>
          <c:val>
            <c:numRef>
              <c:f>'Avkastning sedan 2000'!$F$20:$F$200</c:f>
              <c:numCache>
                <c:formatCode>0.0%</c:formatCode>
                <c:ptCount val="181"/>
                <c:pt idx="1">
                  <c:v>-4.4660831855340755E-2</c:v>
                </c:pt>
                <c:pt idx="2">
                  <c:v>-1.9328789449330031E-2</c:v>
                </c:pt>
                <c:pt idx="3">
                  <c:v>-9.2990949898273945E-2</c:v>
                </c:pt>
                <c:pt idx="4">
                  <c:v>-0.16063029954622343</c:v>
                </c:pt>
                <c:pt idx="5">
                  <c:v>-0.1170998991535821</c:v>
                </c:pt>
                <c:pt idx="6">
                  <c:v>-9.0924429539379514E-2</c:v>
                </c:pt>
                <c:pt idx="7">
                  <c:v>-0.11445061440242799</c:v>
                </c:pt>
                <c:pt idx="8">
                  <c:v>-0.14747483201292899</c:v>
                </c:pt>
                <c:pt idx="9">
                  <c:v>-0.20041755738546863</c:v>
                </c:pt>
                <c:pt idx="10">
                  <c:v>-0.27658828092670085</c:v>
                </c:pt>
                <c:pt idx="11">
                  <c:v>-0.23769720027606334</c:v>
                </c:pt>
                <c:pt idx="12">
                  <c:v>-0.18116667814571941</c:v>
                </c:pt>
                <c:pt idx="13">
                  <c:v>-0.17303629027404399</c:v>
                </c:pt>
                <c:pt idx="14">
                  <c:v>-0.20507862007785627</c:v>
                </c:pt>
                <c:pt idx="15">
                  <c:v>-0.21577248539957083</c:v>
                </c:pt>
                <c:pt idx="16">
                  <c:v>-0.20548652285000768</c:v>
                </c:pt>
                <c:pt idx="17">
                  <c:v>-0.25551269083185868</c:v>
                </c:pt>
                <c:pt idx="18">
                  <c:v>-0.28607394152218535</c:v>
                </c:pt>
                <c:pt idx="19">
                  <c:v>-0.35184388618635543</c:v>
                </c:pt>
                <c:pt idx="20">
                  <c:v>-0.39495439392157172</c:v>
                </c:pt>
                <c:pt idx="21">
                  <c:v>-0.40039202796785789</c:v>
                </c:pt>
                <c:pt idx="22">
                  <c:v>-0.46845774097472637</c:v>
                </c:pt>
                <c:pt idx="23">
                  <c:v>-0.42692108303906973</c:v>
                </c:pt>
                <c:pt idx="24">
                  <c:v>-0.3890432569526493</c:v>
                </c:pt>
                <c:pt idx="25">
                  <c:v>-0.44280807503042408</c:v>
                </c:pt>
                <c:pt idx="26">
                  <c:v>-0.46669954078600318</c:v>
                </c:pt>
                <c:pt idx="27">
                  <c:v>-0.47959722847491704</c:v>
                </c:pt>
                <c:pt idx="28">
                  <c:v>-0.4822156403582547</c:v>
                </c:pt>
                <c:pt idx="29">
                  <c:v>-0.44580177240055074</c:v>
                </c:pt>
                <c:pt idx="30">
                  <c:v>-0.44014036902277165</c:v>
                </c:pt>
                <c:pt idx="31">
                  <c:v>-0.41203778532502877</c:v>
                </c:pt>
                <c:pt idx="32">
                  <c:v>-0.38818737606076836</c:v>
                </c:pt>
                <c:pt idx="33">
                  <c:v>-0.36434969177653775</c:v>
                </c:pt>
                <c:pt idx="34">
                  <c:v>-0.39889811482558968</c:v>
                </c:pt>
                <c:pt idx="35">
                  <c:v>-0.36221314390509929</c:v>
                </c:pt>
                <c:pt idx="36">
                  <c:v>-0.36332105025932415</c:v>
                </c:pt>
                <c:pt idx="37">
                  <c:v>-0.35161580686466432</c:v>
                </c:pt>
                <c:pt idx="38">
                  <c:v>-0.32002683021401934</c:v>
                </c:pt>
                <c:pt idx="39">
                  <c:v>-0.30046877743691702</c:v>
                </c:pt>
                <c:pt idx="40">
                  <c:v>-0.30685396898452577</c:v>
                </c:pt>
                <c:pt idx="41">
                  <c:v>-0.31104001768855316</c:v>
                </c:pt>
                <c:pt idx="42">
                  <c:v>-0.32561856126314637</c:v>
                </c:pt>
                <c:pt idx="43">
                  <c:v>-0.3056915958661327</c:v>
                </c:pt>
                <c:pt idx="44">
                  <c:v>-0.32087094461392418</c:v>
                </c:pt>
                <c:pt idx="45">
                  <c:v>-0.32384098096418845</c:v>
                </c:pt>
                <c:pt idx="46">
                  <c:v>-0.32347084548463501</c:v>
                </c:pt>
                <c:pt idx="47">
                  <c:v>-0.32525352693472087</c:v>
                </c:pt>
                <c:pt idx="48">
                  <c:v>-0.30784445648773473</c:v>
                </c:pt>
                <c:pt idx="49">
                  <c:v>-0.29689051299592184</c:v>
                </c:pt>
                <c:pt idx="50">
                  <c:v>-0.2805077311527554</c:v>
                </c:pt>
                <c:pt idx="51">
                  <c:v>-0.26651033451061856</c:v>
                </c:pt>
                <c:pt idx="52">
                  <c:v>-0.26836327207553767</c:v>
                </c:pt>
                <c:pt idx="53">
                  <c:v>-0.27610546941961367</c:v>
                </c:pt>
                <c:pt idx="54">
                  <c:v>-0.23453097093279718</c:v>
                </c:pt>
                <c:pt idx="55">
                  <c:v>-0.19675199763817275</c:v>
                </c:pt>
                <c:pt idx="56">
                  <c:v>-0.16584711404670061</c:v>
                </c:pt>
                <c:pt idx="57">
                  <c:v>-0.17773262779984145</c:v>
                </c:pt>
                <c:pt idx="58">
                  <c:v>-0.14330388484831758</c:v>
                </c:pt>
                <c:pt idx="59">
                  <c:v>-0.1563893314970044</c:v>
                </c:pt>
                <c:pt idx="60">
                  <c:v>-0.11306253230933627</c:v>
                </c:pt>
                <c:pt idx="61">
                  <c:v>-8.9889644409592573E-2</c:v>
                </c:pt>
                <c:pt idx="62">
                  <c:v>-7.0204544063659946E-2</c:v>
                </c:pt>
                <c:pt idx="63">
                  <c:v>-3.6722228966105219E-2</c:v>
                </c:pt>
                <c:pt idx="64">
                  <c:v>-2.4759461132572658E-2</c:v>
                </c:pt>
                <c:pt idx="65">
                  <c:v>-3.4774530142283711E-2</c:v>
                </c:pt>
                <c:pt idx="66">
                  <c:v>-0.10457422845614006</c:v>
                </c:pt>
                <c:pt idx="67">
                  <c:v>-0.10187289427717072</c:v>
                </c:pt>
                <c:pt idx="68">
                  <c:v>-9.8298300815212403E-2</c:v>
                </c:pt>
                <c:pt idx="69">
                  <c:v>-7.2548754782877811E-2</c:v>
                </c:pt>
                <c:pt idx="70">
                  <c:v>-5.1995407084950984E-2</c:v>
                </c:pt>
                <c:pt idx="71">
                  <c:v>-2.7953483777956367E-2</c:v>
                </c:pt>
                <c:pt idx="72">
                  <c:v>-3.5560096346273329E-2</c:v>
                </c:pt>
                <c:pt idx="73">
                  <c:v>4.1447878383795711E-3</c:v>
                </c:pt>
                <c:pt idx="74">
                  <c:v>3.2145341244179226E-2</c:v>
                </c:pt>
                <c:pt idx="75">
                  <c:v>2.177297611981488E-2</c:v>
                </c:pt>
                <c:pt idx="76">
                  <c:v>4.7325921233070556E-2</c:v>
                </c:pt>
                <c:pt idx="77">
                  <c:v>6.6641734695774613E-2</c:v>
                </c:pt>
                <c:pt idx="78">
                  <c:v>9.3748545807426531E-2</c:v>
                </c:pt>
                <c:pt idx="79">
                  <c:v>9.7236983719666936E-2</c:v>
                </c:pt>
                <c:pt idx="80">
                  <c:v>8.4493656529115002E-2</c:v>
                </c:pt>
                <c:pt idx="81">
                  <c:v>7.8667136383606673E-2</c:v>
                </c:pt>
                <c:pt idx="82">
                  <c:v>7.1791448805863967E-2</c:v>
                </c:pt>
                <c:pt idx="83">
                  <c:v>8.3440063019557087E-2</c:v>
                </c:pt>
                <c:pt idx="84">
                  <c:v>3.0813559476205787E-2</c:v>
                </c:pt>
                <c:pt idx="85">
                  <c:v>2.560377480921705E-2</c:v>
                </c:pt>
                <c:pt idx="86">
                  <c:v>-8.0385963511766856E-2</c:v>
                </c:pt>
                <c:pt idx="87">
                  <c:v>-7.1998140742324579E-2</c:v>
                </c:pt>
                <c:pt idx="88">
                  <c:v>-0.12224358596219553</c:v>
                </c:pt>
                <c:pt idx="89">
                  <c:v>-8.1438488017804955E-2</c:v>
                </c:pt>
                <c:pt idx="90">
                  <c:v>-6.5222547448493207E-2</c:v>
                </c:pt>
                <c:pt idx="91">
                  <c:v>-0.15248973707534308</c:v>
                </c:pt>
                <c:pt idx="92">
                  <c:v>-0.16024563402450054</c:v>
                </c:pt>
                <c:pt idx="93">
                  <c:v>-0.15019897672084725</c:v>
                </c:pt>
                <c:pt idx="94">
                  <c:v>-0.23704936854175285</c:v>
                </c:pt>
                <c:pt idx="95">
                  <c:v>-0.33271696718871724</c:v>
                </c:pt>
                <c:pt idx="96">
                  <c:v>-0.34518009950147421</c:v>
                </c:pt>
                <c:pt idx="97">
                  <c:v>-0.33105759613830954</c:v>
                </c:pt>
                <c:pt idx="98">
                  <c:v>-0.34202320358573213</c:v>
                </c:pt>
                <c:pt idx="99">
                  <c:v>-0.34491337548696033</c:v>
                </c:pt>
                <c:pt idx="100">
                  <c:v>-0.34731961266069811</c:v>
                </c:pt>
                <c:pt idx="101">
                  <c:v>-0.26729644755031057</c:v>
                </c:pt>
                <c:pt idx="102">
                  <c:v>-0.24113399210217179</c:v>
                </c:pt>
                <c:pt idx="103">
                  <c:v>-0.23227127332009279</c:v>
                </c:pt>
                <c:pt idx="104">
                  <c:v>-0.19561217936094266</c:v>
                </c:pt>
                <c:pt idx="105">
                  <c:v>-0.1831610042153945</c:v>
                </c:pt>
                <c:pt idx="106">
                  <c:v>-0.16522471886330359</c:v>
                </c:pt>
                <c:pt idx="107">
                  <c:v>-0.15078035492927833</c:v>
                </c:pt>
                <c:pt idx="108">
                  <c:v>-0.13761171904076663</c:v>
                </c:pt>
                <c:pt idx="109">
                  <c:v>-0.10709483284600629</c:v>
                </c:pt>
                <c:pt idx="110">
                  <c:v>-0.1075491744766327</c:v>
                </c:pt>
                <c:pt idx="111">
                  <c:v>-0.13163937504483814</c:v>
                </c:pt>
                <c:pt idx="112">
                  <c:v>-7.0261390232101872E-2</c:v>
                </c:pt>
                <c:pt idx="113">
                  <c:v>-5.4938107341510722E-2</c:v>
                </c:pt>
                <c:pt idx="114">
                  <c:v>-9.0791479423306676E-2</c:v>
                </c:pt>
                <c:pt idx="115">
                  <c:v>-0.10649816417563929</c:v>
                </c:pt>
                <c:pt idx="116">
                  <c:v>-8.9901509594197071E-2</c:v>
                </c:pt>
                <c:pt idx="117">
                  <c:v>-0.10755310478702085</c:v>
                </c:pt>
                <c:pt idx="118">
                  <c:v>-8.516927199452895E-2</c:v>
                </c:pt>
                <c:pt idx="119">
                  <c:v>-6.6027155587180975E-2</c:v>
                </c:pt>
                <c:pt idx="120">
                  <c:v>-5.5470214893192371E-2</c:v>
                </c:pt>
                <c:pt idx="121">
                  <c:v>-2.1442414650768571E-2</c:v>
                </c:pt>
                <c:pt idx="122">
                  <c:v>-3.7034031356102282E-2</c:v>
                </c:pt>
                <c:pt idx="123">
                  <c:v>-3.2225550291120619E-2</c:v>
                </c:pt>
                <c:pt idx="124">
                  <c:v>-3.8701592804297302E-2</c:v>
                </c:pt>
                <c:pt idx="125">
                  <c:v>-3.4070158198470257E-2</c:v>
                </c:pt>
                <c:pt idx="126">
                  <c:v>-3.9795656173468918E-2</c:v>
                </c:pt>
                <c:pt idx="127">
                  <c:v>-4.5652053038361173E-2</c:v>
                </c:pt>
                <c:pt idx="128">
                  <c:v>-6.6453650253794461E-2</c:v>
                </c:pt>
                <c:pt idx="129">
                  <c:v>-0.1450478110405623</c:v>
                </c:pt>
                <c:pt idx="130">
                  <c:v>-0.19063329206921498</c:v>
                </c:pt>
                <c:pt idx="131">
                  <c:v>-0.13597857273696135</c:v>
                </c:pt>
                <c:pt idx="132">
                  <c:v>-0.14730322455161793</c:v>
                </c:pt>
                <c:pt idx="133">
                  <c:v>-0.14281214732727965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98937600"/>
        <c:axId val="198939392"/>
      </c:lineChart>
      <c:dateAx>
        <c:axId val="198937600"/>
        <c:scaling>
          <c:orientation val="minMax"/>
          <c:max val="40909"/>
        </c:scaling>
        <c:delete val="0"/>
        <c:axPos val="b"/>
        <c:numFmt formatCode="yyyy" sourceLinked="0"/>
        <c:majorTickMark val="out"/>
        <c:minorTickMark val="none"/>
        <c:tickLblPos val="low"/>
        <c:spPr>
          <a:ln w="3175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333333"/>
                </a:solidFill>
                <a:latin typeface="Arial"/>
                <a:ea typeface="Arial"/>
                <a:cs typeface="Arial"/>
              </a:defRPr>
            </a:pPr>
            <a:endParaRPr lang="sv-SE"/>
          </a:p>
        </c:txPr>
        <c:crossAx val="198939392"/>
        <c:crosses val="autoZero"/>
        <c:auto val="1"/>
        <c:lblOffset val="100"/>
        <c:baseTimeUnit val="months"/>
        <c:majorUnit val="1"/>
        <c:majorTimeUnit val="years"/>
        <c:minorUnit val="1"/>
        <c:minorTimeUnit val="years"/>
      </c:dateAx>
      <c:valAx>
        <c:axId val="198939392"/>
        <c:scaling>
          <c:orientation val="minMax"/>
          <c:min val="-0.5"/>
        </c:scaling>
        <c:delete val="0"/>
        <c:axPos val="l"/>
        <c:majorGridlines>
          <c:spPr>
            <a:ln w="3175">
              <a:solidFill>
                <a:srgbClr val="808080"/>
              </a:solidFill>
              <a:prstDash val="sysDash"/>
            </a:ln>
          </c:spPr>
        </c:majorGridlines>
        <c:numFmt formatCode="0%" sourceLinked="0"/>
        <c:majorTickMark val="out"/>
        <c:minorTickMark val="none"/>
        <c:tickLblPos val="nextTo"/>
        <c:spPr>
          <a:ln w="3175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333333"/>
                </a:solidFill>
                <a:latin typeface="Arial"/>
                <a:ea typeface="Arial"/>
                <a:cs typeface="Arial"/>
              </a:defRPr>
            </a:pPr>
            <a:endParaRPr lang="sv-SE"/>
          </a:p>
        </c:txPr>
        <c:crossAx val="198937600"/>
        <c:crosses val="autoZero"/>
        <c:crossBetween val="between"/>
      </c:valAx>
      <c:spPr>
        <a:noFill/>
        <a:ln w="25400">
          <a:noFill/>
        </a:ln>
      </c:spPr>
    </c:plotArea>
    <c:legend>
      <c:legendPos val="b"/>
      <c:layout>
        <c:manualLayout>
          <c:xMode val="edge"/>
          <c:yMode val="edge"/>
          <c:x val="3.6382536382536385E-2"/>
          <c:y val="0.94322517377635484"/>
          <c:w val="0.87629937629937626"/>
          <c:h val="4.0293040293040261E-2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1010" b="0" i="0" u="none" strike="noStrike" baseline="0">
              <a:solidFill>
                <a:srgbClr val="333333"/>
              </a:solidFill>
              <a:latin typeface="Arial"/>
              <a:ea typeface="Arial"/>
              <a:cs typeface="Arial"/>
            </a:defRPr>
          </a:pPr>
          <a:endParaRPr lang="sv-SE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808080"/>
      </a:solidFill>
      <a:prstDash val="solid"/>
    </a:ln>
  </c:spPr>
  <c:txPr>
    <a:bodyPr/>
    <a:lstStyle/>
    <a:p>
      <a:pPr>
        <a:defRPr sz="1025" b="0" i="0" u="none" strike="noStrike" baseline="0">
          <a:solidFill>
            <a:srgbClr val="333333"/>
          </a:solidFill>
          <a:latin typeface="Arial"/>
          <a:ea typeface="Arial"/>
          <a:cs typeface="Arial"/>
        </a:defRPr>
      </a:pPr>
      <a:endParaRPr lang="sv-SE"/>
    </a:p>
  </c:txPr>
  <c:printSettings>
    <c:headerFooter alignWithMargins="0"/>
    <c:pageMargins b="1" l="0.75" r="0.75" t="1" header="0.5" footer="0.5"/>
    <c:pageSetup paperSize="9" orientation="landscape"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sv-SE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 i="0" u="none" strike="noStrike" baseline="0">
                <a:solidFill>
                  <a:srgbClr val="333333"/>
                </a:solidFill>
                <a:latin typeface="Arial"/>
                <a:ea typeface="Arial"/>
                <a:cs typeface="Arial"/>
              </a:defRPr>
            </a:pPr>
            <a:r>
              <a:rPr lang="sv-SE"/>
              <a:t>Värdeutveckling</a:t>
            </a:r>
            <a:r>
              <a:rPr lang="sv-SE" baseline="0"/>
              <a:t> -</a:t>
            </a:r>
            <a:r>
              <a:rPr lang="sv-SE"/>
              <a:t> fondrörelsen i genomsnitt per år </a:t>
            </a:r>
          </a:p>
        </c:rich>
      </c:tx>
      <c:layout>
        <c:manualLayout>
          <c:xMode val="edge"/>
          <c:yMode val="edge"/>
          <c:x val="0.29531578919233875"/>
          <c:y val="2.9250457038391225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9.0631409626902221E-2"/>
          <c:y val="0.14259610535101383"/>
          <c:w val="0.86965420024016293"/>
          <c:h val="0.67458926762210392"/>
        </c:manualLayout>
      </c:layout>
      <c:lineChart>
        <c:grouping val="standard"/>
        <c:varyColors val="0"/>
        <c:ser>
          <c:idx val="0"/>
          <c:order val="0"/>
          <c:tx>
            <c:strRef>
              <c:f>'Avkastning sedan 2000'!$C$18:$C$19</c:f>
              <c:strCache>
                <c:ptCount val="1"/>
                <c:pt idx="0">
                  <c:v>Tidsviktad årsavkastning (TVA)</c:v>
                </c:pt>
              </c:strCache>
            </c:strRef>
          </c:tx>
          <c:spPr>
            <a:ln w="38100">
              <a:solidFill>
                <a:srgbClr val="FFB70F"/>
              </a:solidFill>
              <a:prstDash val="solid"/>
            </a:ln>
          </c:spPr>
          <c:marker>
            <c:symbol val="none"/>
          </c:marker>
          <c:cat>
            <c:numRef>
              <c:f>'Avkastning sedan 2000'!$B$20:$B$252</c:f>
              <c:numCache>
                <c:formatCode>yyyy/mm/dd;@</c:formatCode>
                <c:ptCount val="233"/>
                <c:pt idx="0">
                  <c:v>36873</c:v>
                </c:pt>
                <c:pt idx="1">
                  <c:v>36891</c:v>
                </c:pt>
                <c:pt idx="2">
                  <c:v>36922</c:v>
                </c:pt>
                <c:pt idx="3">
                  <c:v>36950</c:v>
                </c:pt>
                <c:pt idx="4">
                  <c:v>36981</c:v>
                </c:pt>
                <c:pt idx="5">
                  <c:v>37011</c:v>
                </c:pt>
                <c:pt idx="6">
                  <c:v>37042</c:v>
                </c:pt>
                <c:pt idx="7">
                  <c:v>37072</c:v>
                </c:pt>
                <c:pt idx="8">
                  <c:v>37103</c:v>
                </c:pt>
                <c:pt idx="9">
                  <c:v>37134</c:v>
                </c:pt>
                <c:pt idx="10">
                  <c:v>37164</c:v>
                </c:pt>
                <c:pt idx="11">
                  <c:v>37195</c:v>
                </c:pt>
                <c:pt idx="12">
                  <c:v>37225</c:v>
                </c:pt>
                <c:pt idx="13">
                  <c:v>37256</c:v>
                </c:pt>
                <c:pt idx="14">
                  <c:v>37287</c:v>
                </c:pt>
                <c:pt idx="15">
                  <c:v>37315</c:v>
                </c:pt>
                <c:pt idx="16">
                  <c:v>37346</c:v>
                </c:pt>
                <c:pt idx="17">
                  <c:v>37376</c:v>
                </c:pt>
                <c:pt idx="18">
                  <c:v>37407</c:v>
                </c:pt>
                <c:pt idx="19">
                  <c:v>37437</c:v>
                </c:pt>
                <c:pt idx="20">
                  <c:v>37468</c:v>
                </c:pt>
                <c:pt idx="21">
                  <c:v>37499</c:v>
                </c:pt>
                <c:pt idx="22">
                  <c:v>37529</c:v>
                </c:pt>
                <c:pt idx="23">
                  <c:v>37560</c:v>
                </c:pt>
                <c:pt idx="24">
                  <c:v>37590</c:v>
                </c:pt>
                <c:pt idx="25">
                  <c:v>37621</c:v>
                </c:pt>
                <c:pt idx="26">
                  <c:v>37652</c:v>
                </c:pt>
                <c:pt idx="27">
                  <c:v>37680</c:v>
                </c:pt>
                <c:pt idx="28">
                  <c:v>37711</c:v>
                </c:pt>
                <c:pt idx="29">
                  <c:v>37741</c:v>
                </c:pt>
                <c:pt idx="30">
                  <c:v>37772</c:v>
                </c:pt>
                <c:pt idx="31">
                  <c:v>37802</c:v>
                </c:pt>
                <c:pt idx="32">
                  <c:v>37833</c:v>
                </c:pt>
                <c:pt idx="33">
                  <c:v>37864</c:v>
                </c:pt>
                <c:pt idx="34">
                  <c:v>37894</c:v>
                </c:pt>
                <c:pt idx="35">
                  <c:v>37925</c:v>
                </c:pt>
                <c:pt idx="36">
                  <c:v>37955</c:v>
                </c:pt>
                <c:pt idx="37">
                  <c:v>37986</c:v>
                </c:pt>
                <c:pt idx="38">
                  <c:v>38017</c:v>
                </c:pt>
                <c:pt idx="39">
                  <c:v>38046</c:v>
                </c:pt>
                <c:pt idx="40">
                  <c:v>38077</c:v>
                </c:pt>
                <c:pt idx="41">
                  <c:v>38107</c:v>
                </c:pt>
                <c:pt idx="42">
                  <c:v>38138</c:v>
                </c:pt>
                <c:pt idx="43">
                  <c:v>38168</c:v>
                </c:pt>
                <c:pt idx="44">
                  <c:v>38199</c:v>
                </c:pt>
                <c:pt idx="45">
                  <c:v>38230</c:v>
                </c:pt>
                <c:pt idx="46">
                  <c:v>38260</c:v>
                </c:pt>
                <c:pt idx="47">
                  <c:v>38291</c:v>
                </c:pt>
                <c:pt idx="48">
                  <c:v>38321</c:v>
                </c:pt>
                <c:pt idx="49">
                  <c:v>38352</c:v>
                </c:pt>
                <c:pt idx="50">
                  <c:v>38383</c:v>
                </c:pt>
                <c:pt idx="51">
                  <c:v>38411</c:v>
                </c:pt>
                <c:pt idx="52">
                  <c:v>38442</c:v>
                </c:pt>
                <c:pt idx="53">
                  <c:v>38472</c:v>
                </c:pt>
                <c:pt idx="54">
                  <c:v>38503</c:v>
                </c:pt>
                <c:pt idx="55">
                  <c:v>38533</c:v>
                </c:pt>
                <c:pt idx="56">
                  <c:v>38564</c:v>
                </c:pt>
                <c:pt idx="57">
                  <c:v>38595</c:v>
                </c:pt>
                <c:pt idx="58">
                  <c:v>38625</c:v>
                </c:pt>
                <c:pt idx="59">
                  <c:v>38656</c:v>
                </c:pt>
                <c:pt idx="60">
                  <c:v>38686</c:v>
                </c:pt>
                <c:pt idx="61">
                  <c:v>38717</c:v>
                </c:pt>
                <c:pt idx="62">
                  <c:v>38748</c:v>
                </c:pt>
                <c:pt idx="63">
                  <c:v>38776</c:v>
                </c:pt>
                <c:pt idx="64">
                  <c:v>38807</c:v>
                </c:pt>
                <c:pt idx="65">
                  <c:v>38837</c:v>
                </c:pt>
                <c:pt idx="66">
                  <c:v>38868</c:v>
                </c:pt>
                <c:pt idx="67">
                  <c:v>38898</c:v>
                </c:pt>
                <c:pt idx="68">
                  <c:v>38929</c:v>
                </c:pt>
                <c:pt idx="69">
                  <c:v>38960</c:v>
                </c:pt>
                <c:pt idx="70">
                  <c:v>38990</c:v>
                </c:pt>
                <c:pt idx="71">
                  <c:v>39021</c:v>
                </c:pt>
                <c:pt idx="72">
                  <c:v>39051</c:v>
                </c:pt>
                <c:pt idx="73">
                  <c:v>39082</c:v>
                </c:pt>
                <c:pt idx="74">
                  <c:v>39113</c:v>
                </c:pt>
                <c:pt idx="75">
                  <c:v>39141</c:v>
                </c:pt>
                <c:pt idx="76">
                  <c:v>39172</c:v>
                </c:pt>
                <c:pt idx="77">
                  <c:v>39202</c:v>
                </c:pt>
                <c:pt idx="78">
                  <c:v>39233</c:v>
                </c:pt>
                <c:pt idx="79">
                  <c:v>39263</c:v>
                </c:pt>
                <c:pt idx="80">
                  <c:v>39294</c:v>
                </c:pt>
                <c:pt idx="81">
                  <c:v>39325</c:v>
                </c:pt>
                <c:pt idx="82">
                  <c:v>39353</c:v>
                </c:pt>
                <c:pt idx="83">
                  <c:v>39386</c:v>
                </c:pt>
                <c:pt idx="84">
                  <c:v>39416</c:v>
                </c:pt>
                <c:pt idx="85">
                  <c:v>39447</c:v>
                </c:pt>
                <c:pt idx="86">
                  <c:v>39478</c:v>
                </c:pt>
                <c:pt idx="87">
                  <c:v>39507</c:v>
                </c:pt>
                <c:pt idx="88">
                  <c:v>39538</c:v>
                </c:pt>
                <c:pt idx="89">
                  <c:v>39568</c:v>
                </c:pt>
                <c:pt idx="90">
                  <c:v>39599</c:v>
                </c:pt>
                <c:pt idx="91">
                  <c:v>39629</c:v>
                </c:pt>
                <c:pt idx="92">
                  <c:v>39660</c:v>
                </c:pt>
                <c:pt idx="93">
                  <c:v>39691</c:v>
                </c:pt>
                <c:pt idx="94">
                  <c:v>39721</c:v>
                </c:pt>
                <c:pt idx="95">
                  <c:v>39752</c:v>
                </c:pt>
                <c:pt idx="96">
                  <c:v>39782</c:v>
                </c:pt>
                <c:pt idx="97">
                  <c:v>39813</c:v>
                </c:pt>
                <c:pt idx="98">
                  <c:v>39844</c:v>
                </c:pt>
                <c:pt idx="99">
                  <c:v>39872</c:v>
                </c:pt>
                <c:pt idx="100">
                  <c:v>39903</c:v>
                </c:pt>
                <c:pt idx="101">
                  <c:v>39933</c:v>
                </c:pt>
                <c:pt idx="102">
                  <c:v>39964</c:v>
                </c:pt>
                <c:pt idx="103">
                  <c:v>39994</c:v>
                </c:pt>
                <c:pt idx="104">
                  <c:v>40025</c:v>
                </c:pt>
                <c:pt idx="105">
                  <c:v>40056</c:v>
                </c:pt>
                <c:pt idx="106">
                  <c:v>40086</c:v>
                </c:pt>
                <c:pt idx="107">
                  <c:v>40117</c:v>
                </c:pt>
                <c:pt idx="108">
                  <c:v>40147</c:v>
                </c:pt>
                <c:pt idx="109">
                  <c:v>40178</c:v>
                </c:pt>
                <c:pt idx="110">
                  <c:v>40209</c:v>
                </c:pt>
                <c:pt idx="111">
                  <c:v>40237</c:v>
                </c:pt>
                <c:pt idx="112">
                  <c:v>40268</c:v>
                </c:pt>
                <c:pt idx="113">
                  <c:v>40298</c:v>
                </c:pt>
                <c:pt idx="114">
                  <c:v>40329</c:v>
                </c:pt>
                <c:pt idx="115">
                  <c:v>40359</c:v>
                </c:pt>
                <c:pt idx="116">
                  <c:v>40390</c:v>
                </c:pt>
                <c:pt idx="117">
                  <c:v>40421</c:v>
                </c:pt>
                <c:pt idx="118">
                  <c:v>40451</c:v>
                </c:pt>
                <c:pt idx="119">
                  <c:v>40482</c:v>
                </c:pt>
                <c:pt idx="120">
                  <c:v>40512</c:v>
                </c:pt>
                <c:pt idx="121">
                  <c:v>40543</c:v>
                </c:pt>
                <c:pt idx="122">
                  <c:v>40574</c:v>
                </c:pt>
                <c:pt idx="123">
                  <c:v>40602</c:v>
                </c:pt>
                <c:pt idx="124">
                  <c:v>40633</c:v>
                </c:pt>
                <c:pt idx="125">
                  <c:v>40663</c:v>
                </c:pt>
                <c:pt idx="126">
                  <c:v>40694</c:v>
                </c:pt>
                <c:pt idx="127">
                  <c:v>40724</c:v>
                </c:pt>
                <c:pt idx="128" formatCode="m/d/yyyy">
                  <c:v>40755</c:v>
                </c:pt>
                <c:pt idx="129" formatCode="m/d/yyyy">
                  <c:v>40786</c:v>
                </c:pt>
                <c:pt idx="130" formatCode="m/d/yyyy">
                  <c:v>40816</c:v>
                </c:pt>
                <c:pt idx="131" formatCode="m/d/yyyy">
                  <c:v>40847</c:v>
                </c:pt>
                <c:pt idx="132" formatCode="m/d/yyyy">
                  <c:v>40877</c:v>
                </c:pt>
                <c:pt idx="133" formatCode="m/d/yyyy">
                  <c:v>40908</c:v>
                </c:pt>
                <c:pt idx="134" formatCode="m/d/yyyy">
                  <c:v>40939</c:v>
                </c:pt>
              </c:numCache>
            </c:numRef>
          </c:cat>
          <c:val>
            <c:numRef>
              <c:f>'Avkastning sedan 2000'!$C$20:$C$160</c:f>
              <c:numCache>
                <c:formatCode>0.0%</c:formatCode>
                <c:ptCount val="141"/>
                <c:pt idx="0">
                  <c:v>0</c:v>
                </c:pt>
                <c:pt idx="1">
                  <c:v>-4.5388155165690725E-2</c:v>
                </c:pt>
                <c:pt idx="2">
                  <c:v>-2.3061835549637144E-2</c:v>
                </c:pt>
                <c:pt idx="3">
                  <c:v>-9.3336214097018311E-2</c:v>
                </c:pt>
                <c:pt idx="4">
                  <c:v>-0.15455948709528244</c:v>
                </c:pt>
                <c:pt idx="5">
                  <c:v>-0.10298425231858033</c:v>
                </c:pt>
                <c:pt idx="6">
                  <c:v>-7.016137882463358E-2</c:v>
                </c:pt>
                <c:pt idx="7">
                  <c:v>-9.557327690967421E-2</c:v>
                </c:pt>
                <c:pt idx="8">
                  <c:v>-0.13384481410068805</c:v>
                </c:pt>
                <c:pt idx="9">
                  <c:v>-0.18550338163818569</c:v>
                </c:pt>
                <c:pt idx="10">
                  <c:v>-0.25676123723683508</c:v>
                </c:pt>
                <c:pt idx="11">
                  <c:v>-0.21912568174453229</c:v>
                </c:pt>
                <c:pt idx="12">
                  <c:v>-0.16090624193691538</c:v>
                </c:pt>
                <c:pt idx="13">
                  <c:v>-0.15163030159442259</c:v>
                </c:pt>
                <c:pt idx="14">
                  <c:v>-0.16226125402914071</c:v>
                </c:pt>
                <c:pt idx="15">
                  <c:v>-0.15995282583486503</c:v>
                </c:pt>
                <c:pt idx="16">
                  <c:v>-0.13668758570700124</c:v>
                </c:pt>
                <c:pt idx="17">
                  <c:v>-0.16588858009420038</c:v>
                </c:pt>
                <c:pt idx="18">
                  <c:v>-0.17925892347518058</c:v>
                </c:pt>
                <c:pt idx="19">
                  <c:v>-0.22050976223006347</c:v>
                </c:pt>
                <c:pt idx="20">
                  <c:v>-0.24416776840847387</c:v>
                </c:pt>
                <c:pt idx="21">
                  <c:v>-0.23780624183716714</c:v>
                </c:pt>
                <c:pt idx="22">
                  <c:v>-0.27439234057319351</c:v>
                </c:pt>
                <c:pt idx="23">
                  <c:v>-0.23343554860848559</c:v>
                </c:pt>
                <c:pt idx="24">
                  <c:v>-0.20070973309006235</c:v>
                </c:pt>
                <c:pt idx="25">
                  <c:v>-0.22785838594751284</c:v>
                </c:pt>
                <c:pt idx="26">
                  <c:v>-0.23460327412364324</c:v>
                </c:pt>
                <c:pt idx="27">
                  <c:v>-0.23240386065007368</c:v>
                </c:pt>
                <c:pt idx="28">
                  <c:v>-0.22512802037218171</c:v>
                </c:pt>
                <c:pt idx="29">
                  <c:v>-0.19717702713728946</c:v>
                </c:pt>
                <c:pt idx="30">
                  <c:v>-0.18833333094140081</c:v>
                </c:pt>
                <c:pt idx="31">
                  <c:v>-0.16813844327559169</c:v>
                </c:pt>
                <c:pt idx="32">
                  <c:v>-0.1518031259781758</c:v>
                </c:pt>
                <c:pt idx="33">
                  <c:v>-0.13574346501764911</c:v>
                </c:pt>
                <c:pt idx="34">
                  <c:v>-0.14681322947025155</c:v>
                </c:pt>
                <c:pt idx="35">
                  <c:v>-0.1251331817775535</c:v>
                </c:pt>
                <c:pt idx="36">
                  <c:v>-0.12301693246698986</c:v>
                </c:pt>
                <c:pt idx="37">
                  <c:v>-0.1143751986773297</c:v>
                </c:pt>
                <c:pt idx="38">
                  <c:v>-9.8706449952690956E-2</c:v>
                </c:pt>
                <c:pt idx="39">
                  <c:v>-8.9088952368647556E-2</c:v>
                </c:pt>
                <c:pt idx="40">
                  <c:v>-8.7406605538522308E-2</c:v>
                </c:pt>
                <c:pt idx="41">
                  <c:v>-8.6988615271393566E-2</c:v>
                </c:pt>
                <c:pt idx="42">
                  <c:v>-8.9931885662111632E-2</c:v>
                </c:pt>
                <c:pt idx="43">
                  <c:v>-8.1594111492517385E-2</c:v>
                </c:pt>
                <c:pt idx="44">
                  <c:v>-8.5704517293054172E-2</c:v>
                </c:pt>
                <c:pt idx="45">
                  <c:v>-8.5215270792155073E-2</c:v>
                </c:pt>
                <c:pt idx="46">
                  <c:v>-8.159684410507495E-2</c:v>
                </c:pt>
                <c:pt idx="47">
                  <c:v>-7.9882149410125725E-2</c:v>
                </c:pt>
                <c:pt idx="48">
                  <c:v>-7.3719529380124937E-2</c:v>
                </c:pt>
                <c:pt idx="49">
                  <c:v>-6.8696459652047626E-2</c:v>
                </c:pt>
                <c:pt idx="50">
                  <c:v>-6.341088664394734E-2</c:v>
                </c:pt>
                <c:pt idx="51">
                  <c:v>-5.6910768482158702E-2</c:v>
                </c:pt>
                <c:pt idx="52">
                  <c:v>-5.5930861892893091E-2</c:v>
                </c:pt>
                <c:pt idx="53">
                  <c:v>-5.6873786580065921E-2</c:v>
                </c:pt>
                <c:pt idx="54">
                  <c:v>-4.3985259422495315E-2</c:v>
                </c:pt>
                <c:pt idx="55">
                  <c:v>-3.3018014505805326E-2</c:v>
                </c:pt>
                <c:pt idx="56">
                  <c:v>-2.5325259264046607E-2</c:v>
                </c:pt>
                <c:pt idx="57">
                  <c:v>-2.746217415188934E-2</c:v>
                </c:pt>
                <c:pt idx="58">
                  <c:v>-1.7256064356471201E-2</c:v>
                </c:pt>
                <c:pt idx="59">
                  <c:v>-1.9685498604054108E-2</c:v>
                </c:pt>
                <c:pt idx="60">
                  <c:v>-9.9800295892689128E-3</c:v>
                </c:pt>
                <c:pt idx="61">
                  <c:v>-4.7110674544711406E-3</c:v>
                </c:pt>
                <c:pt idx="62">
                  <c:v>-2.0261592519472682E-3</c:v>
                </c:pt>
                <c:pt idx="63">
                  <c:v>5.6487653200738563E-3</c:v>
                </c:pt>
                <c:pt idx="64">
                  <c:v>9.2249715902352758E-3</c:v>
                </c:pt>
                <c:pt idx="65">
                  <c:v>8.0992276958389287E-3</c:v>
                </c:pt>
                <c:pt idx="66">
                  <c:v>-5.4074952826941303E-3</c:v>
                </c:pt>
                <c:pt idx="67">
                  <c:v>-4.8403012667731504E-3</c:v>
                </c:pt>
                <c:pt idx="68">
                  <c:v>-4.3741452361311106E-3</c:v>
                </c:pt>
                <c:pt idx="69">
                  <c:v>6.9304414696169658E-4</c:v>
                </c:pt>
                <c:pt idx="70">
                  <c:v>5.45304819675696E-3</c:v>
                </c:pt>
                <c:pt idx="71">
                  <c:v>9.6585518189129527E-3</c:v>
                </c:pt>
                <c:pt idx="72">
                  <c:v>8.4141557924484189E-3</c:v>
                </c:pt>
                <c:pt idx="73">
                  <c:v>1.500756008888593E-2</c:v>
                </c:pt>
                <c:pt idx="74">
                  <c:v>1.8518194889937556E-2</c:v>
                </c:pt>
                <c:pt idx="75">
                  <c:v>1.7444917265784232E-2</c:v>
                </c:pt>
                <c:pt idx="76">
                  <c:v>2.224375243149157E-2</c:v>
                </c:pt>
                <c:pt idx="77">
                  <c:v>2.5673479879851469E-2</c:v>
                </c:pt>
                <c:pt idx="78">
                  <c:v>2.9137083472588143E-2</c:v>
                </c:pt>
                <c:pt idx="79">
                  <c:v>2.951440349286516E-2</c:v>
                </c:pt>
                <c:pt idx="80">
                  <c:v>2.7093726215310143E-2</c:v>
                </c:pt>
                <c:pt idx="81">
                  <c:v>2.5893685550976597E-2</c:v>
                </c:pt>
                <c:pt idx="82">
                  <c:v>2.6105589192325196E-2</c:v>
                </c:pt>
                <c:pt idx="83">
                  <c:v>2.8177334679883703E-2</c:v>
                </c:pt>
                <c:pt idx="84">
                  <c:v>2.1492005082166754E-2</c:v>
                </c:pt>
                <c:pt idx="85">
                  <c:v>2.0783679984143433E-2</c:v>
                </c:pt>
                <c:pt idx="86">
                  <c:v>4.0790775493757536E-3</c:v>
                </c:pt>
                <c:pt idx="87">
                  <c:v>5.8644386324504527E-3</c:v>
                </c:pt>
                <c:pt idx="88">
                  <c:v>-5.1376771948852262E-4</c:v>
                </c:pt>
                <c:pt idx="89">
                  <c:v>6.2290021634821002E-3</c:v>
                </c:pt>
                <c:pt idx="90">
                  <c:v>9.0389136859068131E-3</c:v>
                </c:pt>
                <c:pt idx="91">
                  <c:v>-3.3928874419889565E-3</c:v>
                </c:pt>
                <c:pt idx="92">
                  <c:v>-4.8172133966993824E-3</c:v>
                </c:pt>
                <c:pt idx="93">
                  <c:v>-3.015438448475849E-3</c:v>
                </c:pt>
                <c:pt idx="94">
                  <c:v>-1.5328195456027816E-2</c:v>
                </c:pt>
                <c:pt idx="95">
                  <c:v>-3.150249419696316E-2</c:v>
                </c:pt>
                <c:pt idx="96">
                  <c:v>-3.4452148187868015E-2</c:v>
                </c:pt>
                <c:pt idx="97">
                  <c:v>-3.3168568368584062E-2</c:v>
                </c:pt>
                <c:pt idx="98">
                  <c:v>-3.5230663025813347E-2</c:v>
                </c:pt>
                <c:pt idx="99">
                  <c:v>-3.5368453768149566E-2</c:v>
                </c:pt>
                <c:pt idx="100">
                  <c:v>-3.5117277279205217E-2</c:v>
                </c:pt>
                <c:pt idx="101">
                  <c:v>-2.1242112837696281E-2</c:v>
                </c:pt>
                <c:pt idx="102">
                  <c:v>-1.6913601228283448E-2</c:v>
                </c:pt>
                <c:pt idx="103">
                  <c:v>-1.5144256937690503E-2</c:v>
                </c:pt>
                <c:pt idx="104">
                  <c:v>-1.0206632726496134E-2</c:v>
                </c:pt>
                <c:pt idx="105">
                  <c:v>-8.1357184729335952E-3</c:v>
                </c:pt>
                <c:pt idx="106">
                  <c:v>-5.2679940769330136E-3</c:v>
                </c:pt>
                <c:pt idx="107">
                  <c:v>-3.0206025293543215E-3</c:v>
                </c:pt>
                <c:pt idx="108">
                  <c:v>-1.3160706544280698E-3</c:v>
                </c:pt>
                <c:pt idx="109">
                  <c:v>2.7684935362404239E-3</c:v>
                </c:pt>
                <c:pt idx="110">
                  <c:v>1.9967911431406637E-3</c:v>
                </c:pt>
                <c:pt idx="111">
                  <c:v>-3.3425781767004725E-4</c:v>
                </c:pt>
                <c:pt idx="112">
                  <c:v>7.2714774332358623E-3</c:v>
                </c:pt>
                <c:pt idx="113">
                  <c:v>8.9710598371586237E-3</c:v>
                </c:pt>
                <c:pt idx="114">
                  <c:v>4.9887427577515187E-3</c:v>
                </c:pt>
                <c:pt idx="115">
                  <c:v>3.1368265438185272E-3</c:v>
                </c:pt>
                <c:pt idx="116">
                  <c:v>4.7018094765645113E-3</c:v>
                </c:pt>
                <c:pt idx="117">
                  <c:v>2.652198892256763E-3</c:v>
                </c:pt>
                <c:pt idx="118">
                  <c:v>6.0150196652901666E-3</c:v>
                </c:pt>
                <c:pt idx="119">
                  <c:v>8.390460303901115E-3</c:v>
                </c:pt>
                <c:pt idx="120">
                  <c:v>9.7873840817976898E-3</c:v>
                </c:pt>
                <c:pt idx="121">
                  <c:v>1.3958885208253058E-2</c:v>
                </c:pt>
                <c:pt idx="122">
                  <c:v>1.1408050737646835E-2</c:v>
                </c:pt>
                <c:pt idx="123">
                  <c:v>1.1757971236948661E-2</c:v>
                </c:pt>
                <c:pt idx="124">
                  <c:v>1.2311686217160611E-2</c:v>
                </c:pt>
                <c:pt idx="125">
                  <c:v>1.3095883137439257E-2</c:v>
                </c:pt>
                <c:pt idx="126">
                  <c:v>1.2597298463506323E-2</c:v>
                </c:pt>
                <c:pt idx="127">
                  <c:v>1.1685370203887935E-2</c:v>
                </c:pt>
                <c:pt idx="128">
                  <c:v>9.4601042789193013E-3</c:v>
                </c:pt>
                <c:pt idx="129">
                  <c:v>1.192315922280196E-3</c:v>
                </c:pt>
                <c:pt idx="130">
                  <c:v>-3.2258906758955153E-3</c:v>
                </c:pt>
                <c:pt idx="131">
                  <c:v>2.7862013168424848E-3</c:v>
                </c:pt>
                <c:pt idx="132">
                  <c:v>1.7778001215293937E-3</c:v>
                </c:pt>
                <c:pt idx="133">
                  <c:v>2.4176334743228889E-3</c:v>
                </c:pt>
                <c:pt idx="134">
                  <c:v>7.4768586609763599E-3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'Avkastning sedan 2000'!$D$18:$D$19</c:f>
              <c:strCache>
                <c:ptCount val="1"/>
                <c:pt idx="0">
                  <c:v>Real tidsviktad årsavkastning (TVA)</c:v>
                </c:pt>
              </c:strCache>
            </c:strRef>
          </c:tx>
          <c:spPr>
            <a:ln w="12700">
              <a:solidFill>
                <a:srgbClr val="FFB70F"/>
              </a:solidFill>
              <a:prstDash val="solid"/>
            </a:ln>
          </c:spPr>
          <c:marker>
            <c:symbol val="none"/>
          </c:marker>
          <c:cat>
            <c:numRef>
              <c:f>'Avkastning sedan 2000'!$B$20:$B$252</c:f>
              <c:numCache>
                <c:formatCode>yyyy/mm/dd;@</c:formatCode>
                <c:ptCount val="233"/>
                <c:pt idx="0">
                  <c:v>36873</c:v>
                </c:pt>
                <c:pt idx="1">
                  <c:v>36891</c:v>
                </c:pt>
                <c:pt idx="2">
                  <c:v>36922</c:v>
                </c:pt>
                <c:pt idx="3">
                  <c:v>36950</c:v>
                </c:pt>
                <c:pt idx="4">
                  <c:v>36981</c:v>
                </c:pt>
                <c:pt idx="5">
                  <c:v>37011</c:v>
                </c:pt>
                <c:pt idx="6">
                  <c:v>37042</c:v>
                </c:pt>
                <c:pt idx="7">
                  <c:v>37072</c:v>
                </c:pt>
                <c:pt idx="8">
                  <c:v>37103</c:v>
                </c:pt>
                <c:pt idx="9">
                  <c:v>37134</c:v>
                </c:pt>
                <c:pt idx="10">
                  <c:v>37164</c:v>
                </c:pt>
                <c:pt idx="11">
                  <c:v>37195</c:v>
                </c:pt>
                <c:pt idx="12">
                  <c:v>37225</c:v>
                </c:pt>
                <c:pt idx="13">
                  <c:v>37256</c:v>
                </c:pt>
                <c:pt idx="14">
                  <c:v>37287</c:v>
                </c:pt>
                <c:pt idx="15">
                  <c:v>37315</c:v>
                </c:pt>
                <c:pt idx="16">
                  <c:v>37346</c:v>
                </c:pt>
                <c:pt idx="17">
                  <c:v>37376</c:v>
                </c:pt>
                <c:pt idx="18">
                  <c:v>37407</c:v>
                </c:pt>
                <c:pt idx="19">
                  <c:v>37437</c:v>
                </c:pt>
                <c:pt idx="20">
                  <c:v>37468</c:v>
                </c:pt>
                <c:pt idx="21">
                  <c:v>37499</c:v>
                </c:pt>
                <c:pt idx="22">
                  <c:v>37529</c:v>
                </c:pt>
                <c:pt idx="23">
                  <c:v>37560</c:v>
                </c:pt>
                <c:pt idx="24">
                  <c:v>37590</c:v>
                </c:pt>
                <c:pt idx="25">
                  <c:v>37621</c:v>
                </c:pt>
                <c:pt idx="26">
                  <c:v>37652</c:v>
                </c:pt>
                <c:pt idx="27">
                  <c:v>37680</c:v>
                </c:pt>
                <c:pt idx="28">
                  <c:v>37711</c:v>
                </c:pt>
                <c:pt idx="29">
                  <c:v>37741</c:v>
                </c:pt>
                <c:pt idx="30">
                  <c:v>37772</c:v>
                </c:pt>
                <c:pt idx="31">
                  <c:v>37802</c:v>
                </c:pt>
                <c:pt idx="32">
                  <c:v>37833</c:v>
                </c:pt>
                <c:pt idx="33">
                  <c:v>37864</c:v>
                </c:pt>
                <c:pt idx="34">
                  <c:v>37894</c:v>
                </c:pt>
                <c:pt idx="35">
                  <c:v>37925</c:v>
                </c:pt>
                <c:pt idx="36">
                  <c:v>37955</c:v>
                </c:pt>
                <c:pt idx="37">
                  <c:v>37986</c:v>
                </c:pt>
                <c:pt idx="38">
                  <c:v>38017</c:v>
                </c:pt>
                <c:pt idx="39">
                  <c:v>38046</c:v>
                </c:pt>
                <c:pt idx="40">
                  <c:v>38077</c:v>
                </c:pt>
                <c:pt idx="41">
                  <c:v>38107</c:v>
                </c:pt>
                <c:pt idx="42">
                  <c:v>38138</c:v>
                </c:pt>
                <c:pt idx="43">
                  <c:v>38168</c:v>
                </c:pt>
                <c:pt idx="44">
                  <c:v>38199</c:v>
                </c:pt>
                <c:pt idx="45">
                  <c:v>38230</c:v>
                </c:pt>
                <c:pt idx="46">
                  <c:v>38260</c:v>
                </c:pt>
                <c:pt idx="47">
                  <c:v>38291</c:v>
                </c:pt>
                <c:pt idx="48">
                  <c:v>38321</c:v>
                </c:pt>
                <c:pt idx="49">
                  <c:v>38352</c:v>
                </c:pt>
                <c:pt idx="50">
                  <c:v>38383</c:v>
                </c:pt>
                <c:pt idx="51">
                  <c:v>38411</c:v>
                </c:pt>
                <c:pt idx="52">
                  <c:v>38442</c:v>
                </c:pt>
                <c:pt idx="53">
                  <c:v>38472</c:v>
                </c:pt>
                <c:pt idx="54">
                  <c:v>38503</c:v>
                </c:pt>
                <c:pt idx="55">
                  <c:v>38533</c:v>
                </c:pt>
                <c:pt idx="56">
                  <c:v>38564</c:v>
                </c:pt>
                <c:pt idx="57">
                  <c:v>38595</c:v>
                </c:pt>
                <c:pt idx="58">
                  <c:v>38625</c:v>
                </c:pt>
                <c:pt idx="59">
                  <c:v>38656</c:v>
                </c:pt>
                <c:pt idx="60">
                  <c:v>38686</c:v>
                </c:pt>
                <c:pt idx="61">
                  <c:v>38717</c:v>
                </c:pt>
                <c:pt idx="62">
                  <c:v>38748</c:v>
                </c:pt>
                <c:pt idx="63">
                  <c:v>38776</c:v>
                </c:pt>
                <c:pt idx="64">
                  <c:v>38807</c:v>
                </c:pt>
                <c:pt idx="65">
                  <c:v>38837</c:v>
                </c:pt>
                <c:pt idx="66">
                  <c:v>38868</c:v>
                </c:pt>
                <c:pt idx="67">
                  <c:v>38898</c:v>
                </c:pt>
                <c:pt idx="68">
                  <c:v>38929</c:v>
                </c:pt>
                <c:pt idx="69">
                  <c:v>38960</c:v>
                </c:pt>
                <c:pt idx="70">
                  <c:v>38990</c:v>
                </c:pt>
                <c:pt idx="71">
                  <c:v>39021</c:v>
                </c:pt>
                <c:pt idx="72">
                  <c:v>39051</c:v>
                </c:pt>
                <c:pt idx="73">
                  <c:v>39082</c:v>
                </c:pt>
                <c:pt idx="74">
                  <c:v>39113</c:v>
                </c:pt>
                <c:pt idx="75">
                  <c:v>39141</c:v>
                </c:pt>
                <c:pt idx="76">
                  <c:v>39172</c:v>
                </c:pt>
                <c:pt idx="77">
                  <c:v>39202</c:v>
                </c:pt>
                <c:pt idx="78">
                  <c:v>39233</c:v>
                </c:pt>
                <c:pt idx="79">
                  <c:v>39263</c:v>
                </c:pt>
                <c:pt idx="80">
                  <c:v>39294</c:v>
                </c:pt>
                <c:pt idx="81">
                  <c:v>39325</c:v>
                </c:pt>
                <c:pt idx="82">
                  <c:v>39353</c:v>
                </c:pt>
                <c:pt idx="83">
                  <c:v>39386</c:v>
                </c:pt>
                <c:pt idx="84">
                  <c:v>39416</c:v>
                </c:pt>
                <c:pt idx="85">
                  <c:v>39447</c:v>
                </c:pt>
                <c:pt idx="86">
                  <c:v>39478</c:v>
                </c:pt>
                <c:pt idx="87">
                  <c:v>39507</c:v>
                </c:pt>
                <c:pt idx="88">
                  <c:v>39538</c:v>
                </c:pt>
                <c:pt idx="89">
                  <c:v>39568</c:v>
                </c:pt>
                <c:pt idx="90">
                  <c:v>39599</c:v>
                </c:pt>
                <c:pt idx="91">
                  <c:v>39629</c:v>
                </c:pt>
                <c:pt idx="92">
                  <c:v>39660</c:v>
                </c:pt>
                <c:pt idx="93">
                  <c:v>39691</c:v>
                </c:pt>
                <c:pt idx="94">
                  <c:v>39721</c:v>
                </c:pt>
                <c:pt idx="95">
                  <c:v>39752</c:v>
                </c:pt>
                <c:pt idx="96">
                  <c:v>39782</c:v>
                </c:pt>
                <c:pt idx="97">
                  <c:v>39813</c:v>
                </c:pt>
                <c:pt idx="98">
                  <c:v>39844</c:v>
                </c:pt>
                <c:pt idx="99">
                  <c:v>39872</c:v>
                </c:pt>
                <c:pt idx="100">
                  <c:v>39903</c:v>
                </c:pt>
                <c:pt idx="101">
                  <c:v>39933</c:v>
                </c:pt>
                <c:pt idx="102">
                  <c:v>39964</c:v>
                </c:pt>
                <c:pt idx="103">
                  <c:v>39994</c:v>
                </c:pt>
                <c:pt idx="104">
                  <c:v>40025</c:v>
                </c:pt>
                <c:pt idx="105">
                  <c:v>40056</c:v>
                </c:pt>
                <c:pt idx="106">
                  <c:v>40086</c:v>
                </c:pt>
                <c:pt idx="107">
                  <c:v>40117</c:v>
                </c:pt>
                <c:pt idx="108">
                  <c:v>40147</c:v>
                </c:pt>
                <c:pt idx="109">
                  <c:v>40178</c:v>
                </c:pt>
                <c:pt idx="110">
                  <c:v>40209</c:v>
                </c:pt>
                <c:pt idx="111">
                  <c:v>40237</c:v>
                </c:pt>
                <c:pt idx="112">
                  <c:v>40268</c:v>
                </c:pt>
                <c:pt idx="113">
                  <c:v>40298</c:v>
                </c:pt>
                <c:pt idx="114">
                  <c:v>40329</c:v>
                </c:pt>
                <c:pt idx="115">
                  <c:v>40359</c:v>
                </c:pt>
                <c:pt idx="116">
                  <c:v>40390</c:v>
                </c:pt>
                <c:pt idx="117">
                  <c:v>40421</c:v>
                </c:pt>
                <c:pt idx="118">
                  <c:v>40451</c:v>
                </c:pt>
                <c:pt idx="119">
                  <c:v>40482</c:v>
                </c:pt>
                <c:pt idx="120">
                  <c:v>40512</c:v>
                </c:pt>
                <c:pt idx="121">
                  <c:v>40543</c:v>
                </c:pt>
                <c:pt idx="122">
                  <c:v>40574</c:v>
                </c:pt>
                <c:pt idx="123">
                  <c:v>40602</c:v>
                </c:pt>
                <c:pt idx="124">
                  <c:v>40633</c:v>
                </c:pt>
                <c:pt idx="125">
                  <c:v>40663</c:v>
                </c:pt>
                <c:pt idx="126">
                  <c:v>40694</c:v>
                </c:pt>
                <c:pt idx="127">
                  <c:v>40724</c:v>
                </c:pt>
                <c:pt idx="128" formatCode="m/d/yyyy">
                  <c:v>40755</c:v>
                </c:pt>
                <c:pt idx="129" formatCode="m/d/yyyy">
                  <c:v>40786</c:v>
                </c:pt>
                <c:pt idx="130" formatCode="m/d/yyyy">
                  <c:v>40816</c:v>
                </c:pt>
                <c:pt idx="131" formatCode="m/d/yyyy">
                  <c:v>40847</c:v>
                </c:pt>
                <c:pt idx="132" formatCode="m/d/yyyy">
                  <c:v>40877</c:v>
                </c:pt>
                <c:pt idx="133" formatCode="m/d/yyyy">
                  <c:v>40908</c:v>
                </c:pt>
                <c:pt idx="134" formatCode="m/d/yyyy">
                  <c:v>40939</c:v>
                </c:pt>
              </c:numCache>
            </c:numRef>
          </c:cat>
          <c:val>
            <c:numRef>
              <c:f>'Avkastning sedan 2000'!$D$20:$D$160</c:f>
              <c:numCache>
                <c:formatCode>0.0%</c:formatCode>
                <c:ptCount val="141"/>
                <c:pt idx="0">
                  <c:v>0</c:v>
                </c:pt>
                <c:pt idx="1">
                  <c:v>-4.4660831855340755E-2</c:v>
                </c:pt>
                <c:pt idx="2">
                  <c:v>-1.9328789449330031E-2</c:v>
                </c:pt>
                <c:pt idx="3">
                  <c:v>-9.2990949898273945E-2</c:v>
                </c:pt>
                <c:pt idx="4">
                  <c:v>-0.16063029954622343</c:v>
                </c:pt>
                <c:pt idx="5">
                  <c:v>-0.1170998991535821</c:v>
                </c:pt>
                <c:pt idx="6">
                  <c:v>-9.0924429539379514E-2</c:v>
                </c:pt>
                <c:pt idx="7">
                  <c:v>-0.11445061440242799</c:v>
                </c:pt>
                <c:pt idx="8">
                  <c:v>-0.14747483201292899</c:v>
                </c:pt>
                <c:pt idx="9">
                  <c:v>-0.20041755738546863</c:v>
                </c:pt>
                <c:pt idx="10">
                  <c:v>-0.27658828092670085</c:v>
                </c:pt>
                <c:pt idx="11">
                  <c:v>-0.23769720027606334</c:v>
                </c:pt>
                <c:pt idx="12">
                  <c:v>-0.18116667814571941</c:v>
                </c:pt>
                <c:pt idx="13">
                  <c:v>-0.17303629027404399</c:v>
                </c:pt>
                <c:pt idx="14">
                  <c:v>-0.17982548286273181</c:v>
                </c:pt>
                <c:pt idx="15">
                  <c:v>-0.17789240716081489</c:v>
                </c:pt>
                <c:pt idx="16">
                  <c:v>-0.1598893652815141</c:v>
                </c:pt>
                <c:pt idx="17">
                  <c:v>-0.1893815764872061</c:v>
                </c:pt>
                <c:pt idx="18">
                  <c:v>-0.202477220739679</c:v>
                </c:pt>
                <c:pt idx="19">
                  <c:v>-0.24061222909381852</c:v>
                </c:pt>
                <c:pt idx="20">
                  <c:v>-0.26110857275586996</c:v>
                </c:pt>
                <c:pt idx="21">
                  <c:v>-0.25420894591188581</c:v>
                </c:pt>
                <c:pt idx="22">
                  <c:v>-0.29238390797011871</c:v>
                </c:pt>
                <c:pt idx="23">
                  <c:v>-0.2529240597264083</c:v>
                </c:pt>
                <c:pt idx="24">
                  <c:v>-0.21912139700742306</c:v>
                </c:pt>
                <c:pt idx="25">
                  <c:v>-0.24546098585877341</c:v>
                </c:pt>
                <c:pt idx="26">
                  <c:v>-0.25253463167868995</c:v>
                </c:pt>
                <c:pt idx="27">
                  <c:v>-0.25269517603713187</c:v>
                </c:pt>
                <c:pt idx="28">
                  <c:v>-0.24654438583516525</c:v>
                </c:pt>
                <c:pt idx="29">
                  <c:v>-0.21738415643477516</c:v>
                </c:pt>
                <c:pt idx="30">
                  <c:v>-0.20771433610726042</c:v>
                </c:pt>
                <c:pt idx="31">
                  <c:v>-0.18641163030864216</c:v>
                </c:pt>
                <c:pt idx="32">
                  <c:v>-0.16879672984135718</c:v>
                </c:pt>
                <c:pt idx="33">
                  <c:v>-0.15240816443373728</c:v>
                </c:pt>
                <c:pt idx="34">
                  <c:v>-0.16496042280154943</c:v>
                </c:pt>
                <c:pt idx="35">
                  <c:v>-0.14341679706964161</c:v>
                </c:pt>
                <c:pt idx="36">
                  <c:v>-0.14019184001357088</c:v>
                </c:pt>
                <c:pt idx="37">
                  <c:v>-0.13155412420909063</c:v>
                </c:pt>
                <c:pt idx="38">
                  <c:v>-0.11510276230671346</c:v>
                </c:pt>
                <c:pt idx="39">
                  <c:v>-0.10451536454155341</c:v>
                </c:pt>
                <c:pt idx="40">
                  <c:v>-0.10454961524634732</c:v>
                </c:pt>
                <c:pt idx="41">
                  <c:v>-0.10371465734584484</c:v>
                </c:pt>
                <c:pt idx="42">
                  <c:v>-0.10685537216643326</c:v>
                </c:pt>
                <c:pt idx="43">
                  <c:v>-9.7162913472718326E-2</c:v>
                </c:pt>
                <c:pt idx="44">
                  <c:v>-0.10048598561228328</c:v>
                </c:pt>
                <c:pt idx="45">
                  <c:v>-9.9406515102145931E-2</c:v>
                </c:pt>
                <c:pt idx="46">
                  <c:v>-9.7256122030551784E-2</c:v>
                </c:pt>
                <c:pt idx="47">
                  <c:v>-9.5905139396950667E-2</c:v>
                </c:pt>
                <c:pt idx="48">
                  <c:v>-8.8181181115921548E-2</c:v>
                </c:pt>
                <c:pt idx="49">
                  <c:v>-8.2935944173102905E-2</c:v>
                </c:pt>
                <c:pt idx="50">
                  <c:v>-7.6224112759343265E-2</c:v>
                </c:pt>
                <c:pt idx="51">
                  <c:v>-7.0598211042535719E-2</c:v>
                </c:pt>
                <c:pt idx="52">
                  <c:v>-6.9835735237260943E-2</c:v>
                </c:pt>
                <c:pt idx="53">
                  <c:v>-7.0805954993096609E-2</c:v>
                </c:pt>
                <c:pt idx="54">
                  <c:v>-5.791941284542701E-2</c:v>
                </c:pt>
                <c:pt idx="55">
                  <c:v>-4.6928443506298878E-2</c:v>
                </c:pt>
                <c:pt idx="56">
                  <c:v>-3.8343913031174237E-2</c:v>
                </c:pt>
                <c:pt idx="57">
                  <c:v>-4.0589498864344042E-2</c:v>
                </c:pt>
                <c:pt idx="58">
                  <c:v>-3.174243636300067E-2</c:v>
                </c:pt>
                <c:pt idx="59">
                  <c:v>-3.4242878040501412E-2</c:v>
                </c:pt>
                <c:pt idx="60">
                  <c:v>-2.3941612747295116E-2</c:v>
                </c:pt>
                <c:pt idx="61">
                  <c:v>-1.8584321752021737E-2</c:v>
                </c:pt>
                <c:pt idx="62">
                  <c:v>-1.4184660194154763E-2</c:v>
                </c:pt>
                <c:pt idx="63">
                  <c:v>-7.305353855676322E-3</c:v>
                </c:pt>
                <c:pt idx="64">
                  <c:v>-4.9091212224618985E-3</c:v>
                </c:pt>
                <c:pt idx="65">
                  <c:v>-6.7395195982034029E-3</c:v>
                </c:pt>
                <c:pt idx="66">
                  <c:v>-2.0103622327111714E-2</c:v>
                </c:pt>
                <c:pt idx="67">
                  <c:v>-1.9273541886137835E-2</c:v>
                </c:pt>
                <c:pt idx="68">
                  <c:v>-1.8297318019034781E-2</c:v>
                </c:pt>
                <c:pt idx="69">
                  <c:v>-1.3213011309038181E-2</c:v>
                </c:pt>
                <c:pt idx="70">
                  <c:v>-9.3213483735131719E-3</c:v>
                </c:pt>
                <c:pt idx="71">
                  <c:v>-4.9851276550716417E-3</c:v>
                </c:pt>
                <c:pt idx="72">
                  <c:v>-6.2182206623906389E-3</c:v>
                </c:pt>
                <c:pt idx="73">
                  <c:v>4.8259698982211496E-4</c:v>
                </c:pt>
                <c:pt idx="74">
                  <c:v>4.9619284156534604E-3</c:v>
                </c:pt>
                <c:pt idx="75">
                  <c:v>3.264471702695726E-3</c:v>
                </c:pt>
                <c:pt idx="76">
                  <c:v>7.1303960019744039E-3</c:v>
                </c:pt>
                <c:pt idx="77">
                  <c:v>9.9017579650937382E-3</c:v>
                </c:pt>
                <c:pt idx="78">
                  <c:v>1.3685123987246861E-2</c:v>
                </c:pt>
                <c:pt idx="79">
                  <c:v>1.4000369215551034E-2</c:v>
                </c:pt>
                <c:pt idx="80">
                  <c:v>1.205467685719297E-2</c:v>
                </c:pt>
                <c:pt idx="81">
                  <c:v>1.1100529078291732E-2</c:v>
                </c:pt>
                <c:pt idx="82">
                  <c:v>1.0002874668263884E-2</c:v>
                </c:pt>
                <c:pt idx="83">
                  <c:v>1.1454212754854032E-2</c:v>
                </c:pt>
                <c:pt idx="84">
                  <c:v>4.1400638306066107E-3</c:v>
                </c:pt>
                <c:pt idx="85">
                  <c:v>3.3724263430032764E-3</c:v>
                </c:pt>
                <c:pt idx="86">
                  <c:v>-1.1808379696149451E-2</c:v>
                </c:pt>
                <c:pt idx="87">
                  <c:v>-1.0439381179948248E-2</c:v>
                </c:pt>
                <c:pt idx="88">
                  <c:v>-1.7817743470440184E-2</c:v>
                </c:pt>
                <c:pt idx="89">
                  <c:v>-1.1586518717328853E-2</c:v>
                </c:pt>
                <c:pt idx="90">
                  <c:v>-9.1529094498647989E-3</c:v>
                </c:pt>
                <c:pt idx="91">
                  <c:v>-2.1781821903615661E-2</c:v>
                </c:pt>
                <c:pt idx="92">
                  <c:v>-2.2715193179157933E-2</c:v>
                </c:pt>
                <c:pt idx="93">
                  <c:v>-2.0972779360206917E-2</c:v>
                </c:pt>
                <c:pt idx="94">
                  <c:v>-3.4148442908676913E-2</c:v>
                </c:pt>
                <c:pt idx="95">
                  <c:v>-5.0009224944316366E-2</c:v>
                </c:pt>
                <c:pt idx="96">
                  <c:v>-5.1726608288675702E-2</c:v>
                </c:pt>
                <c:pt idx="97">
                  <c:v>-4.8680964135333737E-2</c:v>
                </c:pt>
                <c:pt idx="98">
                  <c:v>-5.0114693864390492E-2</c:v>
                </c:pt>
                <c:pt idx="99">
                  <c:v>-5.0126997720250976E-2</c:v>
                </c:pt>
                <c:pt idx="100">
                  <c:v>-5.0059759907933876E-2</c:v>
                </c:pt>
                <c:pt idx="101">
                  <c:v>-3.6426954167268266E-2</c:v>
                </c:pt>
                <c:pt idx="102">
                  <c:v>-3.2088745490252202E-2</c:v>
                </c:pt>
                <c:pt idx="103">
                  <c:v>-3.0472775711631206E-2</c:v>
                </c:pt>
                <c:pt idx="104">
                  <c:v>-2.5087464817492022E-2</c:v>
                </c:pt>
                <c:pt idx="105">
                  <c:v>-2.3139925695490948E-2</c:v>
                </c:pt>
                <c:pt idx="106">
                  <c:v>-2.0522532130171967E-2</c:v>
                </c:pt>
                <c:pt idx="107">
                  <c:v>-1.8448640866734478E-2</c:v>
                </c:pt>
                <c:pt idx="108">
                  <c:v>-1.6596231475387579E-2</c:v>
                </c:pt>
                <c:pt idx="109">
                  <c:v>-1.267439772507517E-2</c:v>
                </c:pt>
                <c:pt idx="110">
                  <c:v>-1.2599544982237365E-2</c:v>
                </c:pt>
                <c:pt idx="111">
                  <c:v>-1.5413098802518621E-2</c:v>
                </c:pt>
                <c:pt idx="112">
                  <c:v>-8.0466500837836907E-3</c:v>
                </c:pt>
                <c:pt idx="113">
                  <c:v>-6.1150600541195477E-3</c:v>
                </c:pt>
                <c:pt idx="114">
                  <c:v>-1.0100380693534694E-2</c:v>
                </c:pt>
                <c:pt idx="115">
                  <c:v>-1.1810531389113699E-2</c:v>
                </c:pt>
                <c:pt idx="116">
                  <c:v>-9.8220561885055124E-3</c:v>
                </c:pt>
                <c:pt idx="117">
                  <c:v>-1.1724756686247506E-2</c:v>
                </c:pt>
                <c:pt idx="118">
                  <c:v>-9.1391080674046998E-3</c:v>
                </c:pt>
                <c:pt idx="119">
                  <c:v>-6.9928123510089035E-3</c:v>
                </c:pt>
                <c:pt idx="120">
                  <c:v>-5.8196092007823941E-3</c:v>
                </c:pt>
                <c:pt idx="121">
                  <c:v>-2.280479713513639E-3</c:v>
                </c:pt>
                <c:pt idx="122">
                  <c:v>-3.8289314555191023E-3</c:v>
                </c:pt>
                <c:pt idx="123">
                  <c:v>-3.3122408109134138E-3</c:v>
                </c:pt>
                <c:pt idx="124">
                  <c:v>-3.9424626729700485E-3</c:v>
                </c:pt>
                <c:pt idx="125">
                  <c:v>-3.4535370714708913E-3</c:v>
                </c:pt>
                <c:pt idx="126">
                  <c:v>-3.9906442982745594E-3</c:v>
                </c:pt>
                <c:pt idx="127">
                  <c:v>-4.5320880057121427E-3</c:v>
                </c:pt>
                <c:pt idx="128">
                  <c:v>-6.5500419435271517E-3</c:v>
                </c:pt>
                <c:pt idx="129">
                  <c:v>-1.4593316821186031E-2</c:v>
                </c:pt>
                <c:pt idx="130">
                  <c:v>-1.9457870608243777E-2</c:v>
                </c:pt>
                <c:pt idx="131">
                  <c:v>-1.3421994319146924E-2</c:v>
                </c:pt>
                <c:pt idx="132">
                  <c:v>-1.4504405073829774E-2</c:v>
                </c:pt>
                <c:pt idx="133">
                  <c:v>-1.3929296295151938E-2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99010176"/>
        <c:axId val="199011712"/>
      </c:lineChart>
      <c:dateAx>
        <c:axId val="199010176"/>
        <c:scaling>
          <c:orientation val="minMax"/>
          <c:max val="40909"/>
        </c:scaling>
        <c:delete val="0"/>
        <c:axPos val="b"/>
        <c:numFmt formatCode="yyyy" sourceLinked="0"/>
        <c:majorTickMark val="out"/>
        <c:minorTickMark val="none"/>
        <c:tickLblPos val="low"/>
        <c:spPr>
          <a:ln w="3175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333333"/>
                </a:solidFill>
                <a:latin typeface="Arial"/>
                <a:ea typeface="Arial"/>
                <a:cs typeface="Arial"/>
              </a:defRPr>
            </a:pPr>
            <a:endParaRPr lang="sv-SE"/>
          </a:p>
        </c:txPr>
        <c:crossAx val="199011712"/>
        <c:crosses val="autoZero"/>
        <c:auto val="1"/>
        <c:lblOffset val="100"/>
        <c:baseTimeUnit val="months"/>
        <c:majorUnit val="1"/>
        <c:majorTimeUnit val="years"/>
        <c:minorUnit val="1"/>
        <c:minorTimeUnit val="years"/>
      </c:dateAx>
      <c:valAx>
        <c:axId val="199011712"/>
        <c:scaling>
          <c:orientation val="minMax"/>
          <c:min val="-0.3"/>
        </c:scaling>
        <c:delete val="0"/>
        <c:axPos val="l"/>
        <c:majorGridlines>
          <c:spPr>
            <a:ln w="3175">
              <a:solidFill>
                <a:srgbClr val="808080"/>
              </a:solidFill>
              <a:prstDash val="sysDash"/>
            </a:ln>
          </c:spPr>
        </c:majorGridlines>
        <c:numFmt formatCode="0%" sourceLinked="0"/>
        <c:majorTickMark val="out"/>
        <c:minorTickMark val="none"/>
        <c:tickLblPos val="nextTo"/>
        <c:spPr>
          <a:ln w="3175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333333"/>
                </a:solidFill>
                <a:latin typeface="Arial"/>
                <a:ea typeface="Arial"/>
                <a:cs typeface="Arial"/>
              </a:defRPr>
            </a:pPr>
            <a:endParaRPr lang="sv-SE"/>
          </a:p>
        </c:txPr>
        <c:crossAx val="199010176"/>
        <c:crosses val="autoZero"/>
        <c:crossBetween val="between"/>
      </c:valAx>
      <c:spPr>
        <a:noFill/>
        <a:ln w="25400">
          <a:noFill/>
        </a:ln>
      </c:spPr>
    </c:plotArea>
    <c:legend>
      <c:legendPos val="b"/>
      <c:layout>
        <c:manualLayout>
          <c:xMode val="edge"/>
          <c:yMode val="edge"/>
          <c:x val="0.11608971994590289"/>
          <c:y val="0.94332800721664811"/>
          <c:w val="0.7902244602316767"/>
          <c:h val="4.0219378427787889E-2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1010" b="0" i="0" u="none" strike="noStrike" baseline="0">
              <a:solidFill>
                <a:srgbClr val="333333"/>
              </a:solidFill>
              <a:latin typeface="Arial"/>
              <a:ea typeface="Arial"/>
              <a:cs typeface="Arial"/>
            </a:defRPr>
          </a:pPr>
          <a:endParaRPr lang="sv-SE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808080"/>
      </a:solidFill>
      <a:prstDash val="solid"/>
    </a:ln>
  </c:spPr>
  <c:txPr>
    <a:bodyPr/>
    <a:lstStyle/>
    <a:p>
      <a:pPr>
        <a:defRPr sz="925" b="0" i="0" u="none" strike="noStrike" baseline="0">
          <a:solidFill>
            <a:srgbClr val="333333"/>
          </a:solidFill>
          <a:latin typeface="Arial"/>
          <a:ea typeface="Arial"/>
          <a:cs typeface="Arial"/>
        </a:defRPr>
      </a:pPr>
      <a:endParaRPr lang="sv-SE"/>
    </a:p>
  </c:txPr>
  <c:printSettings>
    <c:headerFooter alignWithMargins="0"/>
    <c:pageMargins b="1" l="0.75" r="0.75" t="1" header="0.5" footer="0.5"/>
    <c:pageSetup paperSize="9" orientation="landscape"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hyperlink" Target="#Inneh&#229;ll!A1"/><Relationship Id="rId2" Type="http://schemas.openxmlformats.org/officeDocument/2006/relationships/hyperlink" Target="#'10 mest valda fonder'!A1"/><Relationship Id="rId1" Type="http://schemas.openxmlformats.org/officeDocument/2006/relationships/image" Target="../media/image2.png"/><Relationship Id="rId4" Type="http://schemas.openxmlformats.org/officeDocument/2006/relationships/hyperlink" Target="#Inneh&#229;ll!A12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hyperlink" Target="#Inneh&#229;ll!A12"/><Relationship Id="rId2" Type="http://schemas.openxmlformats.org/officeDocument/2006/relationships/hyperlink" Target="#'Fondval &amp; marknadsv&#228;rde'!A1"/><Relationship Id="rId1" Type="http://schemas.openxmlformats.org/officeDocument/2006/relationships/hyperlink" Target="#Fondstatistik!A1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hyperlink" Target="#'10 mest valda fonder'!A1"/><Relationship Id="rId2" Type="http://schemas.openxmlformats.org/officeDocument/2006/relationships/hyperlink" Target="#'V&#228;rdeutveckling, konto'!A1"/><Relationship Id="rId1" Type="http://schemas.openxmlformats.org/officeDocument/2006/relationships/hyperlink" Target="#'Beskrivning av m&#229;tt'!A1"/><Relationship Id="rId5" Type="http://schemas.openxmlformats.org/officeDocument/2006/relationships/image" Target="../media/image2.png"/><Relationship Id="rId4" Type="http://schemas.openxmlformats.org/officeDocument/2006/relationships/hyperlink" Target="#Inneh&#229;ll!A12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hyperlink" Target="#Inneh&#229;ll!A13"/><Relationship Id="rId2" Type="http://schemas.openxmlformats.org/officeDocument/2006/relationships/hyperlink" Target="#Fondstatistik!A1"/><Relationship Id="rId1" Type="http://schemas.openxmlformats.org/officeDocument/2006/relationships/hyperlink" Target="#'V&#228;rdeutv. Premiepensionssystem'!A1"/><Relationship Id="rId4" Type="http://schemas.openxmlformats.org/officeDocument/2006/relationships/chart" Target="../charts/chart1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hyperlink" Target="#'V&#228;rdeutv. fondr&#246;relse per &#229;r'!A1"/><Relationship Id="rId2" Type="http://schemas.openxmlformats.org/officeDocument/2006/relationships/hyperlink" Target="#'Avkastning pp-systemet'!A1"/><Relationship Id="rId1" Type="http://schemas.openxmlformats.org/officeDocument/2006/relationships/chart" Target="../charts/chart2.xml"/><Relationship Id="rId5" Type="http://schemas.openxmlformats.org/officeDocument/2006/relationships/hyperlink" Target="#Inneh&#229;ll!A14"/><Relationship Id="rId4" Type="http://schemas.openxmlformats.org/officeDocument/2006/relationships/hyperlink" Target="#'V&#228;rdeutveckling, konto'!A1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hyperlink" Target="#'V&#228;rdeutv. Premiepensionssystem'!A1"/><Relationship Id="rId7" Type="http://schemas.openxmlformats.org/officeDocument/2006/relationships/hyperlink" Target="#'Index, fondr&#246;relsen'!A1"/><Relationship Id="rId2" Type="http://schemas.openxmlformats.org/officeDocument/2006/relationships/hyperlink" Target="#'Marknadsv. &amp; tillf&#246;rt kapital'!A1"/><Relationship Id="rId1" Type="http://schemas.openxmlformats.org/officeDocument/2006/relationships/chart" Target="../charts/chart3.xml"/><Relationship Id="rId6" Type="http://schemas.microsoft.com/office/2007/relationships/hdphoto" Target="../media/hdphoto1.wdp"/><Relationship Id="rId5" Type="http://schemas.openxmlformats.org/officeDocument/2006/relationships/image" Target="../media/image4.png"/><Relationship Id="rId4" Type="http://schemas.openxmlformats.org/officeDocument/2006/relationships/hyperlink" Target="#Inneh&#229;ll!A15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hyperlink" Target="#'V&#228;rdeutv. fondr&#246;relse per &#229;r'!A1"/><Relationship Id="rId2" Type="http://schemas.openxmlformats.org/officeDocument/2006/relationships/hyperlink" Target="#'V&#228;rdeutveckling - fondr&#246;relse'!A1"/><Relationship Id="rId1" Type="http://schemas.openxmlformats.org/officeDocument/2006/relationships/chart" Target="../charts/chart4.xml"/><Relationship Id="rId5" Type="http://schemas.openxmlformats.org/officeDocument/2006/relationships/hyperlink" Target="#'Marknadsv. och tillf&#246;rt kapital'!A1"/><Relationship Id="rId4" Type="http://schemas.openxmlformats.org/officeDocument/2006/relationships/hyperlink" Target="#Inneh&#229;ll!A16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hyperlink" Target="#Inneh&#229;ll!A17"/><Relationship Id="rId2" Type="http://schemas.openxmlformats.org/officeDocument/2006/relationships/hyperlink" Target="#'Marknadsv. &amp; tillf&#246;rt kapital'!A1"/><Relationship Id="rId1" Type="http://schemas.openxmlformats.org/officeDocument/2006/relationships/hyperlink" Target="#'V&#228;rdeutv fondr&#246;relse genomsnitt'!A1"/><Relationship Id="rId5" Type="http://schemas.openxmlformats.org/officeDocument/2006/relationships/hyperlink" Target="#'Avkastning sedan 2000'!A1"/><Relationship Id="rId4" Type="http://schemas.openxmlformats.org/officeDocument/2006/relationships/chart" Target="../charts/chart5.xml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hyperlink" Target="#'V&#228;rdeutveckling - fondr&#246;relse'!A1"/><Relationship Id="rId2" Type="http://schemas.openxmlformats.org/officeDocument/2006/relationships/hyperlink" Target="#'Avkastning pp-systemet'!A1"/><Relationship Id="rId1" Type="http://schemas.openxmlformats.org/officeDocument/2006/relationships/chart" Target="../charts/chart6.xml"/><Relationship Id="rId5" Type="http://schemas.openxmlformats.org/officeDocument/2006/relationships/hyperlink" Target="#'Avkastning sedan 2000'!A1"/><Relationship Id="rId4" Type="http://schemas.openxmlformats.org/officeDocument/2006/relationships/hyperlink" Target="#Inneh&#229;ll!A19"/></Relationships>
</file>

<file path=xl/drawings/_rels/drawing12.xml.rels><?xml version="1.0" encoding="UTF-8" standalone="yes"?>
<Relationships xmlns="http://schemas.openxmlformats.org/package/2006/relationships"><Relationship Id="rId3" Type="http://schemas.openxmlformats.org/officeDocument/2006/relationships/hyperlink" Target="#'V&#228;rdeutv fondr&#246;relse genomsnitt'!A1"/><Relationship Id="rId2" Type="http://schemas.openxmlformats.org/officeDocument/2006/relationships/hyperlink" Target="#'Index, fondr&#246;relsen'!A1"/><Relationship Id="rId1" Type="http://schemas.openxmlformats.org/officeDocument/2006/relationships/hyperlink" Target="#'V&#228;rdeutv. Premiepensionssystem'!A1"/><Relationship Id="rId4" Type="http://schemas.openxmlformats.org/officeDocument/2006/relationships/hyperlink" Target="#Inneh&#229;ll!A14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hyperlink" Target="#'Avkastning pp-systemet'!A1"/><Relationship Id="rId2" Type="http://schemas.openxmlformats.org/officeDocument/2006/relationships/hyperlink" Target="#'Marknadsv. och tillf&#246;rt kapital'!A1"/><Relationship Id="rId1" Type="http://schemas.openxmlformats.org/officeDocument/2006/relationships/hyperlink" Target="#'V&#228;rdeutv. fondr&#246;relse per &#229;r'!A1"/><Relationship Id="rId4" Type="http://schemas.openxmlformats.org/officeDocument/2006/relationships/hyperlink" Target="#Inneh&#229;ll!A16"/></Relationships>
</file>

<file path=xl/drawings/_rels/drawing14.xml.rels><?xml version="1.0" encoding="UTF-8" standalone="yes"?>
<Relationships xmlns="http://schemas.openxmlformats.org/package/2006/relationships"><Relationship Id="rId3" Type="http://schemas.openxmlformats.org/officeDocument/2006/relationships/hyperlink" Target="#'Index, fondr&#246;relsen'!A1"/><Relationship Id="rId2" Type="http://schemas.openxmlformats.org/officeDocument/2006/relationships/hyperlink" Target="#'Avkastning sedan 2000'!A1"/><Relationship Id="rId1" Type="http://schemas.openxmlformats.org/officeDocument/2006/relationships/hyperlink" Target="#'Marknadsv. &amp; tillf&#246;rt kapital'!A1"/><Relationship Id="rId4" Type="http://schemas.openxmlformats.org/officeDocument/2006/relationships/hyperlink" Target="#Inneh&#229;ll!A16"/></Relationships>
</file>

<file path=xl/drawings/_rels/drawing15.xml.rels><?xml version="1.0" encoding="UTF-8" standalone="yes"?>
<Relationships xmlns="http://schemas.openxmlformats.org/package/2006/relationships"><Relationship Id="rId3" Type="http://schemas.openxmlformats.org/officeDocument/2006/relationships/hyperlink" Target="#'Marknadsv. och tillf&#246;rt kapital'!A1"/><Relationship Id="rId2" Type="http://schemas.openxmlformats.org/officeDocument/2006/relationships/hyperlink" Target="#Ordlista!A1"/><Relationship Id="rId1" Type="http://schemas.openxmlformats.org/officeDocument/2006/relationships/hyperlink" Target="#'V&#228;rdeutv fondr&#246;relse genomsnitt'!A1"/><Relationship Id="rId5" Type="http://schemas.openxmlformats.org/officeDocument/2006/relationships/hyperlink" Target="#'V&#228;rdeutveckling - fondr&#246;relse'!A1"/><Relationship Id="rId4" Type="http://schemas.openxmlformats.org/officeDocument/2006/relationships/hyperlink" Target="#Inneh&#229;ll!A19"/></Relationships>
</file>

<file path=xl/drawings/_rels/drawing16.xml.rels><?xml version="1.0" encoding="UTF-8" standalone="yes"?>
<Relationships xmlns="http://schemas.openxmlformats.org/package/2006/relationships"><Relationship Id="rId2" Type="http://schemas.openxmlformats.org/officeDocument/2006/relationships/hyperlink" Target="#Inneh&#229;ll!A19"/><Relationship Id="rId1" Type="http://schemas.openxmlformats.org/officeDocument/2006/relationships/hyperlink" Target="#'Avkastning sedan 2000'!A1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hyperlink" Target="#Fondstatistik!A1"/></Relationships>
</file>

<file path=xl/drawings/_rels/drawing18.xml.rels><?xml version="1.0" encoding="UTF-8" standalone="yes"?>
<Relationships xmlns="http://schemas.openxmlformats.org/package/2006/relationships"><Relationship Id="rId3" Type="http://schemas.openxmlformats.org/officeDocument/2006/relationships/hyperlink" Target="#Inneh&#229;ll!A1"/><Relationship Id="rId2" Type="http://schemas.openxmlformats.org/officeDocument/2006/relationships/image" Target="../media/image6.png"/><Relationship Id="rId1" Type="http://schemas.openxmlformats.org/officeDocument/2006/relationships/image" Target="../media/image5.pn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w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171450</xdr:colOff>
      <xdr:row>1</xdr:row>
      <xdr:rowOff>0</xdr:rowOff>
    </xdr:from>
    <xdr:to>
      <xdr:col>1</xdr:col>
      <xdr:colOff>1733550</xdr:colOff>
      <xdr:row>5</xdr:row>
      <xdr:rowOff>76200</xdr:rowOff>
    </xdr:to>
    <xdr:pic>
      <xdr:nvPicPr>
        <xdr:cNvPr id="226319" name="Picture 3" descr="Pensionsmyndigheten_rgb 37 mm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1450" y="161925"/>
          <a:ext cx="1562100" cy="723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66675</xdr:colOff>
      <xdr:row>12</xdr:row>
      <xdr:rowOff>28575</xdr:rowOff>
    </xdr:from>
    <xdr:to>
      <xdr:col>0</xdr:col>
      <xdr:colOff>257175</xdr:colOff>
      <xdr:row>13</xdr:row>
      <xdr:rowOff>57150</xdr:rowOff>
    </xdr:to>
    <xdr:sp macro="" textlink="">
      <xdr:nvSpPr>
        <xdr:cNvPr id="9455" name="Rectangle 132"/>
        <xdr:cNvSpPr>
          <a:spLocks noChangeArrowheads="1"/>
        </xdr:cNvSpPr>
      </xdr:nvSpPr>
      <xdr:spPr bwMode="auto">
        <a:xfrm>
          <a:off x="66675" y="1847850"/>
          <a:ext cx="190500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AFA500" mc:Ignorable="a14" a14:legacySpreadsheetColorIndex="21"/>
        </a:solidFill>
        <a:ln>
          <a:noFill/>
        </a:ln>
        <a:effectLst/>
        <a:extLst>
          <a:ext uri="{91240B29-F687-4F45-9708-019B960494DF}">
            <a14:hiddenLine xmlns:a14="http://schemas.microsoft.com/office/drawing/2010/main" w="9525" algn="ctr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0</xdr:col>
      <xdr:colOff>76200</xdr:colOff>
      <xdr:row>13</xdr:row>
      <xdr:rowOff>95250</xdr:rowOff>
    </xdr:from>
    <xdr:to>
      <xdr:col>0</xdr:col>
      <xdr:colOff>266700</xdr:colOff>
      <xdr:row>14</xdr:row>
      <xdr:rowOff>123825</xdr:rowOff>
    </xdr:to>
    <xdr:sp macro="" textlink="">
      <xdr:nvSpPr>
        <xdr:cNvPr id="9456" name="Rectangle 133"/>
        <xdr:cNvSpPr>
          <a:spLocks noChangeArrowheads="1"/>
        </xdr:cNvSpPr>
      </xdr:nvSpPr>
      <xdr:spPr bwMode="auto">
        <a:xfrm>
          <a:off x="76200" y="1847850"/>
          <a:ext cx="190500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EF8200" mc:Ignorable="a14" a14:legacySpreadsheetColorIndex="59"/>
        </a:solidFill>
        <a:ln>
          <a:noFill/>
        </a:ln>
        <a:effectLst/>
        <a:extLst>
          <a:ext uri="{91240B29-F687-4F45-9708-019B960494DF}">
            <a14:hiddenLine xmlns:a14="http://schemas.microsoft.com/office/drawing/2010/main" w="9525" algn="ctr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0</xdr:col>
      <xdr:colOff>257175</xdr:colOff>
      <xdr:row>13</xdr:row>
      <xdr:rowOff>95250</xdr:rowOff>
    </xdr:from>
    <xdr:to>
      <xdr:col>1</xdr:col>
      <xdr:colOff>657225</xdr:colOff>
      <xdr:row>14</xdr:row>
      <xdr:rowOff>114300</xdr:rowOff>
    </xdr:to>
    <xdr:sp macro="" textlink="">
      <xdr:nvSpPr>
        <xdr:cNvPr id="9350" name="Rectangle 134"/>
        <xdr:cNvSpPr>
          <a:spLocks noChangeArrowheads="1"/>
        </xdr:cNvSpPr>
      </xdr:nvSpPr>
      <xdr:spPr bwMode="auto">
        <a:xfrm>
          <a:off x="257175" y="1847850"/>
          <a:ext cx="2047875" cy="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5EB0E6" mc:Ignorable="a14" a14:legacySpreadsheetColorIndex="19"/>
              </a:solidFill>
            </a14:hiddenFill>
          </a:ext>
          <a:ext uri="{91240B29-F687-4F45-9708-019B960494DF}">
            <a14:hiddenLine xmlns:a14="http://schemas.microsoft.com/office/drawing/2010/main" w="9525" algn="ctr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sv-SE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Sorterad fallande</a:t>
          </a:r>
        </a:p>
      </xdr:txBody>
    </xdr:sp>
    <xdr:clientData/>
  </xdr:twoCellAnchor>
  <xdr:twoCellAnchor>
    <xdr:from>
      <xdr:col>0</xdr:col>
      <xdr:colOff>257175</xdr:colOff>
      <xdr:row>12</xdr:row>
      <xdr:rowOff>38100</xdr:rowOff>
    </xdr:from>
    <xdr:to>
      <xdr:col>1</xdr:col>
      <xdr:colOff>657225</xdr:colOff>
      <xdr:row>13</xdr:row>
      <xdr:rowOff>57150</xdr:rowOff>
    </xdr:to>
    <xdr:sp macro="" textlink="">
      <xdr:nvSpPr>
        <xdr:cNvPr id="9351" name="Rectangle 135"/>
        <xdr:cNvSpPr>
          <a:spLocks noChangeArrowheads="1"/>
        </xdr:cNvSpPr>
      </xdr:nvSpPr>
      <xdr:spPr bwMode="auto">
        <a:xfrm>
          <a:off x="257175" y="1847850"/>
          <a:ext cx="2047875" cy="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5EB0E6" mc:Ignorable="a14" a14:legacySpreadsheetColorIndex="19"/>
              </a:solidFill>
            </a14:hiddenFill>
          </a:ext>
          <a:ext uri="{91240B29-F687-4F45-9708-019B960494DF}">
            <a14:hiddenLine xmlns:a14="http://schemas.microsoft.com/office/drawing/2010/main" w="9525" algn="ctr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sv-SE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Sorterad stigande</a:t>
          </a:r>
        </a:p>
      </xdr:txBody>
    </xdr:sp>
    <xdr:clientData/>
  </xdr:twoCellAnchor>
  <xdr:twoCellAnchor>
    <xdr:from>
      <xdr:col>3</xdr:col>
      <xdr:colOff>247650</xdr:colOff>
      <xdr:row>7</xdr:row>
      <xdr:rowOff>9525</xdr:rowOff>
    </xdr:from>
    <xdr:to>
      <xdr:col>4</xdr:col>
      <xdr:colOff>76200</xdr:colOff>
      <xdr:row>8</xdr:row>
      <xdr:rowOff>133350</xdr:rowOff>
    </xdr:to>
    <xdr:pic>
      <xdr:nvPicPr>
        <xdr:cNvPr id="9459" name="Picture 136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43262" t="6097" r="50488" b="89838"/>
        <a:stretch>
          <a:fillRect/>
        </a:stretch>
      </xdr:blipFill>
      <xdr:spPr bwMode="auto">
        <a:xfrm>
          <a:off x="6696075" y="1209675"/>
          <a:ext cx="609600" cy="28575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FFFFFF" mc:Ignorable="a14" a14:legacySpreadsheetColorIndex="65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647700</xdr:colOff>
          <xdr:row>11</xdr:row>
          <xdr:rowOff>0</xdr:rowOff>
        </xdr:from>
        <xdr:to>
          <xdr:col>1</xdr:col>
          <xdr:colOff>1524000</xdr:colOff>
          <xdr:row>11</xdr:row>
          <xdr:rowOff>0</xdr:rowOff>
        </xdr:to>
        <xdr:sp macro="" textlink="">
          <xdr:nvSpPr>
            <xdr:cNvPr id="9353" name="Button 137" hidden="1">
              <a:extLst>
                <a:ext uri="{63B3BB69-23CF-44E3-9099-C40C66FF867C}">
                  <a14:compatExt spid="_x0000_s93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sv-SE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Återställ sortering</a:t>
              </a:r>
            </a:p>
          </xdr:txBody>
        </xdr:sp>
        <xdr:clientData fPrintsWithSheet="0"/>
      </xdr:twoCellAnchor>
    </mc:Choice>
    <mc:Fallback/>
  </mc:AlternateContent>
  <xdr:twoCellAnchor>
    <xdr:from>
      <xdr:col>5</xdr:col>
      <xdr:colOff>257175</xdr:colOff>
      <xdr:row>1</xdr:row>
      <xdr:rowOff>9525</xdr:rowOff>
    </xdr:from>
    <xdr:to>
      <xdr:col>6</xdr:col>
      <xdr:colOff>790575</xdr:colOff>
      <xdr:row>4</xdr:row>
      <xdr:rowOff>152400</xdr:rowOff>
    </xdr:to>
    <xdr:grpSp>
      <xdr:nvGrpSpPr>
        <xdr:cNvPr id="2" name="Grupp 1"/>
        <xdr:cNvGrpSpPr/>
      </xdr:nvGrpSpPr>
      <xdr:grpSpPr>
        <a:xfrm>
          <a:off x="8267700" y="171450"/>
          <a:ext cx="1524000" cy="695325"/>
          <a:chOff x="8267700" y="171450"/>
          <a:chExt cx="1524000" cy="695325"/>
        </a:xfrm>
      </xdr:grpSpPr>
      <xdr:sp macro="" textlink="">
        <xdr:nvSpPr>
          <xdr:cNvPr id="9368" name="AutoShape 152">
            <a:hlinkClick xmlns:r="http://schemas.openxmlformats.org/officeDocument/2006/relationships" r:id="rId2" tooltip="Klicka här för att gå till Värdeutveckling individuella konton"/>
          </xdr:cNvPr>
          <xdr:cNvSpPr>
            <a:spLocks noChangeArrowheads="1"/>
          </xdr:cNvSpPr>
        </xdr:nvSpPr>
        <xdr:spPr bwMode="auto">
          <a:xfrm>
            <a:off x="9058275" y="514350"/>
            <a:ext cx="733425" cy="352425"/>
          </a:xfrm>
          <a:prstGeom prst="rightArrow">
            <a:avLst>
              <a:gd name="adj1" fmla="val 50000"/>
              <a:gd name="adj2" fmla="val 52027"/>
            </a:avLst>
          </a:prstGeom>
          <a:solidFill>
            <a:srgbClr xmlns:mc="http://schemas.openxmlformats.org/markup-compatibility/2006" xmlns:a14="http://schemas.microsoft.com/office/drawing/2010/main" val="125687" mc:Ignorable="a14" a14:legacySpreadsheetColorIndex="53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Nästa</a:t>
            </a:r>
          </a:p>
        </xdr:txBody>
      </xdr:sp>
      <xdr:sp macro="" textlink="">
        <xdr:nvSpPr>
          <xdr:cNvPr id="9369" name="AutoShape 153">
            <a:hlinkClick xmlns:r="http://schemas.openxmlformats.org/officeDocument/2006/relationships" r:id="rId3" tooltip="Klicka på pilen för att gå till innehållsförteckningen"/>
          </xdr:cNvPr>
          <xdr:cNvSpPr>
            <a:spLocks noChangeArrowheads="1"/>
          </xdr:cNvSpPr>
        </xdr:nvSpPr>
        <xdr:spPr bwMode="auto">
          <a:xfrm>
            <a:off x="8267700" y="514350"/>
            <a:ext cx="733425" cy="352425"/>
          </a:xfrm>
          <a:prstGeom prst="leftArrow">
            <a:avLst>
              <a:gd name="adj1" fmla="val 50000"/>
              <a:gd name="adj2" fmla="val 52027"/>
            </a:avLst>
          </a:prstGeom>
          <a:solidFill>
            <a:srgbClr xmlns:mc="http://schemas.openxmlformats.org/markup-compatibility/2006" xmlns:a14="http://schemas.microsoft.com/office/drawing/2010/main" val="125687" mc:Ignorable="a14" a14:legacySpreadsheetColorIndex="53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Föreg.</a:t>
            </a:r>
          </a:p>
        </xdr:txBody>
      </xdr:sp>
      <xdr:sp macro="" textlink="">
        <xdr:nvSpPr>
          <xdr:cNvPr id="9370" name="AutoShape 154">
            <a:hlinkClick xmlns:r="http://schemas.openxmlformats.org/officeDocument/2006/relationships" r:id="rId4" tooltip="Klicka här för att gå till Innehållsförteckningen"/>
          </xdr:cNvPr>
          <xdr:cNvSpPr>
            <a:spLocks noChangeArrowheads="1"/>
          </xdr:cNvSpPr>
        </xdr:nvSpPr>
        <xdr:spPr bwMode="auto">
          <a:xfrm>
            <a:off x="8277225" y="171450"/>
            <a:ext cx="1495425" cy="257175"/>
          </a:xfrm>
          <a:prstGeom prst="roundRect">
            <a:avLst>
              <a:gd name="adj" fmla="val 16667"/>
            </a:avLst>
          </a:prstGeom>
          <a:solidFill>
            <a:srgbClr xmlns:mc="http://schemas.openxmlformats.org/markup-compatibility/2006" xmlns:a14="http://schemas.microsoft.com/office/drawing/2010/main" val="125687" mc:Ignorable="a14" a14:legacySpreadsheetColorIndex="53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 w="9525" algn="ctr">
                <a:solidFill>
                  <a:srgbClr xmlns:mc="http://schemas.openxmlformats.org/markup-compatibility/2006" val="333333" mc:Ignorable="a14" a14:legacySpreadsheetColorIndex="61"/>
                </a:solidFill>
                <a:round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Till Innehållsförteckning</a:t>
            </a:r>
          </a:p>
        </xdr:txBody>
      </xdr:sp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66675</xdr:colOff>
      <xdr:row>2</xdr:row>
      <xdr:rowOff>123825</xdr:rowOff>
    </xdr:from>
    <xdr:to>
      <xdr:col>8</xdr:col>
      <xdr:colOff>800100</xdr:colOff>
      <xdr:row>4</xdr:row>
      <xdr:rowOff>152400</xdr:rowOff>
    </xdr:to>
    <xdr:sp macro="" textlink="">
      <xdr:nvSpPr>
        <xdr:cNvPr id="8" name="AutoShape 152">
          <a:hlinkClick xmlns:r="http://schemas.openxmlformats.org/officeDocument/2006/relationships" r:id="rId1" tooltip="Klicka här för att gå till Fondstatistik"/>
        </xdr:cNvPr>
        <xdr:cNvSpPr>
          <a:spLocks noChangeArrowheads="1"/>
        </xdr:cNvSpPr>
      </xdr:nvSpPr>
      <xdr:spPr bwMode="auto">
        <a:xfrm>
          <a:off x="9058275" y="514350"/>
          <a:ext cx="733425" cy="352425"/>
        </a:xfrm>
        <a:prstGeom prst="rightArrow">
          <a:avLst>
            <a:gd name="adj1" fmla="val 50000"/>
            <a:gd name="adj2" fmla="val 52027"/>
          </a:avLst>
        </a:prstGeom>
        <a:solidFill>
          <a:srgbClr xmlns:mc="http://schemas.openxmlformats.org/markup-compatibility/2006" xmlns:a14="http://schemas.microsoft.com/office/drawing/2010/main" val="125687" mc:Ignorable="a14" a14:legacySpreadsheetColorIndex="53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Nästa</a:t>
          </a:r>
        </a:p>
      </xdr:txBody>
    </xdr:sp>
    <xdr:clientData/>
  </xdr:twoCellAnchor>
  <xdr:twoCellAnchor>
    <xdr:from>
      <xdr:col>7</xdr:col>
      <xdr:colOff>295275</xdr:colOff>
      <xdr:row>2</xdr:row>
      <xdr:rowOff>123825</xdr:rowOff>
    </xdr:from>
    <xdr:to>
      <xdr:col>8</xdr:col>
      <xdr:colOff>9525</xdr:colOff>
      <xdr:row>4</xdr:row>
      <xdr:rowOff>152400</xdr:rowOff>
    </xdr:to>
    <xdr:sp macro="" textlink="">
      <xdr:nvSpPr>
        <xdr:cNvPr id="9" name="AutoShape 153">
          <a:hlinkClick xmlns:r="http://schemas.openxmlformats.org/officeDocument/2006/relationships" r:id="rId2" tooltip="Klicka på pilen för att gå till Fondval &amp; Marknadsvärde"/>
        </xdr:cNvPr>
        <xdr:cNvSpPr>
          <a:spLocks noChangeArrowheads="1"/>
        </xdr:cNvSpPr>
      </xdr:nvSpPr>
      <xdr:spPr bwMode="auto">
        <a:xfrm>
          <a:off x="8267700" y="514350"/>
          <a:ext cx="733425" cy="352425"/>
        </a:xfrm>
        <a:prstGeom prst="leftArrow">
          <a:avLst>
            <a:gd name="adj1" fmla="val 50000"/>
            <a:gd name="adj2" fmla="val 52027"/>
          </a:avLst>
        </a:prstGeom>
        <a:solidFill>
          <a:srgbClr xmlns:mc="http://schemas.openxmlformats.org/markup-compatibility/2006" xmlns:a14="http://schemas.microsoft.com/office/drawing/2010/main" val="125687" mc:Ignorable="a14" a14:legacySpreadsheetColorIndex="53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Föreg.</a:t>
          </a:r>
        </a:p>
      </xdr:txBody>
    </xdr:sp>
    <xdr:clientData/>
  </xdr:twoCellAnchor>
  <xdr:twoCellAnchor>
    <xdr:from>
      <xdr:col>7</xdr:col>
      <xdr:colOff>304800</xdr:colOff>
      <xdr:row>1</xdr:row>
      <xdr:rowOff>9525</xdr:rowOff>
    </xdr:from>
    <xdr:to>
      <xdr:col>8</xdr:col>
      <xdr:colOff>781050</xdr:colOff>
      <xdr:row>2</xdr:row>
      <xdr:rowOff>38100</xdr:rowOff>
    </xdr:to>
    <xdr:sp macro="" textlink="">
      <xdr:nvSpPr>
        <xdr:cNvPr id="10" name="AutoShape 154">
          <a:hlinkClick xmlns:r="http://schemas.openxmlformats.org/officeDocument/2006/relationships" r:id="rId3" tooltip="Klicka här för att gå till Innehållsförteckningen"/>
        </xdr:cNvPr>
        <xdr:cNvSpPr>
          <a:spLocks noChangeArrowheads="1"/>
        </xdr:cNvSpPr>
      </xdr:nvSpPr>
      <xdr:spPr bwMode="auto">
        <a:xfrm>
          <a:off x="8277225" y="171450"/>
          <a:ext cx="1495425" cy="257175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125687" mc:Ignorable="a14" a14:legacySpreadsheetColorIndex="53"/>
        </a:solidFill>
        <a:ln>
          <a:noFill/>
        </a:ln>
        <a:effectLst/>
        <a:extLst>
          <a:ext uri="{91240B29-F687-4F45-9708-019B960494DF}">
            <a14:hiddenLine xmlns:a14="http://schemas.microsoft.com/office/drawing/2010/main" w="9525" algn="ctr">
              <a:solidFill>
                <a:srgbClr xmlns:mc="http://schemas.openxmlformats.org/markup-compatibility/2006" val="333333" mc:Ignorable="a14" a14:legacySpreadsheetColorIndex="61"/>
              </a:solidFill>
              <a:round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Till Innehållsförteckning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314325</xdr:colOff>
      <xdr:row>1</xdr:row>
      <xdr:rowOff>9525</xdr:rowOff>
    </xdr:from>
    <xdr:to>
      <xdr:col>8</xdr:col>
      <xdr:colOff>342900</xdr:colOff>
      <xdr:row>2</xdr:row>
      <xdr:rowOff>28575</xdr:rowOff>
    </xdr:to>
    <xdr:sp macro="[0]!TillInnehåll" textlink="">
      <xdr:nvSpPr>
        <xdr:cNvPr id="10298" name="AutoShape 58">
          <a:hlinkClick xmlns:r="http://schemas.openxmlformats.org/officeDocument/2006/relationships" r:id="rId1" tooltip="Klicka här om du vill ha beskrivning av måtten i resp. kolumn nedan"/>
        </xdr:cNvPr>
        <xdr:cNvSpPr>
          <a:spLocks noChangeArrowheads="1"/>
        </xdr:cNvSpPr>
      </xdr:nvSpPr>
      <xdr:spPr bwMode="auto">
        <a:xfrm>
          <a:off x="5934075" y="171450"/>
          <a:ext cx="1628775" cy="24765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125687" mc:Ignorable="a14" a14:legacySpreadsheetColorIndex="53"/>
        </a:solidFill>
        <a:ln>
          <a:noFill/>
        </a:ln>
        <a:effectLst/>
        <a:extLst>
          <a:ext uri="{91240B29-F687-4F45-9708-019B960494DF}">
            <a14:hiddenLine xmlns:a14="http://schemas.microsoft.com/office/drawing/2010/main" w="9525" algn="ctr">
              <a:solidFill>
                <a:srgbClr xmlns:mc="http://schemas.openxmlformats.org/markup-compatibility/2006" val="333333" mc:Ignorable="a14" a14:legacySpreadsheetColorIndex="61"/>
              </a:solidFill>
              <a:round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Beskrivning av måtten</a:t>
          </a:r>
        </a:p>
      </xdr:txBody>
    </xdr:sp>
    <xdr:clientData fPrintsWithSheet="0"/>
  </xdr:twoCellAnchor>
  <xdr:twoCellAnchor>
    <xdr:from>
      <xdr:col>8</xdr:col>
      <xdr:colOff>466725</xdr:colOff>
      <xdr:row>1</xdr:row>
      <xdr:rowOff>9525</xdr:rowOff>
    </xdr:from>
    <xdr:to>
      <xdr:col>10</xdr:col>
      <xdr:colOff>762000</xdr:colOff>
      <xdr:row>4</xdr:row>
      <xdr:rowOff>152400</xdr:rowOff>
    </xdr:to>
    <xdr:grpSp>
      <xdr:nvGrpSpPr>
        <xdr:cNvPr id="10471" name="Group 139"/>
        <xdr:cNvGrpSpPr>
          <a:grpSpLocks/>
        </xdr:cNvGrpSpPr>
      </xdr:nvGrpSpPr>
      <xdr:grpSpPr bwMode="auto">
        <a:xfrm>
          <a:off x="8267700" y="171450"/>
          <a:ext cx="1524000" cy="695325"/>
          <a:chOff x="865" y="15"/>
          <a:chExt cx="160" cy="73"/>
        </a:xfrm>
      </xdr:grpSpPr>
      <xdr:sp macro="" textlink="">
        <xdr:nvSpPr>
          <xdr:cNvPr id="10352" name="AutoShape 112">
            <a:hlinkClick xmlns:r="http://schemas.openxmlformats.org/officeDocument/2006/relationships" r:id="rId2" tooltip="Klicka här för att gå till Värdeutveckling individuella konton"/>
          </xdr:cNvPr>
          <xdr:cNvSpPr>
            <a:spLocks noChangeArrowheads="1"/>
          </xdr:cNvSpPr>
        </xdr:nvSpPr>
        <xdr:spPr bwMode="auto">
          <a:xfrm>
            <a:off x="948" y="51"/>
            <a:ext cx="77" cy="37"/>
          </a:xfrm>
          <a:prstGeom prst="rightArrow">
            <a:avLst>
              <a:gd name="adj1" fmla="val 50000"/>
              <a:gd name="adj2" fmla="val 52027"/>
            </a:avLst>
          </a:prstGeom>
          <a:solidFill>
            <a:srgbClr xmlns:mc="http://schemas.openxmlformats.org/markup-compatibility/2006" xmlns:a14="http://schemas.microsoft.com/office/drawing/2010/main" val="125687" mc:Ignorable="a14" a14:legacySpreadsheetColorIndex="53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Nästa</a:t>
            </a:r>
          </a:p>
        </xdr:txBody>
      </xdr:sp>
      <xdr:sp macro="" textlink="">
        <xdr:nvSpPr>
          <xdr:cNvPr id="10353" name="AutoShape 113">
            <a:hlinkClick xmlns:r="http://schemas.openxmlformats.org/officeDocument/2006/relationships" r:id="rId3" tooltip="Klicka här för att gå till Tio mest valda fonderna m.m"/>
          </xdr:cNvPr>
          <xdr:cNvSpPr>
            <a:spLocks noChangeArrowheads="1"/>
          </xdr:cNvSpPr>
        </xdr:nvSpPr>
        <xdr:spPr bwMode="auto">
          <a:xfrm>
            <a:off x="865" y="51"/>
            <a:ext cx="77" cy="37"/>
          </a:xfrm>
          <a:prstGeom prst="leftArrow">
            <a:avLst>
              <a:gd name="adj1" fmla="val 50000"/>
              <a:gd name="adj2" fmla="val 52027"/>
            </a:avLst>
          </a:prstGeom>
          <a:solidFill>
            <a:srgbClr xmlns:mc="http://schemas.openxmlformats.org/markup-compatibility/2006" xmlns:a14="http://schemas.microsoft.com/office/drawing/2010/main" val="125687" mc:Ignorable="a14" a14:legacySpreadsheetColorIndex="53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Föreg.</a:t>
            </a:r>
          </a:p>
        </xdr:txBody>
      </xdr:sp>
      <xdr:sp macro="" textlink="">
        <xdr:nvSpPr>
          <xdr:cNvPr id="10354" name="AutoShape 114">
            <a:hlinkClick xmlns:r="http://schemas.openxmlformats.org/officeDocument/2006/relationships" r:id="rId4" tooltip="Klicka här för att gå till Innehållsförteckningen"/>
          </xdr:cNvPr>
          <xdr:cNvSpPr>
            <a:spLocks noChangeArrowheads="1"/>
          </xdr:cNvSpPr>
        </xdr:nvSpPr>
        <xdr:spPr bwMode="auto">
          <a:xfrm>
            <a:off x="866" y="15"/>
            <a:ext cx="157" cy="27"/>
          </a:xfrm>
          <a:prstGeom prst="roundRect">
            <a:avLst>
              <a:gd name="adj" fmla="val 16667"/>
            </a:avLst>
          </a:prstGeom>
          <a:solidFill>
            <a:srgbClr xmlns:mc="http://schemas.openxmlformats.org/markup-compatibility/2006" xmlns:a14="http://schemas.microsoft.com/office/drawing/2010/main" val="125687" mc:Ignorable="a14" a14:legacySpreadsheetColorIndex="53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 w="9525" algn="ctr">
                <a:solidFill>
                  <a:srgbClr xmlns:mc="http://schemas.openxmlformats.org/markup-compatibility/2006" val="333333" mc:Ignorable="a14" a14:legacySpreadsheetColorIndex="61"/>
                </a:solidFill>
                <a:round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Till Innehållsförteckning</a:t>
            </a:r>
          </a:p>
        </xdr:txBody>
      </xdr:sp>
    </xdr:grpSp>
    <xdr:clientData/>
  </xdr:twoCellAnchor>
  <xdr:twoCellAnchor>
    <xdr:from>
      <xdr:col>0</xdr:col>
      <xdr:colOff>66675</xdr:colOff>
      <xdr:row>12</xdr:row>
      <xdr:rowOff>28575</xdr:rowOff>
    </xdr:from>
    <xdr:to>
      <xdr:col>0</xdr:col>
      <xdr:colOff>257175</xdr:colOff>
      <xdr:row>13</xdr:row>
      <xdr:rowOff>57150</xdr:rowOff>
    </xdr:to>
    <xdr:sp macro="" textlink="">
      <xdr:nvSpPr>
        <xdr:cNvPr id="10472" name="Rectangle 129"/>
        <xdr:cNvSpPr>
          <a:spLocks noChangeArrowheads="1"/>
        </xdr:cNvSpPr>
      </xdr:nvSpPr>
      <xdr:spPr bwMode="auto">
        <a:xfrm>
          <a:off x="66675" y="1838325"/>
          <a:ext cx="190500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AFA500" mc:Ignorable="a14" a14:legacySpreadsheetColorIndex="21"/>
        </a:solidFill>
        <a:ln>
          <a:noFill/>
        </a:ln>
        <a:effectLst/>
        <a:extLst>
          <a:ext uri="{91240B29-F687-4F45-9708-019B960494DF}">
            <a14:hiddenLine xmlns:a14="http://schemas.microsoft.com/office/drawing/2010/main" w="9525" algn="ctr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0</xdr:col>
      <xdr:colOff>76200</xdr:colOff>
      <xdr:row>13</xdr:row>
      <xdr:rowOff>95250</xdr:rowOff>
    </xdr:from>
    <xdr:to>
      <xdr:col>0</xdr:col>
      <xdr:colOff>266700</xdr:colOff>
      <xdr:row>14</xdr:row>
      <xdr:rowOff>123825</xdr:rowOff>
    </xdr:to>
    <xdr:sp macro="" textlink="">
      <xdr:nvSpPr>
        <xdr:cNvPr id="10473" name="Rectangle 130"/>
        <xdr:cNvSpPr>
          <a:spLocks noChangeArrowheads="1"/>
        </xdr:cNvSpPr>
      </xdr:nvSpPr>
      <xdr:spPr bwMode="auto">
        <a:xfrm>
          <a:off x="76200" y="1838325"/>
          <a:ext cx="190500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EF8200" mc:Ignorable="a14" a14:legacySpreadsheetColorIndex="59"/>
        </a:solidFill>
        <a:ln>
          <a:noFill/>
        </a:ln>
        <a:effectLst/>
        <a:extLst>
          <a:ext uri="{91240B29-F687-4F45-9708-019B960494DF}">
            <a14:hiddenLine xmlns:a14="http://schemas.microsoft.com/office/drawing/2010/main" w="9525" algn="ctr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0</xdr:col>
      <xdr:colOff>257175</xdr:colOff>
      <xdr:row>13</xdr:row>
      <xdr:rowOff>104775</xdr:rowOff>
    </xdr:from>
    <xdr:to>
      <xdr:col>1</xdr:col>
      <xdr:colOff>323850</xdr:colOff>
      <xdr:row>14</xdr:row>
      <xdr:rowOff>142875</xdr:rowOff>
    </xdr:to>
    <xdr:sp macro="" textlink="">
      <xdr:nvSpPr>
        <xdr:cNvPr id="10371" name="Rectangle 131"/>
        <xdr:cNvSpPr>
          <a:spLocks noChangeArrowheads="1"/>
        </xdr:cNvSpPr>
      </xdr:nvSpPr>
      <xdr:spPr bwMode="auto">
        <a:xfrm>
          <a:off x="257175" y="1838325"/>
          <a:ext cx="4086225" cy="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5EB0E6" mc:Ignorable="a14" a14:legacySpreadsheetColorIndex="19"/>
              </a:solidFill>
            </a14:hiddenFill>
          </a:ext>
          <a:ext uri="{91240B29-F687-4F45-9708-019B960494DF}">
            <a14:hiddenLine xmlns:a14="http://schemas.microsoft.com/office/drawing/2010/main" w="9525" algn="ctr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sv-SE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Sorterad fallande</a:t>
          </a:r>
        </a:p>
      </xdr:txBody>
    </xdr:sp>
    <xdr:clientData/>
  </xdr:twoCellAnchor>
  <xdr:twoCellAnchor>
    <xdr:from>
      <xdr:col>0</xdr:col>
      <xdr:colOff>257175</xdr:colOff>
      <xdr:row>12</xdr:row>
      <xdr:rowOff>38100</xdr:rowOff>
    </xdr:from>
    <xdr:to>
      <xdr:col>1</xdr:col>
      <xdr:colOff>323850</xdr:colOff>
      <xdr:row>13</xdr:row>
      <xdr:rowOff>76200</xdr:rowOff>
    </xdr:to>
    <xdr:sp macro="" textlink="">
      <xdr:nvSpPr>
        <xdr:cNvPr id="10372" name="Rectangle 132"/>
        <xdr:cNvSpPr>
          <a:spLocks noChangeArrowheads="1"/>
        </xdr:cNvSpPr>
      </xdr:nvSpPr>
      <xdr:spPr bwMode="auto">
        <a:xfrm>
          <a:off x="257175" y="1838325"/>
          <a:ext cx="4086225" cy="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5EB0E6" mc:Ignorable="a14" a14:legacySpreadsheetColorIndex="19"/>
              </a:solidFill>
            </a14:hiddenFill>
          </a:ext>
          <a:ext uri="{91240B29-F687-4F45-9708-019B960494DF}">
            <a14:hiddenLine xmlns:a14="http://schemas.microsoft.com/office/drawing/2010/main" w="9525" algn="ctr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sv-SE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Sorterad stigande</a:t>
          </a:r>
        </a:p>
      </xdr:txBody>
    </xdr:sp>
    <xdr:clientData/>
  </xdr:twoCellAnchor>
  <xdr:twoCellAnchor>
    <xdr:from>
      <xdr:col>4</xdr:col>
      <xdr:colOff>371475</xdr:colOff>
      <xdr:row>7</xdr:row>
      <xdr:rowOff>57150</xdr:rowOff>
    </xdr:from>
    <xdr:to>
      <xdr:col>5</xdr:col>
      <xdr:colOff>390525</xdr:colOff>
      <xdr:row>9</xdr:row>
      <xdr:rowOff>28575</xdr:rowOff>
    </xdr:to>
    <xdr:pic>
      <xdr:nvPicPr>
        <xdr:cNvPr id="10476" name="Picture 133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 l="43262" t="6097" r="50488" b="89838"/>
        <a:stretch>
          <a:fillRect/>
        </a:stretch>
      </xdr:blipFill>
      <xdr:spPr bwMode="auto">
        <a:xfrm>
          <a:off x="5457825" y="1257300"/>
          <a:ext cx="552450" cy="295275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FFFFFF" mc:Ignorable="a14" a14:legacySpreadsheetColorIndex="65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3286125</xdr:colOff>
          <xdr:row>11</xdr:row>
          <xdr:rowOff>0</xdr:rowOff>
        </xdr:from>
        <xdr:to>
          <xdr:col>1</xdr:col>
          <xdr:colOff>104775</xdr:colOff>
          <xdr:row>15</xdr:row>
          <xdr:rowOff>9525</xdr:rowOff>
        </xdr:to>
        <xdr:sp macro="" textlink="">
          <xdr:nvSpPr>
            <xdr:cNvPr id="10374" name="Button 134" hidden="1">
              <a:extLst>
                <a:ext uri="{63B3BB69-23CF-44E3-9099-C40C66FF867C}">
                  <a14:compatExt spid="_x0000_s103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sv-SE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Återställ sortering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85725</xdr:colOff>
      <xdr:row>5</xdr:row>
      <xdr:rowOff>19050</xdr:rowOff>
    </xdr:from>
    <xdr:to>
      <xdr:col>10</xdr:col>
      <xdr:colOff>9525</xdr:colOff>
      <xdr:row>7</xdr:row>
      <xdr:rowOff>66675</xdr:rowOff>
    </xdr:to>
    <xdr:sp macro="" textlink="">
      <xdr:nvSpPr>
        <xdr:cNvPr id="20596" name="Text Box 2"/>
        <xdr:cNvSpPr txBox="1">
          <a:spLocks noChangeArrowheads="1"/>
        </xdr:cNvSpPr>
      </xdr:nvSpPr>
      <xdr:spPr bwMode="auto">
        <a:xfrm>
          <a:off x="5419725" y="895350"/>
          <a:ext cx="533400" cy="3714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 w="9525"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miter lim="800000"/>
          <a:headEnd/>
          <a:tailEnd/>
        </a:ln>
      </xdr:spPr>
    </xdr:sp>
    <xdr:clientData/>
  </xdr:twoCellAnchor>
  <xdr:twoCellAnchor>
    <xdr:from>
      <xdr:col>13</xdr:col>
      <xdr:colOff>495300</xdr:colOff>
      <xdr:row>1</xdr:row>
      <xdr:rowOff>9525</xdr:rowOff>
    </xdr:from>
    <xdr:to>
      <xdr:col>16</xdr:col>
      <xdr:colOff>190500</xdr:colOff>
      <xdr:row>4</xdr:row>
      <xdr:rowOff>190500</xdr:rowOff>
    </xdr:to>
    <xdr:grpSp>
      <xdr:nvGrpSpPr>
        <xdr:cNvPr id="20597" name="Group 46"/>
        <xdr:cNvGrpSpPr>
          <a:grpSpLocks/>
        </xdr:cNvGrpSpPr>
      </xdr:nvGrpSpPr>
      <xdr:grpSpPr bwMode="auto">
        <a:xfrm>
          <a:off x="8267700" y="171450"/>
          <a:ext cx="1524000" cy="695325"/>
          <a:chOff x="865" y="15"/>
          <a:chExt cx="160" cy="73"/>
        </a:xfrm>
      </xdr:grpSpPr>
      <xdr:sp macro="" textlink="">
        <xdr:nvSpPr>
          <xdr:cNvPr id="20504" name="AutoShape 24">
            <a:hlinkClick xmlns:r="http://schemas.openxmlformats.org/officeDocument/2006/relationships" r:id="rId1" tooltip="Klicka här för att gå till Värdeutveckling Premiepensionssystemet"/>
          </xdr:cNvPr>
          <xdr:cNvSpPr>
            <a:spLocks noChangeArrowheads="1"/>
          </xdr:cNvSpPr>
        </xdr:nvSpPr>
        <xdr:spPr bwMode="auto">
          <a:xfrm>
            <a:off x="948" y="51"/>
            <a:ext cx="77" cy="37"/>
          </a:xfrm>
          <a:prstGeom prst="rightArrow">
            <a:avLst>
              <a:gd name="adj1" fmla="val 50000"/>
              <a:gd name="adj2" fmla="val 52027"/>
            </a:avLst>
          </a:prstGeom>
          <a:solidFill>
            <a:srgbClr xmlns:mc="http://schemas.openxmlformats.org/markup-compatibility/2006" xmlns:a14="http://schemas.microsoft.com/office/drawing/2010/main" val="125687" mc:Ignorable="a14" a14:legacySpreadsheetColorIndex="53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Nästa</a:t>
            </a:r>
          </a:p>
        </xdr:txBody>
      </xdr:sp>
      <xdr:sp macro="" textlink="">
        <xdr:nvSpPr>
          <xdr:cNvPr id="20505" name="AutoShape 25">
            <a:hlinkClick xmlns:r="http://schemas.openxmlformats.org/officeDocument/2006/relationships" r:id="rId2" tooltip="Klicka här för att gå till Detaljerad fondstatistik"/>
          </xdr:cNvPr>
          <xdr:cNvSpPr>
            <a:spLocks noChangeArrowheads="1"/>
          </xdr:cNvSpPr>
        </xdr:nvSpPr>
        <xdr:spPr bwMode="auto">
          <a:xfrm>
            <a:off x="865" y="51"/>
            <a:ext cx="77" cy="37"/>
          </a:xfrm>
          <a:prstGeom prst="leftArrow">
            <a:avLst>
              <a:gd name="adj1" fmla="val 50000"/>
              <a:gd name="adj2" fmla="val 52027"/>
            </a:avLst>
          </a:prstGeom>
          <a:solidFill>
            <a:srgbClr xmlns:mc="http://schemas.openxmlformats.org/markup-compatibility/2006" xmlns:a14="http://schemas.microsoft.com/office/drawing/2010/main" val="125687" mc:Ignorable="a14" a14:legacySpreadsheetColorIndex="53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Föreg.</a:t>
            </a:r>
          </a:p>
        </xdr:txBody>
      </xdr:sp>
      <xdr:sp macro="" textlink="">
        <xdr:nvSpPr>
          <xdr:cNvPr id="20506" name="AutoShape 26">
            <a:hlinkClick xmlns:r="http://schemas.openxmlformats.org/officeDocument/2006/relationships" r:id="rId3" tooltip="Klicka här för att gå till Innehållsförteckningen"/>
          </xdr:cNvPr>
          <xdr:cNvSpPr>
            <a:spLocks noChangeArrowheads="1"/>
          </xdr:cNvSpPr>
        </xdr:nvSpPr>
        <xdr:spPr bwMode="auto">
          <a:xfrm>
            <a:off x="866" y="15"/>
            <a:ext cx="157" cy="27"/>
          </a:xfrm>
          <a:prstGeom prst="roundRect">
            <a:avLst>
              <a:gd name="adj" fmla="val 16667"/>
            </a:avLst>
          </a:prstGeom>
          <a:solidFill>
            <a:srgbClr xmlns:mc="http://schemas.openxmlformats.org/markup-compatibility/2006" xmlns:a14="http://schemas.microsoft.com/office/drawing/2010/main" val="125687" mc:Ignorable="a14" a14:legacySpreadsheetColorIndex="53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 w="9525" algn="ctr">
                <a:solidFill>
                  <a:srgbClr xmlns:mc="http://schemas.openxmlformats.org/markup-compatibility/2006" val="333333" mc:Ignorable="a14" a14:legacySpreadsheetColorIndex="61"/>
                </a:solidFill>
                <a:round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Till Innehållsförteckning</a:t>
            </a:r>
          </a:p>
        </xdr:txBody>
      </xdr:sp>
    </xdr:grpSp>
    <xdr:clientData/>
  </xdr:twoCellAnchor>
  <xdr:twoCellAnchor>
    <xdr:from>
      <xdr:col>1</xdr:col>
      <xdr:colOff>0</xdr:colOff>
      <xdr:row>6</xdr:row>
      <xdr:rowOff>0</xdr:rowOff>
    </xdr:from>
    <xdr:to>
      <xdr:col>15</xdr:col>
      <xdr:colOff>571500</xdr:colOff>
      <xdr:row>37</xdr:row>
      <xdr:rowOff>95250</xdr:rowOff>
    </xdr:to>
    <xdr:graphicFrame macro="">
      <xdr:nvGraphicFramePr>
        <xdr:cNvPr id="10" name="Diagram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6.xml><?xml version="1.0" encoding="utf-8"?>
<c:userShapes xmlns:c="http://schemas.openxmlformats.org/drawingml/2006/chart">
  <cdr:relSizeAnchor xmlns:cdr="http://schemas.openxmlformats.org/drawingml/2006/chartDrawing">
    <cdr:from>
      <cdr:x>0.00514</cdr:x>
      <cdr:y>0.06941</cdr:y>
    </cdr:from>
    <cdr:to>
      <cdr:x>0.18601</cdr:x>
      <cdr:y>0.11823</cdr:y>
    </cdr:to>
    <cdr:sp macro="" textlink="">
      <cdr:nvSpPr>
        <cdr:cNvPr id="25601" name="Text Box 1025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0800" y="358839"/>
          <a:ext cx="1674547" cy="250202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  <a:extLst xmlns:a="http://schemas.openxmlformats.org/drawingml/2006/main"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cdr:spPr>
      <cdr:txBody>
        <a:bodyPr xmlns:a="http://schemas.openxmlformats.org/drawingml/2006/main" vertOverflow="clip" wrap="square" lIns="36576" tIns="22860" rIns="0" bIns="0" anchor="t" upright="1"/>
        <a:lstStyle xmlns:a="http://schemas.openxmlformats.org/drawingml/2006/main"/>
        <a:p xmlns:a="http://schemas.openxmlformats.org/drawingml/2006/main">
          <a:pPr algn="l" rtl="0">
            <a:defRPr sz="1000"/>
          </a:pPr>
          <a:r>
            <a:rPr lang="sv-SE" sz="1200" b="0" i="0" u="none" strike="noStrike" baseline="0">
              <a:solidFill>
                <a:srgbClr val="000000"/>
              </a:solidFill>
              <a:latin typeface="Arial"/>
              <a:cs typeface="Arial"/>
            </a:rPr>
            <a:t>Antal pensionssparare</a:t>
          </a:r>
        </a:p>
      </cdr:txBody>
    </cdr:sp>
  </cdr:relSizeAnchor>
  <cdr:relSizeAnchor xmlns:cdr="http://schemas.openxmlformats.org/drawingml/2006/chartDrawing">
    <cdr:from>
      <cdr:x>0.27781</cdr:x>
      <cdr:y>0.93722</cdr:y>
    </cdr:from>
    <cdr:to>
      <cdr:x>0.74842</cdr:x>
      <cdr:y>0.97917</cdr:y>
    </cdr:to>
    <cdr:sp macro="" textlink="">
      <cdr:nvSpPr>
        <cdr:cNvPr id="25602" name="Text Box 1026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2575220" y="4805909"/>
          <a:ext cx="4357031" cy="214998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  <a:extLst xmlns:a="http://schemas.openxmlformats.org/drawingml/2006/main"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cdr:spPr>
      <cdr:txBody>
        <a:bodyPr xmlns:a="http://schemas.openxmlformats.org/drawingml/2006/main" vertOverflow="clip" wrap="square" lIns="36576" tIns="22860" rIns="0" bIns="0" anchor="t" upright="1"/>
        <a:lstStyle xmlns:a="http://schemas.openxmlformats.org/drawingml/2006/main"/>
        <a:p xmlns:a="http://schemas.openxmlformats.org/drawingml/2006/main">
          <a:pPr algn="l" rtl="0">
            <a:defRPr sz="1000"/>
          </a:pPr>
          <a:r>
            <a:rPr lang="sv-SE" sz="1200" b="0" i="0" u="none" strike="noStrike" baseline="0">
              <a:solidFill>
                <a:srgbClr val="000000"/>
              </a:solidFill>
              <a:latin typeface="Arial"/>
              <a:cs typeface="Arial"/>
            </a:rPr>
            <a:t>Årlig genomsnittlig värdeutveckling i procent (Internränta, IR)</a:t>
          </a:r>
        </a:p>
      </cdr:txBody>
    </cdr:sp>
  </cdr:relSizeAnchor>
</c:userShapes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238125</xdr:colOff>
      <xdr:row>5</xdr:row>
      <xdr:rowOff>28575</xdr:rowOff>
    </xdr:from>
    <xdr:to>
      <xdr:col>15</xdr:col>
      <xdr:colOff>409575</xdr:colOff>
      <xdr:row>39</xdr:row>
      <xdr:rowOff>66675</xdr:rowOff>
    </xdr:to>
    <xdr:graphicFrame macro="">
      <xdr:nvGraphicFramePr>
        <xdr:cNvPr id="209990" name="Diagram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285750</xdr:colOff>
      <xdr:row>3</xdr:row>
      <xdr:rowOff>28575</xdr:rowOff>
    </xdr:from>
    <xdr:to>
      <xdr:col>2</xdr:col>
      <xdr:colOff>152400</xdr:colOff>
      <xdr:row>4</xdr:row>
      <xdr:rowOff>104775</xdr:rowOff>
    </xdr:to>
    <xdr:sp macro="[0]!XGåTillData1" textlink="">
      <xdr:nvSpPr>
        <xdr:cNvPr id="209923" name="AutoShape 3">
          <a:hlinkClick xmlns:r="http://schemas.openxmlformats.org/officeDocument/2006/relationships" r:id="rId2" tooltip="Klicka här för att gå till bakomliggande data."/>
        </xdr:cNvPr>
        <xdr:cNvSpPr>
          <a:spLocks noChangeArrowheads="1"/>
        </xdr:cNvSpPr>
      </xdr:nvSpPr>
      <xdr:spPr bwMode="auto">
        <a:xfrm>
          <a:off x="285750" y="514350"/>
          <a:ext cx="1085850" cy="276225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125687" mc:Ignorable="a14" a14:legacySpreadsheetColorIndex="53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808080" mc:Ignorable="a14" a14:legacySpreadsheetColorIndex="20"/>
              </a:solidFill>
              <a:round/>
              <a:headEnd/>
              <a:tailEnd/>
            </a14:hiddenLine>
          </a:ext>
        </a:extLst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Gå till data</a:t>
          </a:r>
        </a:p>
      </xdr:txBody>
    </xdr:sp>
    <xdr:clientData/>
  </xdr:twoCellAnchor>
  <xdr:twoCellAnchor>
    <xdr:from>
      <xdr:col>13</xdr:col>
      <xdr:colOff>342900</xdr:colOff>
      <xdr:row>1</xdr:row>
      <xdr:rowOff>9525</xdr:rowOff>
    </xdr:from>
    <xdr:to>
      <xdr:col>16</xdr:col>
      <xdr:colOff>38100</xdr:colOff>
      <xdr:row>4</xdr:row>
      <xdr:rowOff>180975</xdr:rowOff>
    </xdr:to>
    <xdr:grpSp>
      <xdr:nvGrpSpPr>
        <xdr:cNvPr id="209992" name="Group 13"/>
        <xdr:cNvGrpSpPr>
          <a:grpSpLocks/>
        </xdr:cNvGrpSpPr>
      </xdr:nvGrpSpPr>
      <xdr:grpSpPr bwMode="auto">
        <a:xfrm>
          <a:off x="8267700" y="171450"/>
          <a:ext cx="1524000" cy="695325"/>
          <a:chOff x="865" y="15"/>
          <a:chExt cx="160" cy="73"/>
        </a:xfrm>
      </xdr:grpSpPr>
      <xdr:sp macro="" textlink="">
        <xdr:nvSpPr>
          <xdr:cNvPr id="209928" name="AutoShape 8">
            <a:hlinkClick xmlns:r="http://schemas.openxmlformats.org/officeDocument/2006/relationships" r:id="rId3" tooltip="Klicka här för att gå till Värdeutveckling för fondrörelsen per kalenderår"/>
          </xdr:cNvPr>
          <xdr:cNvSpPr>
            <a:spLocks noChangeArrowheads="1"/>
          </xdr:cNvSpPr>
        </xdr:nvSpPr>
        <xdr:spPr bwMode="auto">
          <a:xfrm>
            <a:off x="948" y="51"/>
            <a:ext cx="77" cy="37"/>
          </a:xfrm>
          <a:prstGeom prst="rightArrow">
            <a:avLst>
              <a:gd name="adj1" fmla="val 50000"/>
              <a:gd name="adj2" fmla="val 52027"/>
            </a:avLst>
          </a:prstGeom>
          <a:solidFill>
            <a:srgbClr xmlns:mc="http://schemas.openxmlformats.org/markup-compatibility/2006" xmlns:a14="http://schemas.microsoft.com/office/drawing/2010/main" val="125687" mc:Ignorable="a14" a14:legacySpreadsheetColorIndex="53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Nästa</a:t>
            </a:r>
          </a:p>
        </xdr:txBody>
      </xdr:sp>
      <xdr:sp macro="" textlink="">
        <xdr:nvSpPr>
          <xdr:cNvPr id="209929" name="AutoShape 9">
            <a:hlinkClick xmlns:r="http://schemas.openxmlformats.org/officeDocument/2006/relationships" r:id="rId4" tooltip="Klicka här för att gå till Värdeutveckling individuella konton"/>
          </xdr:cNvPr>
          <xdr:cNvSpPr>
            <a:spLocks noChangeArrowheads="1"/>
          </xdr:cNvSpPr>
        </xdr:nvSpPr>
        <xdr:spPr bwMode="auto">
          <a:xfrm>
            <a:off x="865" y="51"/>
            <a:ext cx="77" cy="37"/>
          </a:xfrm>
          <a:prstGeom prst="leftArrow">
            <a:avLst>
              <a:gd name="adj1" fmla="val 50000"/>
              <a:gd name="adj2" fmla="val 52027"/>
            </a:avLst>
          </a:prstGeom>
          <a:solidFill>
            <a:srgbClr xmlns:mc="http://schemas.openxmlformats.org/markup-compatibility/2006" xmlns:a14="http://schemas.microsoft.com/office/drawing/2010/main" val="125687" mc:Ignorable="a14" a14:legacySpreadsheetColorIndex="53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Föreg.</a:t>
            </a:r>
          </a:p>
        </xdr:txBody>
      </xdr:sp>
      <xdr:sp macro="" textlink="">
        <xdr:nvSpPr>
          <xdr:cNvPr id="209930" name="AutoShape 10">
            <a:hlinkClick xmlns:r="http://schemas.openxmlformats.org/officeDocument/2006/relationships" r:id="rId5" tooltip="Klicka här för att gå till Innehållsförteckningen"/>
          </xdr:cNvPr>
          <xdr:cNvSpPr>
            <a:spLocks noChangeArrowheads="1"/>
          </xdr:cNvSpPr>
        </xdr:nvSpPr>
        <xdr:spPr bwMode="auto">
          <a:xfrm>
            <a:off x="866" y="15"/>
            <a:ext cx="157" cy="27"/>
          </a:xfrm>
          <a:prstGeom prst="roundRect">
            <a:avLst>
              <a:gd name="adj" fmla="val 16667"/>
            </a:avLst>
          </a:prstGeom>
          <a:solidFill>
            <a:srgbClr xmlns:mc="http://schemas.openxmlformats.org/markup-compatibility/2006" xmlns:a14="http://schemas.microsoft.com/office/drawing/2010/main" val="125687" mc:Ignorable="a14" a14:legacySpreadsheetColorIndex="53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 w="9525" algn="ctr">
                <a:solidFill>
                  <a:srgbClr xmlns:mc="http://schemas.openxmlformats.org/markup-compatibility/2006" val="333333" mc:Ignorable="a14" a14:legacySpreadsheetColorIndex="61"/>
                </a:solidFill>
                <a:round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Till Innehållsförteckning</a:t>
            </a:r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56</xdr:row>
          <xdr:rowOff>47625</xdr:rowOff>
        </xdr:from>
        <xdr:to>
          <xdr:col>4</xdr:col>
          <xdr:colOff>38100</xdr:colOff>
          <xdr:row>60</xdr:row>
          <xdr:rowOff>9525</xdr:rowOff>
        </xdr:to>
        <xdr:sp macro="" textlink="">
          <xdr:nvSpPr>
            <xdr:cNvPr id="209935" name="Object 15" hidden="1">
              <a:extLst>
                <a:ext uri="{63B3BB69-23CF-44E3-9099-C40C66FF867C}">
                  <a14:compatExt spid="_x0000_s2099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285750</xdr:colOff>
      <xdr:row>5</xdr:row>
      <xdr:rowOff>95250</xdr:rowOff>
    </xdr:from>
    <xdr:to>
      <xdr:col>16</xdr:col>
      <xdr:colOff>171450</xdr:colOff>
      <xdr:row>41</xdr:row>
      <xdr:rowOff>0</xdr:rowOff>
    </xdr:to>
    <xdr:graphicFrame macro="">
      <xdr:nvGraphicFramePr>
        <xdr:cNvPr id="222288" name="Diagram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342900</xdr:colOff>
      <xdr:row>1</xdr:row>
      <xdr:rowOff>9525</xdr:rowOff>
    </xdr:from>
    <xdr:to>
      <xdr:col>16</xdr:col>
      <xdr:colOff>38100</xdr:colOff>
      <xdr:row>5</xdr:row>
      <xdr:rowOff>57150</xdr:rowOff>
    </xdr:to>
    <xdr:grpSp>
      <xdr:nvGrpSpPr>
        <xdr:cNvPr id="222290" name="Group 15"/>
        <xdr:cNvGrpSpPr>
          <a:grpSpLocks/>
        </xdr:cNvGrpSpPr>
      </xdr:nvGrpSpPr>
      <xdr:grpSpPr bwMode="auto">
        <a:xfrm>
          <a:off x="8267700" y="171450"/>
          <a:ext cx="1524000" cy="695325"/>
          <a:chOff x="864" y="15"/>
          <a:chExt cx="160" cy="73"/>
        </a:xfrm>
      </xdr:grpSpPr>
      <xdr:sp macro="" textlink="">
        <xdr:nvSpPr>
          <xdr:cNvPr id="222219" name="AutoShape 11">
            <a:hlinkClick xmlns:r="http://schemas.openxmlformats.org/officeDocument/2006/relationships" r:id="rId2" tooltip="Klicka här för att gå till Marknadsvärde och tillfört kapital till fondrörelsen"/>
          </xdr:cNvPr>
          <xdr:cNvSpPr>
            <a:spLocks noChangeArrowheads="1"/>
          </xdr:cNvSpPr>
        </xdr:nvSpPr>
        <xdr:spPr bwMode="auto">
          <a:xfrm>
            <a:off x="947" y="51"/>
            <a:ext cx="77" cy="37"/>
          </a:xfrm>
          <a:prstGeom prst="rightArrow">
            <a:avLst>
              <a:gd name="adj1" fmla="val 50000"/>
              <a:gd name="adj2" fmla="val 52027"/>
            </a:avLst>
          </a:prstGeom>
          <a:solidFill>
            <a:srgbClr xmlns:mc="http://schemas.openxmlformats.org/markup-compatibility/2006" xmlns:a14="http://schemas.microsoft.com/office/drawing/2010/main" val="125687" mc:Ignorable="a14" a14:legacySpreadsheetColorIndex="53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Nästa</a:t>
            </a:r>
          </a:p>
        </xdr:txBody>
      </xdr:sp>
      <xdr:sp macro="" textlink="">
        <xdr:nvSpPr>
          <xdr:cNvPr id="222220" name="AutoShape 12">
            <a:hlinkClick xmlns:r="http://schemas.openxmlformats.org/officeDocument/2006/relationships" r:id="rId3" tooltip="Klicka här för att gå till Värdeutveckling Premiepensionssystemet"/>
          </xdr:cNvPr>
          <xdr:cNvSpPr>
            <a:spLocks noChangeArrowheads="1"/>
          </xdr:cNvSpPr>
        </xdr:nvSpPr>
        <xdr:spPr bwMode="auto">
          <a:xfrm>
            <a:off x="864" y="51"/>
            <a:ext cx="77" cy="37"/>
          </a:xfrm>
          <a:prstGeom prst="leftArrow">
            <a:avLst>
              <a:gd name="adj1" fmla="val 50000"/>
              <a:gd name="adj2" fmla="val 52027"/>
            </a:avLst>
          </a:prstGeom>
          <a:solidFill>
            <a:srgbClr xmlns:mc="http://schemas.openxmlformats.org/markup-compatibility/2006" xmlns:a14="http://schemas.microsoft.com/office/drawing/2010/main" val="125687" mc:Ignorable="a14" a14:legacySpreadsheetColorIndex="53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Föreg.</a:t>
            </a:r>
          </a:p>
        </xdr:txBody>
      </xdr:sp>
      <xdr:sp macro="" textlink="">
        <xdr:nvSpPr>
          <xdr:cNvPr id="222221" name="AutoShape 13">
            <a:hlinkClick xmlns:r="http://schemas.openxmlformats.org/officeDocument/2006/relationships" r:id="rId4" tooltip="KLicka här för att gå till Innehållsförteckningen"/>
          </xdr:cNvPr>
          <xdr:cNvSpPr>
            <a:spLocks noChangeArrowheads="1"/>
          </xdr:cNvSpPr>
        </xdr:nvSpPr>
        <xdr:spPr bwMode="auto">
          <a:xfrm>
            <a:off x="865" y="15"/>
            <a:ext cx="157" cy="27"/>
          </a:xfrm>
          <a:prstGeom prst="roundRect">
            <a:avLst>
              <a:gd name="adj" fmla="val 16667"/>
            </a:avLst>
          </a:prstGeom>
          <a:solidFill>
            <a:srgbClr xmlns:mc="http://schemas.openxmlformats.org/markup-compatibility/2006" xmlns:a14="http://schemas.microsoft.com/office/drawing/2010/main" val="125687" mc:Ignorable="a14" a14:legacySpreadsheetColorIndex="53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 w="9525" algn="ctr">
                <a:solidFill>
                  <a:srgbClr xmlns:mc="http://schemas.openxmlformats.org/markup-compatibility/2006" val="333333" mc:Ignorable="a14" a14:legacySpreadsheetColorIndex="61"/>
                </a:solidFill>
                <a:round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Till Innehållsförteckning</a:t>
            </a:r>
          </a:p>
        </xdr:txBody>
      </xdr:sp>
    </xdr:grpSp>
    <xdr:clientData/>
  </xdr:twoCellAnchor>
  <xdr:twoCellAnchor editAs="oneCell">
    <xdr:from>
      <xdr:col>7</xdr:col>
      <xdr:colOff>409577</xdr:colOff>
      <xdr:row>39</xdr:row>
      <xdr:rowOff>80871</xdr:rowOff>
    </xdr:from>
    <xdr:to>
      <xdr:col>9</xdr:col>
      <xdr:colOff>381001</xdr:colOff>
      <xdr:row>40</xdr:row>
      <xdr:rowOff>66802</xdr:rowOff>
    </xdr:to>
    <xdr:pic>
      <xdr:nvPicPr>
        <xdr:cNvPr id="222291" name="Picture 16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BEBA8EAE-BF5A-486C-A8C5-ECC9F3942E4B}">
              <a14:imgProps xmlns:a14="http://schemas.microsoft.com/office/drawing/2010/main">
                <a14:imgLayer r:embed="rId6">
                  <a14:imgEffect>
                    <a14:sharpenSoften amount="4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76777" y="6395946"/>
          <a:ext cx="1190624" cy="1478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0</xdr:col>
      <xdr:colOff>285750</xdr:colOff>
      <xdr:row>3</xdr:row>
      <xdr:rowOff>28575</xdr:rowOff>
    </xdr:from>
    <xdr:to>
      <xdr:col>2</xdr:col>
      <xdr:colOff>152400</xdr:colOff>
      <xdr:row>4</xdr:row>
      <xdr:rowOff>142875</xdr:rowOff>
    </xdr:to>
    <xdr:sp macro="[0]!XGåTillData1" textlink="">
      <xdr:nvSpPr>
        <xdr:cNvPr id="9" name="AutoShape 3">
          <a:hlinkClick xmlns:r="http://schemas.openxmlformats.org/officeDocument/2006/relationships" r:id="rId7" tooltip="Klicka här för att gå till bakomliggande data."/>
        </xdr:cNvPr>
        <xdr:cNvSpPr>
          <a:spLocks noChangeArrowheads="1"/>
        </xdr:cNvSpPr>
      </xdr:nvSpPr>
      <xdr:spPr bwMode="auto">
        <a:xfrm>
          <a:off x="285750" y="514350"/>
          <a:ext cx="1085850" cy="276225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125687" mc:Ignorable="a14" a14:legacySpreadsheetColorIndex="53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808080" mc:Ignorable="a14" a14:legacySpreadsheetColorIndex="20"/>
              </a:solidFill>
              <a:round/>
              <a:headEnd/>
              <a:tailEnd/>
            </a14:hiddenLine>
          </a:ext>
        </a:extLst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Gå till data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247650</xdr:colOff>
      <xdr:row>5</xdr:row>
      <xdr:rowOff>95250</xdr:rowOff>
    </xdr:from>
    <xdr:to>
      <xdr:col>15</xdr:col>
      <xdr:colOff>266700</xdr:colOff>
      <xdr:row>37</xdr:row>
      <xdr:rowOff>114300</xdr:rowOff>
    </xdr:to>
    <xdr:graphicFrame macro="">
      <xdr:nvGraphicFramePr>
        <xdr:cNvPr id="224330" name="Diagram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342900</xdr:colOff>
      <xdr:row>1</xdr:row>
      <xdr:rowOff>9525</xdr:rowOff>
    </xdr:from>
    <xdr:to>
      <xdr:col>16</xdr:col>
      <xdr:colOff>38100</xdr:colOff>
      <xdr:row>5</xdr:row>
      <xdr:rowOff>57150</xdr:rowOff>
    </xdr:to>
    <xdr:grpSp>
      <xdr:nvGrpSpPr>
        <xdr:cNvPr id="224331" name="Group 19"/>
        <xdr:cNvGrpSpPr>
          <a:grpSpLocks/>
        </xdr:cNvGrpSpPr>
      </xdr:nvGrpSpPr>
      <xdr:grpSpPr bwMode="auto">
        <a:xfrm>
          <a:off x="8267700" y="171450"/>
          <a:ext cx="1524000" cy="695325"/>
          <a:chOff x="863" y="16"/>
          <a:chExt cx="160" cy="73"/>
        </a:xfrm>
      </xdr:grpSpPr>
      <xdr:sp macro="" textlink="">
        <xdr:nvSpPr>
          <xdr:cNvPr id="224270" name="AutoShape 14">
            <a:hlinkClick xmlns:r="http://schemas.openxmlformats.org/officeDocument/2006/relationships" r:id="rId2" tooltip="Klicka här för att gå till Värdeutveckling Premiepensionsfondernas index"/>
          </xdr:cNvPr>
          <xdr:cNvSpPr>
            <a:spLocks noChangeArrowheads="1"/>
          </xdr:cNvSpPr>
        </xdr:nvSpPr>
        <xdr:spPr bwMode="auto">
          <a:xfrm>
            <a:off x="946" y="52"/>
            <a:ext cx="77" cy="37"/>
          </a:xfrm>
          <a:prstGeom prst="rightArrow">
            <a:avLst>
              <a:gd name="adj1" fmla="val 50000"/>
              <a:gd name="adj2" fmla="val 52027"/>
            </a:avLst>
          </a:prstGeom>
          <a:solidFill>
            <a:srgbClr xmlns:mc="http://schemas.openxmlformats.org/markup-compatibility/2006" xmlns:a14="http://schemas.microsoft.com/office/drawing/2010/main" val="125687" mc:Ignorable="a14" a14:legacySpreadsheetColorIndex="53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Nästa</a:t>
            </a:r>
          </a:p>
        </xdr:txBody>
      </xdr:sp>
      <xdr:sp macro="" textlink="">
        <xdr:nvSpPr>
          <xdr:cNvPr id="224271" name="AutoShape 15">
            <a:hlinkClick xmlns:r="http://schemas.openxmlformats.org/officeDocument/2006/relationships" r:id="rId3" tooltip="Klicka här för att gå till Värdeutveckling för fondrörelsen per kalenderår"/>
          </xdr:cNvPr>
          <xdr:cNvSpPr>
            <a:spLocks noChangeArrowheads="1"/>
          </xdr:cNvSpPr>
        </xdr:nvSpPr>
        <xdr:spPr bwMode="auto">
          <a:xfrm>
            <a:off x="863" y="52"/>
            <a:ext cx="77" cy="37"/>
          </a:xfrm>
          <a:prstGeom prst="leftArrow">
            <a:avLst>
              <a:gd name="adj1" fmla="val 50000"/>
              <a:gd name="adj2" fmla="val 52027"/>
            </a:avLst>
          </a:prstGeom>
          <a:solidFill>
            <a:srgbClr xmlns:mc="http://schemas.openxmlformats.org/markup-compatibility/2006" xmlns:a14="http://schemas.microsoft.com/office/drawing/2010/main" val="125687" mc:Ignorable="a14" a14:legacySpreadsheetColorIndex="53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Föreg.</a:t>
            </a:r>
          </a:p>
        </xdr:txBody>
      </xdr:sp>
      <xdr:sp macro="" textlink="">
        <xdr:nvSpPr>
          <xdr:cNvPr id="224272" name="AutoShape 16">
            <a:hlinkClick xmlns:r="http://schemas.openxmlformats.org/officeDocument/2006/relationships" r:id="rId4" tooltip="Klicka här för att gå till Innehållsförteckningen"/>
          </xdr:cNvPr>
          <xdr:cNvSpPr>
            <a:spLocks noChangeArrowheads="1"/>
          </xdr:cNvSpPr>
        </xdr:nvSpPr>
        <xdr:spPr bwMode="auto">
          <a:xfrm>
            <a:off x="864" y="16"/>
            <a:ext cx="157" cy="27"/>
          </a:xfrm>
          <a:prstGeom prst="roundRect">
            <a:avLst>
              <a:gd name="adj" fmla="val 16667"/>
            </a:avLst>
          </a:prstGeom>
          <a:solidFill>
            <a:srgbClr xmlns:mc="http://schemas.openxmlformats.org/markup-compatibility/2006" xmlns:a14="http://schemas.microsoft.com/office/drawing/2010/main" val="125687" mc:Ignorable="a14" a14:legacySpreadsheetColorIndex="53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 w="9525" algn="ctr">
                <a:solidFill>
                  <a:srgbClr xmlns:mc="http://schemas.openxmlformats.org/markup-compatibility/2006" val="333333" mc:Ignorable="a14" a14:legacySpreadsheetColorIndex="61"/>
                </a:solidFill>
                <a:round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Till Innehållsförteckning</a:t>
            </a:r>
          </a:p>
        </xdr:txBody>
      </xdr:sp>
    </xdr:grpSp>
    <xdr:clientData/>
  </xdr:twoCellAnchor>
  <xdr:twoCellAnchor>
    <xdr:from>
      <xdr:col>0</xdr:col>
      <xdr:colOff>285750</xdr:colOff>
      <xdr:row>3</xdr:row>
      <xdr:rowOff>28575</xdr:rowOff>
    </xdr:from>
    <xdr:to>
      <xdr:col>2</xdr:col>
      <xdr:colOff>152400</xdr:colOff>
      <xdr:row>4</xdr:row>
      <xdr:rowOff>142875</xdr:rowOff>
    </xdr:to>
    <xdr:sp macro="[0]!XGåTillData1" textlink="">
      <xdr:nvSpPr>
        <xdr:cNvPr id="8" name="AutoShape 3">
          <a:hlinkClick xmlns:r="http://schemas.openxmlformats.org/officeDocument/2006/relationships" r:id="rId5" tooltip="Klicka här för att gå till bakomliggande data."/>
        </xdr:cNvPr>
        <xdr:cNvSpPr>
          <a:spLocks noChangeArrowheads="1"/>
        </xdr:cNvSpPr>
      </xdr:nvSpPr>
      <xdr:spPr bwMode="auto">
        <a:xfrm>
          <a:off x="285750" y="514350"/>
          <a:ext cx="1085850" cy="276225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125687" mc:Ignorable="a14" a14:legacySpreadsheetColorIndex="53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808080" mc:Ignorable="a14" a14:legacySpreadsheetColorIndex="20"/>
              </a:solidFill>
              <a:round/>
              <a:headEnd/>
              <a:tailEnd/>
            </a14:hiddenLine>
          </a:ext>
        </a:extLst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Gå till data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342900</xdr:colOff>
      <xdr:row>1</xdr:row>
      <xdr:rowOff>9525</xdr:rowOff>
    </xdr:from>
    <xdr:to>
      <xdr:col>16</xdr:col>
      <xdr:colOff>38100</xdr:colOff>
      <xdr:row>5</xdr:row>
      <xdr:rowOff>57150</xdr:rowOff>
    </xdr:to>
    <xdr:grpSp>
      <xdr:nvGrpSpPr>
        <xdr:cNvPr id="214089" name="Group 17"/>
        <xdr:cNvGrpSpPr>
          <a:grpSpLocks/>
        </xdr:cNvGrpSpPr>
      </xdr:nvGrpSpPr>
      <xdr:grpSpPr bwMode="auto">
        <a:xfrm>
          <a:off x="8267700" y="171450"/>
          <a:ext cx="1524000" cy="695325"/>
          <a:chOff x="868" y="18"/>
          <a:chExt cx="160" cy="73"/>
        </a:xfrm>
      </xdr:grpSpPr>
      <xdr:sp macro="" textlink="">
        <xdr:nvSpPr>
          <xdr:cNvPr id="214025" name="AutoShape 9">
            <a:hlinkClick xmlns:r="http://schemas.openxmlformats.org/officeDocument/2006/relationships" r:id="rId1" tooltip="Klicka här för att gå till Värdeutv fondrörelse genomsnitt"/>
          </xdr:cNvPr>
          <xdr:cNvSpPr>
            <a:spLocks noChangeArrowheads="1"/>
          </xdr:cNvSpPr>
        </xdr:nvSpPr>
        <xdr:spPr bwMode="auto">
          <a:xfrm>
            <a:off x="951" y="54"/>
            <a:ext cx="77" cy="37"/>
          </a:xfrm>
          <a:prstGeom prst="rightArrow">
            <a:avLst>
              <a:gd name="adj1" fmla="val 50000"/>
              <a:gd name="adj2" fmla="val 52027"/>
            </a:avLst>
          </a:prstGeom>
          <a:solidFill>
            <a:srgbClr xmlns:mc="http://schemas.openxmlformats.org/markup-compatibility/2006" xmlns:a14="http://schemas.microsoft.com/office/drawing/2010/main" val="125687" mc:Ignorable="a14" a14:legacySpreadsheetColorIndex="53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Nästa</a:t>
            </a:r>
          </a:p>
        </xdr:txBody>
      </xdr:sp>
      <xdr:sp macro="" textlink="">
        <xdr:nvSpPr>
          <xdr:cNvPr id="214026" name="AutoShape 10">
            <a:hlinkClick xmlns:r="http://schemas.openxmlformats.org/officeDocument/2006/relationships" r:id="rId2" tooltip="Klicka här för att gå till Marknadsvärde och tillfört kapital till fondrörelsen"/>
          </xdr:cNvPr>
          <xdr:cNvSpPr>
            <a:spLocks noChangeArrowheads="1"/>
          </xdr:cNvSpPr>
        </xdr:nvSpPr>
        <xdr:spPr bwMode="auto">
          <a:xfrm>
            <a:off x="868" y="54"/>
            <a:ext cx="77" cy="37"/>
          </a:xfrm>
          <a:prstGeom prst="leftArrow">
            <a:avLst>
              <a:gd name="adj1" fmla="val 50000"/>
              <a:gd name="adj2" fmla="val 52027"/>
            </a:avLst>
          </a:prstGeom>
          <a:solidFill>
            <a:srgbClr xmlns:mc="http://schemas.openxmlformats.org/markup-compatibility/2006" xmlns:a14="http://schemas.microsoft.com/office/drawing/2010/main" val="125687" mc:Ignorable="a14" a14:legacySpreadsheetColorIndex="53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Föreg.</a:t>
            </a:r>
          </a:p>
        </xdr:txBody>
      </xdr:sp>
      <xdr:sp macro="" textlink="">
        <xdr:nvSpPr>
          <xdr:cNvPr id="214027" name="AutoShape 11">
            <a:hlinkClick xmlns:r="http://schemas.openxmlformats.org/officeDocument/2006/relationships" r:id="rId3" tooltip="Klicka här för att gå till Innehållsförteckningen"/>
          </xdr:cNvPr>
          <xdr:cNvSpPr>
            <a:spLocks noChangeArrowheads="1"/>
          </xdr:cNvSpPr>
        </xdr:nvSpPr>
        <xdr:spPr bwMode="auto">
          <a:xfrm>
            <a:off x="869" y="18"/>
            <a:ext cx="157" cy="27"/>
          </a:xfrm>
          <a:prstGeom prst="roundRect">
            <a:avLst>
              <a:gd name="adj" fmla="val 16667"/>
            </a:avLst>
          </a:prstGeom>
          <a:solidFill>
            <a:srgbClr xmlns:mc="http://schemas.openxmlformats.org/markup-compatibility/2006" xmlns:a14="http://schemas.microsoft.com/office/drawing/2010/main" val="125687" mc:Ignorable="a14" a14:legacySpreadsheetColorIndex="53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 w="9525" algn="ctr">
                <a:solidFill>
                  <a:srgbClr xmlns:mc="http://schemas.openxmlformats.org/markup-compatibility/2006" val="333333" mc:Ignorable="a14" a14:legacySpreadsheetColorIndex="61"/>
                </a:solidFill>
                <a:round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Till Innehållsförteckning</a:t>
            </a:r>
          </a:p>
        </xdr:txBody>
      </xdr:sp>
    </xdr:grpSp>
    <xdr:clientData/>
  </xdr:twoCellAnchor>
  <xdr:twoCellAnchor>
    <xdr:from>
      <xdr:col>0</xdr:col>
      <xdr:colOff>247650</xdr:colOff>
      <xdr:row>5</xdr:row>
      <xdr:rowOff>95250</xdr:rowOff>
    </xdr:from>
    <xdr:to>
      <xdr:col>15</xdr:col>
      <xdr:colOff>266700</xdr:colOff>
      <xdr:row>37</xdr:row>
      <xdr:rowOff>114300</xdr:rowOff>
    </xdr:to>
    <xdr:graphicFrame macro="">
      <xdr:nvGraphicFramePr>
        <xdr:cNvPr id="214090" name="Diagram 1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285750</xdr:colOff>
      <xdr:row>3</xdr:row>
      <xdr:rowOff>28575</xdr:rowOff>
    </xdr:from>
    <xdr:to>
      <xdr:col>2</xdr:col>
      <xdr:colOff>152400</xdr:colOff>
      <xdr:row>4</xdr:row>
      <xdr:rowOff>142875</xdr:rowOff>
    </xdr:to>
    <xdr:sp macro="[0]!XGåTillData1" textlink="">
      <xdr:nvSpPr>
        <xdr:cNvPr id="9" name="AutoShape 3">
          <a:hlinkClick xmlns:r="http://schemas.openxmlformats.org/officeDocument/2006/relationships" r:id="rId5" tooltip="Klicka här för att gå till bakomliggande data."/>
        </xdr:cNvPr>
        <xdr:cNvSpPr>
          <a:spLocks noChangeArrowheads="1"/>
        </xdr:cNvSpPr>
      </xdr:nvSpPr>
      <xdr:spPr bwMode="auto">
        <a:xfrm>
          <a:off x="285750" y="514350"/>
          <a:ext cx="1085850" cy="276225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125687" mc:Ignorable="a14" a14:legacySpreadsheetColorIndex="53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808080" mc:Ignorable="a14" a14:legacySpreadsheetColorIndex="20"/>
              </a:solidFill>
              <a:round/>
              <a:headEnd/>
              <a:tailEnd/>
            </a14:hiddenLine>
          </a:ext>
        </a:extLst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Gå till data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228600</xdr:colOff>
      <xdr:row>5</xdr:row>
      <xdr:rowOff>104775</xdr:rowOff>
    </xdr:from>
    <xdr:to>
      <xdr:col>15</xdr:col>
      <xdr:colOff>438150</xdr:colOff>
      <xdr:row>37</xdr:row>
      <xdr:rowOff>133350</xdr:rowOff>
    </xdr:to>
    <xdr:graphicFrame macro="">
      <xdr:nvGraphicFramePr>
        <xdr:cNvPr id="218177" name="Diagram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14</xdr:col>
      <xdr:colOff>523875</xdr:colOff>
      <xdr:row>3</xdr:row>
      <xdr:rowOff>28575</xdr:rowOff>
    </xdr:from>
    <xdr:to>
      <xdr:col>16</xdr:col>
      <xdr:colOff>38100</xdr:colOff>
      <xdr:row>5</xdr:row>
      <xdr:rowOff>57150</xdr:rowOff>
    </xdr:to>
    <xdr:sp macro="" textlink="">
      <xdr:nvSpPr>
        <xdr:cNvPr id="218121" name="AutoShape 9">
          <a:hlinkClick xmlns:r="http://schemas.openxmlformats.org/officeDocument/2006/relationships" r:id="rId2" tooltip="Avkastning pp-systemet"/>
        </xdr:cNvPr>
        <xdr:cNvSpPr>
          <a:spLocks noChangeArrowheads="1"/>
        </xdr:cNvSpPr>
      </xdr:nvSpPr>
      <xdr:spPr bwMode="auto">
        <a:xfrm>
          <a:off x="9058275" y="514350"/>
          <a:ext cx="733425" cy="352425"/>
        </a:xfrm>
        <a:prstGeom prst="rightArrow">
          <a:avLst>
            <a:gd name="adj1" fmla="val 50000"/>
            <a:gd name="adj2" fmla="val 52027"/>
          </a:avLst>
        </a:prstGeom>
        <a:solidFill>
          <a:srgbClr xmlns:mc="http://schemas.openxmlformats.org/markup-compatibility/2006" xmlns:a14="http://schemas.microsoft.com/office/drawing/2010/main" val="125687" mc:Ignorable="a14" a14:legacySpreadsheetColorIndex="53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Nästa</a:t>
          </a:r>
        </a:p>
      </xdr:txBody>
    </xdr:sp>
    <xdr:clientData fPrintsWithSheet="0"/>
  </xdr:twoCellAnchor>
  <xdr:twoCellAnchor>
    <xdr:from>
      <xdr:col>13</xdr:col>
      <xdr:colOff>342900</xdr:colOff>
      <xdr:row>3</xdr:row>
      <xdr:rowOff>28575</xdr:rowOff>
    </xdr:from>
    <xdr:to>
      <xdr:col>14</xdr:col>
      <xdr:colOff>466725</xdr:colOff>
      <xdr:row>5</xdr:row>
      <xdr:rowOff>57150</xdr:rowOff>
    </xdr:to>
    <xdr:sp macro="" textlink="">
      <xdr:nvSpPr>
        <xdr:cNvPr id="218122" name="AutoShape 10">
          <a:hlinkClick xmlns:r="http://schemas.openxmlformats.org/officeDocument/2006/relationships" r:id="rId3" tooltip="Klicka här för att gå till Värdeutveckling - fondrörelse"/>
        </xdr:cNvPr>
        <xdr:cNvSpPr>
          <a:spLocks noChangeArrowheads="1"/>
        </xdr:cNvSpPr>
      </xdr:nvSpPr>
      <xdr:spPr bwMode="auto">
        <a:xfrm>
          <a:off x="8267700" y="514350"/>
          <a:ext cx="733425" cy="352425"/>
        </a:xfrm>
        <a:prstGeom prst="leftArrow">
          <a:avLst>
            <a:gd name="adj1" fmla="val 50000"/>
            <a:gd name="adj2" fmla="val 52027"/>
          </a:avLst>
        </a:prstGeom>
        <a:solidFill>
          <a:srgbClr xmlns:mc="http://schemas.openxmlformats.org/markup-compatibility/2006" xmlns:a14="http://schemas.microsoft.com/office/drawing/2010/main" val="125687" mc:Ignorable="a14" a14:legacySpreadsheetColorIndex="53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Föreg.</a:t>
          </a:r>
        </a:p>
      </xdr:txBody>
    </xdr:sp>
    <xdr:clientData fPrintsWithSheet="0"/>
  </xdr:twoCellAnchor>
  <xdr:twoCellAnchor>
    <xdr:from>
      <xdr:col>13</xdr:col>
      <xdr:colOff>352425</xdr:colOff>
      <xdr:row>1</xdr:row>
      <xdr:rowOff>9525</xdr:rowOff>
    </xdr:from>
    <xdr:to>
      <xdr:col>16</xdr:col>
      <xdr:colOff>19050</xdr:colOff>
      <xdr:row>2</xdr:row>
      <xdr:rowOff>104775</xdr:rowOff>
    </xdr:to>
    <xdr:sp macro="" textlink="">
      <xdr:nvSpPr>
        <xdr:cNvPr id="218123" name="AutoShape 11">
          <a:hlinkClick xmlns:r="http://schemas.openxmlformats.org/officeDocument/2006/relationships" r:id="rId4" tooltip="Klicka här för att gå till Innehållsförteckningen"/>
        </xdr:cNvPr>
        <xdr:cNvSpPr>
          <a:spLocks noChangeArrowheads="1"/>
        </xdr:cNvSpPr>
      </xdr:nvSpPr>
      <xdr:spPr bwMode="auto">
        <a:xfrm>
          <a:off x="8277225" y="171450"/>
          <a:ext cx="1495425" cy="257175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125687" mc:Ignorable="a14" a14:legacySpreadsheetColorIndex="53"/>
        </a:solidFill>
        <a:ln>
          <a:noFill/>
        </a:ln>
        <a:effectLst/>
        <a:extLst>
          <a:ext uri="{91240B29-F687-4F45-9708-019B960494DF}">
            <a14:hiddenLine xmlns:a14="http://schemas.microsoft.com/office/drawing/2010/main" w="9525" algn="ctr">
              <a:solidFill>
                <a:srgbClr xmlns:mc="http://schemas.openxmlformats.org/markup-compatibility/2006" val="333333" mc:Ignorable="a14" a14:legacySpreadsheetColorIndex="61"/>
              </a:solidFill>
              <a:round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Till Innehållsförteckning</a:t>
          </a:r>
        </a:p>
      </xdr:txBody>
    </xdr:sp>
    <xdr:clientData fPrintsWithSheet="0"/>
  </xdr:twoCellAnchor>
  <xdr:twoCellAnchor>
    <xdr:from>
      <xdr:col>0</xdr:col>
      <xdr:colOff>285750</xdr:colOff>
      <xdr:row>3</xdr:row>
      <xdr:rowOff>28575</xdr:rowOff>
    </xdr:from>
    <xdr:to>
      <xdr:col>2</xdr:col>
      <xdr:colOff>152400</xdr:colOff>
      <xdr:row>4</xdr:row>
      <xdr:rowOff>142875</xdr:rowOff>
    </xdr:to>
    <xdr:sp macro="[0]!XGåTillData1" textlink="">
      <xdr:nvSpPr>
        <xdr:cNvPr id="7" name="AutoShape 3">
          <a:hlinkClick xmlns:r="http://schemas.openxmlformats.org/officeDocument/2006/relationships" r:id="rId5" tooltip="Klicka här för att gå till bakomliggande data."/>
        </xdr:cNvPr>
        <xdr:cNvSpPr>
          <a:spLocks noChangeArrowheads="1"/>
        </xdr:cNvSpPr>
      </xdr:nvSpPr>
      <xdr:spPr bwMode="auto">
        <a:xfrm>
          <a:off x="285750" y="514350"/>
          <a:ext cx="1085850" cy="276225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125687" mc:Ignorable="a14" a14:legacySpreadsheetColorIndex="53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808080" mc:Ignorable="a14" a14:legacySpreadsheetColorIndex="20"/>
              </a:solidFill>
              <a:round/>
              <a:headEnd/>
              <a:tailEnd/>
            </a14:hiddenLine>
          </a:ext>
        </a:extLst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Gå till data</a:t>
          </a: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180975</xdr:colOff>
      <xdr:row>12</xdr:row>
      <xdr:rowOff>133350</xdr:rowOff>
    </xdr:from>
    <xdr:to>
      <xdr:col>2</xdr:col>
      <xdr:colOff>476250</xdr:colOff>
      <xdr:row>18</xdr:row>
      <xdr:rowOff>0</xdr:rowOff>
    </xdr:to>
    <xdr:sp macro="[0]!TillInnehåll" textlink="">
      <xdr:nvSpPr>
        <xdr:cNvPr id="12293" name="AutoShape 5">
          <a:hlinkClick xmlns:r="http://schemas.openxmlformats.org/officeDocument/2006/relationships" r:id="rId1" tooltip="Klicka här för att återgå till diagrammet."/>
        </xdr:cNvPr>
        <xdr:cNvSpPr>
          <a:spLocks noChangeArrowheads="1"/>
        </xdr:cNvSpPr>
      </xdr:nvSpPr>
      <xdr:spPr bwMode="auto">
        <a:xfrm>
          <a:off x="180975" y="2247900"/>
          <a:ext cx="1428750" cy="26670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125687" mc:Ignorable="a14" a14:legacySpreadsheetColorIndex="53"/>
        </a:solidFill>
        <a:ln>
          <a:noFill/>
        </a:ln>
        <a:effectLst/>
        <a:extLst>
          <a:ext uri="{91240B29-F687-4F45-9708-019B960494DF}">
            <a14:hiddenLine xmlns:a14="http://schemas.microsoft.com/office/drawing/2010/main" w="9525" algn="ctr">
              <a:solidFill>
                <a:srgbClr xmlns:mc="http://schemas.openxmlformats.org/markup-compatibility/2006" val="808080" mc:Ignorable="a14" a14:legacySpreadsheetColorIndex="20"/>
              </a:solidFill>
              <a:round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Tillbaka till diagram</a:t>
          </a:r>
        </a:p>
      </xdr:txBody>
    </xdr:sp>
    <xdr:clientData/>
  </xdr:twoCellAnchor>
  <xdr:twoCellAnchor>
    <xdr:from>
      <xdr:col>10</xdr:col>
      <xdr:colOff>85725</xdr:colOff>
      <xdr:row>1</xdr:row>
      <xdr:rowOff>9525</xdr:rowOff>
    </xdr:from>
    <xdr:to>
      <xdr:col>12</xdr:col>
      <xdr:colOff>180975</xdr:colOff>
      <xdr:row>4</xdr:row>
      <xdr:rowOff>85725</xdr:rowOff>
    </xdr:to>
    <xdr:grpSp>
      <xdr:nvGrpSpPr>
        <xdr:cNvPr id="12355" name="Group 20"/>
        <xdr:cNvGrpSpPr>
          <a:grpSpLocks/>
        </xdr:cNvGrpSpPr>
      </xdr:nvGrpSpPr>
      <xdr:grpSpPr bwMode="auto">
        <a:xfrm>
          <a:off x="8267700" y="171450"/>
          <a:ext cx="1524000" cy="695325"/>
          <a:chOff x="868" y="18"/>
          <a:chExt cx="160" cy="73"/>
        </a:xfrm>
      </xdr:grpSpPr>
      <xdr:sp macro="" textlink="">
        <xdr:nvSpPr>
          <xdr:cNvPr id="12299" name="AutoShape 11">
            <a:hlinkClick xmlns:r="http://schemas.openxmlformats.org/officeDocument/2006/relationships" r:id="rId2" tooltip="Klicka här för att gå till nästa fördjupningssida"/>
          </xdr:cNvPr>
          <xdr:cNvSpPr>
            <a:spLocks noChangeArrowheads="1"/>
          </xdr:cNvSpPr>
        </xdr:nvSpPr>
        <xdr:spPr bwMode="auto">
          <a:xfrm>
            <a:off x="951" y="54"/>
            <a:ext cx="77" cy="37"/>
          </a:xfrm>
          <a:prstGeom prst="rightArrow">
            <a:avLst>
              <a:gd name="adj1" fmla="val 50000"/>
              <a:gd name="adj2" fmla="val 52027"/>
            </a:avLst>
          </a:prstGeom>
          <a:solidFill>
            <a:srgbClr xmlns:mc="http://schemas.openxmlformats.org/markup-compatibility/2006" xmlns:a14="http://schemas.microsoft.com/office/drawing/2010/main" val="125687" mc:Ignorable="a14" a14:legacySpreadsheetColorIndex="53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Nästa</a:t>
            </a:r>
          </a:p>
        </xdr:txBody>
      </xdr:sp>
      <xdr:sp macro="" textlink="">
        <xdr:nvSpPr>
          <xdr:cNvPr id="12300" name="AutoShape 12">
            <a:hlinkClick xmlns:r="http://schemas.openxmlformats.org/officeDocument/2006/relationships" r:id="rId3" tooltip="Klicka här för att gå till Värdeutv fondrörelse i genomsnitt"/>
          </xdr:cNvPr>
          <xdr:cNvSpPr>
            <a:spLocks noChangeArrowheads="1"/>
          </xdr:cNvSpPr>
        </xdr:nvSpPr>
        <xdr:spPr bwMode="auto">
          <a:xfrm>
            <a:off x="868" y="54"/>
            <a:ext cx="77" cy="37"/>
          </a:xfrm>
          <a:prstGeom prst="leftArrow">
            <a:avLst>
              <a:gd name="adj1" fmla="val 50000"/>
              <a:gd name="adj2" fmla="val 52027"/>
            </a:avLst>
          </a:prstGeom>
          <a:solidFill>
            <a:srgbClr xmlns:mc="http://schemas.openxmlformats.org/markup-compatibility/2006" xmlns:a14="http://schemas.microsoft.com/office/drawing/2010/main" val="125687" mc:Ignorable="a14" a14:legacySpreadsheetColorIndex="53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Föreg.</a:t>
            </a:r>
          </a:p>
        </xdr:txBody>
      </xdr:sp>
      <xdr:sp macro="" textlink="">
        <xdr:nvSpPr>
          <xdr:cNvPr id="12301" name="AutoShape 13">
            <a:hlinkClick xmlns:r="http://schemas.openxmlformats.org/officeDocument/2006/relationships" r:id="rId4" tooltip="Klicka här för att gå till Innehållsförteckningen"/>
          </xdr:cNvPr>
          <xdr:cNvSpPr>
            <a:spLocks noChangeArrowheads="1"/>
          </xdr:cNvSpPr>
        </xdr:nvSpPr>
        <xdr:spPr bwMode="auto">
          <a:xfrm>
            <a:off x="869" y="18"/>
            <a:ext cx="157" cy="27"/>
          </a:xfrm>
          <a:prstGeom prst="roundRect">
            <a:avLst>
              <a:gd name="adj" fmla="val 16667"/>
            </a:avLst>
          </a:prstGeom>
          <a:solidFill>
            <a:srgbClr xmlns:mc="http://schemas.openxmlformats.org/markup-compatibility/2006" xmlns:a14="http://schemas.microsoft.com/office/drawing/2010/main" val="125687" mc:Ignorable="a14" a14:legacySpreadsheetColorIndex="53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 w="9525" algn="ctr">
                <a:solidFill>
                  <a:srgbClr xmlns:mc="http://schemas.openxmlformats.org/markup-compatibility/2006" val="333333" mc:Ignorable="a14" a14:legacySpreadsheetColorIndex="61"/>
                </a:solidFill>
                <a:round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Till Innehållsförteckning</a:t>
            </a:r>
          </a:p>
        </xdr:txBody>
      </xdr:sp>
    </xdr:grp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9525</xdr:colOff>
      <xdr:row>8</xdr:row>
      <xdr:rowOff>142875</xdr:rowOff>
    </xdr:from>
    <xdr:to>
      <xdr:col>1</xdr:col>
      <xdr:colOff>1362075</xdr:colOff>
      <xdr:row>8</xdr:row>
      <xdr:rowOff>409575</xdr:rowOff>
    </xdr:to>
    <xdr:sp macro="[0]!XGåTillDiagram5" textlink="">
      <xdr:nvSpPr>
        <xdr:cNvPr id="58374" name="AutoShape 6">
          <a:hlinkClick xmlns:r="http://schemas.openxmlformats.org/officeDocument/2006/relationships" r:id="rId1" tooltip="Klicka här för att återgå till diagrammet"/>
        </xdr:cNvPr>
        <xdr:cNvSpPr>
          <a:spLocks noChangeArrowheads="1"/>
        </xdr:cNvSpPr>
      </xdr:nvSpPr>
      <xdr:spPr bwMode="auto">
        <a:xfrm>
          <a:off x="200025" y="1504950"/>
          <a:ext cx="1352550" cy="26670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125687" mc:Ignorable="a14" a14:legacySpreadsheetColorIndex="53"/>
        </a:solidFill>
        <a:ln>
          <a:noFill/>
        </a:ln>
        <a:effectLst/>
        <a:extLst>
          <a:ext uri="{91240B29-F687-4F45-9708-019B960494DF}">
            <a14:hiddenLine xmlns:a14="http://schemas.microsoft.com/office/drawing/2010/main" w="9525" algn="ctr">
              <a:solidFill>
                <a:srgbClr xmlns:mc="http://schemas.openxmlformats.org/markup-compatibility/2006" val="333333" mc:Ignorable="a14" a14:legacySpreadsheetColorIndex="61"/>
              </a:solidFill>
              <a:round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Tillbaka till diagram</a:t>
          </a:r>
        </a:p>
      </xdr:txBody>
    </xdr:sp>
    <xdr:clientData/>
  </xdr:twoCellAnchor>
  <xdr:twoCellAnchor>
    <xdr:from>
      <xdr:col>12</xdr:col>
      <xdr:colOff>438150</xdr:colOff>
      <xdr:row>1</xdr:row>
      <xdr:rowOff>9525</xdr:rowOff>
    </xdr:from>
    <xdr:to>
      <xdr:col>14</xdr:col>
      <xdr:colOff>514350</xdr:colOff>
      <xdr:row>4</xdr:row>
      <xdr:rowOff>152400</xdr:rowOff>
    </xdr:to>
    <xdr:grpSp>
      <xdr:nvGrpSpPr>
        <xdr:cNvPr id="58436" name="Group 21"/>
        <xdr:cNvGrpSpPr>
          <a:grpSpLocks/>
        </xdr:cNvGrpSpPr>
      </xdr:nvGrpSpPr>
      <xdr:grpSpPr bwMode="auto">
        <a:xfrm>
          <a:off x="8267700" y="171450"/>
          <a:ext cx="1524000" cy="695325"/>
          <a:chOff x="869" y="18"/>
          <a:chExt cx="160" cy="73"/>
        </a:xfrm>
      </xdr:grpSpPr>
      <xdr:sp macro="" textlink="">
        <xdr:nvSpPr>
          <xdr:cNvPr id="58385" name="AutoShape 17">
            <a:hlinkClick xmlns:r="http://schemas.openxmlformats.org/officeDocument/2006/relationships" r:id="rId2" tooltip="Klicka här för att gå till Marknadsv. och tillfört kapital"/>
          </xdr:cNvPr>
          <xdr:cNvSpPr>
            <a:spLocks noChangeArrowheads="1"/>
          </xdr:cNvSpPr>
        </xdr:nvSpPr>
        <xdr:spPr bwMode="auto">
          <a:xfrm>
            <a:off x="952" y="54"/>
            <a:ext cx="77" cy="37"/>
          </a:xfrm>
          <a:prstGeom prst="rightArrow">
            <a:avLst>
              <a:gd name="adj1" fmla="val 50000"/>
              <a:gd name="adj2" fmla="val 52027"/>
            </a:avLst>
          </a:prstGeom>
          <a:solidFill>
            <a:srgbClr xmlns:mc="http://schemas.openxmlformats.org/markup-compatibility/2006" xmlns:a14="http://schemas.microsoft.com/office/drawing/2010/main" val="125687" mc:Ignorable="a14" a14:legacySpreadsheetColorIndex="53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Nästa</a:t>
            </a:r>
          </a:p>
        </xdr:txBody>
      </xdr:sp>
      <xdr:sp macro="" textlink="">
        <xdr:nvSpPr>
          <xdr:cNvPr id="58386" name="AutoShape 18">
            <a:hlinkClick xmlns:r="http://schemas.openxmlformats.org/officeDocument/2006/relationships" r:id="rId3" tooltip="Klicka här för att gå till föregående fördjupningssida"/>
          </xdr:cNvPr>
          <xdr:cNvSpPr>
            <a:spLocks noChangeArrowheads="1"/>
          </xdr:cNvSpPr>
        </xdr:nvSpPr>
        <xdr:spPr bwMode="auto">
          <a:xfrm>
            <a:off x="869" y="54"/>
            <a:ext cx="77" cy="37"/>
          </a:xfrm>
          <a:prstGeom prst="leftArrow">
            <a:avLst>
              <a:gd name="adj1" fmla="val 50000"/>
              <a:gd name="adj2" fmla="val 52027"/>
            </a:avLst>
          </a:prstGeom>
          <a:solidFill>
            <a:srgbClr xmlns:mc="http://schemas.openxmlformats.org/markup-compatibility/2006" xmlns:a14="http://schemas.microsoft.com/office/drawing/2010/main" val="125687" mc:Ignorable="a14" a14:legacySpreadsheetColorIndex="53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Föreg.</a:t>
            </a:r>
          </a:p>
        </xdr:txBody>
      </xdr:sp>
      <xdr:sp macro="" textlink="">
        <xdr:nvSpPr>
          <xdr:cNvPr id="58387" name="AutoShape 19">
            <a:hlinkClick xmlns:r="http://schemas.openxmlformats.org/officeDocument/2006/relationships" r:id="rId4" tooltip="Klicka här för att gå till Innehållsförteckningen"/>
          </xdr:cNvPr>
          <xdr:cNvSpPr>
            <a:spLocks noChangeArrowheads="1"/>
          </xdr:cNvSpPr>
        </xdr:nvSpPr>
        <xdr:spPr bwMode="auto">
          <a:xfrm>
            <a:off x="870" y="18"/>
            <a:ext cx="157" cy="27"/>
          </a:xfrm>
          <a:prstGeom prst="roundRect">
            <a:avLst>
              <a:gd name="adj" fmla="val 16667"/>
            </a:avLst>
          </a:prstGeom>
          <a:solidFill>
            <a:srgbClr xmlns:mc="http://schemas.openxmlformats.org/markup-compatibility/2006" xmlns:a14="http://schemas.microsoft.com/office/drawing/2010/main" val="125687" mc:Ignorable="a14" a14:legacySpreadsheetColorIndex="53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 w="9525" algn="ctr">
                <a:solidFill>
                  <a:srgbClr xmlns:mc="http://schemas.openxmlformats.org/markup-compatibility/2006" val="333333" mc:Ignorable="a14" a14:legacySpreadsheetColorIndex="61"/>
                </a:solidFill>
                <a:round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Till Innehållsförteckning</a:t>
            </a:r>
          </a:p>
        </xdr:txBody>
      </xdr:sp>
    </xdr:grp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38100</xdr:colOff>
      <xdr:row>8</xdr:row>
      <xdr:rowOff>114300</xdr:rowOff>
    </xdr:from>
    <xdr:to>
      <xdr:col>1</xdr:col>
      <xdr:colOff>1390650</xdr:colOff>
      <xdr:row>8</xdr:row>
      <xdr:rowOff>381000</xdr:rowOff>
    </xdr:to>
    <xdr:sp macro="[0]!XGåTillDiagram5" textlink="">
      <xdr:nvSpPr>
        <xdr:cNvPr id="59397" name="AutoShape 5">
          <a:hlinkClick xmlns:r="http://schemas.openxmlformats.org/officeDocument/2006/relationships" r:id="rId1" tooltip="Klicka här för att återgå till diagrammet"/>
        </xdr:cNvPr>
        <xdr:cNvSpPr>
          <a:spLocks noChangeArrowheads="1"/>
        </xdr:cNvSpPr>
      </xdr:nvSpPr>
      <xdr:spPr bwMode="auto">
        <a:xfrm>
          <a:off x="228600" y="1476375"/>
          <a:ext cx="1352550" cy="26670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125687" mc:Ignorable="a14" a14:legacySpreadsheetColorIndex="53"/>
        </a:solidFill>
        <a:ln>
          <a:noFill/>
        </a:ln>
        <a:effectLst/>
        <a:extLst>
          <a:ext uri="{91240B29-F687-4F45-9708-019B960494DF}">
            <a14:hiddenLine xmlns:a14="http://schemas.microsoft.com/office/drawing/2010/main" w="9525" algn="ctr">
              <a:solidFill>
                <a:srgbClr xmlns:mc="http://schemas.openxmlformats.org/markup-compatibility/2006" val="333333" mc:Ignorable="a14" a14:legacySpreadsheetColorIndex="61"/>
              </a:solidFill>
              <a:round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Tillbaka till diagram</a:t>
          </a:r>
        </a:p>
      </xdr:txBody>
    </xdr:sp>
    <xdr:clientData/>
  </xdr:twoCellAnchor>
  <xdr:twoCellAnchor>
    <xdr:from>
      <xdr:col>10</xdr:col>
      <xdr:colOff>628650</xdr:colOff>
      <xdr:row>1</xdr:row>
      <xdr:rowOff>9525</xdr:rowOff>
    </xdr:from>
    <xdr:to>
      <xdr:col>13</xdr:col>
      <xdr:colOff>9525</xdr:colOff>
      <xdr:row>4</xdr:row>
      <xdr:rowOff>152400</xdr:rowOff>
    </xdr:to>
    <xdr:grpSp>
      <xdr:nvGrpSpPr>
        <xdr:cNvPr id="59457" name="Group 18"/>
        <xdr:cNvGrpSpPr>
          <a:grpSpLocks/>
        </xdr:cNvGrpSpPr>
      </xdr:nvGrpSpPr>
      <xdr:grpSpPr bwMode="auto">
        <a:xfrm>
          <a:off x="8267700" y="171450"/>
          <a:ext cx="1524000" cy="695325"/>
          <a:chOff x="868" y="18"/>
          <a:chExt cx="160" cy="73"/>
        </a:xfrm>
      </xdr:grpSpPr>
      <xdr:sp macro="" textlink="">
        <xdr:nvSpPr>
          <xdr:cNvPr id="59404" name="AutoShape 12">
            <a:hlinkClick xmlns:r="http://schemas.openxmlformats.org/officeDocument/2006/relationships" r:id="rId2" tooltip="Klicka här för att gå till nästa fördjupningssida"/>
          </xdr:cNvPr>
          <xdr:cNvSpPr>
            <a:spLocks noChangeArrowheads="1"/>
          </xdr:cNvSpPr>
        </xdr:nvSpPr>
        <xdr:spPr bwMode="auto">
          <a:xfrm>
            <a:off x="951" y="54"/>
            <a:ext cx="77" cy="37"/>
          </a:xfrm>
          <a:prstGeom prst="rightArrow">
            <a:avLst>
              <a:gd name="adj1" fmla="val 50000"/>
              <a:gd name="adj2" fmla="val 52027"/>
            </a:avLst>
          </a:prstGeom>
          <a:solidFill>
            <a:srgbClr xmlns:mc="http://schemas.openxmlformats.org/markup-compatibility/2006" xmlns:a14="http://schemas.microsoft.com/office/drawing/2010/main" val="125687" mc:Ignorable="a14" a14:legacySpreadsheetColorIndex="53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Nästa</a:t>
            </a:r>
          </a:p>
        </xdr:txBody>
      </xdr:sp>
      <xdr:sp macro="" textlink="">
        <xdr:nvSpPr>
          <xdr:cNvPr id="59405" name="AutoShape 13">
            <a:hlinkClick xmlns:r="http://schemas.openxmlformats.org/officeDocument/2006/relationships" r:id="rId3" tooltip="Klicka här för att gå till föregående fördjupningssida"/>
          </xdr:cNvPr>
          <xdr:cNvSpPr>
            <a:spLocks noChangeArrowheads="1"/>
          </xdr:cNvSpPr>
        </xdr:nvSpPr>
        <xdr:spPr bwMode="auto">
          <a:xfrm>
            <a:off x="868" y="54"/>
            <a:ext cx="77" cy="37"/>
          </a:xfrm>
          <a:prstGeom prst="leftArrow">
            <a:avLst>
              <a:gd name="adj1" fmla="val 50000"/>
              <a:gd name="adj2" fmla="val 52027"/>
            </a:avLst>
          </a:prstGeom>
          <a:solidFill>
            <a:srgbClr xmlns:mc="http://schemas.openxmlformats.org/markup-compatibility/2006" xmlns:a14="http://schemas.microsoft.com/office/drawing/2010/main" val="125687" mc:Ignorable="a14" a14:legacySpreadsheetColorIndex="53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Föreg.</a:t>
            </a:r>
          </a:p>
        </xdr:txBody>
      </xdr:sp>
      <xdr:sp macro="" textlink="">
        <xdr:nvSpPr>
          <xdr:cNvPr id="59406" name="AutoShape 14">
            <a:hlinkClick xmlns:r="http://schemas.openxmlformats.org/officeDocument/2006/relationships" r:id="rId4" tooltip="Klicka här för att gå till Innehållsförteckningen"/>
          </xdr:cNvPr>
          <xdr:cNvSpPr>
            <a:spLocks noChangeArrowheads="1"/>
          </xdr:cNvSpPr>
        </xdr:nvSpPr>
        <xdr:spPr bwMode="auto">
          <a:xfrm>
            <a:off x="869" y="18"/>
            <a:ext cx="157" cy="27"/>
          </a:xfrm>
          <a:prstGeom prst="roundRect">
            <a:avLst>
              <a:gd name="adj" fmla="val 16667"/>
            </a:avLst>
          </a:prstGeom>
          <a:solidFill>
            <a:srgbClr xmlns:mc="http://schemas.openxmlformats.org/markup-compatibility/2006" xmlns:a14="http://schemas.microsoft.com/office/drawing/2010/main" val="125687" mc:Ignorable="a14" a14:legacySpreadsheetColorIndex="53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 w="9525" algn="ctr">
                <a:solidFill>
                  <a:srgbClr xmlns:mc="http://schemas.openxmlformats.org/markup-compatibility/2006" val="333333" mc:Ignorable="a14" a14:legacySpreadsheetColorIndex="61"/>
                </a:solidFill>
                <a:round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Till Innehållsförteckning</a:t>
            </a:r>
          </a:p>
        </xdr:txBody>
      </xdr:sp>
    </xdr:grp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14</xdr:row>
      <xdr:rowOff>76200</xdr:rowOff>
    </xdr:from>
    <xdr:to>
      <xdr:col>3</xdr:col>
      <xdr:colOff>285750</xdr:colOff>
      <xdr:row>16</xdr:row>
      <xdr:rowOff>19050</xdr:rowOff>
    </xdr:to>
    <xdr:sp macro="[0]!TillInnehåll" textlink="">
      <xdr:nvSpPr>
        <xdr:cNvPr id="264194" name="AutoShape 2">
          <a:hlinkClick xmlns:r="http://schemas.openxmlformats.org/officeDocument/2006/relationships" r:id="rId1" tooltip="Klicka här för att återgå till diagrammet."/>
        </xdr:cNvPr>
        <xdr:cNvSpPr>
          <a:spLocks noChangeArrowheads="1"/>
        </xdr:cNvSpPr>
      </xdr:nvSpPr>
      <xdr:spPr bwMode="auto">
        <a:xfrm>
          <a:off x="200025" y="2409825"/>
          <a:ext cx="2686050" cy="26670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125687" mc:Ignorable="a14" a14:legacySpreadsheetColorIndex="53"/>
        </a:solidFill>
        <a:ln>
          <a:noFill/>
        </a:ln>
        <a:effectLst/>
        <a:extLst>
          <a:ext uri="{91240B29-F687-4F45-9708-019B960494DF}">
            <a14:hiddenLine xmlns:a14="http://schemas.microsoft.com/office/drawing/2010/main" w="9525" algn="ctr">
              <a:solidFill>
                <a:srgbClr xmlns:mc="http://schemas.openxmlformats.org/markup-compatibility/2006" val="808080" mc:Ignorable="a14" a14:legacySpreadsheetColorIndex="20"/>
              </a:solidFill>
              <a:round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wrap="square" lIns="27432" tIns="22860" rIns="0" bIns="22860" anchor="ctr" upright="1"/>
        <a:lstStyle/>
        <a:p>
          <a:pPr algn="l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Tillbaka till diagram, årlig värdutveckling</a:t>
          </a:r>
        </a:p>
      </xdr:txBody>
    </xdr:sp>
    <xdr:clientData/>
  </xdr:twoCellAnchor>
  <xdr:twoCellAnchor>
    <xdr:from>
      <xdr:col>6</xdr:col>
      <xdr:colOff>466725</xdr:colOff>
      <xdr:row>1</xdr:row>
      <xdr:rowOff>9525</xdr:rowOff>
    </xdr:from>
    <xdr:to>
      <xdr:col>7</xdr:col>
      <xdr:colOff>257175</xdr:colOff>
      <xdr:row>4</xdr:row>
      <xdr:rowOff>152400</xdr:rowOff>
    </xdr:to>
    <xdr:grpSp>
      <xdr:nvGrpSpPr>
        <xdr:cNvPr id="264261" name="Group 13"/>
        <xdr:cNvGrpSpPr>
          <a:grpSpLocks/>
        </xdr:cNvGrpSpPr>
      </xdr:nvGrpSpPr>
      <xdr:grpSpPr bwMode="auto">
        <a:xfrm>
          <a:off x="8267700" y="171450"/>
          <a:ext cx="1524000" cy="695325"/>
          <a:chOff x="868" y="18"/>
          <a:chExt cx="160" cy="73"/>
        </a:xfrm>
      </xdr:grpSpPr>
      <xdr:sp macro="" textlink="">
        <xdr:nvSpPr>
          <xdr:cNvPr id="264196" name="AutoShape 4">
            <a:hlinkClick xmlns:r="http://schemas.openxmlformats.org/officeDocument/2006/relationships" r:id="rId2" tooltip="Klicka här för att gå till Ordlista"/>
          </xdr:cNvPr>
          <xdr:cNvSpPr>
            <a:spLocks noChangeArrowheads="1"/>
          </xdr:cNvSpPr>
        </xdr:nvSpPr>
        <xdr:spPr bwMode="auto">
          <a:xfrm>
            <a:off x="951" y="54"/>
            <a:ext cx="77" cy="37"/>
          </a:xfrm>
          <a:prstGeom prst="rightArrow">
            <a:avLst>
              <a:gd name="adj1" fmla="val 50000"/>
              <a:gd name="adj2" fmla="val 52027"/>
            </a:avLst>
          </a:prstGeom>
          <a:solidFill>
            <a:srgbClr xmlns:mc="http://schemas.openxmlformats.org/markup-compatibility/2006" xmlns:a14="http://schemas.microsoft.com/office/drawing/2010/main" val="125687" mc:Ignorable="a14" a14:legacySpreadsheetColorIndex="53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Nästa</a:t>
            </a:r>
          </a:p>
        </xdr:txBody>
      </xdr:sp>
      <xdr:sp macro="" textlink="">
        <xdr:nvSpPr>
          <xdr:cNvPr id="264197" name="AutoShape 5">
            <a:hlinkClick xmlns:r="http://schemas.openxmlformats.org/officeDocument/2006/relationships" r:id="rId3" tooltip="Klicka här för att gå till Avkastning sedan 2000A"/>
          </xdr:cNvPr>
          <xdr:cNvSpPr>
            <a:spLocks noChangeArrowheads="1"/>
          </xdr:cNvSpPr>
        </xdr:nvSpPr>
        <xdr:spPr bwMode="auto">
          <a:xfrm>
            <a:off x="868" y="54"/>
            <a:ext cx="77" cy="37"/>
          </a:xfrm>
          <a:prstGeom prst="leftArrow">
            <a:avLst>
              <a:gd name="adj1" fmla="val 50000"/>
              <a:gd name="adj2" fmla="val 52027"/>
            </a:avLst>
          </a:prstGeom>
          <a:solidFill>
            <a:srgbClr xmlns:mc="http://schemas.openxmlformats.org/markup-compatibility/2006" xmlns:a14="http://schemas.microsoft.com/office/drawing/2010/main" val="125687" mc:Ignorable="a14" a14:legacySpreadsheetColorIndex="53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Föreg.</a:t>
            </a:r>
          </a:p>
        </xdr:txBody>
      </xdr:sp>
      <xdr:sp macro="" textlink="">
        <xdr:nvSpPr>
          <xdr:cNvPr id="264198" name="AutoShape 6">
            <a:hlinkClick xmlns:r="http://schemas.openxmlformats.org/officeDocument/2006/relationships" r:id="rId4" tooltip="Klicka här för att gå till Innehållsförteckningen"/>
          </xdr:cNvPr>
          <xdr:cNvSpPr>
            <a:spLocks noChangeArrowheads="1"/>
          </xdr:cNvSpPr>
        </xdr:nvSpPr>
        <xdr:spPr bwMode="auto">
          <a:xfrm>
            <a:off x="869" y="18"/>
            <a:ext cx="157" cy="27"/>
          </a:xfrm>
          <a:prstGeom prst="roundRect">
            <a:avLst>
              <a:gd name="adj" fmla="val 16667"/>
            </a:avLst>
          </a:prstGeom>
          <a:solidFill>
            <a:srgbClr xmlns:mc="http://schemas.openxmlformats.org/markup-compatibility/2006" xmlns:a14="http://schemas.microsoft.com/office/drawing/2010/main" val="125687" mc:Ignorable="a14" a14:legacySpreadsheetColorIndex="53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 w="9525" algn="ctr">
                <a:solidFill>
                  <a:srgbClr xmlns:mc="http://schemas.openxmlformats.org/markup-compatibility/2006" val="333333" mc:Ignorable="a14" a14:legacySpreadsheetColorIndex="61"/>
                </a:solidFill>
                <a:round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Till Innehållsförteckning</a:t>
            </a:r>
          </a:p>
        </xdr:txBody>
      </xdr:sp>
    </xdr:grpSp>
    <xdr:clientData/>
  </xdr:twoCellAnchor>
  <xdr:twoCellAnchor>
    <xdr:from>
      <xdr:col>1</xdr:col>
      <xdr:colOff>9525</xdr:colOff>
      <xdr:row>11</xdr:row>
      <xdr:rowOff>152400</xdr:rowOff>
    </xdr:from>
    <xdr:to>
      <xdr:col>3</xdr:col>
      <xdr:colOff>276225</xdr:colOff>
      <xdr:row>13</xdr:row>
      <xdr:rowOff>95250</xdr:rowOff>
    </xdr:to>
    <xdr:sp macro="[0]!TillInnehåll" textlink="">
      <xdr:nvSpPr>
        <xdr:cNvPr id="264204" name="AutoShape 12">
          <a:hlinkClick xmlns:r="http://schemas.openxmlformats.org/officeDocument/2006/relationships" r:id="rId5" tooltip="Klicka här för att återgå till diagrammet."/>
        </xdr:cNvPr>
        <xdr:cNvSpPr>
          <a:spLocks noChangeArrowheads="1"/>
        </xdr:cNvSpPr>
      </xdr:nvSpPr>
      <xdr:spPr bwMode="auto">
        <a:xfrm>
          <a:off x="200025" y="2000250"/>
          <a:ext cx="2676525" cy="26670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125687" mc:Ignorable="a14" a14:legacySpreadsheetColorIndex="53"/>
        </a:solidFill>
        <a:ln>
          <a:noFill/>
        </a:ln>
        <a:effectLst/>
        <a:extLst>
          <a:ext uri="{91240B29-F687-4F45-9708-019B960494DF}">
            <a14:hiddenLine xmlns:a14="http://schemas.microsoft.com/office/drawing/2010/main" w="9525" algn="ctr">
              <a:solidFill>
                <a:srgbClr xmlns:mc="http://schemas.openxmlformats.org/markup-compatibility/2006" val="808080" mc:Ignorable="a14" a14:legacySpreadsheetColorIndex="20"/>
              </a:solidFill>
              <a:round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wrap="square" lIns="27432" tIns="22860" rIns="0" bIns="22860" anchor="ctr" upright="1"/>
        <a:lstStyle/>
        <a:p>
          <a:pPr algn="l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Tillbaka till diagram, värdeutveckling från start</a:t>
          </a:r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142875</xdr:colOff>
      <xdr:row>1</xdr:row>
      <xdr:rowOff>9525</xdr:rowOff>
    </xdr:from>
    <xdr:to>
      <xdr:col>16</xdr:col>
      <xdr:colOff>428625</xdr:colOff>
      <xdr:row>4</xdr:row>
      <xdr:rowOff>152400</xdr:rowOff>
    </xdr:to>
    <xdr:grpSp>
      <xdr:nvGrpSpPr>
        <xdr:cNvPr id="11304" name="Group 12"/>
        <xdr:cNvGrpSpPr>
          <a:grpSpLocks/>
        </xdr:cNvGrpSpPr>
      </xdr:nvGrpSpPr>
      <xdr:grpSpPr bwMode="auto">
        <a:xfrm>
          <a:off x="8267700" y="171450"/>
          <a:ext cx="1504950" cy="695325"/>
          <a:chOff x="890" y="24"/>
          <a:chExt cx="158" cy="73"/>
        </a:xfrm>
      </xdr:grpSpPr>
      <xdr:sp macro="" textlink="">
        <xdr:nvSpPr>
          <xdr:cNvPr id="11274" name="AutoShape 10">
            <a:hlinkClick xmlns:r="http://schemas.openxmlformats.org/officeDocument/2006/relationships" r:id="rId1" tooltip="Klicka här för att gå till Avkastning sedan 2000"/>
          </xdr:cNvPr>
          <xdr:cNvSpPr>
            <a:spLocks noChangeArrowheads="1"/>
          </xdr:cNvSpPr>
        </xdr:nvSpPr>
        <xdr:spPr bwMode="auto">
          <a:xfrm>
            <a:off x="890" y="60"/>
            <a:ext cx="77" cy="37"/>
          </a:xfrm>
          <a:prstGeom prst="leftArrow">
            <a:avLst>
              <a:gd name="adj1" fmla="val 50000"/>
              <a:gd name="adj2" fmla="val 52027"/>
            </a:avLst>
          </a:prstGeom>
          <a:solidFill>
            <a:srgbClr xmlns:mc="http://schemas.openxmlformats.org/markup-compatibility/2006" xmlns:a14="http://schemas.microsoft.com/office/drawing/2010/main" val="125687" mc:Ignorable="a14" a14:legacySpreadsheetColorIndex="53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Föreg.</a:t>
            </a:r>
          </a:p>
        </xdr:txBody>
      </xdr:sp>
      <xdr:sp macro="" textlink="">
        <xdr:nvSpPr>
          <xdr:cNvPr id="11275" name="AutoShape 11">
            <a:hlinkClick xmlns:r="http://schemas.openxmlformats.org/officeDocument/2006/relationships" r:id="rId2" tooltip="Klicka här för att gå till Innehållsförteckningen"/>
          </xdr:cNvPr>
          <xdr:cNvSpPr>
            <a:spLocks noChangeArrowheads="1"/>
          </xdr:cNvSpPr>
        </xdr:nvSpPr>
        <xdr:spPr bwMode="auto">
          <a:xfrm>
            <a:off x="891" y="24"/>
            <a:ext cx="157" cy="27"/>
          </a:xfrm>
          <a:prstGeom prst="roundRect">
            <a:avLst>
              <a:gd name="adj" fmla="val 16667"/>
            </a:avLst>
          </a:prstGeom>
          <a:solidFill>
            <a:srgbClr xmlns:mc="http://schemas.openxmlformats.org/markup-compatibility/2006" xmlns:a14="http://schemas.microsoft.com/office/drawing/2010/main" val="125687" mc:Ignorable="a14" a14:legacySpreadsheetColorIndex="53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 w="9525" algn="ctr">
                <a:solidFill>
                  <a:srgbClr xmlns:mc="http://schemas.openxmlformats.org/markup-compatibility/2006" val="333333" mc:Ignorable="a14" a14:legacySpreadsheetColorIndex="61"/>
                </a:solidFill>
                <a:round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Till Innehållsförteckning</a:t>
            </a:r>
          </a:p>
        </xdr:txBody>
      </xdr:sp>
    </xdr:grp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38100</xdr:colOff>
      <xdr:row>4</xdr:row>
      <xdr:rowOff>0</xdr:rowOff>
    </xdr:from>
    <xdr:to>
      <xdr:col>4</xdr:col>
      <xdr:colOff>381000</xdr:colOff>
      <xdr:row>5</xdr:row>
      <xdr:rowOff>76200</xdr:rowOff>
    </xdr:to>
    <xdr:sp macro="[0]!TillInnehåll" textlink="">
      <xdr:nvSpPr>
        <xdr:cNvPr id="232450" name="AutoShape 2">
          <a:hlinkClick xmlns:r="http://schemas.openxmlformats.org/officeDocument/2006/relationships" r:id="rId1" tooltip="Klicka här för att återgå till Fondstatistik"/>
        </xdr:cNvPr>
        <xdr:cNvSpPr>
          <a:spLocks noChangeArrowheads="1"/>
        </xdr:cNvSpPr>
      </xdr:nvSpPr>
      <xdr:spPr bwMode="auto">
        <a:xfrm>
          <a:off x="847725" y="714375"/>
          <a:ext cx="1562100" cy="238125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125687" mc:Ignorable="a14" a14:legacySpreadsheetColorIndex="53"/>
        </a:solidFill>
        <a:ln>
          <a:noFill/>
        </a:ln>
        <a:effectLst/>
        <a:extLst>
          <a:ext uri="{91240B29-F687-4F45-9708-019B960494DF}">
            <a14:hiddenLine xmlns:a14="http://schemas.microsoft.com/office/drawing/2010/main" w="9525" algn="ctr">
              <a:solidFill>
                <a:srgbClr xmlns:mc="http://schemas.openxmlformats.org/markup-compatibility/2006" val="333333" mc:Ignorable="a14" a14:legacySpreadsheetColorIndex="61"/>
              </a:solidFill>
              <a:round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Tillbaka till Fondstatistik</a:t>
          </a:r>
        </a:p>
      </xdr:txBody>
    </xdr: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371475</xdr:colOff>
      <xdr:row>12</xdr:row>
      <xdr:rowOff>66675</xdr:rowOff>
    </xdr:from>
    <xdr:to>
      <xdr:col>6</xdr:col>
      <xdr:colOff>352425</xdr:colOff>
      <xdr:row>20</xdr:row>
      <xdr:rowOff>133350</xdr:rowOff>
    </xdr:to>
    <xdr:pic>
      <xdr:nvPicPr>
        <xdr:cNvPr id="230447" name="Picture 3"/>
        <xdr:cNvPicPr>
          <a:picLocks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31285" t="41196" r="37137" b="42653"/>
        <a:stretch>
          <a:fillRect/>
        </a:stretch>
      </xdr:blipFill>
      <xdr:spPr bwMode="auto">
        <a:xfrm>
          <a:off x="571500" y="2009775"/>
          <a:ext cx="3028950" cy="1362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28575</xdr:colOff>
      <xdr:row>25</xdr:row>
      <xdr:rowOff>66675</xdr:rowOff>
    </xdr:from>
    <xdr:to>
      <xdr:col>7</xdr:col>
      <xdr:colOff>504825</xdr:colOff>
      <xdr:row>44</xdr:row>
      <xdr:rowOff>114300</xdr:rowOff>
    </xdr:to>
    <xdr:pic>
      <xdr:nvPicPr>
        <xdr:cNvPr id="230448" name="Picture 5"/>
        <xdr:cNvPicPr>
          <a:picLocks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7812" t="25293" r="27734" b="29492"/>
        <a:stretch>
          <a:fillRect/>
        </a:stretch>
      </xdr:blipFill>
      <xdr:spPr bwMode="auto">
        <a:xfrm>
          <a:off x="28575" y="4114800"/>
          <a:ext cx="4333875" cy="312420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FFFFFF" mc:Ignorable="a14" a14:legacySpreadsheetColorIndex="65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  <xdr:twoCellAnchor>
    <xdr:from>
      <xdr:col>12</xdr:col>
      <xdr:colOff>238125</xdr:colOff>
      <xdr:row>2</xdr:row>
      <xdr:rowOff>38100</xdr:rowOff>
    </xdr:from>
    <xdr:to>
      <xdr:col>14</xdr:col>
      <xdr:colOff>514350</xdr:colOff>
      <xdr:row>3</xdr:row>
      <xdr:rowOff>133350</xdr:rowOff>
    </xdr:to>
    <xdr:sp macro="" textlink="">
      <xdr:nvSpPr>
        <xdr:cNvPr id="230409" name="AutoShape 9">
          <a:hlinkClick xmlns:r="http://schemas.openxmlformats.org/officeDocument/2006/relationships" r:id="rId3" tooltip="Klicka här för att gå till Innehållsförteckningen"/>
        </xdr:cNvPr>
        <xdr:cNvSpPr>
          <a:spLocks noChangeArrowheads="1"/>
        </xdr:cNvSpPr>
      </xdr:nvSpPr>
      <xdr:spPr bwMode="auto">
        <a:xfrm>
          <a:off x="7143750" y="361950"/>
          <a:ext cx="1495425" cy="257175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125687" mc:Ignorable="a14" a14:legacySpreadsheetColorIndex="53"/>
        </a:solidFill>
        <a:ln>
          <a:noFill/>
        </a:ln>
        <a:effectLst/>
        <a:extLst>
          <a:ext uri="{91240B29-F687-4F45-9708-019B960494DF}">
            <a14:hiddenLine xmlns:a14="http://schemas.microsoft.com/office/drawing/2010/main" w="9525" algn="ctr">
              <a:solidFill>
                <a:srgbClr xmlns:mc="http://schemas.openxmlformats.org/markup-compatibility/2006" val="333333" mc:Ignorable="a14" a14:legacySpreadsheetColorIndex="61"/>
              </a:solidFill>
              <a:round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Till Innehållsförteckning</a:t>
          </a:r>
        </a:p>
      </xdr:txBody>
    </xdr:sp>
    <xdr:clientData fPrintsWithSheet="0"/>
  </xdr:twoCellAnchor>
  <xdr:twoCellAnchor>
    <xdr:from>
      <xdr:col>1</xdr:col>
      <xdr:colOff>371475</xdr:colOff>
      <xdr:row>10</xdr:row>
      <xdr:rowOff>95250</xdr:rowOff>
    </xdr:from>
    <xdr:to>
      <xdr:col>6</xdr:col>
      <xdr:colOff>352425</xdr:colOff>
      <xdr:row>12</xdr:row>
      <xdr:rowOff>66675</xdr:rowOff>
    </xdr:to>
    <xdr:pic>
      <xdr:nvPicPr>
        <xdr:cNvPr id="230450" name="Picture 10"/>
        <xdr:cNvPicPr>
          <a:picLocks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31285" t="36565" r="37137" b="59933"/>
        <a:stretch>
          <a:fillRect/>
        </a:stretch>
      </xdr:blipFill>
      <xdr:spPr bwMode="auto">
        <a:xfrm>
          <a:off x="571500" y="1714500"/>
          <a:ext cx="3028950" cy="2952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H:\R&#246;dingen_Bytensstatistik\Produktion\2012\Kopia%20av%202012.01.31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Graf"/>
      <sheetName val="rodingenData"/>
      <sheetName val="Data"/>
      <sheetName val="SQL"/>
      <sheetName val="Blad2"/>
      <sheetName val="Blad1"/>
      <sheetName val="Blad3"/>
      <sheetName val="Intrade 2000"/>
    </sheetNames>
    <sheetDataSet>
      <sheetData sheetId="0" refreshError="1"/>
      <sheetData sheetId="1">
        <row r="2">
          <cell r="G2" t="str">
            <v>Under -4</v>
          </cell>
          <cell r="K2">
            <v>6000</v>
          </cell>
        </row>
        <row r="3">
          <cell r="G3" t="str">
            <v>-4 till -2</v>
          </cell>
          <cell r="K3">
            <v>13000</v>
          </cell>
        </row>
        <row r="4">
          <cell r="G4" t="str">
            <v>-2 till 0</v>
          </cell>
          <cell r="K4">
            <v>114000</v>
          </cell>
        </row>
        <row r="5">
          <cell r="G5" t="str">
            <v>0 till +2</v>
          </cell>
          <cell r="K5">
            <v>767000</v>
          </cell>
        </row>
        <row r="6">
          <cell r="G6" t="str">
            <v>+2 till +4</v>
          </cell>
          <cell r="K6">
            <v>3503000</v>
          </cell>
        </row>
        <row r="7">
          <cell r="G7" t="str">
            <v>+4 till +6</v>
          </cell>
          <cell r="K7">
            <v>1466000</v>
          </cell>
        </row>
        <row r="8">
          <cell r="G8" t="str">
            <v>+6 till +8</v>
          </cell>
          <cell r="K8">
            <v>292000</v>
          </cell>
        </row>
        <row r="9">
          <cell r="G9" t="str">
            <v>+8 till +10</v>
          </cell>
          <cell r="K9">
            <v>73000</v>
          </cell>
        </row>
        <row r="10">
          <cell r="G10" t="str">
            <v>Över +10</v>
          </cell>
          <cell r="K10">
            <v>27000</v>
          </cell>
        </row>
      </sheetData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</sheetDataSet>
  </externalBook>
</externalLink>
</file>

<file path=xl/theme/theme1.xml><?xml version="1.0" encoding="utf-8"?>
<a:theme xmlns:a="http://schemas.openxmlformats.org/drawingml/2006/main" name="Office-tema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D0000" mc:Ignorable="a14" a14:legacySpreadsheetColorIndex="13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D0000" mc:Ignorable="a14" a14:legacySpreadsheetColorIndex="13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2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6.bin"/><Relationship Id="rId5" Type="http://schemas.openxmlformats.org/officeDocument/2006/relationships/image" Target="../media/image3.wmf"/><Relationship Id="rId4" Type="http://schemas.openxmlformats.org/officeDocument/2006/relationships/oleObject" Target="../embeddings/oleObject1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11"/>
  <dimension ref="A7:K35"/>
  <sheetViews>
    <sheetView showGridLines="0" showRowColHeaders="0" topLeftCell="B1" workbookViewId="0">
      <selection activeCell="A13" sqref="A13"/>
    </sheetView>
  </sheetViews>
  <sheetFormatPr defaultRowHeight="12.75" x14ac:dyDescent="0.2"/>
  <cols>
    <col min="1" max="1" width="3.140625" style="3" hidden="1" customWidth="1"/>
    <col min="2" max="2" width="41.28515625" style="157" bestFit="1" customWidth="1"/>
    <col min="3" max="4" width="9.140625" style="3"/>
    <col min="5" max="5" width="16.85546875" style="3" customWidth="1"/>
    <col min="6" max="7" width="9.140625" style="3"/>
    <col min="8" max="8" width="41.28515625" style="3" bestFit="1" customWidth="1"/>
    <col min="9" max="16384" width="9.140625" style="3"/>
  </cols>
  <sheetData>
    <row r="7" spans="2:11" ht="13.5" x14ac:dyDescent="0.2">
      <c r="B7" s="182"/>
      <c r="C7" s="183"/>
      <c r="D7" s="183"/>
    </row>
    <row r="8" spans="2:11" ht="13.5" x14ac:dyDescent="0.2">
      <c r="B8" s="184" t="s">
        <v>798</v>
      </c>
      <c r="C8" s="183"/>
      <c r="D8" s="183"/>
      <c r="E8" s="166"/>
      <c r="F8" s="166"/>
      <c r="G8" s="166"/>
      <c r="H8" s="166"/>
      <c r="I8" s="166"/>
      <c r="J8" s="166"/>
      <c r="K8" s="166"/>
    </row>
    <row r="9" spans="2:11" ht="15.75" x14ac:dyDescent="0.25">
      <c r="B9" s="182" t="s">
        <v>535</v>
      </c>
      <c r="C9" s="183"/>
      <c r="D9" s="183"/>
      <c r="E9" s="166"/>
      <c r="F9" s="166"/>
      <c r="G9" s="166"/>
      <c r="H9" s="181"/>
      <c r="I9" s="166"/>
      <c r="J9" s="166"/>
      <c r="K9" s="166"/>
    </row>
    <row r="10" spans="2:11" ht="15.75" x14ac:dyDescent="0.25">
      <c r="B10" s="182"/>
      <c r="C10" s="183"/>
      <c r="D10" s="183"/>
      <c r="E10" s="166"/>
      <c r="F10" s="166"/>
      <c r="G10" s="166"/>
      <c r="H10" s="181"/>
      <c r="I10" s="166"/>
      <c r="J10" s="166"/>
      <c r="K10" s="166"/>
    </row>
    <row r="11" spans="2:11" ht="22.5" customHeight="1" x14ac:dyDescent="0.2">
      <c r="B11" s="185" t="s">
        <v>991</v>
      </c>
      <c r="C11" s="183"/>
      <c r="D11" s="183"/>
      <c r="E11" s="166"/>
      <c r="F11" s="167"/>
      <c r="G11" s="166"/>
      <c r="H11" s="166"/>
      <c r="I11" s="166"/>
      <c r="J11" s="166"/>
      <c r="K11" s="166"/>
    </row>
    <row r="12" spans="2:11" ht="22.5" customHeight="1" x14ac:dyDescent="0.2">
      <c r="B12" s="185" t="s">
        <v>532</v>
      </c>
      <c r="C12" s="183"/>
      <c r="D12" s="183"/>
      <c r="E12" s="166"/>
      <c r="F12" s="168"/>
      <c r="G12" s="166"/>
      <c r="H12" s="166"/>
      <c r="I12" s="166"/>
      <c r="J12" s="166"/>
      <c r="K12" s="166"/>
    </row>
    <row r="13" spans="2:11" ht="22.5" customHeight="1" x14ac:dyDescent="0.2">
      <c r="B13" s="185" t="s">
        <v>1139</v>
      </c>
      <c r="C13" s="183"/>
      <c r="D13" s="183"/>
      <c r="E13" s="166"/>
      <c r="F13" s="167"/>
      <c r="G13" s="166"/>
      <c r="H13" s="166"/>
      <c r="I13" s="166"/>
      <c r="J13" s="166"/>
      <c r="K13" s="166"/>
    </row>
    <row r="14" spans="2:11" ht="22.5" customHeight="1" x14ac:dyDescent="0.2">
      <c r="B14" s="186" t="s">
        <v>533</v>
      </c>
      <c r="C14" s="183"/>
      <c r="D14" s="183"/>
      <c r="E14" s="166"/>
      <c r="F14" s="169"/>
      <c r="G14" s="166"/>
      <c r="H14" s="166"/>
      <c r="I14" s="166"/>
      <c r="J14" s="166"/>
      <c r="K14" s="166"/>
    </row>
    <row r="15" spans="2:11" ht="22.5" customHeight="1" x14ac:dyDescent="0.2">
      <c r="B15" s="186" t="s">
        <v>534</v>
      </c>
      <c r="C15" s="183"/>
      <c r="D15" s="183"/>
      <c r="E15" s="166"/>
      <c r="F15" s="167"/>
      <c r="G15" s="166"/>
      <c r="H15" s="166"/>
      <c r="I15" s="166"/>
      <c r="J15" s="166"/>
      <c r="K15" s="166"/>
    </row>
    <row r="16" spans="2:11" ht="22.5" customHeight="1" x14ac:dyDescent="0.2">
      <c r="B16" s="186" t="s">
        <v>1054</v>
      </c>
      <c r="C16" s="183"/>
      <c r="D16" s="183"/>
      <c r="E16" s="166"/>
      <c r="F16" s="167"/>
      <c r="G16" s="166"/>
      <c r="H16" s="166"/>
      <c r="I16" s="166"/>
      <c r="J16" s="166"/>
      <c r="K16" s="166"/>
    </row>
    <row r="17" spans="2:11" ht="22.5" customHeight="1" x14ac:dyDescent="0.2">
      <c r="B17" s="186" t="s">
        <v>7</v>
      </c>
      <c r="C17" s="183"/>
      <c r="D17" s="183"/>
      <c r="E17" s="166"/>
      <c r="F17" s="167"/>
      <c r="G17" s="166"/>
      <c r="H17" s="166"/>
      <c r="I17" s="166"/>
      <c r="J17" s="166"/>
      <c r="K17" s="166"/>
    </row>
    <row r="18" spans="2:11" ht="22.5" customHeight="1" x14ac:dyDescent="0.2">
      <c r="B18" s="187" t="s">
        <v>1047</v>
      </c>
      <c r="C18" s="188"/>
      <c r="D18" s="188"/>
      <c r="E18" s="166"/>
      <c r="F18" s="167"/>
      <c r="G18" s="166"/>
      <c r="H18" s="166"/>
      <c r="I18" s="166"/>
      <c r="J18" s="166"/>
      <c r="K18" s="166"/>
    </row>
    <row r="19" spans="2:11" ht="22.5" customHeight="1" x14ac:dyDescent="0.2">
      <c r="B19" s="187" t="s">
        <v>712</v>
      </c>
      <c r="C19" s="187"/>
      <c r="D19" s="187"/>
      <c r="E19" s="187"/>
      <c r="F19" s="167"/>
      <c r="G19" s="166"/>
      <c r="H19" s="166"/>
      <c r="I19" s="166"/>
      <c r="J19" s="166"/>
      <c r="K19" s="166"/>
    </row>
    <row r="20" spans="2:11" ht="13.5" x14ac:dyDescent="0.2">
      <c r="B20" s="190" t="s">
        <v>531</v>
      </c>
      <c r="C20" s="188"/>
      <c r="D20" s="188"/>
      <c r="E20" s="166"/>
      <c r="F20" s="167"/>
      <c r="G20" s="166"/>
      <c r="H20" s="166"/>
      <c r="I20" s="166"/>
      <c r="J20" s="166"/>
      <c r="K20" s="166"/>
    </row>
    <row r="21" spans="2:11" ht="13.5" x14ac:dyDescent="0.2">
      <c r="B21" s="189" t="s">
        <v>462</v>
      </c>
      <c r="C21" s="188"/>
      <c r="D21" s="188"/>
      <c r="E21" s="166"/>
      <c r="F21" s="167"/>
      <c r="G21" s="166"/>
      <c r="I21" s="166"/>
      <c r="J21" s="166"/>
      <c r="K21" s="166"/>
    </row>
    <row r="22" spans="2:11" ht="13.5" x14ac:dyDescent="0.2">
      <c r="B22" s="190"/>
      <c r="C22" s="188"/>
      <c r="D22" s="188"/>
      <c r="E22" s="166"/>
      <c r="F22" s="167"/>
    </row>
    <row r="23" spans="2:11" ht="13.5" x14ac:dyDescent="0.2">
      <c r="B23" s="187" t="s">
        <v>768</v>
      </c>
      <c r="C23" s="188"/>
      <c r="D23" s="188"/>
      <c r="E23" s="166"/>
      <c r="F23" s="167"/>
    </row>
    <row r="24" spans="2:11" ht="13.5" x14ac:dyDescent="0.2">
      <c r="B24" s="190"/>
      <c r="C24" s="188"/>
      <c r="D24" s="188"/>
      <c r="E24" s="166"/>
      <c r="F24" s="169"/>
    </row>
    <row r="25" spans="2:11" ht="13.5" x14ac:dyDescent="0.2">
      <c r="B25" s="182"/>
      <c r="C25" s="188"/>
      <c r="D25" s="188"/>
      <c r="E25" s="166"/>
      <c r="F25" s="167"/>
    </row>
    <row r="26" spans="2:11" ht="13.5" x14ac:dyDescent="0.2">
      <c r="B26" s="182"/>
      <c r="C26" s="166"/>
      <c r="D26" s="166"/>
      <c r="E26" s="166"/>
      <c r="F26" s="169"/>
    </row>
    <row r="27" spans="2:11" ht="13.5" x14ac:dyDescent="0.2">
      <c r="B27" s="182"/>
      <c r="C27" s="166"/>
      <c r="D27" s="166"/>
      <c r="E27" s="166"/>
      <c r="F27" s="167"/>
    </row>
    <row r="28" spans="2:11" ht="13.5" x14ac:dyDescent="0.2">
      <c r="B28" s="182"/>
      <c r="F28" s="96"/>
    </row>
    <row r="29" spans="2:11" ht="13.5" x14ac:dyDescent="0.2">
      <c r="B29" s="182"/>
      <c r="F29" s="95"/>
    </row>
    <row r="30" spans="2:11" x14ac:dyDescent="0.2">
      <c r="F30" s="97"/>
    </row>
    <row r="31" spans="2:11" x14ac:dyDescent="0.2">
      <c r="F31" s="95"/>
    </row>
    <row r="32" spans="2:11" ht="13.5" x14ac:dyDescent="0.2">
      <c r="B32" s="182"/>
      <c r="C32" s="225"/>
    </row>
    <row r="33" spans="2:3" ht="13.5" x14ac:dyDescent="0.2">
      <c r="B33" s="182"/>
      <c r="C33" s="225"/>
    </row>
    <row r="34" spans="2:3" ht="13.5" x14ac:dyDescent="0.2">
      <c r="B34" s="182"/>
      <c r="C34" s="225"/>
    </row>
    <row r="35" spans="2:3" ht="13.5" x14ac:dyDescent="0.2">
      <c r="B35" s="182"/>
      <c r="C35" s="225"/>
    </row>
  </sheetData>
  <phoneticPr fontId="5" type="noConversion"/>
  <hyperlinks>
    <hyperlink ref="B11" location="'Fondval &amp; marknadsvärde'!A1" tooltip="Här visas antal gjorda val och marknadsvärde per fond fördelat på kön." display="Antal gjorda fondval och aktuellt marknadsvärde"/>
    <hyperlink ref="B13" location="Fondstatistik!A1" tooltip="Här visas fondernas värdeutveckling, brutto och fondavgifter samt fondernas risknvivå." display="Fondstatistik"/>
    <hyperlink ref="B14" location="'Värdeutveckling, konto'!A1" tooltip="Här visas variationen i värdeutvecklingen i pensionsspararnas konton sedan deras inträde i premiepensionssystemet." display="VÄRDEUTVECKLING - INDIVIDUELLA KONTON"/>
    <hyperlink ref="B18" location="'Värdeutveckling - fondrörelse'!A1" tooltip="Här visas värdeutvecklingen i alla fonder, inklusive Premiesparfonden, sedan systemets införande 2000-12-13" display="VÄRDEUTVECKLING FÖR PREMIEPENSIONSFONDERNAS INDEX"/>
    <hyperlink ref="B17" location="'Marknadsv. &amp; tillfört kapital'!A1" tooltip="Här visas hur stora medel som tillförts till premiepensionssystemet samt markandsvärde per år." display="MARKNADSVÄRDE OCH TILLFÖRT KAPITAL TILL FONDRÖRELSEN"/>
    <hyperlink ref="B15" location="'Värdeutv. Premiepensionssystem'!A1" tooltip="Här visas den årliga värdeutvecklingen för premiepensionsspararnas totala premiepensionen och hur motsvarande utveckling varit om instättningen till premiepensionen istället placerats i inkomstpensionen." display="VÄRDEUTVECKLING - PENSIONSSYSTEMET"/>
    <hyperlink ref="B19" location="'Värdeutv fondrörelse genomsnitt'!A1" tooltip="Här visas den årliga genomsnittliga värdeutvecklingen för alla fonder sedan systemets införande." display="Värdeutveckling för fondrörelsen i genomsnitt per år"/>
    <hyperlink ref="B16" location="'Värdeutv. fondrörelse per år'!A1" tooltip="Här visas den årliga värdeutvecklingen i genomsnitt för premiesparfonderna, uppdelat på hela fondrörelsen, valbara fonder och Premiesparfonden." display="VÄRDEUTVECKLING FÖR FONDRÖRELSEN PER KALENDERÅR"/>
    <hyperlink ref="B23" location="Ordlista!A1" tooltip="Här visas ordlista med förklaringar." display="ORDLISTA"/>
    <hyperlink ref="B12" location="'10 mest valda fonder'!A1" tooltip="Här visas de tio fonderna med flest val , mest kapital samt högsta värdeutveckling." display="De tio mest valda fonderna m.m"/>
    <hyperlink ref="B21" location="'Beskrivning av mått'!A1" tooltip="Här förklaras måtten som används i dokumentet." display="Beskrivning av mått"/>
  </hyperlinks>
  <pageMargins left="0.75" right="0.75" top="0.55000000000000004" bottom="1" header="0.35" footer="0.5"/>
  <pageSetup paperSize="9" orientation="portrait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Blad2"/>
  <dimension ref="A1:V2229"/>
  <sheetViews>
    <sheetView showRowColHeaders="0" zoomScaleNormal="25" workbookViewId="0">
      <pane ySplit="18" topLeftCell="A19" activePane="bottomLeft" state="frozen"/>
      <selection pane="bottomLeft"/>
    </sheetView>
  </sheetViews>
  <sheetFormatPr defaultRowHeight="12.75" x14ac:dyDescent="0.2"/>
  <cols>
    <col min="1" max="1" width="24.7109375" style="241" customWidth="1"/>
    <col min="2" max="2" width="60.28515625" style="10" bestFit="1" customWidth="1"/>
    <col min="3" max="3" width="11.7109375" style="11" bestFit="1" customWidth="1"/>
    <col min="4" max="4" width="11.7109375" style="12" bestFit="1" customWidth="1"/>
    <col min="5" max="5" width="11.7109375" style="11" bestFit="1" customWidth="1"/>
    <col min="6" max="6" width="14.85546875" style="13" customWidth="1"/>
    <col min="7" max="7" width="13.85546875" style="14" bestFit="1" customWidth="1"/>
    <col min="8" max="8" width="17.5703125" style="11" bestFit="1" customWidth="1"/>
    <col min="9" max="9" width="9.7109375" style="16" customWidth="1"/>
    <col min="10" max="10" width="17.28515625" style="16" bestFit="1" customWidth="1"/>
    <col min="11" max="11" width="7.42578125" style="17" bestFit="1" customWidth="1"/>
    <col min="12" max="12" width="58" style="12" bestFit="1" customWidth="1"/>
    <col min="13" max="13" width="43.28515625" style="16" customWidth="1"/>
    <col min="14" max="14" width="9.28515625" style="16" bestFit="1" customWidth="1"/>
    <col min="15" max="15" width="52.42578125" style="20" bestFit="1" customWidth="1"/>
    <col min="16" max="16" width="9.140625" style="18"/>
    <col min="17" max="17" width="16.140625" style="18" bestFit="1" customWidth="1"/>
    <col min="18" max="18" width="43.7109375" style="18" bestFit="1" customWidth="1"/>
    <col min="19" max="19" width="7.42578125" style="18" bestFit="1" customWidth="1"/>
    <col min="20" max="20" width="47.42578125" style="18" bestFit="1" customWidth="1"/>
    <col min="21" max="16384" width="9.140625" style="18"/>
  </cols>
  <sheetData>
    <row r="1" spans="1:15" s="119" customFormat="1" x14ac:dyDescent="0.2">
      <c r="A1" s="231"/>
      <c r="B1" s="111"/>
      <c r="C1" s="112"/>
      <c r="D1" s="113"/>
      <c r="E1" s="112"/>
      <c r="F1" s="126"/>
      <c r="G1" s="127"/>
      <c r="H1" s="123"/>
      <c r="I1" s="114"/>
      <c r="J1" s="116"/>
      <c r="K1" s="117"/>
      <c r="L1" s="113"/>
      <c r="M1" s="116"/>
      <c r="N1" s="116"/>
      <c r="O1" s="139"/>
    </row>
    <row r="2" spans="1:15" s="119" customFormat="1" ht="18" x14ac:dyDescent="0.25">
      <c r="A2" s="232" t="s">
        <v>1156</v>
      </c>
      <c r="B2" s="140"/>
      <c r="C2" s="141"/>
      <c r="D2" s="113"/>
      <c r="E2" s="114"/>
      <c r="F2" s="114"/>
      <c r="G2" s="114"/>
      <c r="H2" s="114"/>
      <c r="I2" s="142"/>
      <c r="J2" s="116"/>
      <c r="K2" s="117"/>
      <c r="L2" s="113"/>
      <c r="M2" s="116"/>
      <c r="N2" s="116"/>
      <c r="O2" s="118"/>
    </row>
    <row r="3" spans="1:15" s="119" customFormat="1" x14ac:dyDescent="0.2">
      <c r="A3" s="233"/>
      <c r="B3" s="143"/>
      <c r="C3" s="112"/>
      <c r="D3" s="113"/>
      <c r="E3" s="114"/>
      <c r="F3" s="114"/>
      <c r="G3" s="114"/>
      <c r="H3" s="114"/>
      <c r="I3" s="114"/>
      <c r="J3" s="116"/>
      <c r="K3" s="117"/>
      <c r="L3" s="113"/>
      <c r="M3" s="116"/>
      <c r="N3" s="116"/>
      <c r="O3" s="118"/>
    </row>
    <row r="4" spans="1:15" s="119" customFormat="1" x14ac:dyDescent="0.2">
      <c r="A4" s="234" t="s">
        <v>989</v>
      </c>
      <c r="B4" s="114"/>
      <c r="C4" s="112"/>
      <c r="D4" s="146"/>
      <c r="E4" s="114"/>
      <c r="F4" s="114"/>
      <c r="G4" s="114"/>
      <c r="H4" s="114"/>
      <c r="I4" s="114"/>
      <c r="J4" s="116"/>
      <c r="K4" s="117"/>
      <c r="L4" s="113"/>
      <c r="M4" s="116"/>
      <c r="N4" s="116"/>
      <c r="O4" s="118"/>
    </row>
    <row r="5" spans="1:15" s="119" customFormat="1" x14ac:dyDescent="0.2">
      <c r="A5" s="235" t="s">
        <v>808</v>
      </c>
      <c r="B5" s="15"/>
      <c r="D5" s="145"/>
      <c r="E5" s="114"/>
      <c r="F5" s="114"/>
      <c r="G5" s="114"/>
      <c r="H5" s="114"/>
      <c r="I5" s="114"/>
      <c r="J5" s="116"/>
      <c r="K5" s="117"/>
      <c r="L5" s="113"/>
      <c r="M5" s="116"/>
      <c r="N5" s="116"/>
      <c r="O5" s="118"/>
    </row>
    <row r="6" spans="1:15" s="119" customFormat="1" x14ac:dyDescent="0.2">
      <c r="A6" s="155"/>
      <c r="B6" s="111"/>
      <c r="C6" s="112"/>
      <c r="D6" s="113"/>
      <c r="E6" s="114"/>
      <c r="F6" s="114"/>
      <c r="G6" s="114"/>
      <c r="H6" s="114"/>
      <c r="I6" s="115"/>
      <c r="J6" s="116"/>
      <c r="K6" s="117"/>
      <c r="L6" s="113"/>
      <c r="M6" s="116"/>
      <c r="N6" s="116"/>
      <c r="O6" s="118"/>
    </row>
    <row r="7" spans="1:15" s="119" customFormat="1" x14ac:dyDescent="0.2">
      <c r="A7" s="155" t="s">
        <v>559</v>
      </c>
      <c r="B7" s="111"/>
      <c r="C7" s="112"/>
      <c r="D7" s="120"/>
      <c r="E7" s="114"/>
      <c r="F7" s="114"/>
      <c r="G7" s="114"/>
      <c r="H7" s="114"/>
      <c r="I7" s="114"/>
      <c r="J7" s="116"/>
      <c r="K7" s="116"/>
      <c r="L7" s="116"/>
      <c r="M7" s="116"/>
      <c r="N7" s="116"/>
      <c r="O7" s="118"/>
    </row>
    <row r="8" spans="1:15" s="119" customFormat="1" x14ac:dyDescent="0.2">
      <c r="A8" s="155" t="s">
        <v>547</v>
      </c>
      <c r="B8" s="111"/>
      <c r="C8" s="112"/>
      <c r="D8" s="120"/>
      <c r="E8" s="114"/>
      <c r="F8" s="114"/>
      <c r="G8" s="114"/>
      <c r="H8" s="114"/>
      <c r="I8" s="114"/>
      <c r="J8"/>
      <c r="K8" s="117"/>
      <c r="L8" s="113"/>
      <c r="M8" s="116"/>
      <c r="N8" s="116"/>
      <c r="O8" s="118"/>
    </row>
    <row r="9" spans="1:15" s="119" customFormat="1" x14ac:dyDescent="0.2">
      <c r="A9" s="155"/>
      <c r="B9" s="111"/>
      <c r="C9" s="121"/>
      <c r="D9" s="121"/>
      <c r="E9" s="114"/>
      <c r="F9" s="114"/>
      <c r="G9" s="114"/>
      <c r="H9" s="114"/>
      <c r="I9" s="114"/>
      <c r="J9" s="116"/>
      <c r="K9" s="117"/>
      <c r="L9" s="113"/>
      <c r="M9" s="116"/>
      <c r="N9" s="116"/>
      <c r="O9" s="118"/>
    </row>
    <row r="10" spans="1:15" s="119" customFormat="1" x14ac:dyDescent="0.2">
      <c r="A10" s="233"/>
      <c r="B10" s="111"/>
      <c r="C10" s="121"/>
      <c r="D10" s="121"/>
      <c r="E10" s="114"/>
      <c r="F10" s="114"/>
      <c r="G10" s="114"/>
      <c r="H10" s="114"/>
      <c r="I10" s="114"/>
      <c r="J10" s="116"/>
      <c r="K10" s="117"/>
      <c r="L10" s="113"/>
      <c r="M10" s="116"/>
      <c r="N10" s="116"/>
      <c r="O10" s="118"/>
    </row>
    <row r="11" spans="1:15" s="119" customFormat="1" x14ac:dyDescent="0.2">
      <c r="A11" s="155"/>
      <c r="B11" s="111"/>
      <c r="C11" s="121"/>
      <c r="D11" s="120"/>
      <c r="E11" s="114"/>
      <c r="F11" s="114"/>
      <c r="G11" s="114"/>
      <c r="H11" s="114"/>
      <c r="I11" s="114"/>
      <c r="J11" s="116"/>
      <c r="K11" s="117"/>
      <c r="L11" s="113"/>
      <c r="M11" s="116"/>
      <c r="N11" s="116"/>
      <c r="O11" s="118"/>
    </row>
    <row r="12" spans="1:15" s="119" customFormat="1" hidden="1" x14ac:dyDescent="0.2">
      <c r="A12" s="236" t="s">
        <v>546</v>
      </c>
      <c r="B12" s="122"/>
      <c r="C12" s="121"/>
      <c r="D12" s="120"/>
      <c r="E12" s="114"/>
      <c r="F12" s="114"/>
      <c r="G12" s="114"/>
      <c r="H12" s="152"/>
      <c r="I12" s="114"/>
      <c r="J12" s="116"/>
      <c r="K12" s="117"/>
      <c r="L12" s="113"/>
      <c r="M12" s="116"/>
      <c r="N12" s="116"/>
      <c r="O12" s="118"/>
    </row>
    <row r="13" spans="1:15" s="119" customFormat="1" hidden="1" x14ac:dyDescent="0.2">
      <c r="A13" s="236"/>
      <c r="B13" s="122"/>
      <c r="C13" s="121"/>
      <c r="D13" s="120"/>
      <c r="E13" s="114"/>
      <c r="F13" s="123"/>
      <c r="G13" s="123"/>
      <c r="H13" s="124"/>
      <c r="I13" s="125"/>
      <c r="J13" s="116"/>
      <c r="K13" s="117"/>
      <c r="L13" s="113"/>
      <c r="M13" s="116"/>
      <c r="N13" s="116"/>
      <c r="O13" s="118"/>
    </row>
    <row r="14" spans="1:15" s="119" customFormat="1" hidden="1" x14ac:dyDescent="0.2">
      <c r="A14" s="236"/>
      <c r="B14" s="122"/>
      <c r="C14" s="121"/>
      <c r="D14" s="120"/>
      <c r="E14" s="112"/>
      <c r="F14" s="126"/>
      <c r="G14" s="127"/>
      <c r="H14" s="112"/>
      <c r="I14" s="149"/>
      <c r="J14" s="116"/>
      <c r="K14" s="117"/>
      <c r="L14" s="113"/>
      <c r="M14" s="116"/>
      <c r="N14" s="116"/>
      <c r="O14" s="118"/>
    </row>
    <row r="15" spans="1:15" s="119" customFormat="1" hidden="1" x14ac:dyDescent="0.2">
      <c r="A15" s="236"/>
      <c r="B15" s="122"/>
      <c r="C15" s="112"/>
      <c r="D15" s="113"/>
      <c r="E15" s="112"/>
      <c r="F15" s="126"/>
      <c r="G15" s="127"/>
      <c r="H15" s="112"/>
      <c r="I15" s="149"/>
      <c r="J15" s="116"/>
      <c r="K15" s="117"/>
      <c r="L15" s="113"/>
      <c r="M15" s="116"/>
      <c r="N15" s="116"/>
      <c r="O15" s="118"/>
    </row>
    <row r="16" spans="1:15" s="119" customFormat="1" x14ac:dyDescent="0.2">
      <c r="A16" s="237"/>
      <c r="B16" s="144"/>
      <c r="C16" s="145"/>
      <c r="D16" s="146"/>
      <c r="E16" s="145"/>
      <c r="F16" s="147"/>
      <c r="G16" s="148"/>
      <c r="H16" s="145"/>
      <c r="I16" s="200"/>
      <c r="J16" s="149"/>
      <c r="K16" s="150"/>
      <c r="L16" s="146"/>
      <c r="M16" s="149"/>
      <c r="N16" s="149"/>
      <c r="O16" s="151"/>
    </row>
    <row r="17" spans="1:22" s="25" customFormat="1" x14ac:dyDescent="0.2">
      <c r="A17" s="238"/>
      <c r="B17" s="26"/>
      <c r="C17" s="262" t="s">
        <v>990</v>
      </c>
      <c r="D17" s="263"/>
      <c r="E17" s="264"/>
      <c r="F17" s="265" t="s">
        <v>749</v>
      </c>
      <c r="G17" s="266"/>
      <c r="H17" s="266"/>
      <c r="I17" s="203" t="s">
        <v>28</v>
      </c>
      <c r="J17" s="201"/>
      <c r="K17" s="198"/>
      <c r="L17" s="164"/>
    </row>
    <row r="18" spans="1:22" x14ac:dyDescent="0.2">
      <c r="A18" s="239" t="s">
        <v>746</v>
      </c>
      <c r="B18" s="137" t="s">
        <v>745</v>
      </c>
      <c r="C18" s="138" t="s">
        <v>752</v>
      </c>
      <c r="D18" s="138" t="s">
        <v>753</v>
      </c>
      <c r="E18" s="138" t="s">
        <v>754</v>
      </c>
      <c r="F18" s="138" t="s">
        <v>752</v>
      </c>
      <c r="G18" s="138" t="s">
        <v>753</v>
      </c>
      <c r="H18" s="243" t="s">
        <v>754</v>
      </c>
      <c r="I18" s="204" t="s">
        <v>742</v>
      </c>
      <c r="J18" s="202" t="s">
        <v>755</v>
      </c>
      <c r="K18" s="199" t="s">
        <v>751</v>
      </c>
      <c r="L18" s="164" t="s">
        <v>750</v>
      </c>
    </row>
    <row r="19" spans="1:22" x14ac:dyDescent="0.2">
      <c r="A19" t="s">
        <v>902</v>
      </c>
      <c r="B19" t="s">
        <v>131</v>
      </c>
      <c r="C19" s="152">
        <v>1327827</v>
      </c>
      <c r="D19" s="152">
        <v>1430569</v>
      </c>
      <c r="E19" s="152">
        <v>2758396</v>
      </c>
      <c r="F19" s="152">
        <v>49265812856.086884</v>
      </c>
      <c r="G19" s="152">
        <v>62876847439.864433</v>
      </c>
      <c r="H19" s="152">
        <v>112142660295.95142</v>
      </c>
      <c r="I19" t="s">
        <v>867</v>
      </c>
      <c r="J19" t="s">
        <v>139</v>
      </c>
      <c r="K19">
        <v>1</v>
      </c>
      <c r="L19" t="s">
        <v>807</v>
      </c>
      <c r="M19"/>
      <c r="N19"/>
      <c r="O19"/>
      <c r="P19"/>
      <c r="Q19" s="152"/>
      <c r="R19"/>
      <c r="S19"/>
      <c r="T19"/>
      <c r="U19"/>
      <c r="V19"/>
    </row>
    <row r="20" spans="1:22" x14ac:dyDescent="0.2">
      <c r="A20" t="s">
        <v>781</v>
      </c>
      <c r="B20" t="s">
        <v>939</v>
      </c>
      <c r="C20" s="152">
        <v>131556</v>
      </c>
      <c r="D20" s="152">
        <v>139897</v>
      </c>
      <c r="E20" s="152">
        <v>271453</v>
      </c>
      <c r="F20" s="152">
        <v>4371646477.9505596</v>
      </c>
      <c r="G20" s="152">
        <v>5865849359.0478401</v>
      </c>
      <c r="H20" s="152">
        <v>10237495836.9984</v>
      </c>
      <c r="I20" t="s">
        <v>867</v>
      </c>
      <c r="J20" t="s">
        <v>135</v>
      </c>
      <c r="K20">
        <v>681783</v>
      </c>
      <c r="L20" t="s">
        <v>927</v>
      </c>
      <c r="M20"/>
      <c r="N20"/>
      <c r="O20"/>
      <c r="P20"/>
      <c r="Q20" s="152"/>
      <c r="R20"/>
      <c r="S20"/>
      <c r="T20"/>
      <c r="U20"/>
      <c r="V20"/>
    </row>
    <row r="21" spans="1:22" x14ac:dyDescent="0.2">
      <c r="A21" t="s">
        <v>312</v>
      </c>
      <c r="B21" t="s">
        <v>596</v>
      </c>
      <c r="C21" s="152">
        <v>123385</v>
      </c>
      <c r="D21" s="152">
        <v>124546</v>
      </c>
      <c r="E21" s="152">
        <v>247931</v>
      </c>
      <c r="F21" s="152">
        <v>2003330264.55004</v>
      </c>
      <c r="G21" s="152">
        <v>2561148055.1449199</v>
      </c>
      <c r="H21" s="152">
        <v>4564478319.6949596</v>
      </c>
      <c r="I21" t="s">
        <v>867</v>
      </c>
      <c r="J21" t="s">
        <v>135</v>
      </c>
      <c r="K21">
        <v>283408</v>
      </c>
      <c r="L21" t="s">
        <v>198</v>
      </c>
      <c r="M21"/>
      <c r="N21"/>
      <c r="O21"/>
      <c r="P21"/>
      <c r="Q21" s="152"/>
      <c r="R21"/>
      <c r="S21"/>
      <c r="T21"/>
      <c r="U21"/>
      <c r="V21"/>
    </row>
    <row r="22" spans="1:22" x14ac:dyDescent="0.2">
      <c r="A22" t="s">
        <v>843</v>
      </c>
      <c r="B22" t="s">
        <v>938</v>
      </c>
      <c r="C22" s="152">
        <v>120027</v>
      </c>
      <c r="D22" s="152">
        <v>123099</v>
      </c>
      <c r="E22" s="152">
        <v>243126</v>
      </c>
      <c r="F22" s="152">
        <v>3500688389.3681402</v>
      </c>
      <c r="G22" s="152">
        <v>4596745230.4972296</v>
      </c>
      <c r="H22" s="152">
        <v>8097433619.8653698</v>
      </c>
      <c r="I22" t="s">
        <v>867</v>
      </c>
      <c r="J22" t="s">
        <v>135</v>
      </c>
      <c r="K22">
        <v>645952</v>
      </c>
      <c r="L22" t="s">
        <v>927</v>
      </c>
      <c r="M22"/>
      <c r="N22"/>
      <c r="O22"/>
      <c r="P22"/>
      <c r="Q22" s="152"/>
      <c r="R22"/>
      <c r="S22"/>
      <c r="T22"/>
      <c r="U22"/>
      <c r="V22"/>
    </row>
    <row r="23" spans="1:22" x14ac:dyDescent="0.2">
      <c r="A23" t="s">
        <v>781</v>
      </c>
      <c r="B23" t="s">
        <v>794</v>
      </c>
      <c r="C23" s="152">
        <v>115988</v>
      </c>
      <c r="D23" s="152">
        <v>122728</v>
      </c>
      <c r="E23" s="152">
        <v>238716</v>
      </c>
      <c r="F23" s="152">
        <v>4028588724.6238999</v>
      </c>
      <c r="G23" s="152">
        <v>5230957727.3921003</v>
      </c>
      <c r="H23" s="152">
        <v>9259546452.0160007</v>
      </c>
      <c r="I23" t="s">
        <v>867</v>
      </c>
      <c r="J23" t="s">
        <v>135</v>
      </c>
      <c r="K23">
        <v>291906</v>
      </c>
      <c r="L23" t="s">
        <v>793</v>
      </c>
      <c r="M23"/>
      <c r="N23"/>
      <c r="O23"/>
      <c r="P23"/>
      <c r="Q23" s="152"/>
      <c r="R23"/>
      <c r="S23"/>
      <c r="T23"/>
      <c r="U23"/>
      <c r="V23"/>
    </row>
    <row r="24" spans="1:22" x14ac:dyDescent="0.2">
      <c r="A24" t="s">
        <v>183</v>
      </c>
      <c r="B24" t="s">
        <v>200</v>
      </c>
      <c r="C24" s="152">
        <v>103446</v>
      </c>
      <c r="D24" s="152">
        <v>118169</v>
      </c>
      <c r="E24" s="152">
        <v>221615</v>
      </c>
      <c r="F24" s="152">
        <v>1728251941.70275</v>
      </c>
      <c r="G24" s="152">
        <v>2576875038.54881</v>
      </c>
      <c r="H24" s="152">
        <v>4305126980.2515697</v>
      </c>
      <c r="I24" t="s">
        <v>742</v>
      </c>
      <c r="J24" t="s">
        <v>135</v>
      </c>
      <c r="K24">
        <v>501981</v>
      </c>
      <c r="L24" t="s">
        <v>913</v>
      </c>
      <c r="M24"/>
      <c r="N24"/>
      <c r="O24"/>
      <c r="P24"/>
      <c r="Q24" s="152"/>
      <c r="R24"/>
      <c r="S24"/>
      <c r="T24"/>
      <c r="U24"/>
      <c r="V24"/>
    </row>
    <row r="25" spans="1:22" x14ac:dyDescent="0.2">
      <c r="A25" t="s">
        <v>843</v>
      </c>
      <c r="B25" t="s">
        <v>613</v>
      </c>
      <c r="C25" s="152">
        <v>93733</v>
      </c>
      <c r="D25" s="152">
        <v>79030</v>
      </c>
      <c r="E25" s="152">
        <v>172763</v>
      </c>
      <c r="F25" s="152">
        <v>3296919796.3020601</v>
      </c>
      <c r="G25" s="152">
        <v>3391890370.1858201</v>
      </c>
      <c r="H25" s="152">
        <v>6688810166.4878798</v>
      </c>
      <c r="I25" t="s">
        <v>867</v>
      </c>
      <c r="J25" t="s">
        <v>135</v>
      </c>
      <c r="K25">
        <v>785022</v>
      </c>
      <c r="L25" t="s">
        <v>198</v>
      </c>
      <c r="M25"/>
      <c r="N25"/>
      <c r="O25"/>
      <c r="P25"/>
      <c r="Q25" s="152"/>
      <c r="R25"/>
      <c r="S25"/>
      <c r="T25"/>
      <c r="U25"/>
      <c r="V25"/>
    </row>
    <row r="26" spans="1:22" x14ac:dyDescent="0.2">
      <c r="A26" t="s">
        <v>302</v>
      </c>
      <c r="B26" t="s">
        <v>637</v>
      </c>
      <c r="C26" s="152">
        <v>75189</v>
      </c>
      <c r="D26" s="152">
        <v>70873</v>
      </c>
      <c r="E26" s="152">
        <v>146062</v>
      </c>
      <c r="F26" s="152">
        <v>1125553446.7115099</v>
      </c>
      <c r="G26" s="152">
        <v>1363524711.4837501</v>
      </c>
      <c r="H26" s="152">
        <v>2489078158.19526</v>
      </c>
      <c r="I26" t="s">
        <v>867</v>
      </c>
      <c r="J26" t="s">
        <v>135</v>
      </c>
      <c r="K26">
        <v>928341</v>
      </c>
      <c r="L26" t="s">
        <v>198</v>
      </c>
      <c r="M26"/>
      <c r="N26"/>
      <c r="O26"/>
      <c r="P26"/>
      <c r="Q26" s="152"/>
      <c r="R26"/>
      <c r="S26"/>
      <c r="T26"/>
      <c r="U26"/>
      <c r="V26"/>
    </row>
    <row r="27" spans="1:22" x14ac:dyDescent="0.2">
      <c r="A27" t="s">
        <v>551</v>
      </c>
      <c r="B27" t="s">
        <v>608</v>
      </c>
      <c r="C27" s="152">
        <v>68716</v>
      </c>
      <c r="D27" s="152">
        <v>72486</v>
      </c>
      <c r="E27" s="152">
        <v>141202</v>
      </c>
      <c r="F27" s="152">
        <v>4059408103.2340498</v>
      </c>
      <c r="G27" s="152">
        <v>5320108742.2059603</v>
      </c>
      <c r="H27" s="152">
        <v>9379516845.4400101</v>
      </c>
      <c r="I27" t="s">
        <v>867</v>
      </c>
      <c r="J27" t="s">
        <v>139</v>
      </c>
      <c r="K27">
        <v>747899</v>
      </c>
      <c r="L27" t="s">
        <v>198</v>
      </c>
      <c r="M27"/>
      <c r="N27"/>
      <c r="O27"/>
      <c r="P27"/>
      <c r="Q27" s="152"/>
      <c r="R27"/>
      <c r="S27"/>
      <c r="T27"/>
      <c r="U27"/>
      <c r="V27"/>
    </row>
    <row r="28" spans="1:22" x14ac:dyDescent="0.2">
      <c r="A28" t="s">
        <v>166</v>
      </c>
      <c r="B28" t="s">
        <v>173</v>
      </c>
      <c r="C28" s="152">
        <v>66432</v>
      </c>
      <c r="D28" s="152">
        <v>71835</v>
      </c>
      <c r="E28" s="152">
        <v>138267</v>
      </c>
      <c r="F28" s="152">
        <v>1536963734.1724701</v>
      </c>
      <c r="G28" s="152">
        <v>2050419836.5769501</v>
      </c>
      <c r="H28" s="152">
        <v>3587383570.7494102</v>
      </c>
      <c r="I28" t="s">
        <v>742</v>
      </c>
      <c r="J28" t="s">
        <v>135</v>
      </c>
      <c r="K28">
        <v>984187</v>
      </c>
      <c r="L28" t="s">
        <v>913</v>
      </c>
      <c r="M28"/>
      <c r="N28"/>
      <c r="O28"/>
      <c r="P28"/>
      <c r="Q28" s="152"/>
      <c r="R28"/>
      <c r="S28"/>
      <c r="T28"/>
      <c r="U28"/>
      <c r="V28"/>
    </row>
    <row r="29" spans="1:22" x14ac:dyDescent="0.2">
      <c r="A29" t="s">
        <v>551</v>
      </c>
      <c r="B29" t="s">
        <v>612</v>
      </c>
      <c r="C29" s="152">
        <v>72826</v>
      </c>
      <c r="D29" s="152">
        <v>57478</v>
      </c>
      <c r="E29" s="152">
        <v>130304</v>
      </c>
      <c r="F29" s="152">
        <v>5026504469.71134</v>
      </c>
      <c r="G29" s="152">
        <v>4692546042.01612</v>
      </c>
      <c r="H29" s="152">
        <v>9719050511.7274609</v>
      </c>
      <c r="I29" t="s">
        <v>867</v>
      </c>
      <c r="J29" t="s">
        <v>139</v>
      </c>
      <c r="K29">
        <v>783720</v>
      </c>
      <c r="L29" t="s">
        <v>198</v>
      </c>
      <c r="M29"/>
      <c r="N29"/>
      <c r="O29"/>
      <c r="P29"/>
      <c r="Q29" s="152"/>
      <c r="R29"/>
      <c r="S29"/>
      <c r="T29"/>
      <c r="U29"/>
      <c r="V29"/>
    </row>
    <row r="30" spans="1:22" x14ac:dyDescent="0.2">
      <c r="A30" t="s">
        <v>329</v>
      </c>
      <c r="B30" t="s">
        <v>937</v>
      </c>
      <c r="C30" s="152">
        <v>66866</v>
      </c>
      <c r="D30" s="152">
        <v>59660</v>
      </c>
      <c r="E30" s="152">
        <v>126526</v>
      </c>
      <c r="F30" s="152">
        <v>2225199321.5980101</v>
      </c>
      <c r="G30" s="152">
        <v>2474015685.4415798</v>
      </c>
      <c r="H30" s="152">
        <v>4699215007.0395899</v>
      </c>
      <c r="I30" t="s">
        <v>867</v>
      </c>
      <c r="J30" t="s">
        <v>137</v>
      </c>
      <c r="K30">
        <v>610121</v>
      </c>
      <c r="L30" t="s">
        <v>927</v>
      </c>
      <c r="M30"/>
      <c r="N30"/>
      <c r="O30"/>
      <c r="P30"/>
      <c r="Q30" s="152"/>
      <c r="R30"/>
      <c r="S30"/>
      <c r="T30"/>
      <c r="U30"/>
      <c r="V30"/>
    </row>
    <row r="31" spans="1:22" x14ac:dyDescent="0.2">
      <c r="A31" t="s">
        <v>386</v>
      </c>
      <c r="B31" t="s">
        <v>560</v>
      </c>
      <c r="C31" s="152">
        <v>62932</v>
      </c>
      <c r="D31" s="152">
        <v>50391</v>
      </c>
      <c r="E31" s="152">
        <v>113323</v>
      </c>
      <c r="F31" s="152">
        <v>2534857989.9777198</v>
      </c>
      <c r="G31" s="152">
        <v>2493316948.99403</v>
      </c>
      <c r="H31" s="152">
        <v>5028174938.9717503</v>
      </c>
      <c r="I31" t="s">
        <v>867</v>
      </c>
      <c r="J31" t="s">
        <v>139</v>
      </c>
      <c r="K31">
        <v>463141</v>
      </c>
      <c r="L31" t="s">
        <v>914</v>
      </c>
      <c r="M31"/>
      <c r="N31"/>
      <c r="O31"/>
      <c r="P31"/>
      <c r="Q31" s="152"/>
      <c r="R31"/>
      <c r="S31"/>
      <c r="T31"/>
      <c r="U31"/>
      <c r="V31"/>
    </row>
    <row r="32" spans="1:22" x14ac:dyDescent="0.2">
      <c r="A32" t="s">
        <v>302</v>
      </c>
      <c r="B32" t="s">
        <v>1007</v>
      </c>
      <c r="C32" s="152">
        <v>52888</v>
      </c>
      <c r="D32" s="152">
        <v>48364</v>
      </c>
      <c r="E32" s="152">
        <v>101252</v>
      </c>
      <c r="F32" s="152">
        <v>869573934.06647301</v>
      </c>
      <c r="G32" s="152">
        <v>956026478.50434101</v>
      </c>
      <c r="H32" s="152">
        <v>1825600412.5708101</v>
      </c>
      <c r="I32" t="s">
        <v>742</v>
      </c>
      <c r="J32" t="s">
        <v>135</v>
      </c>
      <c r="K32">
        <v>313155</v>
      </c>
      <c r="L32" t="s">
        <v>878</v>
      </c>
      <c r="M32"/>
      <c r="N32"/>
      <c r="O32"/>
      <c r="P32"/>
      <c r="Q32" s="152"/>
      <c r="R32"/>
      <c r="S32"/>
      <c r="T32"/>
      <c r="U32"/>
      <c r="V32"/>
    </row>
    <row r="33" spans="1:22" x14ac:dyDescent="0.2">
      <c r="A33" t="s">
        <v>781</v>
      </c>
      <c r="B33" t="s">
        <v>614</v>
      </c>
      <c r="C33" s="152">
        <v>51538</v>
      </c>
      <c r="D33" s="152">
        <v>48413</v>
      </c>
      <c r="E33" s="152">
        <v>99951</v>
      </c>
      <c r="F33" s="152">
        <v>1152733959.16945</v>
      </c>
      <c r="G33" s="152">
        <v>1349826907.8785999</v>
      </c>
      <c r="H33" s="152">
        <v>2502560867.0480499</v>
      </c>
      <c r="I33" t="s">
        <v>867</v>
      </c>
      <c r="J33" t="s">
        <v>135</v>
      </c>
      <c r="K33">
        <v>789271</v>
      </c>
      <c r="L33" t="s">
        <v>198</v>
      </c>
      <c r="M33"/>
      <c r="N33"/>
      <c r="O33"/>
      <c r="P33"/>
      <c r="Q33" s="152"/>
      <c r="R33"/>
      <c r="S33"/>
      <c r="T33"/>
      <c r="U33"/>
      <c r="V33"/>
    </row>
    <row r="34" spans="1:22" x14ac:dyDescent="0.2">
      <c r="A34" t="s">
        <v>386</v>
      </c>
      <c r="B34" t="s">
        <v>549</v>
      </c>
      <c r="C34" s="152">
        <v>52153</v>
      </c>
      <c r="D34" s="152">
        <v>46232</v>
      </c>
      <c r="E34" s="152">
        <v>98385</v>
      </c>
      <c r="F34" s="152">
        <v>2443910693.2817602</v>
      </c>
      <c r="G34" s="152">
        <v>2679046969.5732598</v>
      </c>
      <c r="H34" s="152">
        <v>5122957662.8550196</v>
      </c>
      <c r="I34" t="s">
        <v>867</v>
      </c>
      <c r="J34" t="s">
        <v>139</v>
      </c>
      <c r="K34">
        <v>427310</v>
      </c>
      <c r="L34" t="s">
        <v>914</v>
      </c>
      <c r="M34"/>
      <c r="N34"/>
      <c r="O34"/>
      <c r="P34"/>
      <c r="Q34" s="152"/>
      <c r="R34"/>
      <c r="S34"/>
      <c r="T34"/>
      <c r="U34"/>
      <c r="V34"/>
    </row>
    <row r="35" spans="1:22" x14ac:dyDescent="0.2">
      <c r="A35" t="s">
        <v>781</v>
      </c>
      <c r="B35" t="s">
        <v>820</v>
      </c>
      <c r="C35" s="152">
        <v>45524</v>
      </c>
      <c r="D35" s="152">
        <v>46400</v>
      </c>
      <c r="E35" s="152">
        <v>91924</v>
      </c>
      <c r="F35" s="152">
        <v>1441352486.1227601</v>
      </c>
      <c r="G35" s="152">
        <v>1853550276.46733</v>
      </c>
      <c r="H35" s="152">
        <v>3294902762.5900898</v>
      </c>
      <c r="I35" t="s">
        <v>867</v>
      </c>
      <c r="J35" t="s">
        <v>135</v>
      </c>
      <c r="K35">
        <v>976928</v>
      </c>
      <c r="L35" t="s">
        <v>892</v>
      </c>
      <c r="M35"/>
      <c r="N35"/>
      <c r="O35"/>
      <c r="P35"/>
      <c r="Q35" s="152"/>
      <c r="R35"/>
      <c r="S35"/>
      <c r="T35"/>
      <c r="U35"/>
      <c r="V35"/>
    </row>
    <row r="36" spans="1:22" x14ac:dyDescent="0.2">
      <c r="A36" t="s">
        <v>166</v>
      </c>
      <c r="B36" t="s">
        <v>175</v>
      </c>
      <c r="C36" s="152">
        <v>45426</v>
      </c>
      <c r="D36" s="152">
        <v>44142</v>
      </c>
      <c r="E36" s="152">
        <v>89568</v>
      </c>
      <c r="F36" s="152">
        <v>1015734384.63941</v>
      </c>
      <c r="G36" s="152">
        <v>1231243540.2492399</v>
      </c>
      <c r="H36" s="152">
        <v>2246977924.8886499</v>
      </c>
      <c r="I36" t="s">
        <v>867</v>
      </c>
      <c r="J36" t="s">
        <v>135</v>
      </c>
      <c r="K36">
        <v>941096</v>
      </c>
      <c r="L36" t="s">
        <v>892</v>
      </c>
      <c r="M36"/>
      <c r="N36"/>
      <c r="O36"/>
      <c r="P36"/>
      <c r="Q36" s="152"/>
      <c r="R36"/>
      <c r="S36"/>
      <c r="T36"/>
      <c r="U36"/>
      <c r="V36"/>
    </row>
    <row r="37" spans="1:22" x14ac:dyDescent="0.2">
      <c r="A37" t="s">
        <v>382</v>
      </c>
      <c r="B37" t="s">
        <v>383</v>
      </c>
      <c r="C37" s="152">
        <v>46148</v>
      </c>
      <c r="D37" s="152">
        <v>42116</v>
      </c>
      <c r="E37" s="152">
        <v>88264</v>
      </c>
      <c r="F37" s="152">
        <v>1325845010.4916101</v>
      </c>
      <c r="G37" s="152">
        <v>1524609919.4168501</v>
      </c>
      <c r="H37" s="152">
        <v>2850454929.9084601</v>
      </c>
      <c r="I37" t="s">
        <v>867</v>
      </c>
      <c r="J37" t="s">
        <v>139</v>
      </c>
      <c r="K37">
        <v>391482</v>
      </c>
      <c r="L37" t="s">
        <v>914</v>
      </c>
      <c r="M37"/>
      <c r="N37"/>
      <c r="O37"/>
      <c r="P37"/>
      <c r="Q37" s="152"/>
      <c r="R37"/>
      <c r="S37"/>
      <c r="T37"/>
      <c r="U37"/>
      <c r="V37"/>
    </row>
    <row r="38" spans="1:22" x14ac:dyDescent="0.2">
      <c r="A38" t="s">
        <v>781</v>
      </c>
      <c r="B38" t="s">
        <v>352</v>
      </c>
      <c r="C38" s="152">
        <v>41756</v>
      </c>
      <c r="D38" s="152">
        <v>44980</v>
      </c>
      <c r="E38" s="152">
        <v>86736</v>
      </c>
      <c r="F38" s="152">
        <v>553791894.14130294</v>
      </c>
      <c r="G38" s="152">
        <v>744032621.50256801</v>
      </c>
      <c r="H38" s="152">
        <v>1297824515.6438701</v>
      </c>
      <c r="I38" t="s">
        <v>867</v>
      </c>
      <c r="J38" t="s">
        <v>135</v>
      </c>
      <c r="K38">
        <v>605634</v>
      </c>
      <c r="L38" t="s">
        <v>1068</v>
      </c>
      <c r="M38"/>
      <c r="N38"/>
      <c r="O38"/>
      <c r="P38"/>
      <c r="Q38" s="152"/>
      <c r="R38"/>
      <c r="S38"/>
      <c r="T38"/>
      <c r="U38"/>
      <c r="V38"/>
    </row>
    <row r="39" spans="1:22" x14ac:dyDescent="0.2">
      <c r="A39" t="s">
        <v>645</v>
      </c>
      <c r="B39" t="s">
        <v>928</v>
      </c>
      <c r="C39" s="152">
        <v>42795</v>
      </c>
      <c r="D39" s="152">
        <v>42219</v>
      </c>
      <c r="E39" s="152">
        <v>85014</v>
      </c>
      <c r="F39" s="152">
        <v>1608755766.1710999</v>
      </c>
      <c r="G39" s="152">
        <v>2006126635.1740699</v>
      </c>
      <c r="H39" s="152">
        <v>3614882401.34517</v>
      </c>
      <c r="I39" t="s">
        <v>867</v>
      </c>
      <c r="J39" t="s">
        <v>136</v>
      </c>
      <c r="K39">
        <v>574293</v>
      </c>
      <c r="L39" t="s">
        <v>927</v>
      </c>
      <c r="M39"/>
      <c r="N39"/>
      <c r="O39"/>
      <c r="P39"/>
      <c r="Q39" s="152"/>
      <c r="R39"/>
      <c r="S39"/>
      <c r="T39"/>
      <c r="U39"/>
      <c r="V39"/>
    </row>
    <row r="40" spans="1:22" x14ac:dyDescent="0.2">
      <c r="A40" t="s">
        <v>417</v>
      </c>
      <c r="B40" t="s">
        <v>610</v>
      </c>
      <c r="C40" s="152">
        <v>34327</v>
      </c>
      <c r="D40" s="152">
        <v>46699</v>
      </c>
      <c r="E40" s="152">
        <v>81026</v>
      </c>
      <c r="F40" s="152">
        <v>866955648.70311797</v>
      </c>
      <c r="G40" s="152">
        <v>1573828775.9609499</v>
      </c>
      <c r="H40" s="152">
        <v>2440784424.6640701</v>
      </c>
      <c r="I40" t="s">
        <v>867</v>
      </c>
      <c r="J40" t="s">
        <v>135</v>
      </c>
      <c r="K40">
        <v>752204</v>
      </c>
      <c r="L40" t="s">
        <v>198</v>
      </c>
      <c r="M40"/>
      <c r="N40"/>
      <c r="O40"/>
      <c r="P40"/>
      <c r="Q40" s="152"/>
      <c r="R40"/>
      <c r="S40"/>
      <c r="T40"/>
      <c r="U40"/>
      <c r="V40"/>
    </row>
    <row r="41" spans="1:22" x14ac:dyDescent="0.2">
      <c r="A41" t="s">
        <v>302</v>
      </c>
      <c r="B41" t="s">
        <v>310</v>
      </c>
      <c r="C41" s="152">
        <v>41005</v>
      </c>
      <c r="D41" s="152">
        <v>39917</v>
      </c>
      <c r="E41" s="152">
        <v>80922</v>
      </c>
      <c r="F41" s="152">
        <v>719035799.77810895</v>
      </c>
      <c r="G41" s="152">
        <v>867849361.97350097</v>
      </c>
      <c r="H41" s="152">
        <v>1586885161.75161</v>
      </c>
      <c r="I41" t="s">
        <v>867</v>
      </c>
      <c r="J41" t="s">
        <v>135</v>
      </c>
      <c r="K41">
        <v>229922</v>
      </c>
      <c r="L41" t="s">
        <v>907</v>
      </c>
      <c r="M41"/>
      <c r="N41"/>
      <c r="O41"/>
      <c r="P41"/>
      <c r="Q41" s="152"/>
      <c r="R41"/>
      <c r="S41"/>
      <c r="T41"/>
      <c r="U41"/>
      <c r="V41"/>
    </row>
    <row r="42" spans="1:22" x14ac:dyDescent="0.2">
      <c r="A42" t="s">
        <v>551</v>
      </c>
      <c r="B42" t="s">
        <v>555</v>
      </c>
      <c r="C42" s="152">
        <v>45463</v>
      </c>
      <c r="D42" s="152">
        <v>33331</v>
      </c>
      <c r="E42" s="152">
        <v>78794</v>
      </c>
      <c r="F42" s="152">
        <v>1566019278.6742001</v>
      </c>
      <c r="G42" s="152">
        <v>1376109003.79123</v>
      </c>
      <c r="H42" s="152">
        <v>2942128282.4654298</v>
      </c>
      <c r="I42" t="s">
        <v>867</v>
      </c>
      <c r="J42" t="s">
        <v>139</v>
      </c>
      <c r="K42">
        <v>498972</v>
      </c>
      <c r="L42" t="s">
        <v>914</v>
      </c>
      <c r="M42"/>
      <c r="N42"/>
      <c r="O42"/>
      <c r="P42"/>
      <c r="Q42" s="152"/>
      <c r="R42"/>
      <c r="S42"/>
      <c r="T42"/>
      <c r="U42"/>
      <c r="V42"/>
    </row>
    <row r="43" spans="1:22" x14ac:dyDescent="0.2">
      <c r="A43" t="s">
        <v>417</v>
      </c>
      <c r="B43" t="s">
        <v>240</v>
      </c>
      <c r="C43" s="152">
        <v>31891</v>
      </c>
      <c r="D43" s="152">
        <v>45489</v>
      </c>
      <c r="E43" s="152">
        <v>77380</v>
      </c>
      <c r="F43" s="152">
        <v>886077424.79447901</v>
      </c>
      <c r="G43" s="152">
        <v>1623193423.8113401</v>
      </c>
      <c r="H43" s="152">
        <v>2509270848.6058202</v>
      </c>
      <c r="I43" t="s">
        <v>867</v>
      </c>
      <c r="J43" t="s">
        <v>135</v>
      </c>
      <c r="K43">
        <v>834788</v>
      </c>
      <c r="L43" t="s">
        <v>239</v>
      </c>
      <c r="M43"/>
      <c r="N43"/>
      <c r="O43"/>
      <c r="P43"/>
      <c r="Q43" s="152"/>
      <c r="R43"/>
      <c r="S43"/>
      <c r="T43"/>
      <c r="U43"/>
      <c r="V43"/>
    </row>
    <row r="44" spans="1:22" x14ac:dyDescent="0.2">
      <c r="A44" t="s">
        <v>166</v>
      </c>
      <c r="B44" t="s">
        <v>1006</v>
      </c>
      <c r="C44" s="152">
        <v>38618</v>
      </c>
      <c r="D44" s="152">
        <v>36103</v>
      </c>
      <c r="E44" s="152">
        <v>74721</v>
      </c>
      <c r="F44" s="152">
        <v>801737227.54864597</v>
      </c>
      <c r="G44" s="152">
        <v>872400811.66185105</v>
      </c>
      <c r="H44" s="152">
        <v>1674138039.2105</v>
      </c>
      <c r="I44" t="s">
        <v>742</v>
      </c>
      <c r="J44" t="s">
        <v>135</v>
      </c>
      <c r="K44">
        <v>384818</v>
      </c>
      <c r="L44" t="s">
        <v>878</v>
      </c>
      <c r="M44"/>
      <c r="N44"/>
      <c r="O44"/>
      <c r="P44"/>
      <c r="Q44" s="152"/>
      <c r="R44"/>
      <c r="S44"/>
      <c r="T44"/>
      <c r="U44"/>
      <c r="V44"/>
    </row>
    <row r="45" spans="1:22" x14ac:dyDescent="0.2">
      <c r="A45" t="s">
        <v>417</v>
      </c>
      <c r="B45" t="s">
        <v>451</v>
      </c>
      <c r="C45" s="152">
        <v>28747</v>
      </c>
      <c r="D45" s="152">
        <v>43579</v>
      </c>
      <c r="E45" s="152">
        <v>72326</v>
      </c>
      <c r="F45" s="152">
        <v>983367601.35761905</v>
      </c>
      <c r="G45" s="152">
        <v>2006067777.12467</v>
      </c>
      <c r="H45" s="152">
        <v>2989435378.4822898</v>
      </c>
      <c r="I45" t="s">
        <v>867</v>
      </c>
      <c r="J45" t="s">
        <v>135</v>
      </c>
      <c r="K45">
        <v>249995</v>
      </c>
      <c r="L45" t="s">
        <v>1000</v>
      </c>
      <c r="M45"/>
      <c r="N45"/>
      <c r="O45"/>
      <c r="P45"/>
      <c r="Q45" s="152"/>
      <c r="R45"/>
      <c r="S45"/>
      <c r="T45"/>
      <c r="U45"/>
      <c r="V45"/>
    </row>
    <row r="46" spans="1:22" x14ac:dyDescent="0.2">
      <c r="A46" t="s">
        <v>840</v>
      </c>
      <c r="B46" t="s">
        <v>836</v>
      </c>
      <c r="C46" s="152">
        <v>32690</v>
      </c>
      <c r="D46" s="152">
        <v>37315</v>
      </c>
      <c r="E46" s="152">
        <v>70005</v>
      </c>
      <c r="F46" s="152">
        <v>885758087.8994</v>
      </c>
      <c r="G46" s="152">
        <v>1262727545.1115601</v>
      </c>
      <c r="H46" s="152">
        <v>2148485633.0109601</v>
      </c>
      <c r="I46" t="s">
        <v>867</v>
      </c>
      <c r="J46" t="s">
        <v>135</v>
      </c>
      <c r="K46">
        <v>212332</v>
      </c>
      <c r="L46" t="s">
        <v>914</v>
      </c>
      <c r="M46"/>
      <c r="N46"/>
      <c r="O46"/>
      <c r="P46"/>
      <c r="Q46" s="152"/>
      <c r="R46"/>
      <c r="S46"/>
      <c r="T46"/>
      <c r="U46"/>
      <c r="V46"/>
    </row>
    <row r="47" spans="1:22" x14ac:dyDescent="0.2">
      <c r="A47" t="s">
        <v>234</v>
      </c>
      <c r="B47" t="s">
        <v>626</v>
      </c>
      <c r="C47" s="152">
        <v>31339</v>
      </c>
      <c r="D47" s="152">
        <v>37524</v>
      </c>
      <c r="E47" s="152">
        <v>68863</v>
      </c>
      <c r="F47" s="152">
        <v>620116263.64376497</v>
      </c>
      <c r="G47" s="152">
        <v>999693693.16190398</v>
      </c>
      <c r="H47" s="152">
        <v>1619809956.80567</v>
      </c>
      <c r="I47" t="s">
        <v>867</v>
      </c>
      <c r="J47" t="s">
        <v>135</v>
      </c>
      <c r="K47">
        <v>825109</v>
      </c>
      <c r="L47" t="s">
        <v>198</v>
      </c>
      <c r="M47"/>
      <c r="N47"/>
      <c r="O47"/>
      <c r="P47"/>
      <c r="Q47" s="152"/>
      <c r="R47"/>
      <c r="S47"/>
      <c r="T47"/>
      <c r="U47"/>
      <c r="V47"/>
    </row>
    <row r="48" spans="1:22" x14ac:dyDescent="0.2">
      <c r="A48" t="s">
        <v>108</v>
      </c>
      <c r="B48" t="s">
        <v>1122</v>
      </c>
      <c r="C48" s="152">
        <v>35013</v>
      </c>
      <c r="D48" s="152">
        <v>33796</v>
      </c>
      <c r="E48" s="152">
        <v>68809</v>
      </c>
      <c r="F48" s="152">
        <v>491896155.68385202</v>
      </c>
      <c r="G48" s="152">
        <v>580633538.70938504</v>
      </c>
      <c r="H48" s="152">
        <v>1072529694.39324</v>
      </c>
      <c r="I48" t="s">
        <v>867</v>
      </c>
      <c r="J48" t="s">
        <v>135</v>
      </c>
      <c r="K48">
        <v>140673</v>
      </c>
      <c r="L48" t="s">
        <v>914</v>
      </c>
      <c r="M48"/>
      <c r="N48"/>
      <c r="O48"/>
      <c r="P48"/>
      <c r="Q48" s="152"/>
      <c r="R48"/>
      <c r="S48"/>
      <c r="T48"/>
      <c r="U48"/>
      <c r="V48"/>
    </row>
    <row r="49" spans="1:22" x14ac:dyDescent="0.2">
      <c r="A49" t="s">
        <v>578</v>
      </c>
      <c r="B49" t="s">
        <v>926</v>
      </c>
      <c r="C49" s="152">
        <v>33642</v>
      </c>
      <c r="D49" s="152">
        <v>34151</v>
      </c>
      <c r="E49" s="152">
        <v>67793</v>
      </c>
      <c r="F49" s="152">
        <v>1126533302.0906799</v>
      </c>
      <c r="G49" s="152">
        <v>1515283000.96876</v>
      </c>
      <c r="H49" s="152">
        <v>2641816303.0594401</v>
      </c>
      <c r="I49" t="s">
        <v>867</v>
      </c>
      <c r="J49" t="s">
        <v>136</v>
      </c>
      <c r="K49">
        <v>305185</v>
      </c>
      <c r="L49" t="s">
        <v>927</v>
      </c>
      <c r="M49"/>
      <c r="N49"/>
      <c r="O49"/>
      <c r="P49"/>
      <c r="Q49" s="152"/>
      <c r="R49"/>
      <c r="S49"/>
      <c r="T49"/>
      <c r="U49"/>
      <c r="V49"/>
    </row>
    <row r="50" spans="1:22" x14ac:dyDescent="0.2">
      <c r="A50" t="s">
        <v>104</v>
      </c>
      <c r="B50" t="s">
        <v>635</v>
      </c>
      <c r="C50" s="152">
        <v>34440</v>
      </c>
      <c r="D50" s="152">
        <v>33029</v>
      </c>
      <c r="E50" s="152">
        <v>67469</v>
      </c>
      <c r="F50" s="152">
        <v>550907306.19500697</v>
      </c>
      <c r="G50" s="152">
        <v>660136327.21660399</v>
      </c>
      <c r="H50" s="152">
        <v>1211043633.4116099</v>
      </c>
      <c r="I50" t="s">
        <v>867</v>
      </c>
      <c r="J50" t="s">
        <v>135</v>
      </c>
      <c r="K50">
        <v>896761</v>
      </c>
      <c r="L50" t="s">
        <v>198</v>
      </c>
      <c r="M50"/>
      <c r="N50"/>
      <c r="O50"/>
      <c r="P50"/>
      <c r="Q50" s="152"/>
      <c r="R50"/>
      <c r="S50"/>
      <c r="T50"/>
      <c r="U50"/>
      <c r="V50"/>
    </row>
    <row r="51" spans="1:22" x14ac:dyDescent="0.2">
      <c r="A51" t="s">
        <v>293</v>
      </c>
      <c r="B51" t="s">
        <v>591</v>
      </c>
      <c r="C51" s="152">
        <v>29203</v>
      </c>
      <c r="D51" s="152">
        <v>37060</v>
      </c>
      <c r="E51" s="152">
        <v>66263</v>
      </c>
      <c r="F51" s="152">
        <v>443092931.88149202</v>
      </c>
      <c r="G51" s="152">
        <v>698586571.695351</v>
      </c>
      <c r="H51" s="152">
        <v>1141679503.5768399</v>
      </c>
      <c r="I51" t="s">
        <v>867</v>
      </c>
      <c r="J51" t="s">
        <v>135</v>
      </c>
      <c r="K51">
        <v>140087</v>
      </c>
      <c r="L51" t="s">
        <v>198</v>
      </c>
      <c r="M51"/>
      <c r="N51"/>
      <c r="O51"/>
      <c r="P51"/>
      <c r="Q51" s="152"/>
      <c r="R51"/>
      <c r="S51"/>
      <c r="T51"/>
      <c r="U51"/>
      <c r="V51"/>
    </row>
    <row r="52" spans="1:22" x14ac:dyDescent="0.2">
      <c r="A52" t="s">
        <v>338</v>
      </c>
      <c r="B52" t="s">
        <v>23</v>
      </c>
      <c r="C52" s="152">
        <v>32118</v>
      </c>
      <c r="D52" s="152">
        <v>33656</v>
      </c>
      <c r="E52" s="152">
        <v>65774</v>
      </c>
      <c r="F52" s="152">
        <v>1558575709.1549301</v>
      </c>
      <c r="G52" s="152">
        <v>2045382128.5699401</v>
      </c>
      <c r="H52" s="152">
        <v>3603957837.7248602</v>
      </c>
      <c r="I52" t="s">
        <v>742</v>
      </c>
      <c r="J52" t="s">
        <v>137</v>
      </c>
      <c r="K52">
        <v>276493</v>
      </c>
      <c r="L52" t="s">
        <v>22</v>
      </c>
      <c r="M52"/>
      <c r="N52"/>
      <c r="O52"/>
      <c r="P52"/>
      <c r="Q52" s="152"/>
      <c r="R52"/>
      <c r="S52"/>
      <c r="T52"/>
      <c r="U52"/>
      <c r="V52"/>
    </row>
    <row r="53" spans="1:22" x14ac:dyDescent="0.2">
      <c r="A53" t="s">
        <v>166</v>
      </c>
      <c r="B53" t="s">
        <v>611</v>
      </c>
      <c r="C53" s="152">
        <v>32979</v>
      </c>
      <c r="D53" s="152">
        <v>31802</v>
      </c>
      <c r="E53" s="152">
        <v>64781</v>
      </c>
      <c r="F53" s="152">
        <v>842270821.63452995</v>
      </c>
      <c r="G53" s="152">
        <v>1144549274.90259</v>
      </c>
      <c r="H53" s="152">
        <v>1986820096.5371101</v>
      </c>
      <c r="I53" t="s">
        <v>867</v>
      </c>
      <c r="J53" t="s">
        <v>135</v>
      </c>
      <c r="K53">
        <v>753442</v>
      </c>
      <c r="L53" t="s">
        <v>198</v>
      </c>
      <c r="M53"/>
      <c r="N53"/>
      <c r="O53"/>
      <c r="P53"/>
      <c r="Q53" s="152"/>
      <c r="R53"/>
      <c r="S53"/>
      <c r="T53"/>
      <c r="U53"/>
      <c r="V53"/>
    </row>
    <row r="54" spans="1:22" x14ac:dyDescent="0.2">
      <c r="A54" t="s">
        <v>386</v>
      </c>
      <c r="B54" t="s">
        <v>624</v>
      </c>
      <c r="C54" s="152">
        <v>38715</v>
      </c>
      <c r="D54" s="152">
        <v>25503</v>
      </c>
      <c r="E54" s="152">
        <v>64218</v>
      </c>
      <c r="F54" s="152">
        <v>2653363659.12112</v>
      </c>
      <c r="G54" s="152">
        <v>2046926421.58988</v>
      </c>
      <c r="H54" s="152">
        <v>4700290080.71101</v>
      </c>
      <c r="I54" t="s">
        <v>867</v>
      </c>
      <c r="J54" t="s">
        <v>139</v>
      </c>
      <c r="K54">
        <v>819557</v>
      </c>
      <c r="L54" t="s">
        <v>198</v>
      </c>
      <c r="M54"/>
      <c r="N54"/>
      <c r="O54"/>
      <c r="P54"/>
      <c r="Q54" s="152"/>
      <c r="R54"/>
      <c r="S54"/>
      <c r="T54"/>
      <c r="U54"/>
      <c r="V54"/>
    </row>
    <row r="55" spans="1:22" x14ac:dyDescent="0.2">
      <c r="A55" t="s">
        <v>49</v>
      </c>
      <c r="B55" t="s">
        <v>640</v>
      </c>
      <c r="C55" s="152">
        <v>33908</v>
      </c>
      <c r="D55" s="152">
        <v>29743</v>
      </c>
      <c r="E55" s="152">
        <v>63651</v>
      </c>
      <c r="F55" s="152">
        <v>513311509.25237101</v>
      </c>
      <c r="G55" s="152">
        <v>550753742.29041803</v>
      </c>
      <c r="H55" s="152">
        <v>1064065251.5427901</v>
      </c>
      <c r="I55" t="s">
        <v>867</v>
      </c>
      <c r="J55" t="s">
        <v>135</v>
      </c>
      <c r="K55">
        <v>964171</v>
      </c>
      <c r="L55" t="s">
        <v>198</v>
      </c>
      <c r="M55"/>
      <c r="N55"/>
      <c r="O55"/>
      <c r="P55"/>
      <c r="Q55" s="152"/>
      <c r="R55"/>
      <c r="S55"/>
      <c r="T55"/>
      <c r="U55"/>
      <c r="V55"/>
    </row>
    <row r="56" spans="1:22" x14ac:dyDescent="0.2">
      <c r="A56" t="s">
        <v>338</v>
      </c>
      <c r="B56" t="s">
        <v>609</v>
      </c>
      <c r="C56" s="152">
        <v>36967</v>
      </c>
      <c r="D56" s="152">
        <v>25463</v>
      </c>
      <c r="E56" s="152">
        <v>62430</v>
      </c>
      <c r="F56" s="152">
        <v>970484405.99049401</v>
      </c>
      <c r="G56" s="152">
        <v>803263731.85347605</v>
      </c>
      <c r="H56" s="152">
        <v>1773748137.8439701</v>
      </c>
      <c r="I56" t="s">
        <v>867</v>
      </c>
      <c r="J56" t="s">
        <v>137</v>
      </c>
      <c r="K56">
        <v>749192</v>
      </c>
      <c r="L56" t="s">
        <v>198</v>
      </c>
      <c r="M56"/>
      <c r="N56"/>
      <c r="O56"/>
      <c r="P56"/>
      <c r="Q56" s="152"/>
      <c r="R56"/>
      <c r="S56"/>
      <c r="T56"/>
      <c r="U56"/>
      <c r="V56"/>
    </row>
    <row r="57" spans="1:22" x14ac:dyDescent="0.2">
      <c r="A57" t="s">
        <v>338</v>
      </c>
      <c r="B57" t="s">
        <v>1080</v>
      </c>
      <c r="C57" s="152">
        <v>29907</v>
      </c>
      <c r="D57" s="152">
        <v>31589</v>
      </c>
      <c r="E57" s="152">
        <v>61496</v>
      </c>
      <c r="F57" s="152">
        <v>275731813.16771799</v>
      </c>
      <c r="G57" s="152">
        <v>361302652.72035402</v>
      </c>
      <c r="H57" s="152">
        <v>637034465.88807201</v>
      </c>
      <c r="I57" t="s">
        <v>867</v>
      </c>
      <c r="J57" t="s">
        <v>137</v>
      </c>
      <c r="K57">
        <v>889204</v>
      </c>
      <c r="L57" t="s">
        <v>1068</v>
      </c>
      <c r="M57"/>
      <c r="N57"/>
      <c r="O57"/>
      <c r="P57"/>
      <c r="Q57" s="152"/>
      <c r="R57"/>
      <c r="S57"/>
      <c r="T57"/>
      <c r="U57"/>
      <c r="V57"/>
    </row>
    <row r="58" spans="1:22" x14ac:dyDescent="0.2">
      <c r="A58" t="s">
        <v>781</v>
      </c>
      <c r="B58" t="s">
        <v>433</v>
      </c>
      <c r="C58" s="152">
        <v>29236</v>
      </c>
      <c r="D58" s="152">
        <v>30114</v>
      </c>
      <c r="E58" s="152">
        <v>59350</v>
      </c>
      <c r="F58" s="152">
        <v>473648668.61949301</v>
      </c>
      <c r="G58" s="152">
        <v>620738640.22182298</v>
      </c>
      <c r="H58" s="152">
        <v>1094387308.84132</v>
      </c>
      <c r="I58" t="s">
        <v>867</v>
      </c>
      <c r="J58" t="s">
        <v>135</v>
      </c>
      <c r="K58">
        <v>393314</v>
      </c>
      <c r="L58" t="s">
        <v>1000</v>
      </c>
      <c r="M58"/>
      <c r="N58"/>
      <c r="O58"/>
      <c r="P58"/>
      <c r="Q58" s="152"/>
      <c r="R58"/>
      <c r="S58"/>
      <c r="T58"/>
      <c r="U58"/>
      <c r="V58"/>
    </row>
    <row r="59" spans="1:22" x14ac:dyDescent="0.2">
      <c r="A59" t="s">
        <v>416</v>
      </c>
      <c r="B59" t="s">
        <v>151</v>
      </c>
      <c r="C59" s="152">
        <v>23276</v>
      </c>
      <c r="D59" s="152">
        <v>34843</v>
      </c>
      <c r="E59" s="152">
        <v>58119</v>
      </c>
      <c r="F59" s="152">
        <v>555280310.94569802</v>
      </c>
      <c r="G59" s="152">
        <v>1061726561.59942</v>
      </c>
      <c r="H59" s="152">
        <v>1617006872.54512</v>
      </c>
      <c r="I59" t="s">
        <v>742</v>
      </c>
      <c r="J59" t="s">
        <v>135</v>
      </c>
      <c r="K59">
        <v>334409</v>
      </c>
      <c r="L59" t="s">
        <v>403</v>
      </c>
      <c r="M59"/>
      <c r="N59"/>
      <c r="O59"/>
      <c r="P59"/>
      <c r="Q59" s="152"/>
      <c r="R59"/>
      <c r="S59"/>
      <c r="T59"/>
      <c r="U59"/>
      <c r="V59"/>
    </row>
    <row r="60" spans="1:22" x14ac:dyDescent="0.2">
      <c r="A60" t="s">
        <v>302</v>
      </c>
      <c r="B60" t="s">
        <v>311</v>
      </c>
      <c r="C60" s="152">
        <v>28961</v>
      </c>
      <c r="D60" s="152">
        <v>25608</v>
      </c>
      <c r="E60" s="152">
        <v>54569</v>
      </c>
      <c r="F60" s="152">
        <v>533376251.16422898</v>
      </c>
      <c r="G60" s="152">
        <v>572027847.65543997</v>
      </c>
      <c r="H60" s="152">
        <v>1105404098.81967</v>
      </c>
      <c r="I60" t="s">
        <v>867</v>
      </c>
      <c r="J60" t="s">
        <v>135</v>
      </c>
      <c r="K60">
        <v>749788</v>
      </c>
      <c r="L60" t="s">
        <v>795</v>
      </c>
      <c r="M60"/>
      <c r="N60"/>
      <c r="O60"/>
      <c r="P60"/>
      <c r="Q60" s="152"/>
      <c r="R60"/>
      <c r="S60"/>
      <c r="T60"/>
      <c r="U60"/>
      <c r="V60"/>
    </row>
    <row r="61" spans="1:22" x14ac:dyDescent="0.2">
      <c r="A61" t="s">
        <v>166</v>
      </c>
      <c r="B61" t="s">
        <v>686</v>
      </c>
      <c r="C61" s="152">
        <v>25468</v>
      </c>
      <c r="D61" s="152">
        <v>27727</v>
      </c>
      <c r="E61" s="152">
        <v>53195</v>
      </c>
      <c r="F61" s="152">
        <v>225376913.393848</v>
      </c>
      <c r="G61" s="152">
        <v>305729196.73166001</v>
      </c>
      <c r="H61" s="152">
        <v>531106110.125507</v>
      </c>
      <c r="I61" t="s">
        <v>867</v>
      </c>
      <c r="J61" t="s">
        <v>135</v>
      </c>
      <c r="K61">
        <v>989434</v>
      </c>
      <c r="L61" t="s">
        <v>407</v>
      </c>
      <c r="M61"/>
      <c r="N61"/>
      <c r="O61"/>
      <c r="P61"/>
      <c r="Q61" s="152"/>
      <c r="R61"/>
      <c r="S61"/>
      <c r="T61"/>
      <c r="U61"/>
      <c r="V61"/>
    </row>
    <row r="62" spans="1:22" x14ac:dyDescent="0.2">
      <c r="A62" t="s">
        <v>338</v>
      </c>
      <c r="B62" t="s">
        <v>634</v>
      </c>
      <c r="C62" s="152">
        <v>26595</v>
      </c>
      <c r="D62" s="152">
        <v>25297</v>
      </c>
      <c r="E62" s="152">
        <v>51892</v>
      </c>
      <c r="F62" s="152">
        <v>2031285035.2069299</v>
      </c>
      <c r="G62" s="152">
        <v>2315461012.02984</v>
      </c>
      <c r="H62" s="152">
        <v>4346746047.2367697</v>
      </c>
      <c r="I62" t="s">
        <v>867</v>
      </c>
      <c r="J62" t="s">
        <v>137</v>
      </c>
      <c r="K62">
        <v>286179</v>
      </c>
      <c r="L62" t="s">
        <v>932</v>
      </c>
      <c r="M62"/>
      <c r="N62"/>
      <c r="O62"/>
      <c r="P62"/>
      <c r="Q62" s="152"/>
      <c r="R62"/>
      <c r="S62"/>
      <c r="T62"/>
      <c r="U62"/>
      <c r="V62"/>
    </row>
    <row r="63" spans="1:22" x14ac:dyDescent="0.2">
      <c r="A63" t="s">
        <v>837</v>
      </c>
      <c r="B63" t="s">
        <v>805</v>
      </c>
      <c r="C63" s="152">
        <v>23277</v>
      </c>
      <c r="D63" s="152">
        <v>27370</v>
      </c>
      <c r="E63" s="152">
        <v>50647</v>
      </c>
      <c r="F63" s="152">
        <v>660060450.38102305</v>
      </c>
      <c r="G63" s="152">
        <v>953595209.42290199</v>
      </c>
      <c r="H63" s="152">
        <v>1613655659.80392</v>
      </c>
      <c r="I63" t="s">
        <v>867</v>
      </c>
      <c r="J63" t="s">
        <v>135</v>
      </c>
      <c r="K63">
        <v>952010</v>
      </c>
      <c r="L63" t="s">
        <v>787</v>
      </c>
      <c r="M63"/>
      <c r="N63"/>
      <c r="O63"/>
      <c r="P63"/>
      <c r="Q63" s="152"/>
      <c r="R63"/>
      <c r="S63"/>
      <c r="T63"/>
      <c r="U63"/>
      <c r="V63"/>
    </row>
    <row r="64" spans="1:22" x14ac:dyDescent="0.2">
      <c r="A64" t="s">
        <v>781</v>
      </c>
      <c r="B64" t="s">
        <v>835</v>
      </c>
      <c r="C64" s="152">
        <v>25502</v>
      </c>
      <c r="D64" s="152">
        <v>24669</v>
      </c>
      <c r="E64" s="152">
        <v>50171</v>
      </c>
      <c r="F64" s="152">
        <v>644423930.21749103</v>
      </c>
      <c r="G64" s="152">
        <v>767686155.67228305</v>
      </c>
      <c r="H64" s="152">
        <v>1412110085.88977</v>
      </c>
      <c r="I64" t="s">
        <v>867</v>
      </c>
      <c r="J64" t="s">
        <v>135</v>
      </c>
      <c r="K64">
        <v>721860</v>
      </c>
      <c r="L64" t="s">
        <v>893</v>
      </c>
      <c r="M64"/>
      <c r="N64"/>
      <c r="O64"/>
      <c r="P64"/>
      <c r="Q64" s="152"/>
      <c r="R64"/>
      <c r="S64"/>
      <c r="T64"/>
      <c r="U64"/>
      <c r="V64"/>
    </row>
    <row r="65" spans="1:22" x14ac:dyDescent="0.2">
      <c r="A65" t="s">
        <v>49</v>
      </c>
      <c r="B65" t="s">
        <v>52</v>
      </c>
      <c r="C65" s="152">
        <v>25835</v>
      </c>
      <c r="D65" s="152">
        <v>24292</v>
      </c>
      <c r="E65" s="152">
        <v>50127</v>
      </c>
      <c r="F65" s="152">
        <v>394662700.250274</v>
      </c>
      <c r="G65" s="152">
        <v>452415529.9727</v>
      </c>
      <c r="H65" s="152">
        <v>847078230.22297394</v>
      </c>
      <c r="I65" t="s">
        <v>867</v>
      </c>
      <c r="J65" t="s">
        <v>135</v>
      </c>
      <c r="K65">
        <v>108506</v>
      </c>
      <c r="L65" t="s">
        <v>814</v>
      </c>
      <c r="M65"/>
      <c r="N65"/>
      <c r="O65"/>
      <c r="P65"/>
      <c r="Q65" s="152"/>
      <c r="R65"/>
      <c r="S65"/>
      <c r="T65"/>
      <c r="U65"/>
      <c r="V65"/>
    </row>
    <row r="66" spans="1:22" x14ac:dyDescent="0.2">
      <c r="A66" t="s">
        <v>312</v>
      </c>
      <c r="B66" t="s">
        <v>317</v>
      </c>
      <c r="C66" s="152">
        <v>24840</v>
      </c>
      <c r="D66" s="152">
        <v>23909</v>
      </c>
      <c r="E66" s="152">
        <v>48749</v>
      </c>
      <c r="F66" s="152">
        <v>378795683.20234698</v>
      </c>
      <c r="G66" s="152">
        <v>439446714.23542899</v>
      </c>
      <c r="H66" s="152">
        <v>818242397.43777597</v>
      </c>
      <c r="I66" t="s">
        <v>867</v>
      </c>
      <c r="J66" t="s">
        <v>135</v>
      </c>
      <c r="K66">
        <v>144337</v>
      </c>
      <c r="L66" t="s">
        <v>814</v>
      </c>
      <c r="M66"/>
      <c r="N66"/>
      <c r="O66"/>
      <c r="P66"/>
      <c r="Q66" s="152"/>
      <c r="R66"/>
      <c r="S66"/>
      <c r="T66"/>
      <c r="U66"/>
      <c r="V66"/>
    </row>
    <row r="67" spans="1:22" x14ac:dyDescent="0.2">
      <c r="A67" t="s">
        <v>837</v>
      </c>
      <c r="B67" t="s">
        <v>628</v>
      </c>
      <c r="C67" s="152">
        <v>21680</v>
      </c>
      <c r="D67" s="152">
        <v>26497</v>
      </c>
      <c r="E67" s="152">
        <v>48177</v>
      </c>
      <c r="F67" s="152">
        <v>548983649.06271803</v>
      </c>
      <c r="G67" s="152">
        <v>842528748.23466396</v>
      </c>
      <c r="H67" s="152">
        <v>1391512397.29738</v>
      </c>
      <c r="I67" t="s">
        <v>867</v>
      </c>
      <c r="J67" t="s">
        <v>135</v>
      </c>
      <c r="K67">
        <v>856682</v>
      </c>
      <c r="L67" t="s">
        <v>198</v>
      </c>
      <c r="M67"/>
      <c r="N67"/>
      <c r="O67"/>
      <c r="P67"/>
      <c r="Q67" s="152"/>
      <c r="R67"/>
      <c r="S67"/>
      <c r="T67"/>
      <c r="U67"/>
      <c r="V67"/>
    </row>
    <row r="68" spans="1:22" x14ac:dyDescent="0.2">
      <c r="A68" t="s">
        <v>338</v>
      </c>
      <c r="B68" t="s">
        <v>1067</v>
      </c>
      <c r="C68" s="152">
        <v>25130</v>
      </c>
      <c r="D68" s="152">
        <v>22403</v>
      </c>
      <c r="E68" s="152">
        <v>47533</v>
      </c>
      <c r="F68" s="152">
        <v>2003042635.6282401</v>
      </c>
      <c r="G68" s="152">
        <v>2121719532.7691801</v>
      </c>
      <c r="H68" s="152">
        <v>4124762168.3974199</v>
      </c>
      <c r="I68" t="s">
        <v>742</v>
      </c>
      <c r="J68" t="s">
        <v>137</v>
      </c>
      <c r="K68">
        <v>119776</v>
      </c>
      <c r="L68" t="s">
        <v>450</v>
      </c>
      <c r="M68"/>
      <c r="N68"/>
      <c r="O68"/>
      <c r="P68"/>
      <c r="Q68" s="152"/>
      <c r="R68"/>
      <c r="S68"/>
      <c r="T68"/>
      <c r="U68"/>
      <c r="V68"/>
    </row>
    <row r="69" spans="1:22" x14ac:dyDescent="0.2">
      <c r="A69" t="s">
        <v>645</v>
      </c>
      <c r="B69" t="s">
        <v>604</v>
      </c>
      <c r="C69" s="152">
        <v>26442</v>
      </c>
      <c r="D69" s="152">
        <v>19758</v>
      </c>
      <c r="E69" s="152">
        <v>46200</v>
      </c>
      <c r="F69" s="152">
        <v>715490498.11088896</v>
      </c>
      <c r="G69" s="152">
        <v>625210538.56443095</v>
      </c>
      <c r="H69" s="152">
        <v>1340701036.6753199</v>
      </c>
      <c r="I69" t="s">
        <v>867</v>
      </c>
      <c r="J69" t="s">
        <v>136</v>
      </c>
      <c r="K69">
        <v>677534</v>
      </c>
      <c r="L69" t="s">
        <v>198</v>
      </c>
      <c r="M69"/>
      <c r="N69"/>
      <c r="O69"/>
      <c r="P69"/>
      <c r="Q69" s="152"/>
      <c r="R69"/>
      <c r="S69"/>
      <c r="T69"/>
      <c r="U69"/>
      <c r="V69"/>
    </row>
    <row r="70" spans="1:22" x14ac:dyDescent="0.2">
      <c r="A70" t="s">
        <v>96</v>
      </c>
      <c r="B70" t="s">
        <v>936</v>
      </c>
      <c r="C70" s="152">
        <v>20733</v>
      </c>
      <c r="D70" s="152">
        <v>25460</v>
      </c>
      <c r="E70" s="152">
        <v>46193</v>
      </c>
      <c r="F70" s="152">
        <v>339197191.07033801</v>
      </c>
      <c r="G70" s="152">
        <v>524020062.15831202</v>
      </c>
      <c r="H70" s="152">
        <v>863217253.22864997</v>
      </c>
      <c r="I70" t="s">
        <v>867</v>
      </c>
      <c r="J70" t="s">
        <v>135</v>
      </c>
      <c r="K70">
        <v>538462</v>
      </c>
      <c r="L70" t="s">
        <v>927</v>
      </c>
      <c r="M70"/>
      <c r="N70"/>
      <c r="O70"/>
      <c r="P70"/>
      <c r="Q70" s="152"/>
      <c r="R70"/>
      <c r="S70"/>
      <c r="T70"/>
      <c r="U70"/>
      <c r="V70"/>
    </row>
    <row r="71" spans="1:22" x14ac:dyDescent="0.2">
      <c r="A71" t="s">
        <v>837</v>
      </c>
      <c r="B71" t="s">
        <v>838</v>
      </c>
      <c r="C71" s="152">
        <v>20235</v>
      </c>
      <c r="D71" s="152">
        <v>24529</v>
      </c>
      <c r="E71" s="152">
        <v>44764</v>
      </c>
      <c r="F71" s="152">
        <v>596787471.72594702</v>
      </c>
      <c r="G71" s="152">
        <v>874224886.69153702</v>
      </c>
      <c r="H71" s="152">
        <v>1471012358.41748</v>
      </c>
      <c r="I71" t="s">
        <v>867</v>
      </c>
      <c r="J71" t="s">
        <v>135</v>
      </c>
      <c r="K71">
        <v>842690</v>
      </c>
      <c r="L71" t="s">
        <v>812</v>
      </c>
      <c r="M71"/>
      <c r="N71"/>
      <c r="O71"/>
      <c r="P71"/>
      <c r="Q71" s="152"/>
      <c r="R71"/>
      <c r="S71"/>
      <c r="T71"/>
      <c r="U71"/>
      <c r="V71"/>
    </row>
    <row r="72" spans="1:22" x14ac:dyDescent="0.2">
      <c r="A72" t="s">
        <v>183</v>
      </c>
      <c r="B72" t="s">
        <v>412</v>
      </c>
      <c r="C72" s="152">
        <v>21273</v>
      </c>
      <c r="D72" s="152">
        <v>23302</v>
      </c>
      <c r="E72" s="152">
        <v>44575</v>
      </c>
      <c r="F72" s="152">
        <v>417165561.72833699</v>
      </c>
      <c r="G72" s="152">
        <v>592789922.00166297</v>
      </c>
      <c r="H72" s="152">
        <v>1009955483.73</v>
      </c>
      <c r="I72" t="s">
        <v>867</v>
      </c>
      <c r="J72" t="s">
        <v>135</v>
      </c>
      <c r="K72">
        <v>987842</v>
      </c>
      <c r="L72" t="s">
        <v>787</v>
      </c>
      <c r="M72"/>
      <c r="N72"/>
      <c r="O72"/>
      <c r="P72"/>
      <c r="Q72" s="152"/>
      <c r="R72"/>
      <c r="S72"/>
      <c r="T72"/>
      <c r="U72"/>
      <c r="V72"/>
    </row>
    <row r="73" spans="1:22" x14ac:dyDescent="0.2">
      <c r="A73" t="s">
        <v>338</v>
      </c>
      <c r="B73" t="s">
        <v>1109</v>
      </c>
      <c r="C73" s="152">
        <v>20236</v>
      </c>
      <c r="D73" s="152">
        <v>24234</v>
      </c>
      <c r="E73" s="152">
        <v>44470</v>
      </c>
      <c r="F73" s="152">
        <v>852048677.76560295</v>
      </c>
      <c r="G73" s="152">
        <v>1264608726.9909501</v>
      </c>
      <c r="H73" s="152">
        <v>2116657404.7565501</v>
      </c>
      <c r="I73" t="s">
        <v>742</v>
      </c>
      <c r="J73" t="s">
        <v>137</v>
      </c>
      <c r="K73">
        <v>391839</v>
      </c>
      <c r="L73" t="s">
        <v>1107</v>
      </c>
      <c r="M73"/>
      <c r="N73"/>
      <c r="O73"/>
      <c r="P73"/>
      <c r="Q73" s="152"/>
      <c r="R73"/>
      <c r="S73"/>
      <c r="T73"/>
      <c r="U73"/>
      <c r="V73"/>
    </row>
    <row r="74" spans="1:22" x14ac:dyDescent="0.2">
      <c r="A74" t="s">
        <v>338</v>
      </c>
      <c r="B74" t="s">
        <v>1106</v>
      </c>
      <c r="C74" s="152">
        <v>20233</v>
      </c>
      <c r="D74" s="152">
        <v>24235</v>
      </c>
      <c r="E74" s="152">
        <v>44468</v>
      </c>
      <c r="F74" s="152">
        <v>893962199.94614804</v>
      </c>
      <c r="G74" s="152">
        <v>1321485688.9633501</v>
      </c>
      <c r="H74" s="152">
        <v>2215447888.9095001</v>
      </c>
      <c r="I74" t="s">
        <v>742</v>
      </c>
      <c r="J74" t="s">
        <v>137</v>
      </c>
      <c r="K74">
        <v>356006</v>
      </c>
      <c r="L74" t="s">
        <v>1107</v>
      </c>
      <c r="M74"/>
      <c r="N74"/>
      <c r="O74"/>
      <c r="P74"/>
      <c r="Q74" s="152"/>
      <c r="R74"/>
      <c r="S74"/>
      <c r="T74"/>
      <c r="U74"/>
      <c r="V74"/>
    </row>
    <row r="75" spans="1:22" x14ac:dyDescent="0.2">
      <c r="A75" t="s">
        <v>861</v>
      </c>
      <c r="B75" t="s">
        <v>625</v>
      </c>
      <c r="C75" s="152">
        <v>21118</v>
      </c>
      <c r="D75" s="152">
        <v>23042</v>
      </c>
      <c r="E75" s="152">
        <v>44160</v>
      </c>
      <c r="F75" s="152">
        <v>442076821.91101801</v>
      </c>
      <c r="G75" s="152">
        <v>596567995.33182299</v>
      </c>
      <c r="H75" s="152">
        <v>1038644817.2428401</v>
      </c>
      <c r="I75" t="s">
        <v>867</v>
      </c>
      <c r="J75" t="s">
        <v>135</v>
      </c>
      <c r="K75">
        <v>820852</v>
      </c>
      <c r="L75" t="s">
        <v>198</v>
      </c>
      <c r="M75"/>
      <c r="N75"/>
      <c r="O75"/>
      <c r="P75"/>
      <c r="Q75" s="152"/>
      <c r="R75"/>
      <c r="S75"/>
      <c r="T75"/>
      <c r="U75"/>
      <c r="V75"/>
    </row>
    <row r="76" spans="1:22" x14ac:dyDescent="0.2">
      <c r="A76" t="s">
        <v>114</v>
      </c>
      <c r="B76" t="s">
        <v>1124</v>
      </c>
      <c r="C76" s="152">
        <v>19999</v>
      </c>
      <c r="D76" s="152">
        <v>24007</v>
      </c>
      <c r="E76" s="152">
        <v>44006</v>
      </c>
      <c r="F76" s="152">
        <v>339495502.18937898</v>
      </c>
      <c r="G76" s="152">
        <v>502054355.81514299</v>
      </c>
      <c r="H76" s="152">
        <v>841549858.00452197</v>
      </c>
      <c r="I76" t="s">
        <v>867</v>
      </c>
      <c r="J76" t="s">
        <v>135</v>
      </c>
      <c r="K76">
        <v>248161</v>
      </c>
      <c r="L76" t="s">
        <v>914</v>
      </c>
      <c r="M76"/>
      <c r="N76"/>
      <c r="O76"/>
      <c r="P76"/>
      <c r="Q76" s="152"/>
      <c r="R76"/>
      <c r="S76"/>
      <c r="T76"/>
      <c r="U76"/>
      <c r="V76"/>
    </row>
    <row r="77" spans="1:22" x14ac:dyDescent="0.2">
      <c r="A77" t="s">
        <v>49</v>
      </c>
      <c r="B77" t="s">
        <v>62</v>
      </c>
      <c r="C77" s="152">
        <v>22637</v>
      </c>
      <c r="D77" s="152">
        <v>20163</v>
      </c>
      <c r="E77" s="152">
        <v>42800</v>
      </c>
      <c r="F77" s="152">
        <v>350629410.61115199</v>
      </c>
      <c r="G77" s="152">
        <v>377939085.79207098</v>
      </c>
      <c r="H77" s="152">
        <v>728568496.40322304</v>
      </c>
      <c r="I77" t="s">
        <v>867</v>
      </c>
      <c r="J77" t="s">
        <v>135</v>
      </c>
      <c r="K77">
        <v>686030</v>
      </c>
      <c r="L77" t="s">
        <v>893</v>
      </c>
      <c r="M77"/>
      <c r="N77"/>
      <c r="O77"/>
      <c r="P77"/>
      <c r="Q77" s="152"/>
      <c r="R77"/>
      <c r="S77"/>
      <c r="T77"/>
      <c r="U77"/>
      <c r="V77"/>
    </row>
    <row r="78" spans="1:22" x14ac:dyDescent="0.2">
      <c r="A78" t="s">
        <v>840</v>
      </c>
      <c r="B78" t="s">
        <v>975</v>
      </c>
      <c r="C78" s="152">
        <v>21486</v>
      </c>
      <c r="D78" s="152">
        <v>21288</v>
      </c>
      <c r="E78" s="152">
        <v>42774</v>
      </c>
      <c r="F78" s="152">
        <v>538129856.89075398</v>
      </c>
      <c r="G78" s="152">
        <v>658567745.76512301</v>
      </c>
      <c r="H78" s="152">
        <v>1196697602.65588</v>
      </c>
      <c r="I78" t="s">
        <v>867</v>
      </c>
      <c r="J78" t="s">
        <v>135</v>
      </c>
      <c r="K78">
        <v>208496</v>
      </c>
      <c r="L78" t="s">
        <v>787</v>
      </c>
      <c r="M78"/>
      <c r="N78"/>
      <c r="O78"/>
      <c r="P78"/>
      <c r="Q78" s="152"/>
      <c r="R78"/>
      <c r="S78"/>
      <c r="T78"/>
      <c r="U78"/>
      <c r="V78"/>
    </row>
    <row r="79" spans="1:22" x14ac:dyDescent="0.2">
      <c r="A79" t="s">
        <v>338</v>
      </c>
      <c r="B79" t="s">
        <v>1070</v>
      </c>
      <c r="C79" s="152">
        <v>19446</v>
      </c>
      <c r="D79" s="152">
        <v>23299</v>
      </c>
      <c r="E79" s="152">
        <v>42745</v>
      </c>
      <c r="F79" s="152">
        <v>1540644014.1588099</v>
      </c>
      <c r="G79" s="152">
        <v>2248459048.3417802</v>
      </c>
      <c r="H79" s="152">
        <v>3789103062.5005999</v>
      </c>
      <c r="I79" t="s">
        <v>742</v>
      </c>
      <c r="J79" t="s">
        <v>137</v>
      </c>
      <c r="K79">
        <v>912287</v>
      </c>
      <c r="L79" t="s">
        <v>450</v>
      </c>
      <c r="M79"/>
      <c r="N79"/>
      <c r="O79"/>
      <c r="P79"/>
      <c r="Q79" s="152"/>
      <c r="R79"/>
      <c r="S79"/>
      <c r="T79"/>
      <c r="U79"/>
      <c r="V79"/>
    </row>
    <row r="80" spans="1:22" x14ac:dyDescent="0.2">
      <c r="A80" t="s">
        <v>293</v>
      </c>
      <c r="B80" t="s">
        <v>297</v>
      </c>
      <c r="C80" s="152">
        <v>19835</v>
      </c>
      <c r="D80" s="152">
        <v>22548</v>
      </c>
      <c r="E80" s="152">
        <v>42383</v>
      </c>
      <c r="F80" s="152">
        <v>369060252.14298397</v>
      </c>
      <c r="G80" s="152">
        <v>543876810.14732695</v>
      </c>
      <c r="H80" s="152">
        <v>912937062.29031205</v>
      </c>
      <c r="I80" t="s">
        <v>867</v>
      </c>
      <c r="J80" t="s">
        <v>135</v>
      </c>
      <c r="K80">
        <v>194092</v>
      </c>
      <c r="L80" t="s">
        <v>907</v>
      </c>
      <c r="M80"/>
      <c r="N80"/>
      <c r="O80"/>
      <c r="P80"/>
      <c r="Q80" s="152"/>
      <c r="R80"/>
      <c r="S80"/>
      <c r="T80"/>
      <c r="U80"/>
      <c r="V80"/>
    </row>
    <row r="81" spans="1:22" x14ac:dyDescent="0.2">
      <c r="A81" t="s">
        <v>114</v>
      </c>
      <c r="B81" t="s">
        <v>147</v>
      </c>
      <c r="C81" s="152">
        <v>21361</v>
      </c>
      <c r="D81" s="152">
        <v>20501</v>
      </c>
      <c r="E81" s="152">
        <v>41862</v>
      </c>
      <c r="F81" s="152">
        <v>387993014.77764499</v>
      </c>
      <c r="G81" s="152">
        <v>457185969.53396899</v>
      </c>
      <c r="H81" s="152">
        <v>845178984.31161404</v>
      </c>
      <c r="I81" t="s">
        <v>742</v>
      </c>
      <c r="J81" t="s">
        <v>135</v>
      </c>
      <c r="K81">
        <v>563254</v>
      </c>
      <c r="L81" t="s">
        <v>894</v>
      </c>
      <c r="M81"/>
      <c r="N81"/>
      <c r="O81"/>
      <c r="P81"/>
      <c r="Q81" s="152"/>
      <c r="R81"/>
      <c r="S81"/>
      <c r="T81"/>
      <c r="U81"/>
      <c r="V81"/>
    </row>
    <row r="82" spans="1:22" x14ac:dyDescent="0.2">
      <c r="A82" t="s">
        <v>166</v>
      </c>
      <c r="B82" t="s">
        <v>182</v>
      </c>
      <c r="C82" s="152">
        <v>22083</v>
      </c>
      <c r="D82" s="152">
        <v>17939</v>
      </c>
      <c r="E82" s="152">
        <v>40022</v>
      </c>
      <c r="F82" s="152">
        <v>405078567.89938599</v>
      </c>
      <c r="G82" s="152">
        <v>382800765.81401801</v>
      </c>
      <c r="H82" s="152">
        <v>787879333.71340406</v>
      </c>
      <c r="I82" t="s">
        <v>867</v>
      </c>
      <c r="J82" t="s">
        <v>135</v>
      </c>
      <c r="K82">
        <v>475301</v>
      </c>
      <c r="L82" t="s">
        <v>791</v>
      </c>
      <c r="M82"/>
      <c r="N82"/>
      <c r="O82"/>
      <c r="P82"/>
      <c r="Q82" s="152"/>
      <c r="R82"/>
      <c r="S82"/>
      <c r="T82"/>
      <c r="U82"/>
      <c r="V82"/>
    </row>
    <row r="83" spans="1:22" x14ac:dyDescent="0.2">
      <c r="A83" t="s">
        <v>861</v>
      </c>
      <c r="B83" t="s">
        <v>629</v>
      </c>
      <c r="C83" s="152">
        <v>20095</v>
      </c>
      <c r="D83" s="152">
        <v>19654</v>
      </c>
      <c r="E83" s="152">
        <v>39749</v>
      </c>
      <c r="F83" s="152">
        <v>453072015.76043302</v>
      </c>
      <c r="G83" s="152">
        <v>547162678.74321496</v>
      </c>
      <c r="H83" s="152">
        <v>1000234694.50365</v>
      </c>
      <c r="I83" t="s">
        <v>867</v>
      </c>
      <c r="J83" t="s">
        <v>135</v>
      </c>
      <c r="K83">
        <v>860932</v>
      </c>
      <c r="L83" t="s">
        <v>198</v>
      </c>
      <c r="M83"/>
      <c r="N83"/>
      <c r="O83"/>
      <c r="P83"/>
      <c r="Q83" s="152"/>
      <c r="R83"/>
      <c r="S83"/>
      <c r="T83"/>
      <c r="U83"/>
      <c r="V83"/>
    </row>
    <row r="84" spans="1:22" x14ac:dyDescent="0.2">
      <c r="A84" t="s">
        <v>293</v>
      </c>
      <c r="B84" t="s">
        <v>300</v>
      </c>
      <c r="C84" s="152">
        <v>18789</v>
      </c>
      <c r="D84" s="152">
        <v>20382</v>
      </c>
      <c r="E84" s="152">
        <v>39171</v>
      </c>
      <c r="F84" s="152">
        <v>248626251.79267901</v>
      </c>
      <c r="G84" s="152">
        <v>335671850.767187</v>
      </c>
      <c r="H84" s="152">
        <v>584298102.55986595</v>
      </c>
      <c r="I84" t="s">
        <v>867</v>
      </c>
      <c r="J84" t="s">
        <v>135</v>
      </c>
      <c r="K84">
        <v>785618</v>
      </c>
      <c r="L84" t="s">
        <v>795</v>
      </c>
      <c r="M84"/>
      <c r="N84"/>
      <c r="O84"/>
      <c r="P84"/>
      <c r="Q84" s="152"/>
      <c r="R84"/>
      <c r="S84"/>
      <c r="T84"/>
      <c r="U84"/>
      <c r="V84"/>
    </row>
    <row r="85" spans="1:22" x14ac:dyDescent="0.2">
      <c r="A85" t="s">
        <v>114</v>
      </c>
      <c r="B85" t="s">
        <v>148</v>
      </c>
      <c r="C85" s="152">
        <v>18792</v>
      </c>
      <c r="D85" s="152">
        <v>20324</v>
      </c>
      <c r="E85" s="152">
        <v>39116</v>
      </c>
      <c r="F85" s="152">
        <v>327859800.03508699</v>
      </c>
      <c r="G85" s="152">
        <v>446674204.89177901</v>
      </c>
      <c r="H85" s="152">
        <v>774534004.92686498</v>
      </c>
      <c r="I85" t="s">
        <v>867</v>
      </c>
      <c r="J85" t="s">
        <v>135</v>
      </c>
      <c r="K85">
        <v>650200</v>
      </c>
      <c r="L85" t="s">
        <v>893</v>
      </c>
      <c r="M85"/>
      <c r="N85"/>
      <c r="O85"/>
      <c r="P85"/>
      <c r="Q85" s="152"/>
      <c r="R85"/>
      <c r="S85"/>
      <c r="T85"/>
      <c r="U85"/>
      <c r="V85"/>
    </row>
    <row r="86" spans="1:22" x14ac:dyDescent="0.2">
      <c r="A86" t="s">
        <v>49</v>
      </c>
      <c r="B86" t="s">
        <v>61</v>
      </c>
      <c r="C86" s="152">
        <v>19068</v>
      </c>
      <c r="D86" s="152">
        <v>19796</v>
      </c>
      <c r="E86" s="152">
        <v>38864</v>
      </c>
      <c r="F86" s="152">
        <v>295808481.23469698</v>
      </c>
      <c r="G86" s="152">
        <v>358072417.72971499</v>
      </c>
      <c r="H86" s="152">
        <v>653880898.96441197</v>
      </c>
      <c r="I86" t="s">
        <v>867</v>
      </c>
      <c r="J86" t="s">
        <v>135</v>
      </c>
      <c r="K86">
        <v>492306</v>
      </c>
      <c r="L86" t="s">
        <v>810</v>
      </c>
      <c r="M86"/>
      <c r="N86"/>
      <c r="O86"/>
      <c r="P86"/>
      <c r="Q86" s="152"/>
      <c r="R86"/>
      <c r="S86"/>
      <c r="T86"/>
      <c r="U86"/>
      <c r="V86"/>
    </row>
    <row r="87" spans="1:22" x14ac:dyDescent="0.2">
      <c r="A87" t="s">
        <v>840</v>
      </c>
      <c r="B87" t="s">
        <v>869</v>
      </c>
      <c r="C87" s="152">
        <v>13664</v>
      </c>
      <c r="D87" s="152">
        <v>24731</v>
      </c>
      <c r="E87" s="152">
        <v>38395</v>
      </c>
      <c r="F87" s="152">
        <v>399142757.92935801</v>
      </c>
      <c r="G87" s="152">
        <v>884392166.92966497</v>
      </c>
      <c r="H87" s="152">
        <v>1283534924.85902</v>
      </c>
      <c r="I87" t="s">
        <v>867</v>
      </c>
      <c r="J87" t="s">
        <v>135</v>
      </c>
      <c r="K87">
        <v>734491</v>
      </c>
      <c r="L87" t="s">
        <v>247</v>
      </c>
      <c r="M87"/>
      <c r="N87"/>
      <c r="O87"/>
      <c r="P87"/>
      <c r="Q87" s="152"/>
      <c r="R87"/>
      <c r="S87"/>
      <c r="T87"/>
      <c r="U87"/>
      <c r="V87"/>
    </row>
    <row r="88" spans="1:22" x14ac:dyDescent="0.2">
      <c r="A88" t="s">
        <v>114</v>
      </c>
      <c r="B88" t="s">
        <v>128</v>
      </c>
      <c r="C88" s="152">
        <v>16589</v>
      </c>
      <c r="D88" s="152">
        <v>21187</v>
      </c>
      <c r="E88" s="152">
        <v>37776</v>
      </c>
      <c r="F88" s="152">
        <v>246445303.10783401</v>
      </c>
      <c r="G88" s="152">
        <v>373216188.41587198</v>
      </c>
      <c r="H88" s="152">
        <v>619661491.52370596</v>
      </c>
      <c r="I88" t="s">
        <v>867</v>
      </c>
      <c r="J88" t="s">
        <v>135</v>
      </c>
      <c r="K88">
        <v>511139</v>
      </c>
      <c r="L88" t="s">
        <v>791</v>
      </c>
      <c r="M88"/>
      <c r="N88"/>
      <c r="O88"/>
      <c r="P88"/>
      <c r="Q88" s="152"/>
      <c r="R88"/>
      <c r="S88"/>
      <c r="T88"/>
      <c r="U88"/>
      <c r="V88"/>
    </row>
    <row r="89" spans="1:22" x14ac:dyDescent="0.2">
      <c r="A89" t="s">
        <v>234</v>
      </c>
      <c r="B89" t="s">
        <v>242</v>
      </c>
      <c r="C89" s="152">
        <v>16716</v>
      </c>
      <c r="D89" s="152">
        <v>20074</v>
      </c>
      <c r="E89" s="152">
        <v>36790</v>
      </c>
      <c r="F89" s="152">
        <v>260048535.115044</v>
      </c>
      <c r="G89" s="152">
        <v>382214364.38724202</v>
      </c>
      <c r="H89" s="152">
        <v>642262899.50228596</v>
      </c>
      <c r="I89" t="s">
        <v>867</v>
      </c>
      <c r="J89" t="s">
        <v>135</v>
      </c>
      <c r="K89">
        <v>442483</v>
      </c>
      <c r="L89" t="s">
        <v>239</v>
      </c>
      <c r="M89"/>
      <c r="N89"/>
      <c r="O89"/>
      <c r="P89"/>
      <c r="Q89" s="152"/>
      <c r="R89"/>
      <c r="S89"/>
      <c r="T89"/>
      <c r="U89"/>
      <c r="V89"/>
    </row>
    <row r="90" spans="1:22" x14ac:dyDescent="0.2">
      <c r="A90" t="s">
        <v>382</v>
      </c>
      <c r="B90" t="s">
        <v>384</v>
      </c>
      <c r="C90" s="152">
        <v>17172</v>
      </c>
      <c r="D90" s="152">
        <v>19195</v>
      </c>
      <c r="E90" s="152">
        <v>36367</v>
      </c>
      <c r="F90" s="152">
        <v>388288782.38750303</v>
      </c>
      <c r="G90" s="152">
        <v>535981733.29095799</v>
      </c>
      <c r="H90" s="152">
        <v>924270515.67846096</v>
      </c>
      <c r="I90" t="s">
        <v>867</v>
      </c>
      <c r="J90" t="s">
        <v>139</v>
      </c>
      <c r="K90">
        <v>850602</v>
      </c>
      <c r="L90" t="s">
        <v>810</v>
      </c>
      <c r="M90"/>
      <c r="N90"/>
      <c r="O90"/>
      <c r="P90"/>
      <c r="Q90" s="152"/>
      <c r="R90"/>
      <c r="S90"/>
      <c r="T90"/>
      <c r="U90"/>
      <c r="V90"/>
    </row>
    <row r="91" spans="1:22" x14ac:dyDescent="0.2">
      <c r="A91" t="s">
        <v>312</v>
      </c>
      <c r="B91" t="s">
        <v>315</v>
      </c>
      <c r="C91" s="152">
        <v>16602</v>
      </c>
      <c r="D91" s="152">
        <v>19627</v>
      </c>
      <c r="E91" s="152">
        <v>36229</v>
      </c>
      <c r="F91" s="152">
        <v>467952991.20961303</v>
      </c>
      <c r="G91" s="152">
        <v>664986591.42775404</v>
      </c>
      <c r="H91" s="152">
        <v>1132939582.6373701</v>
      </c>
      <c r="I91" t="s">
        <v>867</v>
      </c>
      <c r="J91" t="s">
        <v>135</v>
      </c>
      <c r="K91">
        <v>313742</v>
      </c>
      <c r="L91" t="s">
        <v>810</v>
      </c>
      <c r="M91"/>
      <c r="N91"/>
      <c r="O91"/>
      <c r="P91"/>
      <c r="Q91" s="152"/>
      <c r="R91"/>
      <c r="S91"/>
      <c r="T91"/>
      <c r="U91"/>
      <c r="V91"/>
    </row>
    <row r="92" spans="1:22" x14ac:dyDescent="0.2">
      <c r="A92" t="s">
        <v>386</v>
      </c>
      <c r="B92" t="s">
        <v>627</v>
      </c>
      <c r="C92" s="152">
        <v>21751</v>
      </c>
      <c r="D92" s="152">
        <v>13447</v>
      </c>
      <c r="E92" s="152">
        <v>35198</v>
      </c>
      <c r="F92" s="152">
        <v>1322028433.46859</v>
      </c>
      <c r="G92" s="152">
        <v>938978218.128914</v>
      </c>
      <c r="H92" s="152">
        <v>2261006651.5974998</v>
      </c>
      <c r="I92" t="s">
        <v>867</v>
      </c>
      <c r="J92" t="s">
        <v>139</v>
      </c>
      <c r="K92">
        <v>855387</v>
      </c>
      <c r="L92" t="s">
        <v>198</v>
      </c>
      <c r="M92"/>
      <c r="N92"/>
      <c r="O92"/>
      <c r="P92"/>
      <c r="Q92" s="152"/>
      <c r="R92"/>
      <c r="S92"/>
      <c r="T92"/>
      <c r="U92"/>
      <c r="V92"/>
    </row>
    <row r="93" spans="1:22" x14ac:dyDescent="0.2">
      <c r="A93" t="s">
        <v>645</v>
      </c>
      <c r="B93" t="s">
        <v>699</v>
      </c>
      <c r="C93" s="152">
        <v>17475</v>
      </c>
      <c r="D93" s="152">
        <v>16306</v>
      </c>
      <c r="E93" s="152">
        <v>33781</v>
      </c>
      <c r="F93" s="152">
        <v>420402491.27816403</v>
      </c>
      <c r="G93" s="152">
        <v>474573692.93215698</v>
      </c>
      <c r="H93" s="152">
        <v>894976184.21032095</v>
      </c>
      <c r="I93" t="s">
        <v>867</v>
      </c>
      <c r="J93" t="s">
        <v>136</v>
      </c>
      <c r="K93">
        <v>869438</v>
      </c>
      <c r="L93" t="s">
        <v>892</v>
      </c>
      <c r="M93"/>
      <c r="N93"/>
      <c r="O93"/>
      <c r="P93"/>
      <c r="Q93" s="152"/>
      <c r="R93"/>
      <c r="S93"/>
      <c r="T93"/>
      <c r="U93"/>
      <c r="V93"/>
    </row>
    <row r="94" spans="1:22" x14ac:dyDescent="0.2">
      <c r="A94" t="s">
        <v>781</v>
      </c>
      <c r="B94" t="s">
        <v>481</v>
      </c>
      <c r="C94" s="152">
        <v>20187</v>
      </c>
      <c r="D94" s="152">
        <v>13020</v>
      </c>
      <c r="E94" s="152">
        <v>33207</v>
      </c>
      <c r="F94" s="152">
        <v>429127070.82420897</v>
      </c>
      <c r="G94" s="152">
        <v>331141029.096874</v>
      </c>
      <c r="H94" s="152">
        <v>760268099.92108297</v>
      </c>
      <c r="I94" t="s">
        <v>867</v>
      </c>
      <c r="J94" t="s">
        <v>135</v>
      </c>
      <c r="K94">
        <v>853499</v>
      </c>
      <c r="L94" t="s">
        <v>198</v>
      </c>
      <c r="M94"/>
      <c r="N94"/>
      <c r="O94"/>
      <c r="P94"/>
      <c r="Q94" s="152"/>
      <c r="R94"/>
      <c r="S94"/>
      <c r="T94"/>
      <c r="U94"/>
      <c r="V94"/>
    </row>
    <row r="95" spans="1:22" x14ac:dyDescent="0.2">
      <c r="A95" t="s">
        <v>150</v>
      </c>
      <c r="B95" t="s">
        <v>590</v>
      </c>
      <c r="C95" s="152">
        <v>15438</v>
      </c>
      <c r="D95" s="152">
        <v>17681</v>
      </c>
      <c r="E95" s="152">
        <v>33119</v>
      </c>
      <c r="F95" s="152">
        <v>259167339.210457</v>
      </c>
      <c r="G95" s="152">
        <v>398139920.35454702</v>
      </c>
      <c r="H95" s="152">
        <v>657307259.56500399</v>
      </c>
      <c r="I95" t="s">
        <v>867</v>
      </c>
      <c r="J95" t="s">
        <v>135</v>
      </c>
      <c r="K95">
        <v>104257</v>
      </c>
      <c r="L95" t="s">
        <v>198</v>
      </c>
      <c r="M95"/>
      <c r="N95"/>
      <c r="O95"/>
      <c r="P95"/>
      <c r="Q95" s="152"/>
      <c r="R95"/>
      <c r="S95"/>
      <c r="T95"/>
      <c r="U95"/>
      <c r="V95"/>
    </row>
    <row r="96" spans="1:22" x14ac:dyDescent="0.2">
      <c r="A96" t="s">
        <v>338</v>
      </c>
      <c r="B96" t="s">
        <v>1153</v>
      </c>
      <c r="C96" s="152">
        <v>16540</v>
      </c>
      <c r="D96" s="152">
        <v>15966</v>
      </c>
      <c r="E96" s="152">
        <v>32506</v>
      </c>
      <c r="F96" s="152">
        <v>1359405756.938</v>
      </c>
      <c r="G96" s="152">
        <v>1623713329.0332601</v>
      </c>
      <c r="H96" s="152">
        <v>2983119085.9712601</v>
      </c>
      <c r="I96" t="s">
        <v>742</v>
      </c>
      <c r="J96" t="s">
        <v>137</v>
      </c>
      <c r="K96">
        <v>982116</v>
      </c>
      <c r="L96" t="s">
        <v>1152</v>
      </c>
      <c r="M96"/>
      <c r="N96"/>
      <c r="O96"/>
      <c r="P96"/>
      <c r="Q96" s="152"/>
      <c r="R96"/>
      <c r="S96"/>
      <c r="T96"/>
      <c r="U96"/>
      <c r="V96"/>
    </row>
    <row r="97" spans="1:22" x14ac:dyDescent="0.2">
      <c r="A97" t="s">
        <v>781</v>
      </c>
      <c r="B97" t="s">
        <v>811</v>
      </c>
      <c r="C97" s="152">
        <v>15627</v>
      </c>
      <c r="D97" s="152">
        <v>16643</v>
      </c>
      <c r="E97" s="152">
        <v>32270</v>
      </c>
      <c r="F97" s="152">
        <v>405243660.43497199</v>
      </c>
      <c r="G97" s="152">
        <v>530068095.04390198</v>
      </c>
      <c r="H97" s="152">
        <v>935311755.47887397</v>
      </c>
      <c r="I97" t="s">
        <v>867</v>
      </c>
      <c r="J97" t="s">
        <v>135</v>
      </c>
      <c r="K97">
        <v>528133</v>
      </c>
      <c r="L97" t="s">
        <v>810</v>
      </c>
      <c r="M97"/>
      <c r="N97"/>
      <c r="O97"/>
      <c r="P97"/>
      <c r="Q97" s="152"/>
      <c r="R97"/>
      <c r="S97"/>
      <c r="T97"/>
      <c r="U97"/>
      <c r="V97"/>
    </row>
    <row r="98" spans="1:22" x14ac:dyDescent="0.2">
      <c r="A98" t="s">
        <v>150</v>
      </c>
      <c r="B98" t="s">
        <v>159</v>
      </c>
      <c r="C98" s="152">
        <v>14807</v>
      </c>
      <c r="D98" s="152">
        <v>17319</v>
      </c>
      <c r="E98" s="152">
        <v>32126</v>
      </c>
      <c r="F98" s="152">
        <v>293808469.50531602</v>
      </c>
      <c r="G98" s="152">
        <v>451177754.85846698</v>
      </c>
      <c r="H98" s="152">
        <v>744986224.363783</v>
      </c>
      <c r="I98" t="s">
        <v>867</v>
      </c>
      <c r="J98" t="s">
        <v>135</v>
      </c>
      <c r="K98">
        <v>471052</v>
      </c>
      <c r="L98" t="s">
        <v>893</v>
      </c>
      <c r="M98"/>
      <c r="N98"/>
      <c r="O98"/>
      <c r="P98"/>
      <c r="Q98" s="152"/>
      <c r="R98"/>
      <c r="S98"/>
      <c r="T98"/>
      <c r="U98"/>
      <c r="V98"/>
    </row>
    <row r="99" spans="1:22" x14ac:dyDescent="0.2">
      <c r="A99" t="s">
        <v>781</v>
      </c>
      <c r="B99" t="s">
        <v>75</v>
      </c>
      <c r="C99" s="152">
        <v>15636</v>
      </c>
      <c r="D99" s="152">
        <v>16417</v>
      </c>
      <c r="E99" s="152">
        <v>32053</v>
      </c>
      <c r="F99" s="152">
        <v>207406835.52456301</v>
      </c>
      <c r="G99" s="152">
        <v>279932087.05186099</v>
      </c>
      <c r="H99" s="152">
        <v>487338922.576424</v>
      </c>
      <c r="I99" t="s">
        <v>867</v>
      </c>
      <c r="J99" t="s">
        <v>135</v>
      </c>
      <c r="K99">
        <v>490292</v>
      </c>
      <c r="L99" t="s">
        <v>812</v>
      </c>
      <c r="M99"/>
      <c r="N99"/>
      <c r="O99"/>
      <c r="P99"/>
      <c r="Q99" s="152"/>
      <c r="R99"/>
      <c r="S99"/>
      <c r="T99"/>
      <c r="U99"/>
      <c r="V99"/>
    </row>
    <row r="100" spans="1:22" x14ac:dyDescent="0.2">
      <c r="A100" t="s">
        <v>781</v>
      </c>
      <c r="B100" t="s">
        <v>1125</v>
      </c>
      <c r="C100" s="152">
        <v>16434</v>
      </c>
      <c r="D100" s="152">
        <v>15386</v>
      </c>
      <c r="E100" s="152">
        <v>31820</v>
      </c>
      <c r="F100" s="152">
        <v>418178823.71562898</v>
      </c>
      <c r="G100" s="152">
        <v>476598211.49955601</v>
      </c>
      <c r="H100" s="152">
        <v>894777035.215186</v>
      </c>
      <c r="I100" t="s">
        <v>867</v>
      </c>
      <c r="J100" t="s">
        <v>135</v>
      </c>
      <c r="K100">
        <v>104844</v>
      </c>
      <c r="L100" t="s">
        <v>914</v>
      </c>
      <c r="M100"/>
      <c r="N100"/>
      <c r="O100"/>
      <c r="P100"/>
      <c r="Q100" s="152"/>
      <c r="R100"/>
      <c r="S100"/>
      <c r="T100"/>
      <c r="U100"/>
      <c r="V100"/>
    </row>
    <row r="101" spans="1:22" x14ac:dyDescent="0.2">
      <c r="A101" t="s">
        <v>578</v>
      </c>
      <c r="B101" t="s">
        <v>584</v>
      </c>
      <c r="C101" s="152">
        <v>17495</v>
      </c>
      <c r="D101" s="152">
        <v>14323</v>
      </c>
      <c r="E101" s="152">
        <v>31818</v>
      </c>
      <c r="F101" s="152">
        <v>477854335.29189402</v>
      </c>
      <c r="G101" s="152">
        <v>489797911.56651902</v>
      </c>
      <c r="H101" s="152">
        <v>967652246.85841298</v>
      </c>
      <c r="I101" t="s">
        <v>867</v>
      </c>
      <c r="J101" t="s">
        <v>136</v>
      </c>
      <c r="K101">
        <v>614370</v>
      </c>
      <c r="L101" t="s">
        <v>893</v>
      </c>
      <c r="M101"/>
      <c r="N101"/>
      <c r="O101"/>
      <c r="P101"/>
      <c r="Q101" s="152"/>
      <c r="R101"/>
      <c r="S101"/>
      <c r="T101"/>
      <c r="U101"/>
      <c r="V101"/>
    </row>
    <row r="102" spans="1:22" x14ac:dyDescent="0.2">
      <c r="A102" t="s">
        <v>166</v>
      </c>
      <c r="B102" t="s">
        <v>703</v>
      </c>
      <c r="C102" s="152">
        <v>15975</v>
      </c>
      <c r="D102" s="152">
        <v>15784</v>
      </c>
      <c r="E102" s="152">
        <v>31759</v>
      </c>
      <c r="F102" s="152">
        <v>266434015.03349599</v>
      </c>
      <c r="G102" s="152">
        <v>300410742.78706503</v>
      </c>
      <c r="H102" s="152">
        <v>566844757.82056201</v>
      </c>
      <c r="I102" t="s">
        <v>742</v>
      </c>
      <c r="J102" t="s">
        <v>135</v>
      </c>
      <c r="K102">
        <v>303412</v>
      </c>
      <c r="L102" t="s">
        <v>930</v>
      </c>
      <c r="M102"/>
      <c r="N102"/>
      <c r="O102"/>
      <c r="P102"/>
      <c r="Q102" s="152"/>
      <c r="R102"/>
      <c r="S102"/>
      <c r="T102"/>
      <c r="U102"/>
      <c r="V102"/>
    </row>
    <row r="103" spans="1:22" x14ac:dyDescent="0.2">
      <c r="A103" t="s">
        <v>329</v>
      </c>
      <c r="B103" t="s">
        <v>335</v>
      </c>
      <c r="C103" s="152">
        <v>17254</v>
      </c>
      <c r="D103" s="152">
        <v>13960</v>
      </c>
      <c r="E103" s="152">
        <v>31214</v>
      </c>
      <c r="F103" s="152">
        <v>377596676.044231</v>
      </c>
      <c r="G103" s="152">
        <v>357843320.55269903</v>
      </c>
      <c r="H103" s="152">
        <v>735439996.59693003</v>
      </c>
      <c r="I103" t="s">
        <v>867</v>
      </c>
      <c r="J103" t="s">
        <v>137</v>
      </c>
      <c r="K103">
        <v>542712</v>
      </c>
      <c r="L103" t="s">
        <v>893</v>
      </c>
      <c r="M103"/>
      <c r="N103"/>
      <c r="O103"/>
      <c r="P103"/>
      <c r="Q103" s="152"/>
      <c r="R103"/>
      <c r="S103"/>
      <c r="T103"/>
      <c r="U103"/>
      <c r="V103"/>
    </row>
    <row r="104" spans="1:22" x14ac:dyDescent="0.2">
      <c r="A104" t="s">
        <v>837</v>
      </c>
      <c r="B104" t="s">
        <v>951</v>
      </c>
      <c r="C104" s="152">
        <v>13680</v>
      </c>
      <c r="D104" s="152">
        <v>16621</v>
      </c>
      <c r="E104" s="152">
        <v>30301</v>
      </c>
      <c r="F104" s="152">
        <v>351006336.528588</v>
      </c>
      <c r="G104" s="152">
        <v>546483674.09176004</v>
      </c>
      <c r="H104" s="152">
        <v>897490010.62034905</v>
      </c>
      <c r="I104" t="s">
        <v>867</v>
      </c>
      <c r="J104" t="s">
        <v>135</v>
      </c>
      <c r="K104">
        <v>269357</v>
      </c>
      <c r="L104" t="s">
        <v>927</v>
      </c>
      <c r="M104"/>
      <c r="N104"/>
      <c r="O104"/>
      <c r="P104"/>
      <c r="Q104" s="152"/>
      <c r="R104"/>
      <c r="S104"/>
      <c r="T104"/>
      <c r="U104"/>
      <c r="V104"/>
    </row>
    <row r="105" spans="1:22" x14ac:dyDescent="0.2">
      <c r="A105" t="s">
        <v>840</v>
      </c>
      <c r="B105" t="s">
        <v>842</v>
      </c>
      <c r="C105" s="152">
        <v>12868</v>
      </c>
      <c r="D105" s="152">
        <v>17312</v>
      </c>
      <c r="E105" s="152">
        <v>30180</v>
      </c>
      <c r="F105" s="152">
        <v>334879200.30158299</v>
      </c>
      <c r="G105" s="152">
        <v>559972171.83758795</v>
      </c>
      <c r="H105" s="152">
        <v>894851372.139171</v>
      </c>
      <c r="I105" t="s">
        <v>867</v>
      </c>
      <c r="J105" t="s">
        <v>135</v>
      </c>
      <c r="K105">
        <v>290072</v>
      </c>
      <c r="L105" t="s">
        <v>732</v>
      </c>
      <c r="M105"/>
      <c r="N105"/>
      <c r="O105"/>
      <c r="P105"/>
      <c r="Q105" s="152"/>
      <c r="R105"/>
      <c r="S105"/>
      <c r="T105"/>
      <c r="U105"/>
      <c r="V105"/>
    </row>
    <row r="106" spans="1:22" x14ac:dyDescent="0.2">
      <c r="A106" t="s">
        <v>418</v>
      </c>
      <c r="B106" t="s">
        <v>405</v>
      </c>
      <c r="C106" s="152">
        <v>12505</v>
      </c>
      <c r="D106" s="152">
        <v>17467</v>
      </c>
      <c r="E106" s="152">
        <v>29972</v>
      </c>
      <c r="F106" s="152">
        <v>274286661.66599298</v>
      </c>
      <c r="G106" s="152">
        <v>476776272.637568</v>
      </c>
      <c r="H106" s="152">
        <v>751062934.30356097</v>
      </c>
      <c r="I106" t="s">
        <v>867</v>
      </c>
      <c r="J106" t="s">
        <v>135</v>
      </c>
      <c r="K106">
        <v>679837</v>
      </c>
      <c r="L106" t="s">
        <v>787</v>
      </c>
      <c r="M106"/>
      <c r="N106"/>
      <c r="O106"/>
      <c r="P106"/>
      <c r="Q106" s="152"/>
      <c r="R106"/>
      <c r="S106"/>
      <c r="T106"/>
      <c r="U106"/>
      <c r="V106"/>
    </row>
    <row r="107" spans="1:22" x14ac:dyDescent="0.2">
      <c r="A107" t="s">
        <v>166</v>
      </c>
      <c r="B107" t="s">
        <v>897</v>
      </c>
      <c r="C107" s="152">
        <v>14717</v>
      </c>
      <c r="D107" s="152">
        <v>13975</v>
      </c>
      <c r="E107" s="152">
        <v>28692</v>
      </c>
      <c r="F107" s="152">
        <v>263560711.11678901</v>
      </c>
      <c r="G107" s="152">
        <v>294042107.690862</v>
      </c>
      <c r="H107" s="152">
        <v>557602818.807652</v>
      </c>
      <c r="I107" t="s">
        <v>867</v>
      </c>
      <c r="J107" t="s">
        <v>135</v>
      </c>
      <c r="K107">
        <v>123679</v>
      </c>
      <c r="L107" t="s">
        <v>787</v>
      </c>
      <c r="M107"/>
      <c r="N107"/>
      <c r="O107"/>
      <c r="P107"/>
      <c r="Q107" s="152"/>
      <c r="R107"/>
      <c r="S107"/>
      <c r="T107"/>
      <c r="U107"/>
      <c r="V107"/>
    </row>
    <row r="108" spans="1:22" x14ac:dyDescent="0.2">
      <c r="A108" t="s">
        <v>578</v>
      </c>
      <c r="B108" t="s">
        <v>607</v>
      </c>
      <c r="C108" s="152">
        <v>15805</v>
      </c>
      <c r="D108" s="152">
        <v>12719</v>
      </c>
      <c r="E108" s="152">
        <v>28524</v>
      </c>
      <c r="F108" s="152">
        <v>423735740.97650498</v>
      </c>
      <c r="G108" s="152">
        <v>419638794.56797898</v>
      </c>
      <c r="H108" s="152">
        <v>843374535.54448402</v>
      </c>
      <c r="I108" t="s">
        <v>867</v>
      </c>
      <c r="J108" t="s">
        <v>136</v>
      </c>
      <c r="K108">
        <v>717611</v>
      </c>
      <c r="L108" t="s">
        <v>198</v>
      </c>
      <c r="M108"/>
      <c r="N108"/>
      <c r="O108"/>
      <c r="P108"/>
      <c r="Q108" s="152"/>
      <c r="R108"/>
      <c r="S108"/>
      <c r="T108"/>
      <c r="U108"/>
      <c r="V108"/>
    </row>
    <row r="109" spans="1:22" x14ac:dyDescent="0.2">
      <c r="A109" t="s">
        <v>861</v>
      </c>
      <c r="B109" t="s">
        <v>597</v>
      </c>
      <c r="C109" s="152">
        <v>14416</v>
      </c>
      <c r="D109" s="152">
        <v>13825</v>
      </c>
      <c r="E109" s="152">
        <v>28241</v>
      </c>
      <c r="F109" s="152">
        <v>313806678.81766999</v>
      </c>
      <c r="G109" s="152">
        <v>369544799.12044197</v>
      </c>
      <c r="H109" s="152">
        <v>683351477.93811095</v>
      </c>
      <c r="I109" t="s">
        <v>742</v>
      </c>
      <c r="J109" t="s">
        <v>135</v>
      </c>
      <c r="K109">
        <v>286294</v>
      </c>
      <c r="L109" t="s">
        <v>598</v>
      </c>
      <c r="M109"/>
      <c r="N109"/>
      <c r="O109"/>
      <c r="P109"/>
      <c r="Q109" s="152"/>
      <c r="R109"/>
      <c r="S109"/>
      <c r="T109"/>
      <c r="U109"/>
      <c r="V109"/>
    </row>
    <row r="110" spans="1:22" x14ac:dyDescent="0.2">
      <c r="A110" t="s">
        <v>382</v>
      </c>
      <c r="B110" t="s">
        <v>385</v>
      </c>
      <c r="C110" s="152">
        <v>14279</v>
      </c>
      <c r="D110" s="152">
        <v>13729</v>
      </c>
      <c r="E110" s="152">
        <v>28008</v>
      </c>
      <c r="F110" s="152">
        <v>574420948.39091396</v>
      </c>
      <c r="G110" s="152">
        <v>664881430.79972005</v>
      </c>
      <c r="H110" s="152">
        <v>1239302379.19063</v>
      </c>
      <c r="I110" t="s">
        <v>867</v>
      </c>
      <c r="J110" t="s">
        <v>139</v>
      </c>
      <c r="K110">
        <v>814772</v>
      </c>
      <c r="L110" t="s">
        <v>810</v>
      </c>
      <c r="M110"/>
      <c r="N110"/>
      <c r="O110"/>
      <c r="P110"/>
      <c r="Q110" s="152"/>
      <c r="R110"/>
      <c r="S110"/>
      <c r="T110"/>
      <c r="U110"/>
      <c r="V110"/>
    </row>
    <row r="111" spans="1:22" x14ac:dyDescent="0.2">
      <c r="A111" t="s">
        <v>645</v>
      </c>
      <c r="B111" t="s">
        <v>714</v>
      </c>
      <c r="C111" s="152">
        <v>15510</v>
      </c>
      <c r="D111" s="152">
        <v>12438</v>
      </c>
      <c r="E111" s="152">
        <v>27948</v>
      </c>
      <c r="F111" s="152">
        <v>373816130.676045</v>
      </c>
      <c r="G111" s="152">
        <v>371025788.12344402</v>
      </c>
      <c r="H111" s="152">
        <v>744841918.79948902</v>
      </c>
      <c r="I111" t="s">
        <v>867</v>
      </c>
      <c r="J111" t="s">
        <v>136</v>
      </c>
      <c r="K111">
        <v>578542</v>
      </c>
      <c r="L111" t="s">
        <v>893</v>
      </c>
      <c r="M111"/>
      <c r="N111"/>
      <c r="O111"/>
      <c r="P111"/>
      <c r="Q111" s="152"/>
      <c r="R111"/>
      <c r="S111"/>
      <c r="T111"/>
      <c r="U111"/>
      <c r="V111"/>
    </row>
    <row r="112" spans="1:22" x14ac:dyDescent="0.2">
      <c r="A112" t="s">
        <v>293</v>
      </c>
      <c r="B112" t="s">
        <v>298</v>
      </c>
      <c r="C112" s="152">
        <v>13970</v>
      </c>
      <c r="D112" s="152">
        <v>13733</v>
      </c>
      <c r="E112" s="152">
        <v>27703</v>
      </c>
      <c r="F112" s="152">
        <v>224484352.62657601</v>
      </c>
      <c r="G112" s="152">
        <v>274983526.24552399</v>
      </c>
      <c r="H112" s="152">
        <v>499467878.8721</v>
      </c>
      <c r="I112" t="s">
        <v>867</v>
      </c>
      <c r="J112" t="s">
        <v>135</v>
      </c>
      <c r="K112">
        <v>435222</v>
      </c>
      <c r="L112" t="s">
        <v>893</v>
      </c>
      <c r="M112"/>
      <c r="N112"/>
      <c r="O112"/>
      <c r="P112"/>
      <c r="Q112" s="152"/>
      <c r="R112"/>
      <c r="S112"/>
      <c r="T112"/>
      <c r="U112"/>
      <c r="V112"/>
    </row>
    <row r="113" spans="1:22" x14ac:dyDescent="0.2">
      <c r="A113" t="s">
        <v>551</v>
      </c>
      <c r="B113" t="s">
        <v>575</v>
      </c>
      <c r="C113" s="152">
        <v>15419</v>
      </c>
      <c r="D113" s="152">
        <v>12077</v>
      </c>
      <c r="E113" s="152">
        <v>27496</v>
      </c>
      <c r="F113" s="152">
        <v>853888779.46751499</v>
      </c>
      <c r="G113" s="152">
        <v>790290459.40936697</v>
      </c>
      <c r="H113" s="152">
        <v>1644179238.8768799</v>
      </c>
      <c r="I113" t="s">
        <v>867</v>
      </c>
      <c r="J113" t="s">
        <v>139</v>
      </c>
      <c r="K113">
        <v>323485</v>
      </c>
      <c r="L113" t="s">
        <v>814</v>
      </c>
      <c r="M113"/>
      <c r="N113"/>
      <c r="O113"/>
      <c r="P113"/>
      <c r="Q113" s="152"/>
      <c r="R113"/>
      <c r="S113"/>
      <c r="T113"/>
      <c r="U113"/>
      <c r="V113"/>
    </row>
    <row r="114" spans="1:22" x14ac:dyDescent="0.2">
      <c r="A114" t="s">
        <v>843</v>
      </c>
      <c r="B114" t="s">
        <v>592</v>
      </c>
      <c r="C114" s="152">
        <v>14427</v>
      </c>
      <c r="D114" s="152">
        <v>12998</v>
      </c>
      <c r="E114" s="152">
        <v>27425</v>
      </c>
      <c r="F114" s="152">
        <v>313754689.84533</v>
      </c>
      <c r="G114" s="152">
        <v>347305523.61838001</v>
      </c>
      <c r="H114" s="152">
        <v>661060213.46370995</v>
      </c>
      <c r="I114" t="s">
        <v>867</v>
      </c>
      <c r="J114" t="s">
        <v>135</v>
      </c>
      <c r="K114">
        <v>175919</v>
      </c>
      <c r="L114" t="s">
        <v>198</v>
      </c>
      <c r="M114"/>
      <c r="N114"/>
      <c r="O114"/>
      <c r="P114"/>
      <c r="Q114" s="152"/>
      <c r="R114"/>
      <c r="S114"/>
      <c r="T114"/>
      <c r="U114"/>
      <c r="V114"/>
    </row>
    <row r="115" spans="1:22" x14ac:dyDescent="0.2">
      <c r="A115" t="s">
        <v>837</v>
      </c>
      <c r="B115" t="s">
        <v>978</v>
      </c>
      <c r="C115" s="152">
        <v>11808</v>
      </c>
      <c r="D115" s="152">
        <v>15475</v>
      </c>
      <c r="E115" s="152">
        <v>27283</v>
      </c>
      <c r="F115" s="152">
        <v>244709594.83432999</v>
      </c>
      <c r="G115" s="152">
        <v>397186546.28485101</v>
      </c>
      <c r="H115" s="152">
        <v>641896141.11918104</v>
      </c>
      <c r="I115" t="s">
        <v>867</v>
      </c>
      <c r="J115" t="s">
        <v>135</v>
      </c>
      <c r="K115">
        <v>766667</v>
      </c>
      <c r="L115" t="s">
        <v>198</v>
      </c>
      <c r="M115"/>
      <c r="N115"/>
      <c r="O115"/>
      <c r="P115"/>
      <c r="Q115" s="152"/>
      <c r="R115"/>
      <c r="S115"/>
      <c r="T115"/>
      <c r="U115"/>
      <c r="V115"/>
    </row>
    <row r="116" spans="1:22" x14ac:dyDescent="0.2">
      <c r="A116" t="s">
        <v>416</v>
      </c>
      <c r="B116" t="s">
        <v>600</v>
      </c>
      <c r="C116" s="152">
        <v>11763</v>
      </c>
      <c r="D116" s="152">
        <v>15360</v>
      </c>
      <c r="E116" s="152">
        <v>27123</v>
      </c>
      <c r="F116" s="152">
        <v>199448105.542532</v>
      </c>
      <c r="G116" s="152">
        <v>358317626.90280598</v>
      </c>
      <c r="H116" s="152">
        <v>557765732.44533896</v>
      </c>
      <c r="I116" t="s">
        <v>867</v>
      </c>
      <c r="J116" t="s">
        <v>135</v>
      </c>
      <c r="K116">
        <v>348862</v>
      </c>
      <c r="L116" t="s">
        <v>198</v>
      </c>
      <c r="M116"/>
      <c r="N116"/>
      <c r="O116"/>
      <c r="P116"/>
      <c r="Q116" s="152"/>
      <c r="R116"/>
      <c r="S116"/>
      <c r="T116"/>
      <c r="U116"/>
      <c r="V116"/>
    </row>
    <row r="117" spans="1:22" x14ac:dyDescent="0.2">
      <c r="A117" t="s">
        <v>420</v>
      </c>
      <c r="B117" t="s">
        <v>303</v>
      </c>
      <c r="C117" s="152">
        <v>11203</v>
      </c>
      <c r="D117" s="152">
        <v>15620</v>
      </c>
      <c r="E117" s="152">
        <v>26823</v>
      </c>
      <c r="F117" s="152">
        <v>190638397.002267</v>
      </c>
      <c r="G117" s="152">
        <v>324470677.32881498</v>
      </c>
      <c r="H117" s="152">
        <v>515109074.331083</v>
      </c>
      <c r="I117" t="s">
        <v>742</v>
      </c>
      <c r="J117" t="s">
        <v>135</v>
      </c>
      <c r="K117">
        <v>364158</v>
      </c>
      <c r="L117" t="s">
        <v>99</v>
      </c>
      <c r="M117"/>
      <c r="N117"/>
      <c r="O117"/>
      <c r="P117"/>
      <c r="Q117" s="152"/>
      <c r="R117"/>
      <c r="S117"/>
      <c r="T117"/>
      <c r="U117"/>
      <c r="V117"/>
    </row>
    <row r="118" spans="1:22" x14ac:dyDescent="0.2">
      <c r="A118" t="s">
        <v>382</v>
      </c>
      <c r="B118" t="s">
        <v>564</v>
      </c>
      <c r="C118" s="152">
        <v>15899</v>
      </c>
      <c r="D118" s="152">
        <v>10902</v>
      </c>
      <c r="E118" s="152">
        <v>26801</v>
      </c>
      <c r="F118" s="152">
        <v>930840069.07006204</v>
      </c>
      <c r="G118" s="152">
        <v>718779330.55952203</v>
      </c>
      <c r="H118" s="152">
        <v>1649619399.62958</v>
      </c>
      <c r="I118" t="s">
        <v>867</v>
      </c>
      <c r="J118" t="s">
        <v>139</v>
      </c>
      <c r="K118">
        <v>430975</v>
      </c>
      <c r="L118" t="s">
        <v>814</v>
      </c>
      <c r="M118"/>
      <c r="N118"/>
      <c r="O118"/>
      <c r="P118"/>
      <c r="Q118" s="152"/>
      <c r="R118"/>
      <c r="S118"/>
      <c r="T118"/>
      <c r="U118"/>
      <c r="V118"/>
    </row>
    <row r="119" spans="1:22" x14ac:dyDescent="0.2">
      <c r="A119" t="s">
        <v>551</v>
      </c>
      <c r="B119" t="s">
        <v>574</v>
      </c>
      <c r="C119" s="152">
        <v>14953</v>
      </c>
      <c r="D119" s="152">
        <v>11744</v>
      </c>
      <c r="E119" s="152">
        <v>26697</v>
      </c>
      <c r="F119" s="152">
        <v>757175081.41691995</v>
      </c>
      <c r="G119" s="152">
        <v>713945701.72722995</v>
      </c>
      <c r="H119" s="152">
        <v>1471120783.14415</v>
      </c>
      <c r="I119" t="s">
        <v>867</v>
      </c>
      <c r="J119" t="s">
        <v>139</v>
      </c>
      <c r="K119">
        <v>287656</v>
      </c>
      <c r="L119" t="s">
        <v>814</v>
      </c>
      <c r="M119"/>
      <c r="N119"/>
      <c r="O119"/>
      <c r="P119"/>
      <c r="Q119" s="152"/>
      <c r="R119"/>
      <c r="S119"/>
      <c r="T119"/>
      <c r="U119"/>
      <c r="V119"/>
    </row>
    <row r="120" spans="1:22" x14ac:dyDescent="0.2">
      <c r="A120" t="s">
        <v>843</v>
      </c>
      <c r="B120" t="s">
        <v>858</v>
      </c>
      <c r="C120" s="152">
        <v>18473</v>
      </c>
      <c r="D120" s="152">
        <v>8104</v>
      </c>
      <c r="E120" s="152">
        <v>26577</v>
      </c>
      <c r="F120" s="152">
        <v>449932420.56119901</v>
      </c>
      <c r="G120" s="152">
        <v>232738982.0652</v>
      </c>
      <c r="H120" s="152">
        <v>682671402.62639904</v>
      </c>
      <c r="I120" t="s">
        <v>867</v>
      </c>
      <c r="J120" t="s">
        <v>135</v>
      </c>
      <c r="K120">
        <v>296152</v>
      </c>
      <c r="L120" t="s">
        <v>893</v>
      </c>
      <c r="M120"/>
      <c r="N120"/>
      <c r="O120"/>
      <c r="P120"/>
      <c r="Q120" s="152"/>
      <c r="R120"/>
      <c r="S120"/>
      <c r="T120"/>
      <c r="U120"/>
      <c r="V120"/>
    </row>
    <row r="121" spans="1:22" x14ac:dyDescent="0.2">
      <c r="A121" t="s">
        <v>150</v>
      </c>
      <c r="B121" t="s">
        <v>1098</v>
      </c>
      <c r="C121" s="152">
        <v>11226</v>
      </c>
      <c r="D121" s="152">
        <v>15034</v>
      </c>
      <c r="E121" s="152">
        <v>26260</v>
      </c>
      <c r="F121" s="152">
        <v>172228948.919669</v>
      </c>
      <c r="G121" s="152">
        <v>291340515.13912702</v>
      </c>
      <c r="H121" s="152">
        <v>463569464.05879599</v>
      </c>
      <c r="I121" t="s">
        <v>742</v>
      </c>
      <c r="J121" t="s">
        <v>135</v>
      </c>
      <c r="K121">
        <v>362327</v>
      </c>
      <c r="L121" t="s">
        <v>1083</v>
      </c>
      <c r="M121"/>
      <c r="N121"/>
      <c r="O121"/>
      <c r="P121"/>
      <c r="Q121" s="152"/>
      <c r="R121"/>
      <c r="S121"/>
      <c r="T121"/>
      <c r="U121"/>
      <c r="V121"/>
    </row>
    <row r="122" spans="1:22" x14ac:dyDescent="0.2">
      <c r="A122" t="s">
        <v>386</v>
      </c>
      <c r="B122" t="s">
        <v>569</v>
      </c>
      <c r="C122" s="152">
        <v>15036</v>
      </c>
      <c r="D122" s="152">
        <v>11215</v>
      </c>
      <c r="E122" s="152">
        <v>26251</v>
      </c>
      <c r="F122" s="152">
        <v>887179014.73540401</v>
      </c>
      <c r="G122" s="152">
        <v>774484131.82512903</v>
      </c>
      <c r="H122" s="152">
        <v>1661663146.5605299</v>
      </c>
      <c r="I122" t="s">
        <v>867</v>
      </c>
      <c r="J122" t="s">
        <v>139</v>
      </c>
      <c r="K122">
        <v>359315</v>
      </c>
      <c r="L122" t="s">
        <v>814</v>
      </c>
      <c r="M122"/>
      <c r="N122"/>
      <c r="O122"/>
      <c r="P122"/>
      <c r="Q122" s="152"/>
      <c r="R122"/>
      <c r="S122"/>
      <c r="T122"/>
      <c r="U122"/>
      <c r="V122"/>
    </row>
    <row r="123" spans="1:22" x14ac:dyDescent="0.2">
      <c r="A123" t="s">
        <v>114</v>
      </c>
      <c r="B123" t="s">
        <v>824</v>
      </c>
      <c r="C123" s="152">
        <v>13629</v>
      </c>
      <c r="D123" s="152">
        <v>12572</v>
      </c>
      <c r="E123" s="152">
        <v>26201</v>
      </c>
      <c r="F123" s="152">
        <v>137165926.1318</v>
      </c>
      <c r="G123" s="152">
        <v>156106235.52673399</v>
      </c>
      <c r="H123" s="152">
        <v>293272161.658535</v>
      </c>
      <c r="I123" t="s">
        <v>742</v>
      </c>
      <c r="J123" t="s">
        <v>135</v>
      </c>
      <c r="K123">
        <v>407775</v>
      </c>
      <c r="L123" t="s">
        <v>866</v>
      </c>
      <c r="M123"/>
      <c r="N123"/>
      <c r="O123"/>
      <c r="P123"/>
      <c r="Q123" s="152"/>
      <c r="R123"/>
      <c r="S123"/>
      <c r="T123"/>
      <c r="U123"/>
      <c r="V123"/>
    </row>
    <row r="124" spans="1:22" x14ac:dyDescent="0.2">
      <c r="A124" t="s">
        <v>386</v>
      </c>
      <c r="B124" t="s">
        <v>570</v>
      </c>
      <c r="C124" s="152">
        <v>14984</v>
      </c>
      <c r="D124" s="152">
        <v>10801</v>
      </c>
      <c r="E124" s="152">
        <v>25785</v>
      </c>
      <c r="F124" s="152">
        <v>941614317.52473605</v>
      </c>
      <c r="G124" s="152">
        <v>775847105.35010397</v>
      </c>
      <c r="H124" s="152">
        <v>1717461422.87484</v>
      </c>
      <c r="I124" t="s">
        <v>867</v>
      </c>
      <c r="J124" t="s">
        <v>139</v>
      </c>
      <c r="K124">
        <v>395145</v>
      </c>
      <c r="L124" t="s">
        <v>814</v>
      </c>
      <c r="M124"/>
      <c r="N124"/>
      <c r="O124"/>
      <c r="P124"/>
      <c r="Q124" s="152"/>
      <c r="R124"/>
      <c r="S124"/>
      <c r="T124"/>
      <c r="U124"/>
      <c r="V124"/>
    </row>
    <row r="125" spans="1:22" x14ac:dyDescent="0.2">
      <c r="A125" t="s">
        <v>840</v>
      </c>
      <c r="B125" t="s">
        <v>1063</v>
      </c>
      <c r="C125" s="152">
        <v>12273</v>
      </c>
      <c r="D125" s="152">
        <v>12322</v>
      </c>
      <c r="E125" s="152">
        <v>24595</v>
      </c>
      <c r="F125" s="152">
        <v>279355205.04163498</v>
      </c>
      <c r="G125" s="152">
        <v>355604446.726928</v>
      </c>
      <c r="H125" s="152">
        <v>634959651.76856303</v>
      </c>
      <c r="I125" t="s">
        <v>742</v>
      </c>
      <c r="J125" t="s">
        <v>135</v>
      </c>
      <c r="K125">
        <v>585216</v>
      </c>
      <c r="L125" t="s">
        <v>387</v>
      </c>
      <c r="M125"/>
      <c r="N125"/>
      <c r="O125"/>
      <c r="P125"/>
      <c r="Q125" s="152"/>
      <c r="R125"/>
      <c r="S125"/>
      <c r="T125"/>
      <c r="U125"/>
      <c r="V125"/>
    </row>
    <row r="126" spans="1:22" x14ac:dyDescent="0.2">
      <c r="A126" t="s">
        <v>578</v>
      </c>
      <c r="B126" t="s">
        <v>642</v>
      </c>
      <c r="C126" s="152">
        <v>11865</v>
      </c>
      <c r="D126" s="152">
        <v>12453</v>
      </c>
      <c r="E126" s="152">
        <v>24318</v>
      </c>
      <c r="F126" s="152">
        <v>324487916.56907701</v>
      </c>
      <c r="G126" s="152">
        <v>440248263.69428098</v>
      </c>
      <c r="H126" s="152">
        <v>764736180.26335704</v>
      </c>
      <c r="I126" t="s">
        <v>867</v>
      </c>
      <c r="J126" t="s">
        <v>136</v>
      </c>
      <c r="K126">
        <v>420646</v>
      </c>
      <c r="L126" t="s">
        <v>810</v>
      </c>
      <c r="M126"/>
      <c r="N126"/>
      <c r="O126"/>
      <c r="P126"/>
      <c r="Q126" s="152"/>
      <c r="R126"/>
      <c r="S126"/>
      <c r="T126"/>
      <c r="U126"/>
      <c r="V126"/>
    </row>
    <row r="127" spans="1:22" x14ac:dyDescent="0.2">
      <c r="A127" t="s">
        <v>781</v>
      </c>
      <c r="B127" t="s">
        <v>898</v>
      </c>
      <c r="C127" s="152">
        <v>10959</v>
      </c>
      <c r="D127" s="152">
        <v>13092</v>
      </c>
      <c r="E127" s="152">
        <v>24051</v>
      </c>
      <c r="F127" s="152">
        <v>284810591.19658601</v>
      </c>
      <c r="G127" s="152">
        <v>418795954.846003</v>
      </c>
      <c r="H127" s="152">
        <v>703606546.04258895</v>
      </c>
      <c r="I127" t="s">
        <v>867</v>
      </c>
      <c r="J127" t="s">
        <v>135</v>
      </c>
      <c r="K127">
        <v>916189</v>
      </c>
      <c r="L127" t="s">
        <v>787</v>
      </c>
      <c r="M127"/>
      <c r="N127"/>
      <c r="O127"/>
      <c r="P127"/>
      <c r="Q127" s="152"/>
      <c r="R127"/>
      <c r="S127"/>
      <c r="T127"/>
      <c r="U127"/>
      <c r="V127"/>
    </row>
    <row r="128" spans="1:22" x14ac:dyDescent="0.2">
      <c r="A128" t="s">
        <v>150</v>
      </c>
      <c r="B128" t="s">
        <v>447</v>
      </c>
      <c r="C128" s="152">
        <v>9376</v>
      </c>
      <c r="D128" s="152">
        <v>14667</v>
      </c>
      <c r="E128" s="152">
        <v>24043</v>
      </c>
      <c r="F128" s="152">
        <v>197363057.03576401</v>
      </c>
      <c r="G128" s="152">
        <v>399748991.49553698</v>
      </c>
      <c r="H128" s="152">
        <v>597112048.53130198</v>
      </c>
      <c r="I128" t="s">
        <v>867</v>
      </c>
      <c r="J128" t="s">
        <v>135</v>
      </c>
      <c r="K128">
        <v>505586</v>
      </c>
      <c r="L128" t="s">
        <v>1000</v>
      </c>
      <c r="M128"/>
      <c r="N128"/>
      <c r="O128"/>
      <c r="P128"/>
      <c r="Q128" s="152"/>
      <c r="R128"/>
      <c r="S128"/>
      <c r="T128"/>
      <c r="U128"/>
      <c r="V128"/>
    </row>
    <row r="129" spans="1:22" x14ac:dyDescent="0.2">
      <c r="A129" t="s">
        <v>717</v>
      </c>
      <c r="B129" t="s">
        <v>603</v>
      </c>
      <c r="C129" s="152">
        <v>11956</v>
      </c>
      <c r="D129" s="152">
        <v>11667</v>
      </c>
      <c r="E129" s="152">
        <v>23623</v>
      </c>
      <c r="F129" s="152">
        <v>410107339.60265702</v>
      </c>
      <c r="G129" s="152">
        <v>521554596.42393702</v>
      </c>
      <c r="H129" s="152">
        <v>931661936.02659404</v>
      </c>
      <c r="I129" t="s">
        <v>867</v>
      </c>
      <c r="J129" t="s">
        <v>136</v>
      </c>
      <c r="K129">
        <v>666552</v>
      </c>
      <c r="L129" t="s">
        <v>198</v>
      </c>
      <c r="M129"/>
      <c r="N129"/>
      <c r="O129"/>
      <c r="P129"/>
      <c r="Q129" s="152"/>
      <c r="R129"/>
      <c r="S129"/>
      <c r="T129"/>
      <c r="U129"/>
      <c r="V129"/>
    </row>
    <row r="130" spans="1:22" x14ac:dyDescent="0.2">
      <c r="A130" t="s">
        <v>312</v>
      </c>
      <c r="B130" t="s">
        <v>316</v>
      </c>
      <c r="C130" s="152">
        <v>11339</v>
      </c>
      <c r="D130" s="152">
        <v>12179</v>
      </c>
      <c r="E130" s="152">
        <v>23518</v>
      </c>
      <c r="F130" s="152">
        <v>167763833.035788</v>
      </c>
      <c r="G130" s="152">
        <v>220957716.352016</v>
      </c>
      <c r="H130" s="152">
        <v>388721549.38780397</v>
      </c>
      <c r="I130" t="s">
        <v>867</v>
      </c>
      <c r="J130" t="s">
        <v>135</v>
      </c>
      <c r="K130">
        <v>771030</v>
      </c>
      <c r="L130" t="s">
        <v>812</v>
      </c>
      <c r="M130"/>
      <c r="N130"/>
      <c r="O130"/>
      <c r="P130"/>
      <c r="Q130" s="152"/>
      <c r="R130"/>
      <c r="S130"/>
      <c r="T130"/>
      <c r="U130"/>
      <c r="V130"/>
    </row>
    <row r="131" spans="1:22" x14ac:dyDescent="0.2">
      <c r="A131" t="s">
        <v>166</v>
      </c>
      <c r="B131" t="s">
        <v>177</v>
      </c>
      <c r="C131" s="152">
        <v>13511</v>
      </c>
      <c r="D131" s="152">
        <v>9679</v>
      </c>
      <c r="E131" s="152">
        <v>23190</v>
      </c>
      <c r="F131" s="152">
        <v>286307417.28617102</v>
      </c>
      <c r="G131" s="152">
        <v>234722131.38795</v>
      </c>
      <c r="H131" s="152">
        <v>521029548.67412102</v>
      </c>
      <c r="I131" t="s">
        <v>867</v>
      </c>
      <c r="J131" t="s">
        <v>135</v>
      </c>
      <c r="K131">
        <v>797779</v>
      </c>
      <c r="L131" t="s">
        <v>893</v>
      </c>
      <c r="M131"/>
      <c r="N131"/>
      <c r="O131"/>
      <c r="P131"/>
      <c r="Q131" s="152"/>
      <c r="R131"/>
      <c r="S131"/>
      <c r="T131"/>
      <c r="U131"/>
      <c r="V131"/>
    </row>
    <row r="132" spans="1:22" x14ac:dyDescent="0.2">
      <c r="A132" t="s">
        <v>840</v>
      </c>
      <c r="B132" t="s">
        <v>209</v>
      </c>
      <c r="C132" s="152">
        <v>10770</v>
      </c>
      <c r="D132" s="152">
        <v>12397</v>
      </c>
      <c r="E132" s="152">
        <v>23167</v>
      </c>
      <c r="F132" s="152">
        <v>269125767.34017402</v>
      </c>
      <c r="G132" s="152">
        <v>380269214.74868399</v>
      </c>
      <c r="H132" s="152">
        <v>649394982.08885801</v>
      </c>
      <c r="I132" t="s">
        <v>867</v>
      </c>
      <c r="J132" t="s">
        <v>135</v>
      </c>
      <c r="K132">
        <v>661124</v>
      </c>
      <c r="L132" t="s">
        <v>207</v>
      </c>
      <c r="M132"/>
      <c r="N132"/>
      <c r="O132"/>
      <c r="P132"/>
      <c r="Q132" s="152"/>
      <c r="R132"/>
      <c r="S132"/>
      <c r="T132"/>
      <c r="U132"/>
      <c r="V132"/>
    </row>
    <row r="133" spans="1:22" x14ac:dyDescent="0.2">
      <c r="A133" t="s">
        <v>781</v>
      </c>
      <c r="B133" t="s">
        <v>786</v>
      </c>
      <c r="C133" s="152">
        <v>10947</v>
      </c>
      <c r="D133" s="152">
        <v>12146</v>
      </c>
      <c r="E133" s="152">
        <v>23093</v>
      </c>
      <c r="F133" s="152">
        <v>298937160.23050201</v>
      </c>
      <c r="G133" s="152">
        <v>405973613.47466898</v>
      </c>
      <c r="H133" s="152">
        <v>704910773.70517194</v>
      </c>
      <c r="I133" t="s">
        <v>867</v>
      </c>
      <c r="J133" t="s">
        <v>135</v>
      </c>
      <c r="K133">
        <v>220244</v>
      </c>
      <c r="L133" t="s">
        <v>785</v>
      </c>
      <c r="M133"/>
      <c r="N133"/>
      <c r="O133"/>
      <c r="P133"/>
      <c r="Q133" s="152"/>
      <c r="R133"/>
      <c r="S133"/>
      <c r="T133"/>
      <c r="U133"/>
      <c r="V133"/>
    </row>
    <row r="134" spans="1:22" x14ac:dyDescent="0.2">
      <c r="A134" t="s">
        <v>551</v>
      </c>
      <c r="B134" t="s">
        <v>573</v>
      </c>
      <c r="C134" s="152">
        <v>12734</v>
      </c>
      <c r="D134" s="152">
        <v>10342</v>
      </c>
      <c r="E134" s="152">
        <v>23076</v>
      </c>
      <c r="F134" s="152">
        <v>552797841.11459398</v>
      </c>
      <c r="G134" s="152">
        <v>538766056.80059505</v>
      </c>
      <c r="H134" s="152">
        <v>1091563897.91519</v>
      </c>
      <c r="I134" t="s">
        <v>867</v>
      </c>
      <c r="J134" t="s">
        <v>139</v>
      </c>
      <c r="K134">
        <v>251827</v>
      </c>
      <c r="L134" t="s">
        <v>814</v>
      </c>
      <c r="M134"/>
      <c r="N134"/>
      <c r="O134"/>
      <c r="P134"/>
      <c r="Q134" s="152"/>
      <c r="R134"/>
      <c r="S134"/>
      <c r="T134"/>
      <c r="U134"/>
      <c r="V134"/>
    </row>
    <row r="135" spans="1:22" x14ac:dyDescent="0.2">
      <c r="A135" t="s">
        <v>382</v>
      </c>
      <c r="B135" t="s">
        <v>567</v>
      </c>
      <c r="C135" s="152">
        <v>13521</v>
      </c>
      <c r="D135" s="152">
        <v>9450</v>
      </c>
      <c r="E135" s="152">
        <v>22971</v>
      </c>
      <c r="F135" s="152">
        <v>589014366.97733605</v>
      </c>
      <c r="G135" s="152">
        <v>461909267.50870001</v>
      </c>
      <c r="H135" s="152">
        <v>1050923634.48604</v>
      </c>
      <c r="I135" t="s">
        <v>867</v>
      </c>
      <c r="J135" t="s">
        <v>139</v>
      </c>
      <c r="K135">
        <v>466805</v>
      </c>
      <c r="L135" t="s">
        <v>814</v>
      </c>
      <c r="M135"/>
      <c r="N135"/>
      <c r="O135"/>
      <c r="P135"/>
      <c r="Q135" s="152"/>
      <c r="R135"/>
      <c r="S135"/>
      <c r="T135"/>
      <c r="U135"/>
      <c r="V135"/>
    </row>
    <row r="136" spans="1:22" x14ac:dyDescent="0.2">
      <c r="A136" t="s">
        <v>166</v>
      </c>
      <c r="B136" t="s">
        <v>171</v>
      </c>
      <c r="C136" s="152">
        <v>11387</v>
      </c>
      <c r="D136" s="152">
        <v>11133</v>
      </c>
      <c r="E136" s="152">
        <v>22520</v>
      </c>
      <c r="F136" s="152">
        <v>204190565.07226101</v>
      </c>
      <c r="G136" s="152">
        <v>234194776.82472599</v>
      </c>
      <c r="H136" s="152">
        <v>438385341.89698797</v>
      </c>
      <c r="I136" t="s">
        <v>867</v>
      </c>
      <c r="J136" t="s">
        <v>135</v>
      </c>
      <c r="K136">
        <v>563965</v>
      </c>
      <c r="L136" t="s">
        <v>810</v>
      </c>
      <c r="M136"/>
      <c r="N136"/>
      <c r="O136"/>
      <c r="P136"/>
      <c r="Q136" s="152"/>
      <c r="R136"/>
      <c r="S136"/>
      <c r="T136"/>
      <c r="U136"/>
      <c r="V136"/>
    </row>
    <row r="137" spans="1:22" x14ac:dyDescent="0.2">
      <c r="A137" t="s">
        <v>183</v>
      </c>
      <c r="B137" t="s">
        <v>191</v>
      </c>
      <c r="C137" s="152">
        <v>10317</v>
      </c>
      <c r="D137" s="152">
        <v>12170</v>
      </c>
      <c r="E137" s="152">
        <v>22487</v>
      </c>
      <c r="F137" s="152">
        <v>173847382.612349</v>
      </c>
      <c r="G137" s="152">
        <v>263788793.299541</v>
      </c>
      <c r="H137" s="152">
        <v>437636175.91188902</v>
      </c>
      <c r="I137" t="s">
        <v>742</v>
      </c>
      <c r="J137" t="s">
        <v>135</v>
      </c>
      <c r="K137">
        <v>305243</v>
      </c>
      <c r="L137" t="s">
        <v>899</v>
      </c>
      <c r="M137"/>
      <c r="N137"/>
      <c r="O137"/>
      <c r="P137"/>
      <c r="Q137" s="152"/>
      <c r="R137"/>
      <c r="S137"/>
      <c r="T137"/>
      <c r="U137"/>
      <c r="V137"/>
    </row>
    <row r="138" spans="1:22" x14ac:dyDescent="0.2">
      <c r="A138" t="s">
        <v>843</v>
      </c>
      <c r="B138" t="s">
        <v>602</v>
      </c>
      <c r="C138" s="152">
        <v>12523</v>
      </c>
      <c r="D138" s="152">
        <v>9801</v>
      </c>
      <c r="E138" s="152">
        <v>22324</v>
      </c>
      <c r="F138" s="152">
        <v>255549057.97282001</v>
      </c>
      <c r="G138" s="152">
        <v>232487391.03095901</v>
      </c>
      <c r="H138" s="152">
        <v>488036449.00377899</v>
      </c>
      <c r="I138" t="s">
        <v>867</v>
      </c>
      <c r="J138" t="s">
        <v>135</v>
      </c>
      <c r="K138">
        <v>641704</v>
      </c>
      <c r="L138" t="s">
        <v>198</v>
      </c>
      <c r="M138"/>
      <c r="N138"/>
      <c r="O138"/>
      <c r="P138"/>
      <c r="Q138" s="152"/>
      <c r="R138"/>
      <c r="S138"/>
      <c r="T138"/>
      <c r="U138"/>
      <c r="V138"/>
    </row>
    <row r="139" spans="1:22" x14ac:dyDescent="0.2">
      <c r="A139" t="s">
        <v>108</v>
      </c>
      <c r="B139" t="s">
        <v>409</v>
      </c>
      <c r="C139" s="152">
        <v>11101</v>
      </c>
      <c r="D139" s="152">
        <v>11126</v>
      </c>
      <c r="E139" s="152">
        <v>22227</v>
      </c>
      <c r="F139" s="152">
        <v>183362190.017306</v>
      </c>
      <c r="G139" s="152">
        <v>222658941.17362699</v>
      </c>
      <c r="H139" s="152">
        <v>406021131.19093299</v>
      </c>
      <c r="I139" t="s">
        <v>867</v>
      </c>
      <c r="J139" t="s">
        <v>135</v>
      </c>
      <c r="K139">
        <v>629543</v>
      </c>
      <c r="L139" t="s">
        <v>787</v>
      </c>
      <c r="M139"/>
      <c r="N139"/>
      <c r="O139"/>
      <c r="P139"/>
      <c r="Q139" s="152"/>
      <c r="R139"/>
      <c r="S139"/>
      <c r="T139"/>
      <c r="U139"/>
      <c r="V139"/>
    </row>
    <row r="140" spans="1:22" x14ac:dyDescent="0.2">
      <c r="A140" t="s">
        <v>114</v>
      </c>
      <c r="B140" t="s">
        <v>421</v>
      </c>
      <c r="C140" s="152">
        <v>10250</v>
      </c>
      <c r="D140" s="152">
        <v>11594</v>
      </c>
      <c r="E140" s="152">
        <v>21844</v>
      </c>
      <c r="F140" s="152">
        <v>130873976.27694499</v>
      </c>
      <c r="G140" s="152">
        <v>177535417.94821301</v>
      </c>
      <c r="H140" s="152">
        <v>308409394.22515899</v>
      </c>
      <c r="I140" t="s">
        <v>742</v>
      </c>
      <c r="J140" t="s">
        <v>135</v>
      </c>
      <c r="K140">
        <v>384107</v>
      </c>
      <c r="L140" t="s">
        <v>894</v>
      </c>
      <c r="M140"/>
      <c r="N140"/>
      <c r="O140"/>
      <c r="P140"/>
      <c r="Q140" s="152"/>
      <c r="R140"/>
      <c r="S140"/>
      <c r="T140"/>
      <c r="U140"/>
      <c r="V140"/>
    </row>
    <row r="141" spans="1:22" x14ac:dyDescent="0.2">
      <c r="A141" t="s">
        <v>312</v>
      </c>
      <c r="B141" t="s">
        <v>641</v>
      </c>
      <c r="C141" s="152">
        <v>10801</v>
      </c>
      <c r="D141" s="152">
        <v>10909</v>
      </c>
      <c r="E141" s="152">
        <v>21710</v>
      </c>
      <c r="F141" s="152">
        <v>253747735.309764</v>
      </c>
      <c r="G141" s="152">
        <v>317411578.258448</v>
      </c>
      <c r="H141" s="152">
        <v>571159313.56821203</v>
      </c>
      <c r="I141" t="s">
        <v>867</v>
      </c>
      <c r="J141" t="s">
        <v>135</v>
      </c>
      <c r="K141">
        <v>968420</v>
      </c>
      <c r="L141" t="s">
        <v>198</v>
      </c>
      <c r="M141"/>
      <c r="N141"/>
      <c r="O141"/>
      <c r="P141"/>
      <c r="Q141" s="152"/>
      <c r="R141"/>
      <c r="S141"/>
      <c r="T141"/>
      <c r="U141"/>
      <c r="V141"/>
    </row>
    <row r="142" spans="1:22" x14ac:dyDescent="0.2">
      <c r="A142" t="s">
        <v>338</v>
      </c>
      <c r="B142" t="s">
        <v>21</v>
      </c>
      <c r="C142" s="152">
        <v>9919</v>
      </c>
      <c r="D142" s="152">
        <v>11600</v>
      </c>
      <c r="E142" s="152">
        <v>21519</v>
      </c>
      <c r="F142" s="152">
        <v>464348538.80409503</v>
      </c>
      <c r="G142" s="152">
        <v>664911915.89346898</v>
      </c>
      <c r="H142" s="152">
        <v>1129260454.6975601</v>
      </c>
      <c r="I142" t="s">
        <v>742</v>
      </c>
      <c r="J142" t="s">
        <v>137</v>
      </c>
      <c r="K142">
        <v>240663</v>
      </c>
      <c r="L142" t="s">
        <v>22</v>
      </c>
      <c r="M142"/>
      <c r="N142"/>
      <c r="O142"/>
      <c r="P142"/>
      <c r="Q142" s="152"/>
      <c r="R142"/>
      <c r="S142"/>
      <c r="T142"/>
      <c r="U142"/>
      <c r="V142"/>
    </row>
    <row r="143" spans="1:22" x14ac:dyDescent="0.2">
      <c r="A143" t="s">
        <v>49</v>
      </c>
      <c r="B143" t="s">
        <v>895</v>
      </c>
      <c r="C143" s="152">
        <v>11015</v>
      </c>
      <c r="D143" s="152">
        <v>10500</v>
      </c>
      <c r="E143" s="152">
        <v>21515</v>
      </c>
      <c r="F143" s="152">
        <v>110136076.24393301</v>
      </c>
      <c r="G143" s="152">
        <v>134123179.88552199</v>
      </c>
      <c r="H143" s="152">
        <v>244259256.12945399</v>
      </c>
      <c r="I143" t="s">
        <v>742</v>
      </c>
      <c r="J143" t="s">
        <v>135</v>
      </c>
      <c r="K143">
        <v>666495</v>
      </c>
      <c r="L143" t="s">
        <v>894</v>
      </c>
      <c r="M143"/>
      <c r="N143"/>
      <c r="O143"/>
      <c r="P143"/>
      <c r="Q143" s="152"/>
      <c r="R143"/>
      <c r="S143"/>
      <c r="T143"/>
      <c r="U143"/>
      <c r="V143"/>
    </row>
    <row r="144" spans="1:22" x14ac:dyDescent="0.2">
      <c r="A144" t="s">
        <v>312</v>
      </c>
      <c r="B144" t="s">
        <v>660</v>
      </c>
      <c r="C144" s="152">
        <v>8846</v>
      </c>
      <c r="D144" s="152">
        <v>12513</v>
      </c>
      <c r="E144" s="152">
        <v>21359</v>
      </c>
      <c r="F144" s="152">
        <v>217974317.660781</v>
      </c>
      <c r="G144" s="152">
        <v>397420858.55857998</v>
      </c>
      <c r="H144" s="152">
        <v>615395176.21936202</v>
      </c>
      <c r="I144" t="s">
        <v>742</v>
      </c>
      <c r="J144" t="s">
        <v>135</v>
      </c>
      <c r="K144">
        <v>338590</v>
      </c>
      <c r="L144" t="s">
        <v>874</v>
      </c>
      <c r="M144"/>
      <c r="N144"/>
      <c r="O144"/>
      <c r="P144"/>
      <c r="Q144" s="152"/>
      <c r="R144"/>
      <c r="S144"/>
      <c r="T144"/>
      <c r="U144"/>
      <c r="V144"/>
    </row>
    <row r="145" spans="1:22" x14ac:dyDescent="0.2">
      <c r="A145" t="s">
        <v>234</v>
      </c>
      <c r="B145" t="s">
        <v>243</v>
      </c>
      <c r="C145" s="152">
        <v>9445</v>
      </c>
      <c r="D145" s="152">
        <v>11734</v>
      </c>
      <c r="E145" s="152">
        <v>21179</v>
      </c>
      <c r="F145" s="152">
        <v>172811458.051608</v>
      </c>
      <c r="G145" s="152">
        <v>267853630.58989301</v>
      </c>
      <c r="H145" s="152">
        <v>440665088.64150101</v>
      </c>
      <c r="I145" t="s">
        <v>867</v>
      </c>
      <c r="J145" t="s">
        <v>135</v>
      </c>
      <c r="K145">
        <v>552984</v>
      </c>
      <c r="L145" t="s">
        <v>239</v>
      </c>
      <c r="M145"/>
      <c r="N145"/>
      <c r="O145"/>
      <c r="P145"/>
      <c r="Q145" s="152"/>
      <c r="R145"/>
      <c r="S145"/>
      <c r="T145"/>
      <c r="U145"/>
      <c r="V145"/>
    </row>
    <row r="146" spans="1:22" x14ac:dyDescent="0.2">
      <c r="A146" t="s">
        <v>338</v>
      </c>
      <c r="B146" t="s">
        <v>1069</v>
      </c>
      <c r="C146" s="152">
        <v>11499</v>
      </c>
      <c r="D146" s="152">
        <v>9580</v>
      </c>
      <c r="E146" s="152">
        <v>21079</v>
      </c>
      <c r="F146" s="152">
        <v>880629955.30130696</v>
      </c>
      <c r="G146" s="152">
        <v>920555471.80107903</v>
      </c>
      <c r="H146" s="152">
        <v>1801185427.1023901</v>
      </c>
      <c r="I146" t="s">
        <v>742</v>
      </c>
      <c r="J146" t="s">
        <v>137</v>
      </c>
      <c r="K146">
        <v>983940</v>
      </c>
      <c r="L146" t="s">
        <v>450</v>
      </c>
      <c r="M146"/>
      <c r="N146"/>
      <c r="O146"/>
      <c r="P146"/>
      <c r="Q146" s="152"/>
      <c r="R146"/>
      <c r="S146"/>
      <c r="T146"/>
      <c r="U146"/>
      <c r="V146"/>
    </row>
    <row r="147" spans="1:22" x14ac:dyDescent="0.2">
      <c r="A147" t="s">
        <v>386</v>
      </c>
      <c r="B147" t="s">
        <v>400</v>
      </c>
      <c r="C147" s="152">
        <v>10878</v>
      </c>
      <c r="D147" s="152">
        <v>9650</v>
      </c>
      <c r="E147" s="152">
        <v>20528</v>
      </c>
      <c r="F147" s="152">
        <v>493129121.48799801</v>
      </c>
      <c r="G147" s="152">
        <v>533711131.13233298</v>
      </c>
      <c r="H147" s="152">
        <v>1026840252.62033</v>
      </c>
      <c r="I147" t="s">
        <v>867</v>
      </c>
      <c r="J147" t="s">
        <v>139</v>
      </c>
      <c r="K147">
        <v>743112</v>
      </c>
      <c r="L147" t="s">
        <v>810</v>
      </c>
      <c r="M147"/>
      <c r="N147"/>
      <c r="O147"/>
      <c r="P147"/>
      <c r="Q147" s="152"/>
      <c r="R147"/>
      <c r="S147"/>
      <c r="T147"/>
      <c r="U147"/>
      <c r="V147"/>
    </row>
    <row r="148" spans="1:22" x14ac:dyDescent="0.2">
      <c r="A148" t="s">
        <v>183</v>
      </c>
      <c r="B148" t="s">
        <v>184</v>
      </c>
      <c r="C148" s="152">
        <v>9980</v>
      </c>
      <c r="D148" s="152">
        <v>10496</v>
      </c>
      <c r="E148" s="152">
        <v>20476</v>
      </c>
      <c r="F148" s="152">
        <v>120350898.018581</v>
      </c>
      <c r="G148" s="152">
        <v>174285281.23742101</v>
      </c>
      <c r="H148" s="152">
        <v>294636179.25600201</v>
      </c>
      <c r="I148" t="s">
        <v>742</v>
      </c>
      <c r="J148" t="s">
        <v>135</v>
      </c>
      <c r="K148">
        <v>191080</v>
      </c>
      <c r="L148" t="s">
        <v>403</v>
      </c>
      <c r="M148"/>
      <c r="N148"/>
      <c r="O148"/>
      <c r="P148"/>
      <c r="Q148" s="152"/>
      <c r="R148"/>
      <c r="S148"/>
      <c r="T148"/>
      <c r="U148"/>
      <c r="V148"/>
    </row>
    <row r="149" spans="1:22" x14ac:dyDescent="0.2">
      <c r="A149" t="s">
        <v>386</v>
      </c>
      <c r="B149" t="s">
        <v>401</v>
      </c>
      <c r="C149" s="152">
        <v>10546</v>
      </c>
      <c r="D149" s="152">
        <v>9909</v>
      </c>
      <c r="E149" s="152">
        <v>20455</v>
      </c>
      <c r="F149" s="152">
        <v>505143767.93294698</v>
      </c>
      <c r="G149" s="152">
        <v>580467251.25860596</v>
      </c>
      <c r="H149" s="152">
        <v>1085611019.19155</v>
      </c>
      <c r="I149" t="s">
        <v>867</v>
      </c>
      <c r="J149" t="s">
        <v>139</v>
      </c>
      <c r="K149">
        <v>778944</v>
      </c>
      <c r="L149" t="s">
        <v>810</v>
      </c>
      <c r="M149"/>
      <c r="N149"/>
      <c r="O149"/>
      <c r="P149"/>
      <c r="Q149" s="152"/>
      <c r="R149"/>
      <c r="S149"/>
      <c r="T149"/>
      <c r="U149"/>
      <c r="V149"/>
    </row>
    <row r="150" spans="1:22" x14ac:dyDescent="0.2">
      <c r="A150" t="s">
        <v>338</v>
      </c>
      <c r="B150" t="s">
        <v>1079</v>
      </c>
      <c r="C150" s="152">
        <v>9404</v>
      </c>
      <c r="D150" s="152">
        <v>11047</v>
      </c>
      <c r="E150" s="152">
        <v>20451</v>
      </c>
      <c r="F150" s="152">
        <v>63443215.126858398</v>
      </c>
      <c r="G150" s="152">
        <v>95282710.491044104</v>
      </c>
      <c r="H150" s="152">
        <v>158725925.61790299</v>
      </c>
      <c r="I150" t="s">
        <v>867</v>
      </c>
      <c r="J150" t="s">
        <v>137</v>
      </c>
      <c r="K150">
        <v>817544</v>
      </c>
      <c r="L150" t="s">
        <v>1068</v>
      </c>
      <c r="M150"/>
      <c r="N150"/>
      <c r="O150"/>
      <c r="P150"/>
      <c r="Q150" s="152"/>
      <c r="R150"/>
      <c r="S150"/>
      <c r="T150"/>
      <c r="U150"/>
      <c r="V150"/>
    </row>
    <row r="151" spans="1:22" x14ac:dyDescent="0.2">
      <c r="A151" t="s">
        <v>150</v>
      </c>
      <c r="B151" t="s">
        <v>161</v>
      </c>
      <c r="C151" s="152">
        <v>8122</v>
      </c>
      <c r="D151" s="152">
        <v>12085</v>
      </c>
      <c r="E151" s="152">
        <v>20207</v>
      </c>
      <c r="F151" s="152">
        <v>151235017.397071</v>
      </c>
      <c r="G151" s="152">
        <v>301037609.70095903</v>
      </c>
      <c r="H151" s="152">
        <v>452272627.09802902</v>
      </c>
      <c r="I151" t="s">
        <v>867</v>
      </c>
      <c r="J151" t="s">
        <v>135</v>
      </c>
      <c r="K151">
        <v>722983</v>
      </c>
      <c r="L151" t="s">
        <v>37</v>
      </c>
      <c r="M151"/>
      <c r="N151"/>
      <c r="O151"/>
      <c r="P151"/>
      <c r="Q151" s="152"/>
      <c r="R151"/>
      <c r="S151"/>
      <c r="T151"/>
      <c r="U151"/>
      <c r="V151"/>
    </row>
    <row r="152" spans="1:22" x14ac:dyDescent="0.2">
      <c r="A152" t="s">
        <v>166</v>
      </c>
      <c r="B152" t="s">
        <v>601</v>
      </c>
      <c r="C152" s="152">
        <v>10405</v>
      </c>
      <c r="D152" s="152">
        <v>9780</v>
      </c>
      <c r="E152" s="152">
        <v>20185</v>
      </c>
      <c r="F152" s="152">
        <v>163926265.25882599</v>
      </c>
      <c r="G152" s="152">
        <v>187099948.446343</v>
      </c>
      <c r="H152" s="152">
        <v>351026213.70516902</v>
      </c>
      <c r="I152" t="s">
        <v>867</v>
      </c>
      <c r="J152" t="s">
        <v>135</v>
      </c>
      <c r="K152">
        <v>384693</v>
      </c>
      <c r="L152" t="s">
        <v>198</v>
      </c>
      <c r="M152"/>
      <c r="N152"/>
      <c r="O152"/>
      <c r="P152"/>
      <c r="Q152" s="152"/>
      <c r="R152"/>
      <c r="S152"/>
      <c r="T152"/>
      <c r="U152"/>
      <c r="V152"/>
    </row>
    <row r="153" spans="1:22" x14ac:dyDescent="0.2">
      <c r="A153" t="s">
        <v>329</v>
      </c>
      <c r="B153" t="s">
        <v>415</v>
      </c>
      <c r="C153" s="152">
        <v>10731</v>
      </c>
      <c r="D153" s="152">
        <v>9443</v>
      </c>
      <c r="E153" s="152">
        <v>20174</v>
      </c>
      <c r="F153" s="152">
        <v>220346528.174932</v>
      </c>
      <c r="G153" s="152">
        <v>230601386.92296201</v>
      </c>
      <c r="H153" s="152">
        <v>450947915.09789401</v>
      </c>
      <c r="I153" t="s">
        <v>867</v>
      </c>
      <c r="J153" t="s">
        <v>137</v>
      </c>
      <c r="K153">
        <v>665372</v>
      </c>
      <c r="L153" t="s">
        <v>787</v>
      </c>
      <c r="M153"/>
      <c r="N153"/>
      <c r="O153"/>
      <c r="P153"/>
      <c r="Q153" s="152"/>
      <c r="R153"/>
      <c r="S153"/>
      <c r="T153"/>
      <c r="U153"/>
      <c r="V153"/>
    </row>
    <row r="154" spans="1:22" x14ac:dyDescent="0.2">
      <c r="A154" t="s">
        <v>114</v>
      </c>
      <c r="B154" t="s">
        <v>599</v>
      </c>
      <c r="C154" s="152">
        <v>9001</v>
      </c>
      <c r="D154" s="152">
        <v>10964</v>
      </c>
      <c r="E154" s="152">
        <v>19965</v>
      </c>
      <c r="F154" s="152">
        <v>136459972.057942</v>
      </c>
      <c r="G154" s="152">
        <v>211171936.031104</v>
      </c>
      <c r="H154" s="152">
        <v>347631908.089046</v>
      </c>
      <c r="I154" t="s">
        <v>867</v>
      </c>
      <c r="J154" t="s">
        <v>135</v>
      </c>
      <c r="K154">
        <v>319236</v>
      </c>
      <c r="L154" t="s">
        <v>198</v>
      </c>
      <c r="M154"/>
      <c r="N154"/>
      <c r="O154"/>
      <c r="P154"/>
      <c r="Q154" s="152"/>
      <c r="R154"/>
      <c r="S154"/>
      <c r="T154"/>
      <c r="U154"/>
      <c r="V154"/>
    </row>
    <row r="155" spans="1:22" x14ac:dyDescent="0.2">
      <c r="A155" t="s">
        <v>49</v>
      </c>
      <c r="B155" t="s">
        <v>58</v>
      </c>
      <c r="C155" s="152">
        <v>8810</v>
      </c>
      <c r="D155" s="152">
        <v>11036</v>
      </c>
      <c r="E155" s="152">
        <v>19846</v>
      </c>
      <c r="F155" s="152">
        <v>124288177.341686</v>
      </c>
      <c r="G155" s="152">
        <v>197143960.15361199</v>
      </c>
      <c r="H155" s="152">
        <v>321432137.49529803</v>
      </c>
      <c r="I155" t="s">
        <v>742</v>
      </c>
      <c r="J155" t="s">
        <v>135</v>
      </c>
      <c r="K155">
        <v>327734</v>
      </c>
      <c r="L155" t="s">
        <v>57</v>
      </c>
      <c r="M155"/>
      <c r="N155"/>
      <c r="O155"/>
      <c r="P155"/>
      <c r="Q155" s="152"/>
      <c r="R155"/>
      <c r="S155"/>
      <c r="T155"/>
      <c r="U155"/>
      <c r="V155"/>
    </row>
    <row r="156" spans="1:22" x14ac:dyDescent="0.2">
      <c r="A156" t="s">
        <v>645</v>
      </c>
      <c r="B156" t="s">
        <v>651</v>
      </c>
      <c r="C156" s="152">
        <v>10535</v>
      </c>
      <c r="D156" s="152">
        <v>8603</v>
      </c>
      <c r="E156" s="152">
        <v>19138</v>
      </c>
      <c r="F156" s="152">
        <v>279532598.12167197</v>
      </c>
      <c r="G156" s="152">
        <v>290888587.48181897</v>
      </c>
      <c r="H156" s="152">
        <v>570421185.60349095</v>
      </c>
      <c r="I156" t="s">
        <v>867</v>
      </c>
      <c r="J156" t="s">
        <v>136</v>
      </c>
      <c r="K156">
        <v>534800</v>
      </c>
      <c r="L156" t="s">
        <v>914</v>
      </c>
      <c r="M156"/>
      <c r="N156"/>
      <c r="O156"/>
      <c r="P156"/>
      <c r="Q156" s="152"/>
      <c r="R156"/>
      <c r="S156"/>
      <c r="T156"/>
      <c r="U156"/>
      <c r="V156"/>
    </row>
    <row r="157" spans="1:22" x14ac:dyDescent="0.2">
      <c r="A157" t="s">
        <v>268</v>
      </c>
      <c r="B157" t="s">
        <v>269</v>
      </c>
      <c r="C157" s="152">
        <v>8032</v>
      </c>
      <c r="D157" s="152">
        <v>11089</v>
      </c>
      <c r="E157" s="152">
        <v>19121</v>
      </c>
      <c r="F157" s="152">
        <v>109434496.002469</v>
      </c>
      <c r="G157" s="152">
        <v>204121098.80802101</v>
      </c>
      <c r="H157" s="152">
        <v>313555594.81049103</v>
      </c>
      <c r="I157" t="s">
        <v>742</v>
      </c>
      <c r="J157" t="s">
        <v>135</v>
      </c>
      <c r="K157">
        <v>135129</v>
      </c>
      <c r="L157" t="s">
        <v>520</v>
      </c>
      <c r="M157"/>
      <c r="N157"/>
      <c r="O157"/>
      <c r="P157"/>
      <c r="Q157" s="152"/>
      <c r="R157"/>
      <c r="S157"/>
      <c r="T157"/>
      <c r="U157"/>
      <c r="V157"/>
    </row>
    <row r="158" spans="1:22" x14ac:dyDescent="0.2">
      <c r="A158" t="s">
        <v>781</v>
      </c>
      <c r="B158" t="s">
        <v>1086</v>
      </c>
      <c r="C158" s="152">
        <v>9209</v>
      </c>
      <c r="D158" s="152">
        <v>9600</v>
      </c>
      <c r="E158" s="152">
        <v>18809</v>
      </c>
      <c r="F158" s="152">
        <v>221063830.0332</v>
      </c>
      <c r="G158" s="152">
        <v>269332810.56132299</v>
      </c>
      <c r="H158" s="152">
        <v>490396640.59452301</v>
      </c>
      <c r="I158" t="s">
        <v>867</v>
      </c>
      <c r="J158" t="s">
        <v>135</v>
      </c>
      <c r="K158">
        <v>730366</v>
      </c>
      <c r="L158" t="s">
        <v>877</v>
      </c>
      <c r="M158"/>
      <c r="N158"/>
      <c r="O158"/>
      <c r="P158"/>
      <c r="Q158" s="152"/>
      <c r="R158"/>
      <c r="S158"/>
      <c r="T158"/>
      <c r="U158"/>
      <c r="V158"/>
    </row>
    <row r="159" spans="1:22" x14ac:dyDescent="0.2">
      <c r="A159" t="s">
        <v>386</v>
      </c>
      <c r="B159" t="s">
        <v>577</v>
      </c>
      <c r="C159" s="152">
        <v>10073</v>
      </c>
      <c r="D159" s="152">
        <v>8553</v>
      </c>
      <c r="E159" s="152">
        <v>18626</v>
      </c>
      <c r="F159" s="152">
        <v>434288946.154782</v>
      </c>
      <c r="G159" s="152">
        <v>467699585.44645602</v>
      </c>
      <c r="H159" s="152">
        <v>901988531.60123801</v>
      </c>
      <c r="I159" t="s">
        <v>867</v>
      </c>
      <c r="J159" t="s">
        <v>139</v>
      </c>
      <c r="K159">
        <v>707281</v>
      </c>
      <c r="L159" t="s">
        <v>810</v>
      </c>
      <c r="M159"/>
      <c r="N159"/>
      <c r="O159"/>
      <c r="P159"/>
      <c r="Q159" s="152"/>
      <c r="R159"/>
      <c r="S159"/>
      <c r="T159"/>
      <c r="U159"/>
      <c r="V159"/>
    </row>
    <row r="160" spans="1:22" x14ac:dyDescent="0.2">
      <c r="A160" t="s">
        <v>329</v>
      </c>
      <c r="B160" t="s">
        <v>331</v>
      </c>
      <c r="C160" s="152">
        <v>12760</v>
      </c>
      <c r="D160" s="152">
        <v>5564</v>
      </c>
      <c r="E160" s="152">
        <v>18324</v>
      </c>
      <c r="F160" s="152">
        <v>483598420.75293899</v>
      </c>
      <c r="G160" s="152">
        <v>206278542.872545</v>
      </c>
      <c r="H160" s="152">
        <v>689876963.62548399</v>
      </c>
      <c r="I160" t="s">
        <v>867</v>
      </c>
      <c r="J160" t="s">
        <v>137</v>
      </c>
      <c r="K160">
        <v>117002</v>
      </c>
      <c r="L160" t="s">
        <v>859</v>
      </c>
      <c r="M160"/>
      <c r="N160"/>
      <c r="O160"/>
      <c r="P160"/>
      <c r="Q160" s="152"/>
      <c r="R160"/>
      <c r="S160"/>
      <c r="T160"/>
      <c r="U160"/>
      <c r="V160"/>
    </row>
    <row r="161" spans="1:22" x14ac:dyDescent="0.2">
      <c r="A161" t="s">
        <v>416</v>
      </c>
      <c r="B161" t="s">
        <v>1027</v>
      </c>
      <c r="C161" s="152">
        <v>6871</v>
      </c>
      <c r="D161" s="152">
        <v>11389</v>
      </c>
      <c r="E161" s="152">
        <v>18260</v>
      </c>
      <c r="F161" s="152">
        <v>154953464.646449</v>
      </c>
      <c r="G161" s="152">
        <v>336054468.996544</v>
      </c>
      <c r="H161" s="152">
        <v>491007933.64299297</v>
      </c>
      <c r="I161" t="s">
        <v>867</v>
      </c>
      <c r="J161" t="s">
        <v>135</v>
      </c>
      <c r="K161">
        <v>688457</v>
      </c>
      <c r="L161" t="s">
        <v>972</v>
      </c>
      <c r="M161"/>
      <c r="N161"/>
      <c r="O161"/>
      <c r="P161"/>
      <c r="Q161" s="152"/>
      <c r="R161"/>
      <c r="S161"/>
      <c r="T161"/>
      <c r="U161"/>
      <c r="V161"/>
    </row>
    <row r="162" spans="1:22" x14ac:dyDescent="0.2">
      <c r="A162" t="s">
        <v>329</v>
      </c>
      <c r="B162" t="s">
        <v>332</v>
      </c>
      <c r="C162" s="152">
        <v>10043</v>
      </c>
      <c r="D162" s="152">
        <v>8006</v>
      </c>
      <c r="E162" s="152">
        <v>18049</v>
      </c>
      <c r="F162" s="152">
        <v>181534362.25025299</v>
      </c>
      <c r="G162" s="152">
        <v>170536317.63043299</v>
      </c>
      <c r="H162" s="152">
        <v>352070679.88068599</v>
      </c>
      <c r="I162" t="s">
        <v>867</v>
      </c>
      <c r="J162" t="s">
        <v>137</v>
      </c>
      <c r="K162">
        <v>599795</v>
      </c>
      <c r="L162" t="s">
        <v>810</v>
      </c>
      <c r="M162"/>
      <c r="N162"/>
      <c r="O162"/>
      <c r="P162"/>
      <c r="Q162" s="152"/>
      <c r="R162"/>
      <c r="S162"/>
      <c r="T162"/>
      <c r="U162"/>
      <c r="V162"/>
    </row>
    <row r="163" spans="1:22" x14ac:dyDescent="0.2">
      <c r="A163" t="s">
        <v>417</v>
      </c>
      <c r="B163" t="s">
        <v>121</v>
      </c>
      <c r="C163" s="152">
        <v>7880</v>
      </c>
      <c r="D163" s="152">
        <v>10076</v>
      </c>
      <c r="E163" s="152">
        <v>17956</v>
      </c>
      <c r="F163" s="152">
        <v>134284789.44012401</v>
      </c>
      <c r="G163" s="152">
        <v>237044665.504807</v>
      </c>
      <c r="H163" s="152">
        <v>371329454.94493097</v>
      </c>
      <c r="I163" t="s">
        <v>742</v>
      </c>
      <c r="J163" t="s">
        <v>135</v>
      </c>
      <c r="K163">
        <v>433862</v>
      </c>
      <c r="L163" t="s">
        <v>598</v>
      </c>
      <c r="M163"/>
      <c r="N163"/>
      <c r="O163"/>
      <c r="P163"/>
      <c r="Q163" s="152"/>
      <c r="R163"/>
      <c r="S163"/>
      <c r="T163"/>
      <c r="U163"/>
      <c r="V163"/>
    </row>
    <row r="164" spans="1:22" x14ac:dyDescent="0.2">
      <c r="A164" t="s">
        <v>312</v>
      </c>
      <c r="B164" t="s">
        <v>638</v>
      </c>
      <c r="C164" s="152">
        <v>7400</v>
      </c>
      <c r="D164" s="152">
        <v>10495</v>
      </c>
      <c r="E164" s="152">
        <v>17895</v>
      </c>
      <c r="F164" s="152">
        <v>90027091.376576304</v>
      </c>
      <c r="G164" s="152">
        <v>161855956.244726</v>
      </c>
      <c r="H164" s="152">
        <v>251883047.62130299</v>
      </c>
      <c r="I164" t="s">
        <v>867</v>
      </c>
      <c r="J164" t="s">
        <v>135</v>
      </c>
      <c r="K164">
        <v>932590</v>
      </c>
      <c r="L164" t="s">
        <v>198</v>
      </c>
      <c r="M164"/>
      <c r="N164"/>
      <c r="O164"/>
      <c r="P164"/>
      <c r="Q164" s="152"/>
      <c r="R164"/>
      <c r="S164"/>
      <c r="T164"/>
      <c r="U164"/>
      <c r="V164"/>
    </row>
    <row r="165" spans="1:22" x14ac:dyDescent="0.2">
      <c r="A165" t="s">
        <v>254</v>
      </c>
      <c r="B165" t="s">
        <v>1123</v>
      </c>
      <c r="C165" s="152">
        <v>7289</v>
      </c>
      <c r="D165" s="152">
        <v>10327</v>
      </c>
      <c r="E165" s="152">
        <v>17616</v>
      </c>
      <c r="F165" s="152">
        <v>75877105.151300699</v>
      </c>
      <c r="G165" s="152">
        <v>138724871.35954201</v>
      </c>
      <c r="H165" s="152">
        <v>214601976.51084301</v>
      </c>
      <c r="I165" t="s">
        <v>867</v>
      </c>
      <c r="J165" t="s">
        <v>135</v>
      </c>
      <c r="K165">
        <v>176503</v>
      </c>
      <c r="L165" t="s">
        <v>914</v>
      </c>
      <c r="M165"/>
      <c r="N165"/>
      <c r="O165"/>
      <c r="P165"/>
      <c r="Q165" s="152"/>
      <c r="R165"/>
      <c r="S165"/>
      <c r="T165"/>
      <c r="U165"/>
      <c r="V165"/>
    </row>
    <row r="166" spans="1:22" x14ac:dyDescent="0.2">
      <c r="A166" t="s">
        <v>843</v>
      </c>
      <c r="B166" t="s">
        <v>860</v>
      </c>
      <c r="C166" s="152">
        <v>12584</v>
      </c>
      <c r="D166" s="152">
        <v>4870</v>
      </c>
      <c r="E166" s="152">
        <v>17454</v>
      </c>
      <c r="F166" s="152">
        <v>481764327.39947802</v>
      </c>
      <c r="G166" s="152">
        <v>209386924.701985</v>
      </c>
      <c r="H166" s="152">
        <v>691151252.10146201</v>
      </c>
      <c r="I166" t="s">
        <v>867</v>
      </c>
      <c r="J166" t="s">
        <v>135</v>
      </c>
      <c r="K166">
        <v>152835</v>
      </c>
      <c r="L166" t="s">
        <v>859</v>
      </c>
      <c r="M166"/>
      <c r="N166"/>
      <c r="O166"/>
      <c r="P166"/>
      <c r="Q166" s="152"/>
      <c r="R166"/>
      <c r="S166"/>
      <c r="T166"/>
      <c r="U166"/>
      <c r="V166"/>
    </row>
    <row r="167" spans="1:22" x14ac:dyDescent="0.2">
      <c r="A167" t="s">
        <v>551</v>
      </c>
      <c r="B167" t="s">
        <v>554</v>
      </c>
      <c r="C167" s="152">
        <v>9150</v>
      </c>
      <c r="D167" s="152">
        <v>8231</v>
      </c>
      <c r="E167" s="152">
        <v>17381</v>
      </c>
      <c r="F167" s="152">
        <v>290864032.63838899</v>
      </c>
      <c r="G167" s="152">
        <v>325674105.17942601</v>
      </c>
      <c r="H167" s="152">
        <v>616538137.81781602</v>
      </c>
      <c r="I167" t="s">
        <v>867</v>
      </c>
      <c r="J167" t="s">
        <v>139</v>
      </c>
      <c r="K167">
        <v>844522</v>
      </c>
      <c r="L167" t="s">
        <v>914</v>
      </c>
      <c r="M167"/>
      <c r="N167"/>
      <c r="O167"/>
      <c r="P167"/>
      <c r="Q167" s="152"/>
      <c r="R167"/>
      <c r="S167"/>
      <c r="T167"/>
      <c r="U167"/>
      <c r="V167"/>
    </row>
    <row r="168" spans="1:22" x14ac:dyDescent="0.2">
      <c r="A168" t="s">
        <v>781</v>
      </c>
      <c r="B168" t="s">
        <v>505</v>
      </c>
      <c r="C168" s="152">
        <v>9011</v>
      </c>
      <c r="D168" s="152">
        <v>8230</v>
      </c>
      <c r="E168" s="152">
        <v>17241</v>
      </c>
      <c r="F168" s="152">
        <v>189632029.318351</v>
      </c>
      <c r="G168" s="152">
        <v>210903235.390156</v>
      </c>
      <c r="H168" s="152">
        <v>400535264.708507</v>
      </c>
      <c r="I168" t="s">
        <v>867</v>
      </c>
      <c r="J168" t="s">
        <v>135</v>
      </c>
      <c r="K168">
        <v>363564</v>
      </c>
      <c r="L168" t="s">
        <v>814</v>
      </c>
      <c r="M168"/>
      <c r="N168"/>
      <c r="O168"/>
      <c r="P168"/>
      <c r="Q168" s="152"/>
      <c r="R168"/>
      <c r="S168"/>
      <c r="T168"/>
      <c r="U168"/>
      <c r="V168"/>
    </row>
    <row r="169" spans="1:22" x14ac:dyDescent="0.2">
      <c r="A169" t="s">
        <v>150</v>
      </c>
      <c r="B169" t="s">
        <v>1129</v>
      </c>
      <c r="C169" s="152">
        <v>7601</v>
      </c>
      <c r="D169" s="152">
        <v>9640</v>
      </c>
      <c r="E169" s="152">
        <v>17241</v>
      </c>
      <c r="F169" s="152">
        <v>152531263.834362</v>
      </c>
      <c r="G169" s="152">
        <v>242889246.69063199</v>
      </c>
      <c r="H169" s="152">
        <v>395420510.52499402</v>
      </c>
      <c r="I169" t="s">
        <v>867</v>
      </c>
      <c r="J169" t="s">
        <v>135</v>
      </c>
      <c r="K169">
        <v>914945</v>
      </c>
      <c r="L169" t="s">
        <v>907</v>
      </c>
      <c r="M169"/>
      <c r="N169"/>
      <c r="O169"/>
      <c r="P169"/>
      <c r="Q169" s="152"/>
      <c r="R169"/>
      <c r="S169"/>
      <c r="T169"/>
      <c r="U169"/>
      <c r="V169"/>
    </row>
    <row r="170" spans="1:22" x14ac:dyDescent="0.2">
      <c r="A170" t="s">
        <v>781</v>
      </c>
      <c r="B170" t="s">
        <v>639</v>
      </c>
      <c r="C170" s="152">
        <v>7857</v>
      </c>
      <c r="D170" s="152">
        <v>9264</v>
      </c>
      <c r="E170" s="152">
        <v>17121</v>
      </c>
      <c r="F170" s="152">
        <v>172381130.825858</v>
      </c>
      <c r="G170" s="152">
        <v>259212763.97970599</v>
      </c>
      <c r="H170" s="152">
        <v>431593894.80556399</v>
      </c>
      <c r="I170" t="s">
        <v>867</v>
      </c>
      <c r="J170" t="s">
        <v>135</v>
      </c>
      <c r="K170">
        <v>939850</v>
      </c>
      <c r="L170" t="s">
        <v>198</v>
      </c>
      <c r="M170"/>
      <c r="N170"/>
      <c r="O170"/>
      <c r="P170"/>
      <c r="Q170" s="152"/>
      <c r="R170"/>
      <c r="S170"/>
      <c r="T170"/>
      <c r="U170"/>
      <c r="V170"/>
    </row>
    <row r="171" spans="1:22" x14ac:dyDescent="0.2">
      <c r="A171" t="s">
        <v>551</v>
      </c>
      <c r="B171" t="s">
        <v>572</v>
      </c>
      <c r="C171" s="152">
        <v>9377</v>
      </c>
      <c r="D171" s="152">
        <v>7730</v>
      </c>
      <c r="E171" s="152">
        <v>17107</v>
      </c>
      <c r="F171" s="152">
        <v>285015953.36647397</v>
      </c>
      <c r="G171" s="152">
        <v>291592418.96529001</v>
      </c>
      <c r="H171" s="152">
        <v>576608372.33176398</v>
      </c>
      <c r="I171" t="s">
        <v>867</v>
      </c>
      <c r="J171" t="s">
        <v>139</v>
      </c>
      <c r="K171">
        <v>215996</v>
      </c>
      <c r="L171" t="s">
        <v>814</v>
      </c>
      <c r="M171"/>
      <c r="N171"/>
      <c r="O171"/>
      <c r="P171"/>
      <c r="Q171" s="152"/>
      <c r="R171"/>
      <c r="S171"/>
      <c r="T171"/>
      <c r="U171"/>
      <c r="V171"/>
    </row>
    <row r="172" spans="1:22" x14ac:dyDescent="0.2">
      <c r="A172" t="s">
        <v>293</v>
      </c>
      <c r="B172" t="s">
        <v>296</v>
      </c>
      <c r="C172" s="152">
        <v>7916</v>
      </c>
      <c r="D172" s="152">
        <v>8957</v>
      </c>
      <c r="E172" s="152">
        <v>16873</v>
      </c>
      <c r="F172" s="152">
        <v>135627303.36751401</v>
      </c>
      <c r="G172" s="152">
        <v>188096605.591452</v>
      </c>
      <c r="H172" s="152">
        <v>323723908.95896602</v>
      </c>
      <c r="I172" t="s">
        <v>867</v>
      </c>
      <c r="J172" t="s">
        <v>135</v>
      </c>
      <c r="K172">
        <v>439471</v>
      </c>
      <c r="L172" t="s">
        <v>791</v>
      </c>
      <c r="M172"/>
      <c r="N172"/>
      <c r="O172"/>
      <c r="P172"/>
      <c r="Q172" s="152"/>
      <c r="R172"/>
      <c r="S172"/>
      <c r="T172"/>
      <c r="U172"/>
      <c r="V172"/>
    </row>
    <row r="173" spans="1:22" x14ac:dyDescent="0.2">
      <c r="A173" t="s">
        <v>781</v>
      </c>
      <c r="B173" t="s">
        <v>813</v>
      </c>
      <c r="C173" s="152">
        <v>7966</v>
      </c>
      <c r="D173" s="152">
        <v>8845</v>
      </c>
      <c r="E173" s="152">
        <v>16811</v>
      </c>
      <c r="F173" s="152">
        <v>165281251.67297</v>
      </c>
      <c r="G173" s="152">
        <v>228400889.299357</v>
      </c>
      <c r="H173" s="152">
        <v>393682140.97232801</v>
      </c>
      <c r="I173" t="s">
        <v>867</v>
      </c>
      <c r="J173" t="s">
        <v>135</v>
      </c>
      <c r="K173">
        <v>806869</v>
      </c>
      <c r="L173" t="s">
        <v>812</v>
      </c>
      <c r="M173"/>
      <c r="N173"/>
      <c r="O173"/>
      <c r="P173"/>
      <c r="Q173" s="152"/>
      <c r="R173"/>
      <c r="S173"/>
      <c r="T173"/>
      <c r="U173"/>
      <c r="V173"/>
    </row>
    <row r="174" spans="1:22" x14ac:dyDescent="0.2">
      <c r="A174" t="s">
        <v>183</v>
      </c>
      <c r="B174" t="s">
        <v>697</v>
      </c>
      <c r="C174" s="152">
        <v>8522</v>
      </c>
      <c r="D174" s="152">
        <v>8263</v>
      </c>
      <c r="E174" s="152">
        <v>16785</v>
      </c>
      <c r="F174" s="152">
        <v>134779589.89420801</v>
      </c>
      <c r="G174" s="152">
        <v>166322536.88569799</v>
      </c>
      <c r="H174" s="152">
        <v>301102126.77990597</v>
      </c>
      <c r="I174" t="s">
        <v>742</v>
      </c>
      <c r="J174" t="s">
        <v>135</v>
      </c>
      <c r="K174">
        <v>995571</v>
      </c>
      <c r="L174" t="s">
        <v>598</v>
      </c>
      <c r="M174"/>
      <c r="N174"/>
      <c r="O174"/>
      <c r="P174"/>
      <c r="Q174" s="152"/>
      <c r="R174"/>
      <c r="S174"/>
      <c r="T174"/>
      <c r="U174"/>
      <c r="V174"/>
    </row>
    <row r="175" spans="1:22" x14ac:dyDescent="0.2">
      <c r="A175" t="s">
        <v>329</v>
      </c>
      <c r="B175" t="s">
        <v>336</v>
      </c>
      <c r="C175" s="152">
        <v>12285</v>
      </c>
      <c r="D175" s="152">
        <v>4445</v>
      </c>
      <c r="E175" s="152">
        <v>16730</v>
      </c>
      <c r="F175" s="152">
        <v>290493089.61511701</v>
      </c>
      <c r="G175" s="152">
        <v>116847035.213394</v>
      </c>
      <c r="H175" s="152">
        <v>407340124.828511</v>
      </c>
      <c r="I175" t="s">
        <v>867</v>
      </c>
      <c r="J175" t="s">
        <v>137</v>
      </c>
      <c r="K175">
        <v>224493</v>
      </c>
      <c r="L175" t="s">
        <v>893</v>
      </c>
      <c r="M175"/>
      <c r="N175"/>
      <c r="O175"/>
      <c r="P175"/>
      <c r="Q175" s="152"/>
      <c r="R175"/>
      <c r="S175"/>
      <c r="T175"/>
      <c r="U175"/>
      <c r="V175"/>
    </row>
    <row r="176" spans="1:22" x14ac:dyDescent="0.2">
      <c r="A176" t="s">
        <v>645</v>
      </c>
      <c r="B176" t="s">
        <v>650</v>
      </c>
      <c r="C176" s="152">
        <v>8648</v>
      </c>
      <c r="D176" s="152">
        <v>8070</v>
      </c>
      <c r="E176" s="152">
        <v>16718</v>
      </c>
      <c r="F176" s="152">
        <v>217555345.96518901</v>
      </c>
      <c r="G176" s="152">
        <v>250078947.30949399</v>
      </c>
      <c r="H176" s="152">
        <v>467634293.27468401</v>
      </c>
      <c r="I176" t="s">
        <v>867</v>
      </c>
      <c r="J176" t="s">
        <v>136</v>
      </c>
      <c r="K176">
        <v>726117</v>
      </c>
      <c r="L176" t="s">
        <v>791</v>
      </c>
      <c r="M176"/>
      <c r="N176"/>
      <c r="O176"/>
      <c r="P176"/>
      <c r="Q176" s="152"/>
      <c r="R176"/>
      <c r="S176"/>
      <c r="T176"/>
      <c r="U176"/>
      <c r="V176"/>
    </row>
    <row r="177" spans="1:22" x14ac:dyDescent="0.2">
      <c r="A177" t="s">
        <v>551</v>
      </c>
      <c r="B177" t="s">
        <v>553</v>
      </c>
      <c r="C177" s="152">
        <v>9494</v>
      </c>
      <c r="D177" s="152">
        <v>6987</v>
      </c>
      <c r="E177" s="152">
        <v>16481</v>
      </c>
      <c r="F177" s="152">
        <v>317792943.25998002</v>
      </c>
      <c r="G177" s="152">
        <v>276884116.74979299</v>
      </c>
      <c r="H177" s="152">
        <v>594677060.00977302</v>
      </c>
      <c r="I177" t="s">
        <v>867</v>
      </c>
      <c r="J177" t="s">
        <v>139</v>
      </c>
      <c r="K177">
        <v>829358</v>
      </c>
      <c r="L177" t="s">
        <v>907</v>
      </c>
      <c r="M177"/>
      <c r="N177"/>
      <c r="O177"/>
      <c r="P177"/>
      <c r="Q177" s="152"/>
      <c r="R177"/>
      <c r="S177"/>
      <c r="T177"/>
      <c r="U177"/>
      <c r="V177"/>
    </row>
    <row r="178" spans="1:22" x14ac:dyDescent="0.2">
      <c r="A178" t="s">
        <v>382</v>
      </c>
      <c r="B178" t="s">
        <v>568</v>
      </c>
      <c r="C178" s="152">
        <v>9505</v>
      </c>
      <c r="D178" s="152">
        <v>6849</v>
      </c>
      <c r="E178" s="152">
        <v>16354</v>
      </c>
      <c r="F178" s="152">
        <v>158213109.564064</v>
      </c>
      <c r="G178" s="152">
        <v>132440076.71592499</v>
      </c>
      <c r="H178" s="152">
        <v>290653186.279989</v>
      </c>
      <c r="I178" t="s">
        <v>867</v>
      </c>
      <c r="J178" t="s">
        <v>139</v>
      </c>
      <c r="K178">
        <v>502633</v>
      </c>
      <c r="L178" t="s">
        <v>814</v>
      </c>
      <c r="M178"/>
      <c r="N178"/>
      <c r="O178"/>
      <c r="P178"/>
      <c r="Q178" s="152"/>
      <c r="R178"/>
      <c r="S178"/>
      <c r="T178"/>
      <c r="U178"/>
      <c r="V178"/>
    </row>
    <row r="179" spans="1:22" x14ac:dyDescent="0.2">
      <c r="A179" t="s">
        <v>386</v>
      </c>
      <c r="B179" t="s">
        <v>552</v>
      </c>
      <c r="C179" s="152">
        <v>8730</v>
      </c>
      <c r="D179" s="152">
        <v>7543</v>
      </c>
      <c r="E179" s="152">
        <v>16273</v>
      </c>
      <c r="F179" s="152">
        <v>343054287.53344101</v>
      </c>
      <c r="G179" s="152">
        <v>360773490.79465801</v>
      </c>
      <c r="H179" s="152">
        <v>703827778.32809901</v>
      </c>
      <c r="I179" t="s">
        <v>867</v>
      </c>
      <c r="J179" t="s">
        <v>139</v>
      </c>
      <c r="K179">
        <v>901017</v>
      </c>
      <c r="L179" t="s">
        <v>907</v>
      </c>
      <c r="M179"/>
      <c r="N179"/>
      <c r="O179"/>
      <c r="P179"/>
      <c r="Q179" s="152"/>
      <c r="R179"/>
      <c r="S179"/>
      <c r="T179"/>
      <c r="U179"/>
      <c r="V179"/>
    </row>
    <row r="180" spans="1:22" x14ac:dyDescent="0.2">
      <c r="A180" t="s">
        <v>843</v>
      </c>
      <c r="B180" t="s">
        <v>437</v>
      </c>
      <c r="C180" s="152">
        <v>7482</v>
      </c>
      <c r="D180" s="152">
        <v>8714</v>
      </c>
      <c r="E180" s="152">
        <v>16196</v>
      </c>
      <c r="F180" s="152">
        <v>205727360.58954501</v>
      </c>
      <c r="G180" s="152">
        <v>290856530.06367999</v>
      </c>
      <c r="H180" s="152">
        <v>496583890.653225</v>
      </c>
      <c r="I180" t="s">
        <v>867</v>
      </c>
      <c r="J180" t="s">
        <v>135</v>
      </c>
      <c r="K180">
        <v>357483</v>
      </c>
      <c r="L180" t="s">
        <v>1000</v>
      </c>
      <c r="M180"/>
      <c r="N180"/>
      <c r="O180"/>
      <c r="P180"/>
      <c r="Q180" s="152"/>
      <c r="R180"/>
      <c r="S180"/>
      <c r="T180"/>
      <c r="U180"/>
      <c r="V180"/>
    </row>
    <row r="181" spans="1:22" x14ac:dyDescent="0.2">
      <c r="A181" t="s">
        <v>645</v>
      </c>
      <c r="B181" t="s">
        <v>715</v>
      </c>
      <c r="C181" s="152">
        <v>8241</v>
      </c>
      <c r="D181" s="152">
        <v>7910</v>
      </c>
      <c r="E181" s="152">
        <v>16151</v>
      </c>
      <c r="F181" s="152">
        <v>250699926.25331399</v>
      </c>
      <c r="G181" s="152">
        <v>279009773.49277598</v>
      </c>
      <c r="H181" s="152">
        <v>529709699.74608999</v>
      </c>
      <c r="I181" t="s">
        <v>867</v>
      </c>
      <c r="J181" t="s">
        <v>136</v>
      </c>
      <c r="K181">
        <v>648964</v>
      </c>
      <c r="L181" t="s">
        <v>814</v>
      </c>
      <c r="M181"/>
      <c r="N181"/>
      <c r="O181"/>
      <c r="P181"/>
      <c r="Q181" s="152"/>
      <c r="R181"/>
      <c r="S181"/>
      <c r="T181"/>
      <c r="U181"/>
      <c r="V181"/>
    </row>
    <row r="182" spans="1:22" x14ac:dyDescent="0.2">
      <c r="A182" t="s">
        <v>183</v>
      </c>
      <c r="B182" t="s">
        <v>1131</v>
      </c>
      <c r="C182" s="152">
        <v>7283</v>
      </c>
      <c r="D182" s="152">
        <v>8834</v>
      </c>
      <c r="E182" s="152">
        <v>16117</v>
      </c>
      <c r="F182" s="152">
        <v>139378463.93260801</v>
      </c>
      <c r="G182" s="152">
        <v>230245633.60148001</v>
      </c>
      <c r="H182" s="152">
        <v>369624097.53408802</v>
      </c>
      <c r="I182" t="s">
        <v>867</v>
      </c>
      <c r="J182" t="s">
        <v>135</v>
      </c>
      <c r="K182">
        <v>950774</v>
      </c>
      <c r="L182" t="s">
        <v>907</v>
      </c>
      <c r="M182"/>
      <c r="N182"/>
      <c r="O182"/>
      <c r="P182"/>
      <c r="Q182" s="152"/>
      <c r="R182"/>
      <c r="S182"/>
      <c r="T182"/>
      <c r="U182"/>
      <c r="V182"/>
    </row>
    <row r="183" spans="1:22" x14ac:dyDescent="0.2">
      <c r="A183" t="s">
        <v>49</v>
      </c>
      <c r="B183" t="s">
        <v>54</v>
      </c>
      <c r="C183" s="152">
        <v>8350</v>
      </c>
      <c r="D183" s="152">
        <v>7712</v>
      </c>
      <c r="E183" s="152">
        <v>16062</v>
      </c>
      <c r="F183" s="152">
        <v>123791807.533177</v>
      </c>
      <c r="G183" s="152">
        <v>139041975.97731799</v>
      </c>
      <c r="H183" s="152">
        <v>262833783.51049501</v>
      </c>
      <c r="I183" t="s">
        <v>867</v>
      </c>
      <c r="J183" t="s">
        <v>135</v>
      </c>
      <c r="K183">
        <v>122432</v>
      </c>
      <c r="L183" t="s">
        <v>907</v>
      </c>
      <c r="M183"/>
      <c r="N183"/>
      <c r="O183"/>
      <c r="P183"/>
      <c r="Q183" s="152"/>
      <c r="R183"/>
      <c r="S183"/>
      <c r="T183"/>
      <c r="U183"/>
      <c r="V183"/>
    </row>
    <row r="184" spans="1:22" x14ac:dyDescent="0.2">
      <c r="A184" t="s">
        <v>781</v>
      </c>
      <c r="B184" t="s">
        <v>819</v>
      </c>
      <c r="C184" s="152">
        <v>7331</v>
      </c>
      <c r="D184" s="152">
        <v>8621</v>
      </c>
      <c r="E184" s="152">
        <v>15952</v>
      </c>
      <c r="F184" s="152">
        <v>177272006.19082299</v>
      </c>
      <c r="G184" s="152">
        <v>260730155.75332901</v>
      </c>
      <c r="H184" s="152">
        <v>438002161.944152</v>
      </c>
      <c r="I184" t="s">
        <v>742</v>
      </c>
      <c r="J184" t="s">
        <v>135</v>
      </c>
      <c r="K184">
        <v>450981</v>
      </c>
      <c r="L184" t="s">
        <v>818</v>
      </c>
      <c r="M184"/>
      <c r="N184"/>
      <c r="O184"/>
      <c r="P184"/>
      <c r="Q184" s="152"/>
      <c r="R184"/>
      <c r="S184"/>
      <c r="T184"/>
      <c r="U184"/>
      <c r="V184"/>
    </row>
    <row r="185" spans="1:22" x14ac:dyDescent="0.2">
      <c r="A185" t="s">
        <v>420</v>
      </c>
      <c r="B185" t="s">
        <v>26</v>
      </c>
      <c r="C185" s="152">
        <v>6996</v>
      </c>
      <c r="D185" s="152">
        <v>8845</v>
      </c>
      <c r="E185" s="152">
        <v>15841</v>
      </c>
      <c r="F185" s="152">
        <v>112545010.679058</v>
      </c>
      <c r="G185" s="152">
        <v>171614729.502289</v>
      </c>
      <c r="H185" s="152">
        <v>284159740.181346</v>
      </c>
      <c r="I185" t="s">
        <v>742</v>
      </c>
      <c r="J185" t="s">
        <v>135</v>
      </c>
      <c r="K185">
        <v>260919</v>
      </c>
      <c r="L185" t="s">
        <v>490</v>
      </c>
      <c r="M185"/>
      <c r="N185"/>
      <c r="O185"/>
      <c r="P185"/>
      <c r="Q185" s="152"/>
      <c r="R185"/>
      <c r="S185"/>
      <c r="T185"/>
      <c r="U185"/>
      <c r="V185"/>
    </row>
    <row r="186" spans="1:22" x14ac:dyDescent="0.2">
      <c r="A186" t="s">
        <v>293</v>
      </c>
      <c r="B186" t="s">
        <v>998</v>
      </c>
      <c r="C186" s="152">
        <v>6270</v>
      </c>
      <c r="D186" s="152">
        <v>9473</v>
      </c>
      <c r="E186" s="152">
        <v>15743</v>
      </c>
      <c r="F186" s="152">
        <v>90795763.981738195</v>
      </c>
      <c r="G186" s="152">
        <v>169441142.54925299</v>
      </c>
      <c r="H186" s="152">
        <v>260236906.53099099</v>
      </c>
      <c r="I186" t="s">
        <v>867</v>
      </c>
      <c r="J186" t="s">
        <v>135</v>
      </c>
      <c r="K186">
        <v>939264</v>
      </c>
      <c r="L186" t="s">
        <v>972</v>
      </c>
      <c r="M186"/>
      <c r="N186"/>
      <c r="O186"/>
      <c r="P186"/>
      <c r="Q186" s="152"/>
      <c r="R186"/>
      <c r="S186"/>
      <c r="T186"/>
      <c r="U186"/>
      <c r="V186"/>
    </row>
    <row r="187" spans="1:22" x14ac:dyDescent="0.2">
      <c r="A187" t="s">
        <v>386</v>
      </c>
      <c r="B187" t="s">
        <v>550</v>
      </c>
      <c r="C187" s="152">
        <v>8295</v>
      </c>
      <c r="D187" s="152">
        <v>7267</v>
      </c>
      <c r="E187" s="152">
        <v>15562</v>
      </c>
      <c r="F187" s="152">
        <v>308146694.50084603</v>
      </c>
      <c r="G187" s="152">
        <v>319236279.740345</v>
      </c>
      <c r="H187" s="152">
        <v>627382974.24119103</v>
      </c>
      <c r="I187" t="s">
        <v>867</v>
      </c>
      <c r="J187" t="s">
        <v>139</v>
      </c>
      <c r="K187">
        <v>972679</v>
      </c>
      <c r="L187" t="s">
        <v>907</v>
      </c>
      <c r="M187"/>
      <c r="N187"/>
      <c r="O187"/>
      <c r="P187"/>
      <c r="Q187" s="152"/>
      <c r="R187"/>
      <c r="S187"/>
      <c r="T187"/>
      <c r="U187"/>
      <c r="V187"/>
    </row>
    <row r="188" spans="1:22" x14ac:dyDescent="0.2">
      <c r="A188" t="s">
        <v>781</v>
      </c>
      <c r="B188" t="s">
        <v>792</v>
      </c>
      <c r="C188" s="152">
        <v>7399</v>
      </c>
      <c r="D188" s="152">
        <v>8061</v>
      </c>
      <c r="E188" s="152">
        <v>15460</v>
      </c>
      <c r="F188" s="152">
        <v>185711608.23432401</v>
      </c>
      <c r="G188" s="152">
        <v>248543735.64519</v>
      </c>
      <c r="H188" s="152">
        <v>434255343.87951303</v>
      </c>
      <c r="I188" t="s">
        <v>867</v>
      </c>
      <c r="J188" t="s">
        <v>135</v>
      </c>
      <c r="K188">
        <v>690289</v>
      </c>
      <c r="L188" t="s">
        <v>791</v>
      </c>
      <c r="M188"/>
      <c r="N188"/>
      <c r="O188"/>
      <c r="P188"/>
      <c r="Q188" s="152"/>
      <c r="R188"/>
      <c r="S188"/>
      <c r="T188"/>
      <c r="U188"/>
      <c r="V188"/>
    </row>
    <row r="189" spans="1:22" x14ac:dyDescent="0.2">
      <c r="A189" t="s">
        <v>781</v>
      </c>
      <c r="B189" t="s">
        <v>299</v>
      </c>
      <c r="C189" s="152">
        <v>7672</v>
      </c>
      <c r="D189" s="152">
        <v>7512</v>
      </c>
      <c r="E189" s="152">
        <v>15184</v>
      </c>
      <c r="F189" s="152">
        <v>197753833.74187499</v>
      </c>
      <c r="G189" s="152">
        <v>241152754.88382101</v>
      </c>
      <c r="H189" s="152">
        <v>438906588.625696</v>
      </c>
      <c r="I189" t="s">
        <v>867</v>
      </c>
      <c r="J189" t="s">
        <v>135</v>
      </c>
      <c r="K189">
        <v>158261</v>
      </c>
      <c r="L189" t="s">
        <v>907</v>
      </c>
      <c r="M189"/>
      <c r="N189"/>
      <c r="O189"/>
      <c r="P189"/>
      <c r="Q189" s="152"/>
      <c r="R189"/>
      <c r="S189"/>
      <c r="T189"/>
      <c r="U189"/>
      <c r="V189"/>
    </row>
    <row r="190" spans="1:22" x14ac:dyDescent="0.2">
      <c r="A190" t="s">
        <v>717</v>
      </c>
      <c r="B190" t="s">
        <v>720</v>
      </c>
      <c r="C190" s="152">
        <v>7653</v>
      </c>
      <c r="D190" s="152">
        <v>7443</v>
      </c>
      <c r="E190" s="152">
        <v>15096</v>
      </c>
      <c r="F190" s="152">
        <v>215044398.70587701</v>
      </c>
      <c r="G190" s="152">
        <v>267735287.485688</v>
      </c>
      <c r="H190" s="152">
        <v>482779686.19156402</v>
      </c>
      <c r="I190" t="s">
        <v>867</v>
      </c>
      <c r="J190" t="s">
        <v>136</v>
      </c>
      <c r="K190">
        <v>469817</v>
      </c>
      <c r="L190" t="s">
        <v>791</v>
      </c>
      <c r="M190"/>
      <c r="N190"/>
      <c r="O190"/>
      <c r="P190"/>
      <c r="Q190" s="152"/>
      <c r="R190"/>
      <c r="S190"/>
      <c r="T190"/>
      <c r="U190"/>
      <c r="V190"/>
    </row>
    <row r="191" spans="1:22" x14ac:dyDescent="0.2">
      <c r="A191" t="s">
        <v>329</v>
      </c>
      <c r="B191" t="s">
        <v>337</v>
      </c>
      <c r="C191" s="152">
        <v>10670</v>
      </c>
      <c r="D191" s="152">
        <v>4354</v>
      </c>
      <c r="E191" s="152">
        <v>15024</v>
      </c>
      <c r="F191" s="152">
        <v>286282513.03852701</v>
      </c>
      <c r="G191" s="152">
        <v>132354156.536797</v>
      </c>
      <c r="H191" s="152">
        <v>418636669.575324</v>
      </c>
      <c r="I191" t="s">
        <v>867</v>
      </c>
      <c r="J191" t="s">
        <v>137</v>
      </c>
      <c r="K191">
        <v>260323</v>
      </c>
      <c r="L191" t="s">
        <v>893</v>
      </c>
      <c r="M191"/>
      <c r="N191"/>
      <c r="O191"/>
      <c r="P191"/>
      <c r="Q191" s="152"/>
      <c r="R191"/>
      <c r="S191"/>
      <c r="T191"/>
      <c r="U191"/>
      <c r="V191"/>
    </row>
    <row r="192" spans="1:22" x14ac:dyDescent="0.2">
      <c r="A192" t="s">
        <v>150</v>
      </c>
      <c r="B192" t="s">
        <v>122</v>
      </c>
      <c r="C192" s="152">
        <v>6436</v>
      </c>
      <c r="D192" s="152">
        <v>8513</v>
      </c>
      <c r="E192" s="152">
        <v>14949</v>
      </c>
      <c r="F192" s="152">
        <v>101909734.298667</v>
      </c>
      <c r="G192" s="152">
        <v>182007210.570171</v>
      </c>
      <c r="H192" s="152">
        <v>283916944.86883801</v>
      </c>
      <c r="I192" t="s">
        <v>742</v>
      </c>
      <c r="J192" t="s">
        <v>135</v>
      </c>
      <c r="K192">
        <v>469692</v>
      </c>
      <c r="L192" t="s">
        <v>598</v>
      </c>
      <c r="M192"/>
      <c r="N192"/>
      <c r="O192"/>
      <c r="P192"/>
      <c r="Q192" s="152"/>
      <c r="R192"/>
      <c r="S192"/>
      <c r="T192"/>
      <c r="U192"/>
      <c r="V192"/>
    </row>
    <row r="193" spans="1:22" x14ac:dyDescent="0.2">
      <c r="A193" t="s">
        <v>551</v>
      </c>
      <c r="B193" t="s">
        <v>576</v>
      </c>
      <c r="C193" s="152">
        <v>8111</v>
      </c>
      <c r="D193" s="152">
        <v>6400</v>
      </c>
      <c r="E193" s="152">
        <v>14511</v>
      </c>
      <c r="F193" s="152">
        <v>321446162.722803</v>
      </c>
      <c r="G193" s="152">
        <v>319618104.57378298</v>
      </c>
      <c r="H193" s="152">
        <v>641064267.29658604</v>
      </c>
      <c r="I193" t="s">
        <v>867</v>
      </c>
      <c r="J193" t="s">
        <v>139</v>
      </c>
      <c r="K193">
        <v>671453</v>
      </c>
      <c r="L193" t="s">
        <v>810</v>
      </c>
      <c r="M193"/>
      <c r="N193"/>
      <c r="O193"/>
      <c r="P193"/>
      <c r="Q193" s="152"/>
      <c r="R193"/>
      <c r="S193"/>
      <c r="T193"/>
      <c r="U193"/>
      <c r="V193"/>
    </row>
    <row r="194" spans="1:22" x14ac:dyDescent="0.2">
      <c r="A194" t="s">
        <v>329</v>
      </c>
      <c r="B194" t="s">
        <v>984</v>
      </c>
      <c r="C194" s="152">
        <v>7766</v>
      </c>
      <c r="D194" s="152">
        <v>6423</v>
      </c>
      <c r="E194" s="152">
        <v>14189</v>
      </c>
      <c r="F194" s="152">
        <v>177181977.35179299</v>
      </c>
      <c r="G194" s="152">
        <v>174586602.85419399</v>
      </c>
      <c r="H194" s="152">
        <v>351768580.20598602</v>
      </c>
      <c r="I194" t="s">
        <v>867</v>
      </c>
      <c r="J194" t="s">
        <v>137</v>
      </c>
      <c r="K194">
        <v>546960</v>
      </c>
      <c r="L194" t="s">
        <v>791</v>
      </c>
      <c r="M194"/>
      <c r="N194"/>
      <c r="O194"/>
      <c r="P194"/>
      <c r="Q194" s="152"/>
      <c r="R194"/>
      <c r="S194"/>
      <c r="T194"/>
      <c r="U194"/>
      <c r="V194"/>
    </row>
    <row r="195" spans="1:22" x14ac:dyDescent="0.2">
      <c r="A195" t="s">
        <v>861</v>
      </c>
      <c r="B195" t="s">
        <v>48</v>
      </c>
      <c r="C195" s="152">
        <v>6733</v>
      </c>
      <c r="D195" s="152">
        <v>7299</v>
      </c>
      <c r="E195" s="152">
        <v>14032</v>
      </c>
      <c r="F195" s="152">
        <v>131443502.724646</v>
      </c>
      <c r="G195" s="152">
        <v>169873509.080863</v>
      </c>
      <c r="H195" s="152">
        <v>301317011.80550802</v>
      </c>
      <c r="I195" t="s">
        <v>742</v>
      </c>
      <c r="J195" t="s">
        <v>135</v>
      </c>
      <c r="K195">
        <v>598557</v>
      </c>
      <c r="L195" t="s">
        <v>818</v>
      </c>
      <c r="M195"/>
      <c r="N195"/>
      <c r="O195"/>
      <c r="P195"/>
      <c r="Q195" s="152"/>
      <c r="R195"/>
      <c r="S195"/>
      <c r="T195"/>
      <c r="U195"/>
      <c r="V195"/>
    </row>
    <row r="196" spans="1:22" x14ac:dyDescent="0.2">
      <c r="A196" t="s">
        <v>183</v>
      </c>
      <c r="B196" t="s">
        <v>441</v>
      </c>
      <c r="C196" s="152">
        <v>5955</v>
      </c>
      <c r="D196" s="152">
        <v>8056</v>
      </c>
      <c r="E196" s="152">
        <v>14011</v>
      </c>
      <c r="F196" s="152">
        <v>126029347.998228</v>
      </c>
      <c r="G196" s="152">
        <v>210805782.40099701</v>
      </c>
      <c r="H196" s="152">
        <v>336835130.399225</v>
      </c>
      <c r="I196" t="s">
        <v>867</v>
      </c>
      <c r="J196" t="s">
        <v>135</v>
      </c>
      <c r="K196">
        <v>285825</v>
      </c>
      <c r="L196" t="s">
        <v>1000</v>
      </c>
      <c r="M196"/>
      <c r="N196"/>
      <c r="O196"/>
      <c r="P196"/>
      <c r="Q196" s="152"/>
      <c r="R196"/>
      <c r="S196"/>
      <c r="T196"/>
      <c r="U196"/>
      <c r="V196"/>
    </row>
    <row r="197" spans="1:22" x14ac:dyDescent="0.2">
      <c r="A197" t="s">
        <v>150</v>
      </c>
      <c r="B197" t="s">
        <v>199</v>
      </c>
      <c r="C197" s="152">
        <v>5889</v>
      </c>
      <c r="D197" s="152">
        <v>8104</v>
      </c>
      <c r="E197" s="152">
        <v>13993</v>
      </c>
      <c r="F197" s="152">
        <v>58242604.1735937</v>
      </c>
      <c r="G197" s="152">
        <v>116296634.260529</v>
      </c>
      <c r="H197" s="152">
        <v>174539238.43412301</v>
      </c>
      <c r="I197" t="s">
        <v>742</v>
      </c>
      <c r="J197" t="s">
        <v>135</v>
      </c>
      <c r="K197">
        <v>170894</v>
      </c>
      <c r="L197" t="s">
        <v>894</v>
      </c>
      <c r="M197"/>
      <c r="N197"/>
      <c r="O197"/>
      <c r="P197"/>
      <c r="Q197" s="152"/>
      <c r="R197"/>
      <c r="S197"/>
      <c r="T197"/>
      <c r="U197"/>
      <c r="V197"/>
    </row>
    <row r="198" spans="1:22" x14ac:dyDescent="0.2">
      <c r="A198" t="s">
        <v>416</v>
      </c>
      <c r="B198" t="s">
        <v>165</v>
      </c>
      <c r="C198" s="152">
        <v>5337</v>
      </c>
      <c r="D198" s="152">
        <v>8323</v>
      </c>
      <c r="E198" s="152">
        <v>13660</v>
      </c>
      <c r="F198" s="152">
        <v>113600712.23431399</v>
      </c>
      <c r="G198" s="152">
        <v>229191752.921983</v>
      </c>
      <c r="H198" s="152">
        <v>342792465.15629703</v>
      </c>
      <c r="I198" t="s">
        <v>742</v>
      </c>
      <c r="J198" t="s">
        <v>135</v>
      </c>
      <c r="K198">
        <v>233585</v>
      </c>
      <c r="L198" t="s">
        <v>899</v>
      </c>
      <c r="M198"/>
      <c r="N198"/>
      <c r="O198"/>
      <c r="P198"/>
      <c r="Q198" s="152"/>
      <c r="R198"/>
      <c r="S198"/>
      <c r="T198"/>
      <c r="U198"/>
      <c r="V198"/>
    </row>
    <row r="199" spans="1:22" x14ac:dyDescent="0.2">
      <c r="A199" t="s">
        <v>781</v>
      </c>
      <c r="B199" t="s">
        <v>834</v>
      </c>
      <c r="C199" s="152">
        <v>7700</v>
      </c>
      <c r="D199" s="152">
        <v>5823</v>
      </c>
      <c r="E199" s="152">
        <v>13523</v>
      </c>
      <c r="F199" s="152">
        <v>237884998.798879</v>
      </c>
      <c r="G199" s="152">
        <v>204294881.462567</v>
      </c>
      <c r="H199" s="152">
        <v>442179880.261446</v>
      </c>
      <c r="I199" t="s">
        <v>867</v>
      </c>
      <c r="J199" t="s">
        <v>135</v>
      </c>
      <c r="K199">
        <v>833608</v>
      </c>
      <c r="L199" t="s">
        <v>893</v>
      </c>
      <c r="M199"/>
      <c r="N199"/>
      <c r="O199"/>
      <c r="P199"/>
      <c r="Q199" s="152"/>
      <c r="R199"/>
      <c r="S199"/>
      <c r="T199"/>
      <c r="U199"/>
      <c r="V199"/>
    </row>
    <row r="200" spans="1:22" x14ac:dyDescent="0.2">
      <c r="A200" t="s">
        <v>861</v>
      </c>
      <c r="B200" t="s">
        <v>800</v>
      </c>
      <c r="C200" s="152">
        <v>5931</v>
      </c>
      <c r="D200" s="152">
        <v>7536</v>
      </c>
      <c r="E200" s="152">
        <v>13467</v>
      </c>
      <c r="F200" s="152">
        <v>172751651.68366</v>
      </c>
      <c r="G200" s="152">
        <v>270059045.27513498</v>
      </c>
      <c r="H200" s="152">
        <v>442810696.95879501</v>
      </c>
      <c r="I200" t="s">
        <v>867</v>
      </c>
      <c r="J200" t="s">
        <v>135</v>
      </c>
      <c r="K200">
        <v>140491</v>
      </c>
      <c r="L200" t="s">
        <v>793</v>
      </c>
      <c r="M200"/>
      <c r="N200"/>
      <c r="O200"/>
      <c r="P200"/>
      <c r="Q200" s="152"/>
      <c r="R200"/>
      <c r="S200"/>
      <c r="T200"/>
      <c r="U200"/>
      <c r="V200"/>
    </row>
    <row r="201" spans="1:22" x14ac:dyDescent="0.2">
      <c r="A201" t="s">
        <v>166</v>
      </c>
      <c r="B201" t="s">
        <v>924</v>
      </c>
      <c r="C201" s="152">
        <v>5905</v>
      </c>
      <c r="D201" s="152">
        <v>7483</v>
      </c>
      <c r="E201" s="152">
        <v>13388</v>
      </c>
      <c r="F201" s="152">
        <v>141344328.876066</v>
      </c>
      <c r="G201" s="152">
        <v>210935533.17078099</v>
      </c>
      <c r="H201" s="152">
        <v>352279862.04684699</v>
      </c>
      <c r="I201" t="s">
        <v>867</v>
      </c>
      <c r="J201" t="s">
        <v>135</v>
      </c>
      <c r="K201">
        <v>252411</v>
      </c>
      <c r="L201" t="s">
        <v>502</v>
      </c>
      <c r="M201"/>
      <c r="N201"/>
      <c r="O201"/>
      <c r="P201"/>
      <c r="Q201" s="152"/>
      <c r="R201"/>
      <c r="S201"/>
      <c r="T201"/>
      <c r="U201"/>
      <c r="V201"/>
    </row>
    <row r="202" spans="1:22" x14ac:dyDescent="0.2">
      <c r="A202" t="s">
        <v>418</v>
      </c>
      <c r="B202" t="s">
        <v>669</v>
      </c>
      <c r="C202" s="152">
        <v>5382</v>
      </c>
      <c r="D202" s="152">
        <v>7701</v>
      </c>
      <c r="E202" s="152">
        <v>13083</v>
      </c>
      <c r="F202" s="152">
        <v>114567692.584233</v>
      </c>
      <c r="G202" s="152">
        <v>204148061.84450701</v>
      </c>
      <c r="H202" s="152">
        <v>318715754.42874002</v>
      </c>
      <c r="I202" t="s">
        <v>742</v>
      </c>
      <c r="J202" t="s">
        <v>135</v>
      </c>
      <c r="K202">
        <v>661066</v>
      </c>
      <c r="L202" t="s">
        <v>874</v>
      </c>
      <c r="M202"/>
      <c r="N202"/>
      <c r="O202"/>
      <c r="P202"/>
      <c r="Q202" s="152"/>
      <c r="R202"/>
      <c r="S202"/>
      <c r="T202"/>
      <c r="U202"/>
      <c r="V202"/>
    </row>
    <row r="203" spans="1:22" x14ac:dyDescent="0.2">
      <c r="A203" t="s">
        <v>645</v>
      </c>
      <c r="B203" t="s">
        <v>33</v>
      </c>
      <c r="C203" s="152">
        <v>6299</v>
      </c>
      <c r="D203" s="152">
        <v>6350</v>
      </c>
      <c r="E203" s="152">
        <v>12649</v>
      </c>
      <c r="F203" s="152">
        <v>162302462.88612899</v>
      </c>
      <c r="G203" s="152">
        <v>200356414.34834701</v>
      </c>
      <c r="H203" s="152">
        <v>362658877.23447698</v>
      </c>
      <c r="I203" t="s">
        <v>867</v>
      </c>
      <c r="J203" t="s">
        <v>136</v>
      </c>
      <c r="K203">
        <v>325902</v>
      </c>
      <c r="L203" t="s">
        <v>974</v>
      </c>
      <c r="M203"/>
      <c r="N203"/>
      <c r="O203"/>
      <c r="P203"/>
      <c r="Q203" s="152"/>
      <c r="R203"/>
      <c r="S203"/>
      <c r="T203"/>
      <c r="U203"/>
      <c r="V203"/>
    </row>
    <row r="204" spans="1:22" x14ac:dyDescent="0.2">
      <c r="A204" t="s">
        <v>234</v>
      </c>
      <c r="B204" t="s">
        <v>235</v>
      </c>
      <c r="C204" s="152">
        <v>4980</v>
      </c>
      <c r="D204" s="152">
        <v>7666</v>
      </c>
      <c r="E204" s="152">
        <v>12646</v>
      </c>
      <c r="F204" s="152">
        <v>111141408.987552</v>
      </c>
      <c r="G204" s="152">
        <v>223666453.855142</v>
      </c>
      <c r="H204" s="152">
        <v>334807862.84269398</v>
      </c>
      <c r="I204" t="s">
        <v>742</v>
      </c>
      <c r="J204" t="s">
        <v>135</v>
      </c>
      <c r="K204">
        <v>983593</v>
      </c>
      <c r="L204" t="s">
        <v>403</v>
      </c>
      <c r="M204"/>
      <c r="N204"/>
      <c r="O204"/>
      <c r="P204"/>
      <c r="Q204" s="152"/>
      <c r="R204"/>
      <c r="S204"/>
      <c r="T204"/>
      <c r="U204"/>
      <c r="V204"/>
    </row>
    <row r="205" spans="1:22" x14ac:dyDescent="0.2">
      <c r="A205" t="s">
        <v>840</v>
      </c>
      <c r="B205" t="s">
        <v>779</v>
      </c>
      <c r="C205" s="152">
        <v>7188</v>
      </c>
      <c r="D205" s="152">
        <v>5444</v>
      </c>
      <c r="E205" s="152">
        <v>12632</v>
      </c>
      <c r="F205" s="152">
        <v>176756026.16221499</v>
      </c>
      <c r="G205" s="152">
        <v>165251175.718483</v>
      </c>
      <c r="H205" s="152">
        <v>342007201.88069701</v>
      </c>
      <c r="I205" t="s">
        <v>867</v>
      </c>
      <c r="J205" t="s">
        <v>135</v>
      </c>
      <c r="K205">
        <v>838441</v>
      </c>
      <c r="L205" t="s">
        <v>785</v>
      </c>
      <c r="M205"/>
      <c r="N205"/>
      <c r="O205"/>
      <c r="P205"/>
      <c r="Q205" s="152"/>
      <c r="R205"/>
      <c r="S205"/>
      <c r="T205"/>
      <c r="U205"/>
      <c r="V205"/>
    </row>
    <row r="206" spans="1:22" x14ac:dyDescent="0.2">
      <c r="A206" t="s">
        <v>861</v>
      </c>
      <c r="B206" t="s">
        <v>1005</v>
      </c>
      <c r="C206" s="152">
        <v>6268</v>
      </c>
      <c r="D206" s="152">
        <v>6162</v>
      </c>
      <c r="E206" s="152">
        <v>12430</v>
      </c>
      <c r="F206" s="152">
        <v>108815278.176332</v>
      </c>
      <c r="G206" s="152">
        <v>126681616.460595</v>
      </c>
      <c r="H206" s="152">
        <v>235496894.63692701</v>
      </c>
      <c r="I206" t="s">
        <v>742</v>
      </c>
      <c r="J206" t="s">
        <v>135</v>
      </c>
      <c r="K206">
        <v>348987</v>
      </c>
      <c r="L206" t="s">
        <v>878</v>
      </c>
      <c r="M206"/>
      <c r="N206"/>
      <c r="O206"/>
      <c r="P206"/>
      <c r="Q206" s="152"/>
      <c r="R206"/>
      <c r="S206"/>
      <c r="T206"/>
      <c r="U206"/>
      <c r="V206"/>
    </row>
    <row r="207" spans="1:22" x14ac:dyDescent="0.2">
      <c r="A207" t="s">
        <v>166</v>
      </c>
      <c r="B207" t="s">
        <v>172</v>
      </c>
      <c r="C207" s="152">
        <v>6452</v>
      </c>
      <c r="D207" s="152">
        <v>5958</v>
      </c>
      <c r="E207" s="152">
        <v>12410</v>
      </c>
      <c r="F207" s="152">
        <v>128886994.660374</v>
      </c>
      <c r="G207" s="152">
        <v>143962870.20537299</v>
      </c>
      <c r="H207" s="152">
        <v>272849864.86574697</v>
      </c>
      <c r="I207" t="s">
        <v>742</v>
      </c>
      <c r="J207" t="s">
        <v>135</v>
      </c>
      <c r="K207">
        <v>479550</v>
      </c>
      <c r="L207" t="s">
        <v>112</v>
      </c>
      <c r="M207"/>
      <c r="N207"/>
      <c r="O207"/>
      <c r="P207"/>
      <c r="Q207" s="152"/>
      <c r="R207"/>
      <c r="S207"/>
      <c r="T207"/>
      <c r="U207"/>
      <c r="V207"/>
    </row>
    <row r="208" spans="1:22" x14ac:dyDescent="0.2">
      <c r="A208" t="s">
        <v>781</v>
      </c>
      <c r="B208" t="s">
        <v>821</v>
      </c>
      <c r="C208" s="152">
        <v>5817</v>
      </c>
      <c r="D208" s="152">
        <v>6510</v>
      </c>
      <c r="E208" s="152">
        <v>12327</v>
      </c>
      <c r="F208" s="152">
        <v>162721734.09240001</v>
      </c>
      <c r="G208" s="152">
        <v>230517587.58019099</v>
      </c>
      <c r="H208" s="152">
        <v>393239321.67259097</v>
      </c>
      <c r="I208" t="s">
        <v>867</v>
      </c>
      <c r="J208" t="s">
        <v>135</v>
      </c>
      <c r="K208">
        <v>905265</v>
      </c>
      <c r="L208" t="s">
        <v>892</v>
      </c>
      <c r="M208"/>
      <c r="N208"/>
      <c r="O208"/>
      <c r="P208"/>
      <c r="Q208" s="152"/>
      <c r="R208"/>
      <c r="S208"/>
      <c r="T208"/>
      <c r="U208"/>
      <c r="V208"/>
    </row>
    <row r="209" spans="1:22" x14ac:dyDescent="0.2">
      <c r="A209" t="s">
        <v>166</v>
      </c>
      <c r="B209" t="s">
        <v>673</v>
      </c>
      <c r="C209" s="152">
        <v>6447</v>
      </c>
      <c r="D209" s="152">
        <v>5829</v>
      </c>
      <c r="E209" s="152">
        <v>12276</v>
      </c>
      <c r="F209" s="152">
        <v>139005377.085897</v>
      </c>
      <c r="G209" s="152">
        <v>161766882.205396</v>
      </c>
      <c r="H209" s="152">
        <v>300772259.29129303</v>
      </c>
      <c r="I209" t="s">
        <v>867</v>
      </c>
      <c r="J209" t="s">
        <v>135</v>
      </c>
      <c r="K209">
        <v>753269</v>
      </c>
      <c r="L209" t="s">
        <v>425</v>
      </c>
      <c r="M209"/>
      <c r="N209"/>
      <c r="O209"/>
      <c r="P209"/>
      <c r="Q209" s="152"/>
      <c r="R209"/>
      <c r="S209"/>
      <c r="T209"/>
      <c r="U209"/>
      <c r="V209"/>
    </row>
    <row r="210" spans="1:22" x14ac:dyDescent="0.2">
      <c r="A210" t="s">
        <v>49</v>
      </c>
      <c r="B210" t="s">
        <v>51</v>
      </c>
      <c r="C210" s="152">
        <v>6031</v>
      </c>
      <c r="D210" s="152">
        <v>6225</v>
      </c>
      <c r="E210" s="152">
        <v>12256</v>
      </c>
      <c r="F210" s="152">
        <v>105449431.23139501</v>
      </c>
      <c r="G210" s="152">
        <v>137535186.30162701</v>
      </c>
      <c r="H210" s="152">
        <v>242984617.533021</v>
      </c>
      <c r="I210" t="s">
        <v>867</v>
      </c>
      <c r="J210" t="s">
        <v>135</v>
      </c>
      <c r="K210">
        <v>577304</v>
      </c>
      <c r="L210" t="s">
        <v>814</v>
      </c>
      <c r="M210"/>
      <c r="N210"/>
      <c r="O210"/>
      <c r="P210"/>
      <c r="Q210" s="152"/>
      <c r="R210"/>
      <c r="S210"/>
      <c r="T210"/>
      <c r="U210"/>
      <c r="V210"/>
    </row>
    <row r="211" spans="1:22" x14ac:dyDescent="0.2">
      <c r="A211" t="s">
        <v>312</v>
      </c>
      <c r="B211" t="s">
        <v>664</v>
      </c>
      <c r="C211" s="152">
        <v>4684</v>
      </c>
      <c r="D211" s="152">
        <v>7547</v>
      </c>
      <c r="E211" s="152">
        <v>12231</v>
      </c>
      <c r="F211" s="152">
        <v>93473965.313529804</v>
      </c>
      <c r="G211" s="152">
        <v>189604238.50345999</v>
      </c>
      <c r="H211" s="152">
        <v>283078203.81699002</v>
      </c>
      <c r="I211" t="s">
        <v>742</v>
      </c>
      <c r="J211" t="s">
        <v>135</v>
      </c>
      <c r="K211">
        <v>481911</v>
      </c>
      <c r="L211" t="s">
        <v>874</v>
      </c>
      <c r="M211"/>
      <c r="N211"/>
      <c r="O211"/>
      <c r="P211"/>
      <c r="Q211" s="152"/>
      <c r="R211"/>
      <c r="S211"/>
      <c r="T211"/>
      <c r="U211"/>
      <c r="V211"/>
    </row>
    <row r="212" spans="1:22" x14ac:dyDescent="0.2">
      <c r="A212" t="s">
        <v>551</v>
      </c>
      <c r="B212" t="s">
        <v>562</v>
      </c>
      <c r="C212" s="152">
        <v>6677</v>
      </c>
      <c r="D212" s="152">
        <v>5545</v>
      </c>
      <c r="E212" s="152">
        <v>12222</v>
      </c>
      <c r="F212" s="152">
        <v>231585917.29566601</v>
      </c>
      <c r="G212" s="152">
        <v>242841734.64635599</v>
      </c>
      <c r="H212" s="152">
        <v>474427651.94202203</v>
      </c>
      <c r="I212" t="s">
        <v>867</v>
      </c>
      <c r="J212" t="s">
        <v>139</v>
      </c>
      <c r="K212">
        <v>635623</v>
      </c>
      <c r="L212" t="s">
        <v>810</v>
      </c>
      <c r="M212"/>
      <c r="N212"/>
      <c r="O212"/>
      <c r="P212"/>
      <c r="Q212" s="152"/>
      <c r="R212"/>
      <c r="S212"/>
      <c r="T212"/>
      <c r="U212"/>
      <c r="V212"/>
    </row>
    <row r="213" spans="1:22" x14ac:dyDescent="0.2">
      <c r="A213" t="s">
        <v>843</v>
      </c>
      <c r="B213" t="s">
        <v>983</v>
      </c>
      <c r="C213" s="152">
        <v>6124</v>
      </c>
      <c r="D213" s="152">
        <v>5951</v>
      </c>
      <c r="E213" s="152">
        <v>12075</v>
      </c>
      <c r="F213" s="152">
        <v>136805142.53356099</v>
      </c>
      <c r="G213" s="152">
        <v>165410101.66334</v>
      </c>
      <c r="H213" s="152">
        <v>302215244.19690102</v>
      </c>
      <c r="I213" t="s">
        <v>867</v>
      </c>
      <c r="J213" t="s">
        <v>135</v>
      </c>
      <c r="K213">
        <v>367813</v>
      </c>
      <c r="L213" t="s">
        <v>791</v>
      </c>
      <c r="M213"/>
      <c r="N213"/>
      <c r="O213"/>
      <c r="P213"/>
      <c r="Q213" s="152"/>
      <c r="R213"/>
      <c r="S213"/>
      <c r="T213"/>
      <c r="U213"/>
      <c r="V213"/>
    </row>
    <row r="214" spans="1:22" x14ac:dyDescent="0.2">
      <c r="A214" t="s">
        <v>268</v>
      </c>
      <c r="B214" t="s">
        <v>271</v>
      </c>
      <c r="C214" s="152">
        <v>4544</v>
      </c>
      <c r="D214" s="152">
        <v>7369</v>
      </c>
      <c r="E214" s="152">
        <v>11913</v>
      </c>
      <c r="F214" s="152">
        <v>93269785.248446599</v>
      </c>
      <c r="G214" s="152">
        <v>205308091.25019401</v>
      </c>
      <c r="H214" s="152">
        <v>298577876.49864</v>
      </c>
      <c r="I214" t="s">
        <v>867</v>
      </c>
      <c r="J214" t="s">
        <v>135</v>
      </c>
      <c r="K214">
        <v>333690</v>
      </c>
      <c r="L214" t="s">
        <v>239</v>
      </c>
      <c r="M214"/>
      <c r="N214"/>
      <c r="O214"/>
      <c r="P214"/>
      <c r="Q214" s="152"/>
      <c r="R214"/>
      <c r="S214"/>
      <c r="T214"/>
      <c r="U214"/>
      <c r="V214"/>
    </row>
    <row r="215" spans="1:22" x14ac:dyDescent="0.2">
      <c r="A215" t="s">
        <v>293</v>
      </c>
      <c r="B215" t="s">
        <v>195</v>
      </c>
      <c r="C215" s="152">
        <v>5401</v>
      </c>
      <c r="D215" s="152">
        <v>6438</v>
      </c>
      <c r="E215" s="152">
        <v>11839</v>
      </c>
      <c r="F215" s="152">
        <v>73614772.205746204</v>
      </c>
      <c r="G215" s="152">
        <v>111022137.317277</v>
      </c>
      <c r="H215" s="152">
        <v>184636909.52302399</v>
      </c>
      <c r="I215" t="s">
        <v>867</v>
      </c>
      <c r="J215" t="s">
        <v>135</v>
      </c>
      <c r="K215">
        <v>399865</v>
      </c>
      <c r="L215" t="s">
        <v>787</v>
      </c>
      <c r="M215"/>
      <c r="N215"/>
      <c r="O215"/>
      <c r="P215"/>
      <c r="Q215" s="152"/>
      <c r="R215"/>
      <c r="S215"/>
      <c r="T215"/>
      <c r="U215"/>
      <c r="V215"/>
    </row>
    <row r="216" spans="1:22" x14ac:dyDescent="0.2">
      <c r="A216" t="s">
        <v>150</v>
      </c>
      <c r="B216" t="s">
        <v>444</v>
      </c>
      <c r="C216" s="152">
        <v>4838</v>
      </c>
      <c r="D216" s="152">
        <v>6947</v>
      </c>
      <c r="E216" s="152">
        <v>11785</v>
      </c>
      <c r="F216" s="152">
        <v>87922162.625567406</v>
      </c>
      <c r="G216" s="152">
        <v>155091686.12992701</v>
      </c>
      <c r="H216" s="152">
        <v>243013848.755494</v>
      </c>
      <c r="I216" t="s">
        <v>867</v>
      </c>
      <c r="J216" t="s">
        <v>135</v>
      </c>
      <c r="K216">
        <v>618629</v>
      </c>
      <c r="L216" t="s">
        <v>791</v>
      </c>
      <c r="M216"/>
      <c r="N216"/>
      <c r="O216"/>
      <c r="P216"/>
      <c r="Q216" s="152"/>
      <c r="R216"/>
      <c r="S216"/>
      <c r="T216"/>
      <c r="U216"/>
      <c r="V216"/>
    </row>
    <row r="217" spans="1:22" x14ac:dyDescent="0.2">
      <c r="A217" t="s">
        <v>166</v>
      </c>
      <c r="B217" t="s">
        <v>179</v>
      </c>
      <c r="C217" s="152">
        <v>7524</v>
      </c>
      <c r="D217" s="152">
        <v>4033</v>
      </c>
      <c r="E217" s="152">
        <v>11557</v>
      </c>
      <c r="F217" s="152">
        <v>131390523.14785001</v>
      </c>
      <c r="G217" s="152">
        <v>84736863.691086799</v>
      </c>
      <c r="H217" s="152">
        <v>216127386.83893701</v>
      </c>
      <c r="I217" t="s">
        <v>867</v>
      </c>
      <c r="J217" t="s">
        <v>135</v>
      </c>
      <c r="K217">
        <v>399394</v>
      </c>
      <c r="L217" t="s">
        <v>893</v>
      </c>
      <c r="M217"/>
      <c r="N217"/>
      <c r="O217"/>
      <c r="P217"/>
      <c r="Q217" s="152"/>
      <c r="R217"/>
      <c r="S217"/>
      <c r="T217"/>
      <c r="U217"/>
      <c r="V217"/>
    </row>
    <row r="218" spans="1:22" x14ac:dyDescent="0.2">
      <c r="A218" t="s">
        <v>735</v>
      </c>
      <c r="B218" t="s">
        <v>741</v>
      </c>
      <c r="C218" s="152">
        <v>5318</v>
      </c>
      <c r="D218" s="152">
        <v>6151</v>
      </c>
      <c r="E218" s="152">
        <v>11469</v>
      </c>
      <c r="F218" s="152">
        <v>99959471.875349894</v>
      </c>
      <c r="G218" s="152">
        <v>151910125.84688899</v>
      </c>
      <c r="H218" s="152">
        <v>251869597.722238</v>
      </c>
      <c r="I218" t="s">
        <v>742</v>
      </c>
      <c r="J218" t="s">
        <v>136</v>
      </c>
      <c r="K218">
        <v>551804</v>
      </c>
      <c r="L218" t="s">
        <v>65</v>
      </c>
      <c r="M218"/>
      <c r="N218"/>
      <c r="O218"/>
      <c r="P218"/>
      <c r="Q218" s="152"/>
      <c r="R218"/>
      <c r="S218"/>
      <c r="T218"/>
      <c r="U218"/>
      <c r="V218"/>
    </row>
    <row r="219" spans="1:22" x14ac:dyDescent="0.2">
      <c r="A219" t="s">
        <v>293</v>
      </c>
      <c r="B219" t="s">
        <v>1121</v>
      </c>
      <c r="C219" s="152">
        <v>4397</v>
      </c>
      <c r="D219" s="152">
        <v>7035</v>
      </c>
      <c r="E219" s="152">
        <v>11432</v>
      </c>
      <c r="F219" s="152">
        <v>73549913.087456897</v>
      </c>
      <c r="G219" s="152">
        <v>142557168.47986999</v>
      </c>
      <c r="H219" s="152">
        <v>216107081.56732699</v>
      </c>
      <c r="I219" t="s">
        <v>742</v>
      </c>
      <c r="J219" t="s">
        <v>135</v>
      </c>
      <c r="K219">
        <v>848069</v>
      </c>
      <c r="L219" t="s">
        <v>866</v>
      </c>
      <c r="M219"/>
      <c r="N219"/>
      <c r="O219"/>
      <c r="P219"/>
      <c r="Q219" s="152"/>
      <c r="R219"/>
      <c r="S219"/>
      <c r="T219"/>
      <c r="U219"/>
      <c r="V219"/>
    </row>
    <row r="220" spans="1:22" x14ac:dyDescent="0.2">
      <c r="A220" t="s">
        <v>49</v>
      </c>
      <c r="B220" t="s">
        <v>66</v>
      </c>
      <c r="C220" s="152">
        <v>5212</v>
      </c>
      <c r="D220" s="152">
        <v>6156</v>
      </c>
      <c r="E220" s="152">
        <v>11368</v>
      </c>
      <c r="F220" s="152">
        <v>102741557.736132</v>
      </c>
      <c r="G220" s="152">
        <v>143177662.97997099</v>
      </c>
      <c r="H220" s="152">
        <v>245919220.71610299</v>
      </c>
      <c r="I220" t="s">
        <v>742</v>
      </c>
      <c r="J220" t="s">
        <v>135</v>
      </c>
      <c r="K220">
        <v>336826</v>
      </c>
      <c r="L220" t="s">
        <v>65</v>
      </c>
      <c r="M220"/>
      <c r="N220"/>
      <c r="O220"/>
      <c r="P220"/>
      <c r="Q220" s="152"/>
      <c r="R220"/>
      <c r="S220"/>
      <c r="T220"/>
      <c r="U220"/>
      <c r="V220"/>
    </row>
    <row r="221" spans="1:22" x14ac:dyDescent="0.2">
      <c r="A221" t="s">
        <v>150</v>
      </c>
      <c r="B221" t="s">
        <v>153</v>
      </c>
      <c r="C221" s="152">
        <v>5657</v>
      </c>
      <c r="D221" s="152">
        <v>5674</v>
      </c>
      <c r="E221" s="152">
        <v>11331</v>
      </c>
      <c r="F221" s="152">
        <v>92503216.843443707</v>
      </c>
      <c r="G221" s="152">
        <v>120399522.930061</v>
      </c>
      <c r="H221" s="152">
        <v>212902739.773505</v>
      </c>
      <c r="I221" t="s">
        <v>867</v>
      </c>
      <c r="J221" t="s">
        <v>135</v>
      </c>
      <c r="K221">
        <v>720623</v>
      </c>
      <c r="L221" t="s">
        <v>814</v>
      </c>
      <c r="M221"/>
      <c r="N221"/>
      <c r="O221"/>
      <c r="P221"/>
      <c r="Q221" s="152"/>
      <c r="R221"/>
      <c r="S221"/>
      <c r="T221"/>
      <c r="U221"/>
      <c r="V221"/>
    </row>
    <row r="222" spans="1:22" x14ac:dyDescent="0.2">
      <c r="A222" t="s">
        <v>645</v>
      </c>
      <c r="B222" t="s">
        <v>647</v>
      </c>
      <c r="C222" s="152">
        <v>5485</v>
      </c>
      <c r="D222" s="152">
        <v>5804</v>
      </c>
      <c r="E222" s="152">
        <v>11289</v>
      </c>
      <c r="F222" s="152">
        <v>139737615.82235</v>
      </c>
      <c r="G222" s="152">
        <v>178060356.36580199</v>
      </c>
      <c r="H222" s="152">
        <v>317797972.18815202</v>
      </c>
      <c r="I222" t="s">
        <v>867</v>
      </c>
      <c r="J222" t="s">
        <v>136</v>
      </c>
      <c r="K222">
        <v>104786</v>
      </c>
      <c r="L222" t="s">
        <v>795</v>
      </c>
      <c r="M222"/>
      <c r="N222"/>
      <c r="O222"/>
      <c r="P222"/>
      <c r="Q222" s="152"/>
      <c r="R222"/>
      <c r="S222"/>
      <c r="T222"/>
      <c r="U222"/>
      <c r="V222"/>
    </row>
    <row r="223" spans="1:22" x14ac:dyDescent="0.2">
      <c r="A223" t="s">
        <v>254</v>
      </c>
      <c r="B223" t="s">
        <v>594</v>
      </c>
      <c r="C223" s="152">
        <v>4635</v>
      </c>
      <c r="D223" s="152">
        <v>6281</v>
      </c>
      <c r="E223" s="152">
        <v>10916</v>
      </c>
      <c r="F223" s="152">
        <v>49650991.257312603</v>
      </c>
      <c r="G223" s="152">
        <v>89997488.885014206</v>
      </c>
      <c r="H223" s="152">
        <v>139648480.14232701</v>
      </c>
      <c r="I223" t="s">
        <v>867</v>
      </c>
      <c r="J223" t="s">
        <v>135</v>
      </c>
      <c r="K223">
        <v>211748</v>
      </c>
      <c r="L223" t="s">
        <v>198</v>
      </c>
      <c r="M223"/>
      <c r="N223"/>
      <c r="O223"/>
      <c r="P223"/>
      <c r="Q223" s="152"/>
      <c r="R223"/>
      <c r="S223"/>
      <c r="T223"/>
      <c r="U223"/>
      <c r="V223"/>
    </row>
    <row r="224" spans="1:22" x14ac:dyDescent="0.2">
      <c r="A224" t="s">
        <v>234</v>
      </c>
      <c r="B224" t="s">
        <v>251</v>
      </c>
      <c r="C224" s="152">
        <v>4798</v>
      </c>
      <c r="D224" s="152">
        <v>6082</v>
      </c>
      <c r="E224" s="152">
        <v>10880</v>
      </c>
      <c r="F224" s="152">
        <v>59767600.788393103</v>
      </c>
      <c r="G224" s="152">
        <v>94348325.313864499</v>
      </c>
      <c r="H224" s="152">
        <v>154115926.102258</v>
      </c>
      <c r="I224" t="s">
        <v>867</v>
      </c>
      <c r="J224" t="s">
        <v>135</v>
      </c>
      <c r="K224">
        <v>872382</v>
      </c>
      <c r="L224" t="s">
        <v>239</v>
      </c>
      <c r="M224"/>
      <c r="N224"/>
      <c r="O224"/>
      <c r="P224"/>
      <c r="Q224" s="152"/>
      <c r="R224"/>
      <c r="S224"/>
      <c r="T224"/>
      <c r="U224"/>
      <c r="V224"/>
    </row>
    <row r="225" spans="1:22" x14ac:dyDescent="0.2">
      <c r="A225" t="s">
        <v>329</v>
      </c>
      <c r="B225" t="s">
        <v>1155</v>
      </c>
      <c r="C225" s="152">
        <v>5348</v>
      </c>
      <c r="D225" s="152">
        <v>5491</v>
      </c>
      <c r="E225" s="152">
        <v>10839</v>
      </c>
      <c r="F225" s="152">
        <v>147943118.42756799</v>
      </c>
      <c r="G225" s="152">
        <v>177173550.33544499</v>
      </c>
      <c r="H225" s="152">
        <v>325116668.76301199</v>
      </c>
      <c r="I225" t="s">
        <v>867</v>
      </c>
      <c r="J225" t="s">
        <v>137</v>
      </c>
      <c r="K225">
        <v>878520</v>
      </c>
      <c r="L225" t="s">
        <v>812</v>
      </c>
      <c r="M225"/>
      <c r="N225"/>
      <c r="O225"/>
      <c r="P225"/>
      <c r="Q225" s="152"/>
      <c r="R225"/>
      <c r="S225"/>
      <c r="T225"/>
      <c r="U225"/>
      <c r="V225"/>
    </row>
    <row r="226" spans="1:22" x14ac:dyDescent="0.2">
      <c r="A226" t="s">
        <v>861</v>
      </c>
      <c r="B226" t="s">
        <v>192</v>
      </c>
      <c r="C226" s="152">
        <v>5419</v>
      </c>
      <c r="D226" s="152">
        <v>5164</v>
      </c>
      <c r="E226" s="152">
        <v>10583</v>
      </c>
      <c r="F226" s="152">
        <v>120036317.886398</v>
      </c>
      <c r="G226" s="152">
        <v>140860875.24638399</v>
      </c>
      <c r="H226" s="152">
        <v>260897193.13278201</v>
      </c>
      <c r="I226" t="s">
        <v>867</v>
      </c>
      <c r="J226" t="s">
        <v>135</v>
      </c>
      <c r="K226">
        <v>751495</v>
      </c>
      <c r="L226" t="s">
        <v>787</v>
      </c>
      <c r="M226"/>
      <c r="N226"/>
      <c r="O226"/>
      <c r="P226"/>
      <c r="Q226" s="152"/>
      <c r="R226"/>
      <c r="S226"/>
      <c r="T226"/>
      <c r="U226"/>
      <c r="V226"/>
    </row>
    <row r="227" spans="1:22" x14ac:dyDescent="0.2">
      <c r="A227" t="s">
        <v>329</v>
      </c>
      <c r="B227" t="s">
        <v>334</v>
      </c>
      <c r="C227" s="152">
        <v>5888</v>
      </c>
      <c r="D227" s="152">
        <v>4690</v>
      </c>
      <c r="E227" s="152">
        <v>10578</v>
      </c>
      <c r="F227" s="152">
        <v>165872145.42328399</v>
      </c>
      <c r="G227" s="152">
        <v>153200941.82588801</v>
      </c>
      <c r="H227" s="152">
        <v>319073087.24917197</v>
      </c>
      <c r="I227" t="s">
        <v>867</v>
      </c>
      <c r="J227" t="s">
        <v>137</v>
      </c>
      <c r="K227">
        <v>879114</v>
      </c>
      <c r="L227" t="s">
        <v>907</v>
      </c>
      <c r="M227"/>
      <c r="N227"/>
      <c r="O227"/>
      <c r="P227"/>
      <c r="Q227" s="152"/>
      <c r="R227"/>
      <c r="S227"/>
      <c r="T227"/>
      <c r="U227"/>
      <c r="V227"/>
    </row>
    <row r="228" spans="1:22" x14ac:dyDescent="0.2">
      <c r="A228" t="s">
        <v>578</v>
      </c>
      <c r="B228" t="s">
        <v>643</v>
      </c>
      <c r="C228" s="152">
        <v>5439</v>
      </c>
      <c r="D228" s="152">
        <v>5041</v>
      </c>
      <c r="E228" s="152">
        <v>10480</v>
      </c>
      <c r="F228" s="152">
        <v>179197138.83127201</v>
      </c>
      <c r="G228" s="152">
        <v>210639664.48258999</v>
      </c>
      <c r="H228" s="152">
        <v>389836803.31386101</v>
      </c>
      <c r="I228" t="s">
        <v>867</v>
      </c>
      <c r="J228" t="s">
        <v>136</v>
      </c>
      <c r="K228">
        <v>478313</v>
      </c>
      <c r="L228" t="s">
        <v>812</v>
      </c>
      <c r="M228"/>
      <c r="N228"/>
      <c r="O228"/>
      <c r="P228"/>
      <c r="Q228" s="152"/>
      <c r="R228"/>
      <c r="S228"/>
      <c r="T228"/>
      <c r="U228"/>
      <c r="V228"/>
    </row>
    <row r="229" spans="1:22" x14ac:dyDescent="0.2">
      <c r="A229" t="s">
        <v>843</v>
      </c>
      <c r="B229" t="s">
        <v>857</v>
      </c>
      <c r="C229" s="152">
        <v>5388</v>
      </c>
      <c r="D229" s="152">
        <v>5092</v>
      </c>
      <c r="E229" s="152">
        <v>10480</v>
      </c>
      <c r="F229" s="152">
        <v>168138311.50285599</v>
      </c>
      <c r="G229" s="152">
        <v>187395605.78762701</v>
      </c>
      <c r="H229" s="152">
        <v>355533917.290483</v>
      </c>
      <c r="I229" t="s">
        <v>867</v>
      </c>
      <c r="J229" t="s">
        <v>135</v>
      </c>
      <c r="K229">
        <v>301580</v>
      </c>
      <c r="L229" t="s">
        <v>907</v>
      </c>
      <c r="M229"/>
      <c r="N229"/>
      <c r="O229"/>
      <c r="P229"/>
      <c r="Q229" s="152"/>
      <c r="R229"/>
      <c r="S229"/>
      <c r="T229"/>
      <c r="U229"/>
      <c r="V229"/>
    </row>
    <row r="230" spans="1:22" x14ac:dyDescent="0.2">
      <c r="A230" t="s">
        <v>49</v>
      </c>
      <c r="B230" t="s">
        <v>799</v>
      </c>
      <c r="C230" s="152">
        <v>4823</v>
      </c>
      <c r="D230" s="152">
        <v>5618</v>
      </c>
      <c r="E230" s="152">
        <v>10441</v>
      </c>
      <c r="F230" s="152">
        <v>34638700.239100397</v>
      </c>
      <c r="G230" s="152">
        <v>51182137.362479098</v>
      </c>
      <c r="H230" s="152">
        <v>85820837.601579398</v>
      </c>
      <c r="I230" t="s">
        <v>867</v>
      </c>
      <c r="J230" t="s">
        <v>135</v>
      </c>
      <c r="K230">
        <v>102897</v>
      </c>
      <c r="L230" t="s">
        <v>588</v>
      </c>
      <c r="M230"/>
      <c r="N230"/>
      <c r="O230"/>
      <c r="P230"/>
      <c r="Q230" s="152"/>
      <c r="R230"/>
      <c r="S230"/>
      <c r="T230"/>
      <c r="U230"/>
      <c r="V230"/>
    </row>
    <row r="231" spans="1:22" x14ac:dyDescent="0.2">
      <c r="A231" t="s">
        <v>418</v>
      </c>
      <c r="B231" t="s">
        <v>668</v>
      </c>
      <c r="C231" s="152">
        <v>4602</v>
      </c>
      <c r="D231" s="152">
        <v>5793</v>
      </c>
      <c r="E231" s="152">
        <v>10395</v>
      </c>
      <c r="F231" s="152">
        <v>83587760.1247278</v>
      </c>
      <c r="G231" s="152">
        <v>133963232.310609</v>
      </c>
      <c r="H231" s="152">
        <v>217550992.43533701</v>
      </c>
      <c r="I231" t="s">
        <v>867</v>
      </c>
      <c r="J231" t="s">
        <v>135</v>
      </c>
      <c r="K231">
        <v>588699</v>
      </c>
      <c r="L231" t="s">
        <v>814</v>
      </c>
      <c r="M231"/>
      <c r="N231"/>
      <c r="O231"/>
      <c r="P231"/>
      <c r="Q231" s="152"/>
      <c r="R231"/>
      <c r="S231"/>
      <c r="T231"/>
      <c r="U231"/>
      <c r="V231"/>
    </row>
    <row r="232" spans="1:22" x14ac:dyDescent="0.2">
      <c r="A232" t="s">
        <v>312</v>
      </c>
      <c r="B232" t="s">
        <v>595</v>
      </c>
      <c r="C232" s="152">
        <v>4848</v>
      </c>
      <c r="D232" s="152">
        <v>5413</v>
      </c>
      <c r="E232" s="152">
        <v>10261</v>
      </c>
      <c r="F232" s="152">
        <v>43800082.1081523</v>
      </c>
      <c r="G232" s="152">
        <v>63581336.757480897</v>
      </c>
      <c r="H232" s="152">
        <v>107381418.865633</v>
      </c>
      <c r="I232" t="s">
        <v>867</v>
      </c>
      <c r="J232" t="s">
        <v>135</v>
      </c>
      <c r="K232">
        <v>247577</v>
      </c>
      <c r="L232" t="s">
        <v>198</v>
      </c>
      <c r="M232"/>
      <c r="N232"/>
      <c r="O232"/>
      <c r="P232"/>
      <c r="Q232" s="152"/>
      <c r="R232"/>
      <c r="S232"/>
      <c r="T232"/>
      <c r="U232"/>
      <c r="V232"/>
    </row>
    <row r="233" spans="1:22" x14ac:dyDescent="0.2">
      <c r="A233" t="s">
        <v>338</v>
      </c>
      <c r="B233" t="s">
        <v>970</v>
      </c>
      <c r="C233" s="152">
        <v>4627</v>
      </c>
      <c r="D233" s="152">
        <v>5360</v>
      </c>
      <c r="E233" s="152">
        <v>9987</v>
      </c>
      <c r="F233" s="152">
        <v>261894652.87021801</v>
      </c>
      <c r="G233" s="152">
        <v>385329895.13043898</v>
      </c>
      <c r="H233" s="152">
        <v>647224548.00065601</v>
      </c>
      <c r="I233" t="s">
        <v>867</v>
      </c>
      <c r="J233" t="s">
        <v>137</v>
      </c>
      <c r="K233">
        <v>874032</v>
      </c>
      <c r="L233" t="s">
        <v>588</v>
      </c>
      <c r="M233"/>
      <c r="N233"/>
      <c r="O233"/>
      <c r="P233"/>
      <c r="Q233" s="152"/>
      <c r="R233"/>
      <c r="S233"/>
      <c r="T233"/>
      <c r="U233"/>
      <c r="V233"/>
    </row>
    <row r="234" spans="1:22" x14ac:dyDescent="0.2">
      <c r="A234" t="s">
        <v>104</v>
      </c>
      <c r="B234" t="s">
        <v>538</v>
      </c>
      <c r="C234" s="152">
        <v>3967</v>
      </c>
      <c r="D234" s="152">
        <v>5916</v>
      </c>
      <c r="E234" s="152">
        <v>9883</v>
      </c>
      <c r="F234" s="152">
        <v>68895066.937831104</v>
      </c>
      <c r="G234" s="152">
        <v>121178539.47753599</v>
      </c>
      <c r="H234" s="152">
        <v>190073606.41536701</v>
      </c>
      <c r="I234" t="s">
        <v>742</v>
      </c>
      <c r="J234" t="s">
        <v>135</v>
      </c>
      <c r="K234">
        <v>891036</v>
      </c>
      <c r="L234" t="s">
        <v>504</v>
      </c>
      <c r="M234"/>
      <c r="N234"/>
      <c r="O234"/>
      <c r="P234"/>
      <c r="Q234" s="152"/>
      <c r="R234"/>
      <c r="S234"/>
      <c r="T234"/>
      <c r="U234"/>
      <c r="V234"/>
    </row>
    <row r="235" spans="1:22" x14ac:dyDescent="0.2">
      <c r="A235" t="s">
        <v>417</v>
      </c>
      <c r="B235" t="s">
        <v>36</v>
      </c>
      <c r="C235" s="152">
        <v>3809</v>
      </c>
      <c r="D235" s="152">
        <v>6035</v>
      </c>
      <c r="E235" s="152">
        <v>9844</v>
      </c>
      <c r="F235" s="152">
        <v>89518506.480781093</v>
      </c>
      <c r="G235" s="152">
        <v>180892425.33052501</v>
      </c>
      <c r="H235" s="152">
        <v>270410931.81130701</v>
      </c>
      <c r="I235" t="s">
        <v>867</v>
      </c>
      <c r="J235" t="s">
        <v>135</v>
      </c>
      <c r="K235">
        <v>671982</v>
      </c>
      <c r="L235" t="s">
        <v>974</v>
      </c>
      <c r="M235"/>
      <c r="N235"/>
      <c r="O235"/>
      <c r="P235"/>
      <c r="Q235" s="152"/>
      <c r="R235"/>
      <c r="S235"/>
      <c r="T235"/>
      <c r="U235"/>
      <c r="V235"/>
    </row>
    <row r="236" spans="1:22" x14ac:dyDescent="0.2">
      <c r="A236" t="s">
        <v>645</v>
      </c>
      <c r="B236" t="s">
        <v>605</v>
      </c>
      <c r="C236" s="152">
        <v>5458</v>
      </c>
      <c r="D236" s="152">
        <v>4348</v>
      </c>
      <c r="E236" s="152">
        <v>9806</v>
      </c>
      <c r="F236" s="152">
        <v>164864992.24070999</v>
      </c>
      <c r="G236" s="152">
        <v>162819070.47345299</v>
      </c>
      <c r="H236" s="152">
        <v>327684062.71416199</v>
      </c>
      <c r="I236" t="s">
        <v>867</v>
      </c>
      <c r="J236" t="s">
        <v>136</v>
      </c>
      <c r="K236">
        <v>680546</v>
      </c>
      <c r="L236" t="s">
        <v>198</v>
      </c>
      <c r="M236"/>
      <c r="N236"/>
      <c r="O236"/>
      <c r="P236"/>
      <c r="Q236" s="152"/>
      <c r="R236"/>
      <c r="S236"/>
      <c r="T236"/>
      <c r="U236"/>
      <c r="V236"/>
    </row>
    <row r="237" spans="1:22" x14ac:dyDescent="0.2">
      <c r="A237" t="s">
        <v>234</v>
      </c>
      <c r="B237" t="s">
        <v>935</v>
      </c>
      <c r="C237" s="152">
        <v>4354</v>
      </c>
      <c r="D237" s="152">
        <v>5399</v>
      </c>
      <c r="E237" s="152">
        <v>9753</v>
      </c>
      <c r="F237" s="152">
        <v>59116023.451417103</v>
      </c>
      <c r="G237" s="152">
        <v>88214218.148569196</v>
      </c>
      <c r="H237" s="152">
        <v>147330241.59998599</v>
      </c>
      <c r="I237" t="s">
        <v>867</v>
      </c>
      <c r="J237" t="s">
        <v>135</v>
      </c>
      <c r="K237">
        <v>534156</v>
      </c>
      <c r="L237" t="s">
        <v>932</v>
      </c>
      <c r="M237"/>
      <c r="N237"/>
      <c r="O237"/>
      <c r="P237"/>
      <c r="Q237" s="152"/>
      <c r="R237"/>
      <c r="S237"/>
      <c r="T237"/>
      <c r="U237"/>
      <c r="V237"/>
    </row>
    <row r="238" spans="1:22" x14ac:dyDescent="0.2">
      <c r="A238" t="s">
        <v>781</v>
      </c>
      <c r="B238" t="s">
        <v>636</v>
      </c>
      <c r="C238" s="152">
        <v>5824</v>
      </c>
      <c r="D238" s="152">
        <v>3816</v>
      </c>
      <c r="E238" s="152">
        <v>9640</v>
      </c>
      <c r="F238" s="152">
        <v>141470518.168926</v>
      </c>
      <c r="G238" s="152">
        <v>106876619.20163099</v>
      </c>
      <c r="H238" s="152">
        <v>248347137.37055701</v>
      </c>
      <c r="I238" t="s">
        <v>867</v>
      </c>
      <c r="J238" t="s">
        <v>135</v>
      </c>
      <c r="K238">
        <v>902783</v>
      </c>
      <c r="L238" t="s">
        <v>198</v>
      </c>
      <c r="M238"/>
      <c r="N238"/>
      <c r="O238"/>
      <c r="P238"/>
      <c r="Q238" s="152"/>
      <c r="R238"/>
      <c r="S238"/>
      <c r="T238"/>
      <c r="U238"/>
      <c r="V238"/>
    </row>
    <row r="239" spans="1:22" x14ac:dyDescent="0.2">
      <c r="A239" t="s">
        <v>717</v>
      </c>
      <c r="B239" t="s">
        <v>904</v>
      </c>
      <c r="C239" s="152">
        <v>4877</v>
      </c>
      <c r="D239" s="152">
        <v>4668</v>
      </c>
      <c r="E239" s="152">
        <v>9545</v>
      </c>
      <c r="F239" s="152">
        <v>178223243.86438799</v>
      </c>
      <c r="G239" s="152">
        <v>203539628.25695601</v>
      </c>
      <c r="H239" s="152">
        <v>381762872.12134397</v>
      </c>
      <c r="I239" t="s">
        <v>742</v>
      </c>
      <c r="J239" t="s">
        <v>136</v>
      </c>
      <c r="K239">
        <v>131409</v>
      </c>
      <c r="L239" t="s">
        <v>598</v>
      </c>
      <c r="M239"/>
      <c r="N239"/>
      <c r="O239"/>
      <c r="P239"/>
      <c r="Q239" s="152"/>
      <c r="R239"/>
      <c r="S239"/>
      <c r="T239"/>
      <c r="U239"/>
      <c r="V239"/>
    </row>
    <row r="240" spans="1:22" x14ac:dyDescent="0.2">
      <c r="A240" t="s">
        <v>166</v>
      </c>
      <c r="B240" t="s">
        <v>940</v>
      </c>
      <c r="C240" s="152">
        <v>4783</v>
      </c>
      <c r="D240" s="152">
        <v>4728</v>
      </c>
      <c r="E240" s="152">
        <v>9511</v>
      </c>
      <c r="F240" s="152">
        <v>134405614.69700399</v>
      </c>
      <c r="G240" s="152">
        <v>156704001.81785399</v>
      </c>
      <c r="H240" s="152">
        <v>291109616.51485801</v>
      </c>
      <c r="I240" t="s">
        <v>867</v>
      </c>
      <c r="J240" t="s">
        <v>135</v>
      </c>
      <c r="K240">
        <v>908277</v>
      </c>
      <c r="L240" t="s">
        <v>927</v>
      </c>
      <c r="M240"/>
      <c r="N240"/>
      <c r="O240"/>
      <c r="P240"/>
      <c r="Q240" s="152"/>
      <c r="R240"/>
      <c r="S240"/>
      <c r="T240"/>
      <c r="U240"/>
      <c r="V240"/>
    </row>
    <row r="241" spans="1:22" x14ac:dyDescent="0.2">
      <c r="A241" t="s">
        <v>338</v>
      </c>
      <c r="B241" t="s">
        <v>1137</v>
      </c>
      <c r="C241" s="152">
        <v>4116</v>
      </c>
      <c r="D241" s="152">
        <v>5393</v>
      </c>
      <c r="E241" s="152">
        <v>9509</v>
      </c>
      <c r="F241" s="152">
        <v>402133948.70340502</v>
      </c>
      <c r="G241" s="152">
        <v>611835322.18216801</v>
      </c>
      <c r="H241" s="152">
        <v>1013969270.88557</v>
      </c>
      <c r="I241" t="s">
        <v>867</v>
      </c>
      <c r="J241" t="s">
        <v>137</v>
      </c>
      <c r="K241">
        <v>651141</v>
      </c>
      <c r="L241" t="s">
        <v>847</v>
      </c>
      <c r="M241"/>
      <c r="N241"/>
      <c r="O241"/>
      <c r="P241"/>
      <c r="Q241" s="152"/>
      <c r="R241"/>
      <c r="S241"/>
      <c r="T241"/>
      <c r="U241"/>
      <c r="V241"/>
    </row>
    <row r="242" spans="1:22" x14ac:dyDescent="0.2">
      <c r="A242" t="s">
        <v>578</v>
      </c>
      <c r="B242" t="s">
        <v>695</v>
      </c>
      <c r="C242" s="152">
        <v>4307</v>
      </c>
      <c r="D242" s="152">
        <v>5162</v>
      </c>
      <c r="E242" s="152">
        <v>9469</v>
      </c>
      <c r="F242" s="152">
        <v>148164074.32712999</v>
      </c>
      <c r="G242" s="152">
        <v>225973236.09586501</v>
      </c>
      <c r="H242" s="152">
        <v>374137310.42299497</v>
      </c>
      <c r="I242" t="s">
        <v>867</v>
      </c>
      <c r="J242" t="s">
        <v>136</v>
      </c>
      <c r="K242">
        <v>972497</v>
      </c>
      <c r="L242" t="s">
        <v>728</v>
      </c>
      <c r="M242"/>
      <c r="N242"/>
      <c r="O242"/>
      <c r="P242"/>
      <c r="Q242" s="152"/>
      <c r="R242"/>
      <c r="S242"/>
      <c r="T242"/>
      <c r="U242"/>
      <c r="V242"/>
    </row>
    <row r="243" spans="1:22" x14ac:dyDescent="0.2">
      <c r="A243" t="s">
        <v>338</v>
      </c>
      <c r="B243" t="s">
        <v>633</v>
      </c>
      <c r="C243" s="152">
        <v>5414</v>
      </c>
      <c r="D243" s="152">
        <v>4033</v>
      </c>
      <c r="E243" s="152">
        <v>9447</v>
      </c>
      <c r="F243" s="152">
        <v>432870511.71534902</v>
      </c>
      <c r="G243" s="152">
        <v>373587127.26703501</v>
      </c>
      <c r="H243" s="152">
        <v>806457638.98238397</v>
      </c>
      <c r="I243" t="s">
        <v>867</v>
      </c>
      <c r="J243" t="s">
        <v>137</v>
      </c>
      <c r="K243">
        <v>322008</v>
      </c>
      <c r="L243" t="s">
        <v>932</v>
      </c>
      <c r="M243"/>
      <c r="N243"/>
      <c r="O243"/>
      <c r="P243"/>
      <c r="Q243" s="152"/>
      <c r="R243"/>
      <c r="S243"/>
      <c r="T243"/>
      <c r="U243"/>
      <c r="V243"/>
    </row>
    <row r="244" spans="1:22" x14ac:dyDescent="0.2">
      <c r="A244" t="s">
        <v>234</v>
      </c>
      <c r="B244" t="s">
        <v>253</v>
      </c>
      <c r="C244" s="152">
        <v>4223</v>
      </c>
      <c r="D244" s="152">
        <v>5134</v>
      </c>
      <c r="E244" s="152">
        <v>9357</v>
      </c>
      <c r="F244" s="152">
        <v>76192406.476151198</v>
      </c>
      <c r="G244" s="152">
        <v>118355630.67248499</v>
      </c>
      <c r="H244" s="152">
        <v>194548037.14863601</v>
      </c>
      <c r="I244" t="s">
        <v>867</v>
      </c>
      <c r="J244" t="s">
        <v>135</v>
      </c>
      <c r="K244">
        <v>449090</v>
      </c>
      <c r="L244" t="s">
        <v>907</v>
      </c>
      <c r="M244"/>
      <c r="N244"/>
      <c r="O244"/>
      <c r="P244"/>
      <c r="Q244" s="152"/>
      <c r="R244"/>
      <c r="S244"/>
      <c r="T244"/>
      <c r="U244"/>
      <c r="V244"/>
    </row>
    <row r="245" spans="1:22" x14ac:dyDescent="0.2">
      <c r="A245" t="s">
        <v>416</v>
      </c>
      <c r="B245" t="s">
        <v>123</v>
      </c>
      <c r="C245" s="152">
        <v>4058</v>
      </c>
      <c r="D245" s="152">
        <v>5209</v>
      </c>
      <c r="E245" s="152">
        <v>9267</v>
      </c>
      <c r="F245" s="152">
        <v>53833470.317424603</v>
      </c>
      <c r="G245" s="152">
        <v>95041920.584696099</v>
      </c>
      <c r="H245" s="152">
        <v>148875390.90212101</v>
      </c>
      <c r="I245" t="s">
        <v>742</v>
      </c>
      <c r="J245" t="s">
        <v>135</v>
      </c>
      <c r="K245">
        <v>653097</v>
      </c>
      <c r="L245" t="s">
        <v>598</v>
      </c>
      <c r="M245"/>
      <c r="N245"/>
      <c r="O245"/>
      <c r="P245"/>
      <c r="Q245" s="152"/>
      <c r="R245"/>
      <c r="S245"/>
      <c r="T245"/>
      <c r="U245"/>
      <c r="V245"/>
    </row>
    <row r="246" spans="1:22" x14ac:dyDescent="0.2">
      <c r="A246" t="s">
        <v>338</v>
      </c>
      <c r="B246" t="s">
        <v>1154</v>
      </c>
      <c r="C246" s="152">
        <v>3188</v>
      </c>
      <c r="D246" s="152">
        <v>6063</v>
      </c>
      <c r="E246" s="152">
        <v>9251</v>
      </c>
      <c r="F246" s="152">
        <v>303843049.66173601</v>
      </c>
      <c r="G246" s="152">
        <v>697350029.48506904</v>
      </c>
      <c r="H246" s="152">
        <v>1001193079.1468101</v>
      </c>
      <c r="I246" t="s">
        <v>742</v>
      </c>
      <c r="J246" t="s">
        <v>137</v>
      </c>
      <c r="K246">
        <v>946285</v>
      </c>
      <c r="L246" t="s">
        <v>1152</v>
      </c>
      <c r="M246"/>
      <c r="N246"/>
      <c r="O246"/>
      <c r="P246"/>
      <c r="Q246" s="152"/>
      <c r="R246"/>
      <c r="S246"/>
      <c r="T246"/>
      <c r="U246"/>
      <c r="V246"/>
    </row>
    <row r="247" spans="1:22" x14ac:dyDescent="0.2">
      <c r="A247" t="s">
        <v>416</v>
      </c>
      <c r="B247" t="s">
        <v>443</v>
      </c>
      <c r="C247" s="152">
        <v>3546</v>
      </c>
      <c r="D247" s="152">
        <v>5618</v>
      </c>
      <c r="E247" s="152">
        <v>9164</v>
      </c>
      <c r="F247" s="152">
        <v>68147768.247232407</v>
      </c>
      <c r="G247" s="152">
        <v>138407488.49846801</v>
      </c>
      <c r="H247" s="152">
        <v>206555256.7457</v>
      </c>
      <c r="I247" t="s">
        <v>867</v>
      </c>
      <c r="J247" t="s">
        <v>135</v>
      </c>
      <c r="K247">
        <v>838383</v>
      </c>
      <c r="L247" t="s">
        <v>1000</v>
      </c>
      <c r="M247"/>
      <c r="N247"/>
      <c r="O247"/>
      <c r="P247"/>
      <c r="Q247" s="152"/>
      <c r="R247"/>
      <c r="S247"/>
      <c r="T247"/>
      <c r="U247"/>
      <c r="V247"/>
    </row>
    <row r="248" spans="1:22" x14ac:dyDescent="0.2">
      <c r="A248" t="s">
        <v>114</v>
      </c>
      <c r="B248" t="s">
        <v>439</v>
      </c>
      <c r="C248" s="152">
        <v>3940</v>
      </c>
      <c r="D248" s="152">
        <v>5221</v>
      </c>
      <c r="E248" s="152">
        <v>9161</v>
      </c>
      <c r="F248" s="152">
        <v>67213628.315594703</v>
      </c>
      <c r="G248" s="152">
        <v>109299351.35715599</v>
      </c>
      <c r="H248" s="152">
        <v>176512979.67275</v>
      </c>
      <c r="I248" t="s">
        <v>867</v>
      </c>
      <c r="J248" t="s">
        <v>135</v>
      </c>
      <c r="K248">
        <v>840033</v>
      </c>
      <c r="L248" t="s">
        <v>787</v>
      </c>
      <c r="M248"/>
      <c r="N248"/>
      <c r="O248"/>
      <c r="P248"/>
      <c r="Q248" s="152"/>
      <c r="R248"/>
      <c r="S248"/>
      <c r="T248"/>
      <c r="U248"/>
      <c r="V248"/>
    </row>
    <row r="249" spans="1:22" x14ac:dyDescent="0.2">
      <c r="A249" t="s">
        <v>837</v>
      </c>
      <c r="B249" t="s">
        <v>1092</v>
      </c>
      <c r="C249" s="152">
        <v>4267</v>
      </c>
      <c r="D249" s="152">
        <v>4790</v>
      </c>
      <c r="E249" s="152">
        <v>9057</v>
      </c>
      <c r="F249" s="152">
        <v>112922012.55801301</v>
      </c>
      <c r="G249" s="152">
        <v>154023675.778016</v>
      </c>
      <c r="H249" s="152">
        <v>266945688.33602899</v>
      </c>
      <c r="I249" t="s">
        <v>867</v>
      </c>
      <c r="J249" t="s">
        <v>135</v>
      </c>
      <c r="K249">
        <v>694539</v>
      </c>
      <c r="L249" t="s">
        <v>877</v>
      </c>
      <c r="M249"/>
      <c r="N249"/>
      <c r="O249"/>
      <c r="P249"/>
      <c r="Q249" s="152"/>
      <c r="R249"/>
      <c r="S249"/>
      <c r="T249"/>
      <c r="U249"/>
      <c r="V249"/>
    </row>
    <row r="250" spans="1:22" x14ac:dyDescent="0.2">
      <c r="A250" t="s">
        <v>417</v>
      </c>
      <c r="B250" t="s">
        <v>241</v>
      </c>
      <c r="C250" s="152">
        <v>3486</v>
      </c>
      <c r="D250" s="152">
        <v>5557</v>
      </c>
      <c r="E250" s="152">
        <v>9043</v>
      </c>
      <c r="F250" s="152">
        <v>82388022.317045093</v>
      </c>
      <c r="G250" s="152">
        <v>158659185.51572701</v>
      </c>
      <c r="H250" s="152">
        <v>241047207.83277199</v>
      </c>
      <c r="I250" t="s">
        <v>742</v>
      </c>
      <c r="J250" t="s">
        <v>135</v>
      </c>
      <c r="K250">
        <v>396325</v>
      </c>
      <c r="L250" t="s">
        <v>520</v>
      </c>
      <c r="M250"/>
      <c r="N250"/>
      <c r="O250"/>
      <c r="P250"/>
      <c r="Q250" s="152"/>
      <c r="R250"/>
      <c r="S250"/>
      <c r="T250"/>
      <c r="U250"/>
      <c r="V250"/>
    </row>
    <row r="251" spans="1:22" x14ac:dyDescent="0.2">
      <c r="A251" t="s">
        <v>781</v>
      </c>
      <c r="B251" t="s">
        <v>817</v>
      </c>
      <c r="C251" s="152">
        <v>4484</v>
      </c>
      <c r="D251" s="152">
        <v>4531</v>
      </c>
      <c r="E251" s="152">
        <v>9015</v>
      </c>
      <c r="F251" s="152">
        <v>89984102.247761995</v>
      </c>
      <c r="G251" s="152">
        <v>115150833.43386801</v>
      </c>
      <c r="H251" s="152">
        <v>205134935.68162999</v>
      </c>
      <c r="I251" t="s">
        <v>867</v>
      </c>
      <c r="J251" t="s">
        <v>135</v>
      </c>
      <c r="K251">
        <v>254185</v>
      </c>
      <c r="L251" t="s">
        <v>814</v>
      </c>
      <c r="M251"/>
      <c r="N251"/>
      <c r="O251"/>
      <c r="P251"/>
      <c r="Q251" s="152"/>
      <c r="R251"/>
      <c r="S251"/>
      <c r="T251"/>
      <c r="U251"/>
      <c r="V251"/>
    </row>
    <row r="252" spans="1:22" x14ac:dyDescent="0.2">
      <c r="A252" t="s">
        <v>735</v>
      </c>
      <c r="B252" t="s">
        <v>257</v>
      </c>
      <c r="C252" s="152">
        <v>4962</v>
      </c>
      <c r="D252" s="152">
        <v>3993</v>
      </c>
      <c r="E252" s="152">
        <v>8955</v>
      </c>
      <c r="F252" s="152">
        <v>108725656.275269</v>
      </c>
      <c r="G252" s="152">
        <v>106392060.395339</v>
      </c>
      <c r="H252" s="152">
        <v>215117716.670609</v>
      </c>
      <c r="I252" t="s">
        <v>867</v>
      </c>
      <c r="J252" t="s">
        <v>136</v>
      </c>
      <c r="K252">
        <v>360370</v>
      </c>
      <c r="L252" t="s">
        <v>425</v>
      </c>
      <c r="M252"/>
      <c r="N252"/>
      <c r="O252"/>
      <c r="P252"/>
      <c r="Q252" s="152"/>
      <c r="R252"/>
      <c r="S252"/>
      <c r="T252"/>
      <c r="U252"/>
      <c r="V252"/>
    </row>
    <row r="253" spans="1:22" x14ac:dyDescent="0.2">
      <c r="A253" t="s">
        <v>861</v>
      </c>
      <c r="B253" t="s">
        <v>402</v>
      </c>
      <c r="C253" s="152">
        <v>4666</v>
      </c>
      <c r="D253" s="152">
        <v>4176</v>
      </c>
      <c r="E253" s="152">
        <v>8842</v>
      </c>
      <c r="F253" s="152">
        <v>104246153.082553</v>
      </c>
      <c r="G253" s="152">
        <v>111256689.48481899</v>
      </c>
      <c r="H253" s="152">
        <v>215502842.56737199</v>
      </c>
      <c r="I253" t="s">
        <v>867</v>
      </c>
      <c r="J253" t="s">
        <v>135</v>
      </c>
      <c r="K253">
        <v>811117</v>
      </c>
      <c r="L253" t="s">
        <v>787</v>
      </c>
      <c r="M253"/>
      <c r="N253"/>
      <c r="O253"/>
      <c r="P253"/>
      <c r="Q253" s="152"/>
      <c r="R253"/>
      <c r="S253"/>
      <c r="T253"/>
      <c r="U253"/>
      <c r="V253"/>
    </row>
    <row r="254" spans="1:22" x14ac:dyDescent="0.2">
      <c r="A254" t="s">
        <v>781</v>
      </c>
      <c r="B254" t="s">
        <v>921</v>
      </c>
      <c r="C254" s="152">
        <v>3878</v>
      </c>
      <c r="D254" s="152">
        <v>4642</v>
      </c>
      <c r="E254" s="152">
        <v>8520</v>
      </c>
      <c r="F254" s="152">
        <v>176622561.288984</v>
      </c>
      <c r="G254" s="152">
        <v>277703474.16538</v>
      </c>
      <c r="H254" s="152">
        <v>454326035.454364</v>
      </c>
      <c r="I254" t="s">
        <v>867</v>
      </c>
      <c r="J254" t="s">
        <v>135</v>
      </c>
      <c r="K254">
        <v>832899</v>
      </c>
      <c r="L254" t="s">
        <v>502</v>
      </c>
      <c r="M254"/>
      <c r="N254"/>
      <c r="O254"/>
      <c r="P254"/>
      <c r="Q254" s="152"/>
      <c r="R254"/>
      <c r="S254"/>
      <c r="T254"/>
      <c r="U254"/>
      <c r="V254"/>
    </row>
    <row r="255" spans="1:22" x14ac:dyDescent="0.2">
      <c r="A255" t="s">
        <v>166</v>
      </c>
      <c r="B255" t="s">
        <v>606</v>
      </c>
      <c r="C255" s="152">
        <v>5396</v>
      </c>
      <c r="D255" s="152">
        <v>3075</v>
      </c>
      <c r="E255" s="152">
        <v>8471</v>
      </c>
      <c r="F255" s="152">
        <v>274994226.95648903</v>
      </c>
      <c r="G255" s="152">
        <v>193920012.13209501</v>
      </c>
      <c r="H255" s="152">
        <v>468914239.08858401</v>
      </c>
      <c r="I255" t="s">
        <v>867</v>
      </c>
      <c r="J255" t="s">
        <v>135</v>
      </c>
      <c r="K255">
        <v>702381</v>
      </c>
      <c r="L255" t="s">
        <v>198</v>
      </c>
      <c r="M255"/>
      <c r="N255"/>
      <c r="O255"/>
      <c r="P255"/>
      <c r="Q255" s="152"/>
      <c r="R255"/>
      <c r="S255"/>
      <c r="T255"/>
      <c r="U255"/>
      <c r="V255"/>
    </row>
    <row r="256" spans="1:22" x14ac:dyDescent="0.2">
      <c r="A256" t="s">
        <v>114</v>
      </c>
      <c r="B256" t="s">
        <v>129</v>
      </c>
      <c r="C256" s="152">
        <v>3708</v>
      </c>
      <c r="D256" s="152">
        <v>4606</v>
      </c>
      <c r="E256" s="152">
        <v>8314</v>
      </c>
      <c r="F256" s="152">
        <v>56016745.2724903</v>
      </c>
      <c r="G256" s="152">
        <v>83458404.438966393</v>
      </c>
      <c r="H256" s="152">
        <v>139475149.71145701</v>
      </c>
      <c r="I256" t="s">
        <v>867</v>
      </c>
      <c r="J256" t="s">
        <v>135</v>
      </c>
      <c r="K256">
        <v>456475</v>
      </c>
      <c r="L256" t="s">
        <v>810</v>
      </c>
      <c r="M256"/>
      <c r="N256"/>
      <c r="O256"/>
      <c r="P256"/>
      <c r="Q256" s="152"/>
      <c r="R256"/>
      <c r="S256"/>
      <c r="T256"/>
      <c r="U256"/>
      <c r="V256"/>
    </row>
    <row r="257" spans="1:22" x14ac:dyDescent="0.2">
      <c r="A257" t="s">
        <v>166</v>
      </c>
      <c r="B257" t="s">
        <v>368</v>
      </c>
      <c r="C257" s="152">
        <v>3951</v>
      </c>
      <c r="D257" s="152">
        <v>4246</v>
      </c>
      <c r="E257" s="152">
        <v>8197</v>
      </c>
      <c r="F257" s="152">
        <v>55719255.150773898</v>
      </c>
      <c r="G257" s="152">
        <v>67018132.716026098</v>
      </c>
      <c r="H257" s="152">
        <v>122737387.8668</v>
      </c>
      <c r="I257" t="s">
        <v>742</v>
      </c>
      <c r="J257" t="s">
        <v>135</v>
      </c>
      <c r="K257">
        <v>340836</v>
      </c>
      <c r="L257" t="s">
        <v>930</v>
      </c>
      <c r="M257"/>
      <c r="N257"/>
      <c r="O257"/>
      <c r="P257"/>
      <c r="Q257" s="152"/>
      <c r="R257"/>
      <c r="S257"/>
      <c r="T257"/>
      <c r="U257"/>
      <c r="V257"/>
    </row>
    <row r="258" spans="1:22" x14ac:dyDescent="0.2">
      <c r="A258" t="s">
        <v>781</v>
      </c>
      <c r="B258" t="s">
        <v>783</v>
      </c>
      <c r="C258" s="152">
        <v>4586</v>
      </c>
      <c r="D258" s="152">
        <v>3600</v>
      </c>
      <c r="E258" s="152">
        <v>8186</v>
      </c>
      <c r="F258" s="152">
        <v>95685807.560417101</v>
      </c>
      <c r="G258" s="152">
        <v>93626100.717065305</v>
      </c>
      <c r="H258" s="152">
        <v>189311908.277482</v>
      </c>
      <c r="I258" t="s">
        <v>867</v>
      </c>
      <c r="J258" t="s">
        <v>135</v>
      </c>
      <c r="K258">
        <v>344739</v>
      </c>
      <c r="L258" t="s">
        <v>782</v>
      </c>
      <c r="M258"/>
      <c r="N258"/>
      <c r="O258"/>
      <c r="P258"/>
      <c r="Q258" s="152"/>
      <c r="R258"/>
      <c r="S258"/>
      <c r="T258"/>
      <c r="U258"/>
      <c r="V258"/>
    </row>
    <row r="259" spans="1:22" x14ac:dyDescent="0.2">
      <c r="A259" t="s">
        <v>114</v>
      </c>
      <c r="B259" t="s">
        <v>119</v>
      </c>
      <c r="C259" s="152">
        <v>3556</v>
      </c>
      <c r="D259" s="152">
        <v>4516</v>
      </c>
      <c r="E259" s="152">
        <v>8072</v>
      </c>
      <c r="F259" s="152">
        <v>63829097.648180902</v>
      </c>
      <c r="G259" s="152">
        <v>95760466.074177906</v>
      </c>
      <c r="H259" s="152">
        <v>159589563.722359</v>
      </c>
      <c r="I259" t="s">
        <v>742</v>
      </c>
      <c r="J259" t="s">
        <v>135</v>
      </c>
      <c r="K259">
        <v>300996</v>
      </c>
      <c r="L259" t="s">
        <v>65</v>
      </c>
      <c r="M259"/>
      <c r="N259"/>
      <c r="O259"/>
      <c r="P259"/>
      <c r="Q259" s="152"/>
      <c r="R259"/>
      <c r="S259"/>
      <c r="T259"/>
      <c r="U259"/>
      <c r="V259"/>
    </row>
    <row r="260" spans="1:22" x14ac:dyDescent="0.2">
      <c r="A260" t="s">
        <v>578</v>
      </c>
      <c r="B260" t="s">
        <v>587</v>
      </c>
      <c r="C260" s="152">
        <v>4387</v>
      </c>
      <c r="D260" s="152">
        <v>3674</v>
      </c>
      <c r="E260" s="152">
        <v>8061</v>
      </c>
      <c r="F260" s="152">
        <v>89581576.7530137</v>
      </c>
      <c r="G260" s="152">
        <v>98236943.688726693</v>
      </c>
      <c r="H260" s="152">
        <v>187818520.44174001</v>
      </c>
      <c r="I260" t="s">
        <v>867</v>
      </c>
      <c r="J260" t="s">
        <v>136</v>
      </c>
      <c r="K260">
        <v>331983</v>
      </c>
      <c r="L260" t="s">
        <v>791</v>
      </c>
      <c r="M260"/>
      <c r="N260"/>
      <c r="O260"/>
      <c r="P260"/>
      <c r="Q260" s="152"/>
      <c r="R260"/>
      <c r="S260"/>
      <c r="T260"/>
      <c r="U260"/>
      <c r="V260"/>
    </row>
    <row r="261" spans="1:22" x14ac:dyDescent="0.2">
      <c r="A261" t="s">
        <v>268</v>
      </c>
      <c r="B261" t="s">
        <v>284</v>
      </c>
      <c r="C261" s="152">
        <v>3647</v>
      </c>
      <c r="D261" s="152">
        <v>4372</v>
      </c>
      <c r="E261" s="152">
        <v>8019</v>
      </c>
      <c r="F261" s="152">
        <v>69589975.001851395</v>
      </c>
      <c r="G261" s="152">
        <v>99637659.889856994</v>
      </c>
      <c r="H261" s="152">
        <v>169227634.89170799</v>
      </c>
      <c r="I261" t="s">
        <v>742</v>
      </c>
      <c r="J261" t="s">
        <v>135</v>
      </c>
      <c r="K261">
        <v>562728</v>
      </c>
      <c r="L261" t="s">
        <v>818</v>
      </c>
      <c r="M261"/>
      <c r="N261"/>
      <c r="O261"/>
      <c r="P261"/>
      <c r="Q261" s="152"/>
      <c r="R261"/>
      <c r="S261"/>
      <c r="T261"/>
      <c r="U261"/>
      <c r="V261"/>
    </row>
    <row r="262" spans="1:22" x14ac:dyDescent="0.2">
      <c r="A262" t="s">
        <v>49</v>
      </c>
      <c r="B262" t="s">
        <v>56</v>
      </c>
      <c r="C262" s="152">
        <v>3708</v>
      </c>
      <c r="D262" s="152">
        <v>4244</v>
      </c>
      <c r="E262" s="152">
        <v>7952</v>
      </c>
      <c r="F262" s="152">
        <v>61062584.150009297</v>
      </c>
      <c r="G262" s="152">
        <v>83495606.814358503</v>
      </c>
      <c r="H262" s="152">
        <v>144558190.96436799</v>
      </c>
      <c r="I262" t="s">
        <v>867</v>
      </c>
      <c r="J262" t="s">
        <v>135</v>
      </c>
      <c r="K262">
        <v>654459</v>
      </c>
      <c r="L262" t="s">
        <v>791</v>
      </c>
      <c r="M262"/>
      <c r="N262"/>
      <c r="O262"/>
      <c r="P262"/>
      <c r="Q262" s="152"/>
      <c r="R262"/>
      <c r="S262"/>
      <c r="T262"/>
      <c r="U262"/>
      <c r="V262"/>
    </row>
    <row r="263" spans="1:22" x14ac:dyDescent="0.2">
      <c r="A263" t="s">
        <v>166</v>
      </c>
      <c r="B263" t="s">
        <v>526</v>
      </c>
      <c r="C263" s="152">
        <v>3345</v>
      </c>
      <c r="D263" s="152">
        <v>4557</v>
      </c>
      <c r="E263" s="152">
        <v>7902</v>
      </c>
      <c r="F263" s="152">
        <v>295758669.97124499</v>
      </c>
      <c r="G263" s="152">
        <v>484041087.98027498</v>
      </c>
      <c r="H263" s="152">
        <v>779799757.95151997</v>
      </c>
      <c r="I263" t="s">
        <v>742</v>
      </c>
      <c r="J263" t="s">
        <v>135</v>
      </c>
      <c r="K263">
        <v>237008</v>
      </c>
      <c r="L263" t="s">
        <v>527</v>
      </c>
      <c r="M263"/>
      <c r="N263"/>
      <c r="O263"/>
      <c r="P263"/>
      <c r="Q263" s="152"/>
      <c r="R263"/>
      <c r="S263"/>
      <c r="T263"/>
      <c r="U263"/>
      <c r="V263"/>
    </row>
    <row r="264" spans="1:22" x14ac:dyDescent="0.2">
      <c r="A264" t="s">
        <v>114</v>
      </c>
      <c r="B264" t="s">
        <v>675</v>
      </c>
      <c r="C264" s="152">
        <v>3882</v>
      </c>
      <c r="D264" s="152">
        <v>3997</v>
      </c>
      <c r="E264" s="152">
        <v>7879</v>
      </c>
      <c r="F264" s="152">
        <v>49146310.542390801</v>
      </c>
      <c r="G264" s="152">
        <v>64671128.133697003</v>
      </c>
      <c r="H264" s="152">
        <v>113817438.67608801</v>
      </c>
      <c r="I264" t="s">
        <v>742</v>
      </c>
      <c r="J264" t="s">
        <v>135</v>
      </c>
      <c r="K264">
        <v>768556</v>
      </c>
      <c r="L264" t="s">
        <v>874</v>
      </c>
      <c r="M264"/>
      <c r="N264"/>
      <c r="O264"/>
      <c r="P264"/>
      <c r="Q264" s="152"/>
      <c r="R264"/>
      <c r="S264"/>
      <c r="T264"/>
      <c r="U264"/>
      <c r="V264"/>
    </row>
    <row r="265" spans="1:22" x14ac:dyDescent="0.2">
      <c r="A265" t="s">
        <v>312</v>
      </c>
      <c r="B265" t="s">
        <v>15</v>
      </c>
      <c r="C265" s="152">
        <v>3347</v>
      </c>
      <c r="D265" s="152">
        <v>4335</v>
      </c>
      <c r="E265" s="152">
        <v>7682</v>
      </c>
      <c r="F265" s="152">
        <v>72577284.9289013</v>
      </c>
      <c r="G265" s="152">
        <v>121882461.29960001</v>
      </c>
      <c r="H265" s="152">
        <v>194459746.22850099</v>
      </c>
      <c r="I265" t="s">
        <v>867</v>
      </c>
      <c r="J265" t="s">
        <v>135</v>
      </c>
      <c r="K265">
        <v>110098</v>
      </c>
      <c r="L265" t="s">
        <v>787</v>
      </c>
      <c r="M265"/>
      <c r="N265"/>
      <c r="O265"/>
      <c r="P265"/>
      <c r="Q265" s="152"/>
      <c r="R265"/>
      <c r="S265"/>
      <c r="T265"/>
      <c r="U265"/>
      <c r="V265"/>
    </row>
    <row r="266" spans="1:22" x14ac:dyDescent="0.2">
      <c r="A266" t="s">
        <v>166</v>
      </c>
      <c r="B266" t="s">
        <v>178</v>
      </c>
      <c r="C266" s="152">
        <v>3057</v>
      </c>
      <c r="D266" s="152">
        <v>4572</v>
      </c>
      <c r="E266" s="152">
        <v>7629</v>
      </c>
      <c r="F266" s="152">
        <v>48722137.561181702</v>
      </c>
      <c r="G266" s="152">
        <v>89009497.3315247</v>
      </c>
      <c r="H266" s="152">
        <v>137731634.89270601</v>
      </c>
      <c r="I266" t="s">
        <v>742</v>
      </c>
      <c r="J266" t="s">
        <v>135</v>
      </c>
      <c r="K266">
        <v>717496</v>
      </c>
      <c r="L266" t="s">
        <v>894</v>
      </c>
      <c r="M266"/>
      <c r="N266"/>
      <c r="O266"/>
      <c r="P266"/>
      <c r="Q266" s="152"/>
      <c r="R266"/>
      <c r="S266"/>
      <c r="T266"/>
      <c r="U266"/>
      <c r="V266"/>
    </row>
    <row r="267" spans="1:22" x14ac:dyDescent="0.2">
      <c r="A267" t="s">
        <v>645</v>
      </c>
      <c r="B267" t="s">
        <v>1061</v>
      </c>
      <c r="C267" s="152">
        <v>3796</v>
      </c>
      <c r="D267" s="152">
        <v>3828</v>
      </c>
      <c r="E267" s="152">
        <v>7624</v>
      </c>
      <c r="F267" s="152">
        <v>84735367.546095595</v>
      </c>
      <c r="G267" s="152">
        <v>108603555.487827</v>
      </c>
      <c r="H267" s="152">
        <v>193338923.033923</v>
      </c>
      <c r="I267" t="s">
        <v>742</v>
      </c>
      <c r="J267" t="s">
        <v>136</v>
      </c>
      <c r="K267">
        <v>513556</v>
      </c>
      <c r="L267" t="s">
        <v>387</v>
      </c>
      <c r="M267"/>
      <c r="N267"/>
      <c r="O267"/>
      <c r="P267"/>
      <c r="Q267" s="152"/>
      <c r="R267"/>
      <c r="S267"/>
      <c r="T267"/>
      <c r="U267"/>
      <c r="V267"/>
    </row>
    <row r="268" spans="1:22" x14ac:dyDescent="0.2">
      <c r="A268" t="s">
        <v>312</v>
      </c>
      <c r="B268" t="s">
        <v>282</v>
      </c>
      <c r="C268" s="152">
        <v>3072</v>
      </c>
      <c r="D268" s="152">
        <v>4468</v>
      </c>
      <c r="E268" s="152">
        <v>7540</v>
      </c>
      <c r="F268" s="152">
        <v>39409210.801260598</v>
      </c>
      <c r="G268" s="152">
        <v>71747362.989227399</v>
      </c>
      <c r="H268" s="152">
        <v>111156573.790488</v>
      </c>
      <c r="I268" t="s">
        <v>742</v>
      </c>
      <c r="J268" t="s">
        <v>135</v>
      </c>
      <c r="K268">
        <v>734434</v>
      </c>
      <c r="L268" t="s">
        <v>99</v>
      </c>
      <c r="M268"/>
      <c r="N268"/>
      <c r="O268"/>
      <c r="P268"/>
      <c r="Q268" s="152"/>
      <c r="R268"/>
      <c r="S268"/>
      <c r="T268"/>
      <c r="U268"/>
      <c r="V268"/>
    </row>
    <row r="269" spans="1:22" x14ac:dyDescent="0.2">
      <c r="A269" t="s">
        <v>293</v>
      </c>
      <c r="B269" t="s">
        <v>1093</v>
      </c>
      <c r="C269" s="152">
        <v>3175</v>
      </c>
      <c r="D269" s="152">
        <v>4358</v>
      </c>
      <c r="E269" s="152">
        <v>7533</v>
      </c>
      <c r="F269" s="152">
        <v>72457400.753056198</v>
      </c>
      <c r="G269" s="152">
        <v>120440090.433309</v>
      </c>
      <c r="H269" s="152">
        <v>192897491.18636501</v>
      </c>
      <c r="I269" t="s">
        <v>742</v>
      </c>
      <c r="J269" t="s">
        <v>135</v>
      </c>
      <c r="K269">
        <v>191676</v>
      </c>
      <c r="L269" t="s">
        <v>1094</v>
      </c>
      <c r="M269"/>
      <c r="N269"/>
      <c r="O269"/>
      <c r="P269"/>
      <c r="Q269" s="152"/>
      <c r="R269"/>
      <c r="S269"/>
      <c r="T269"/>
      <c r="U269"/>
      <c r="V269"/>
    </row>
    <row r="270" spans="1:22" x14ac:dyDescent="0.2">
      <c r="A270" t="s">
        <v>114</v>
      </c>
      <c r="B270" t="s">
        <v>118</v>
      </c>
      <c r="C270" s="152">
        <v>3585</v>
      </c>
      <c r="D270" s="152">
        <v>3888</v>
      </c>
      <c r="E270" s="152">
        <v>7473</v>
      </c>
      <c r="F270" s="152">
        <v>72080424.403307095</v>
      </c>
      <c r="G270" s="152">
        <v>95791163.943506002</v>
      </c>
      <c r="H270" s="152">
        <v>167871588.34681299</v>
      </c>
      <c r="I270" t="s">
        <v>867</v>
      </c>
      <c r="J270" t="s">
        <v>135</v>
      </c>
      <c r="K270">
        <v>684795</v>
      </c>
      <c r="L270" t="s">
        <v>814</v>
      </c>
      <c r="M270"/>
      <c r="N270"/>
      <c r="O270"/>
      <c r="P270"/>
      <c r="Q270" s="152"/>
      <c r="R270"/>
      <c r="S270"/>
      <c r="T270"/>
      <c r="U270"/>
      <c r="V270"/>
    </row>
    <row r="271" spans="1:22" x14ac:dyDescent="0.2">
      <c r="A271" t="s">
        <v>234</v>
      </c>
      <c r="B271" t="s">
        <v>593</v>
      </c>
      <c r="C271" s="152">
        <v>3434</v>
      </c>
      <c r="D271" s="152">
        <v>3998</v>
      </c>
      <c r="E271" s="152">
        <v>7432</v>
      </c>
      <c r="F271" s="152">
        <v>34774011.4803266</v>
      </c>
      <c r="G271" s="152">
        <v>55385331.591679297</v>
      </c>
      <c r="H271" s="152">
        <v>90159343.072005898</v>
      </c>
      <c r="I271" t="s">
        <v>867</v>
      </c>
      <c r="J271" t="s">
        <v>135</v>
      </c>
      <c r="K271">
        <v>201293</v>
      </c>
      <c r="L271" t="s">
        <v>198</v>
      </c>
      <c r="M271"/>
      <c r="N271"/>
      <c r="O271"/>
      <c r="P271"/>
      <c r="Q271" s="152"/>
      <c r="R271"/>
      <c r="S271"/>
      <c r="T271"/>
      <c r="U271"/>
      <c r="V271"/>
    </row>
    <row r="272" spans="1:22" x14ac:dyDescent="0.2">
      <c r="A272" t="s">
        <v>578</v>
      </c>
      <c r="B272" t="s">
        <v>582</v>
      </c>
      <c r="C272" s="152">
        <v>4117</v>
      </c>
      <c r="D272" s="152">
        <v>3250</v>
      </c>
      <c r="E272" s="152">
        <v>7367</v>
      </c>
      <c r="F272" s="152">
        <v>150142865.734512</v>
      </c>
      <c r="G272" s="152">
        <v>140501106.74699101</v>
      </c>
      <c r="H272" s="152">
        <v>290643972.48150402</v>
      </c>
      <c r="I272" t="s">
        <v>867</v>
      </c>
      <c r="J272" t="s">
        <v>136</v>
      </c>
      <c r="K272">
        <v>613133</v>
      </c>
      <c r="L272" t="s">
        <v>814</v>
      </c>
      <c r="M272"/>
      <c r="N272"/>
      <c r="O272"/>
      <c r="P272"/>
      <c r="Q272" s="152"/>
      <c r="R272"/>
      <c r="S272"/>
      <c r="T272"/>
      <c r="U272"/>
      <c r="V272"/>
    </row>
    <row r="273" spans="1:22" x14ac:dyDescent="0.2">
      <c r="A273" t="s">
        <v>843</v>
      </c>
      <c r="B273" t="s">
        <v>922</v>
      </c>
      <c r="C273" s="152">
        <v>3723</v>
      </c>
      <c r="D273" s="152">
        <v>3615</v>
      </c>
      <c r="E273" s="152">
        <v>7338</v>
      </c>
      <c r="F273" s="152">
        <v>112308071.254628</v>
      </c>
      <c r="G273" s="152">
        <v>131123387.90753099</v>
      </c>
      <c r="H273" s="152">
        <v>243431459.16215801</v>
      </c>
      <c r="I273" t="s">
        <v>867</v>
      </c>
      <c r="J273" t="s">
        <v>135</v>
      </c>
      <c r="K273">
        <v>937433</v>
      </c>
      <c r="L273" t="s">
        <v>502</v>
      </c>
      <c r="M273"/>
      <c r="N273"/>
      <c r="O273"/>
      <c r="P273"/>
      <c r="Q273" s="152"/>
      <c r="R273"/>
      <c r="S273"/>
      <c r="T273"/>
      <c r="U273"/>
      <c r="V273"/>
    </row>
    <row r="274" spans="1:22" x14ac:dyDescent="0.2">
      <c r="A274" t="s">
        <v>837</v>
      </c>
      <c r="B274" t="s">
        <v>1013</v>
      </c>
      <c r="C274" s="152">
        <v>3102</v>
      </c>
      <c r="D274" s="152">
        <v>4195</v>
      </c>
      <c r="E274" s="152">
        <v>7297</v>
      </c>
      <c r="F274" s="152">
        <v>57847311.330649801</v>
      </c>
      <c r="G274" s="152">
        <v>96343445.6691944</v>
      </c>
      <c r="H274" s="152">
        <v>154190756.99984401</v>
      </c>
      <c r="I274" t="s">
        <v>867</v>
      </c>
      <c r="J274" t="s">
        <v>135</v>
      </c>
      <c r="K274">
        <v>903435</v>
      </c>
      <c r="L274" t="s">
        <v>972</v>
      </c>
      <c r="M274"/>
      <c r="N274"/>
      <c r="O274"/>
      <c r="P274"/>
      <c r="Q274" s="152"/>
      <c r="R274"/>
      <c r="S274"/>
      <c r="T274"/>
      <c r="U274"/>
      <c r="V274"/>
    </row>
    <row r="275" spans="1:22" x14ac:dyDescent="0.2">
      <c r="A275" t="s">
        <v>418</v>
      </c>
      <c r="B275" t="s">
        <v>189</v>
      </c>
      <c r="C275" s="152">
        <v>2651</v>
      </c>
      <c r="D275" s="152">
        <v>4616</v>
      </c>
      <c r="E275" s="152">
        <v>7267</v>
      </c>
      <c r="F275" s="152">
        <v>69571418.700703099</v>
      </c>
      <c r="G275" s="152">
        <v>149885510.93415099</v>
      </c>
      <c r="H275" s="152">
        <v>219456929.63485399</v>
      </c>
      <c r="I275" t="s">
        <v>742</v>
      </c>
      <c r="J275" t="s">
        <v>135</v>
      </c>
      <c r="K275">
        <v>956268</v>
      </c>
      <c r="L275" t="s">
        <v>140</v>
      </c>
      <c r="M275"/>
      <c r="N275"/>
      <c r="O275"/>
      <c r="P275"/>
      <c r="Q275" s="152"/>
      <c r="R275"/>
      <c r="S275"/>
      <c r="T275"/>
      <c r="U275"/>
      <c r="V275"/>
    </row>
    <row r="276" spans="1:22" x14ac:dyDescent="0.2">
      <c r="A276" t="s">
        <v>166</v>
      </c>
      <c r="B276" t="s">
        <v>616</v>
      </c>
      <c r="C276" s="152">
        <v>3882</v>
      </c>
      <c r="D276" s="152">
        <v>3219</v>
      </c>
      <c r="E276" s="152">
        <v>7101</v>
      </c>
      <c r="F276" s="152">
        <v>65550655.1535381</v>
      </c>
      <c r="G276" s="152">
        <v>67713355.549276099</v>
      </c>
      <c r="H276" s="152">
        <v>133264010.702814</v>
      </c>
      <c r="I276" t="s">
        <v>867</v>
      </c>
      <c r="J276" t="s">
        <v>135</v>
      </c>
      <c r="K276">
        <v>432039</v>
      </c>
      <c r="L276" t="s">
        <v>425</v>
      </c>
      <c r="M276"/>
      <c r="N276"/>
      <c r="O276"/>
      <c r="P276"/>
      <c r="Q276" s="152"/>
      <c r="R276"/>
      <c r="S276"/>
      <c r="T276"/>
      <c r="U276"/>
      <c r="V276"/>
    </row>
    <row r="277" spans="1:22" x14ac:dyDescent="0.2">
      <c r="A277" t="s">
        <v>114</v>
      </c>
      <c r="B277" t="s">
        <v>149</v>
      </c>
      <c r="C277" s="152">
        <v>2919</v>
      </c>
      <c r="D277" s="152">
        <v>4172</v>
      </c>
      <c r="E277" s="152">
        <v>7091</v>
      </c>
      <c r="F277" s="152">
        <v>40385364.928662203</v>
      </c>
      <c r="G277" s="152">
        <v>68990614.309406906</v>
      </c>
      <c r="H277" s="152">
        <v>109375979.238069</v>
      </c>
      <c r="I277" t="s">
        <v>742</v>
      </c>
      <c r="J277" t="s">
        <v>135</v>
      </c>
      <c r="K277">
        <v>441899</v>
      </c>
      <c r="L277" t="s">
        <v>403</v>
      </c>
      <c r="M277"/>
      <c r="N277"/>
      <c r="O277"/>
      <c r="P277"/>
      <c r="Q277" s="152"/>
      <c r="R277"/>
      <c r="S277"/>
      <c r="T277"/>
      <c r="U277"/>
      <c r="V277"/>
    </row>
    <row r="278" spans="1:22" x14ac:dyDescent="0.2">
      <c r="A278" t="s">
        <v>417</v>
      </c>
      <c r="B278" t="s">
        <v>1024</v>
      </c>
      <c r="C278" s="152">
        <v>2868</v>
      </c>
      <c r="D278" s="152">
        <v>4131</v>
      </c>
      <c r="E278" s="152">
        <v>6999</v>
      </c>
      <c r="F278" s="152">
        <v>64492692.559917599</v>
      </c>
      <c r="G278" s="152">
        <v>123237537.029263</v>
      </c>
      <c r="H278" s="152">
        <v>187730229.58917999</v>
      </c>
      <c r="I278" t="s">
        <v>742</v>
      </c>
      <c r="J278" t="s">
        <v>135</v>
      </c>
      <c r="K278">
        <v>390062</v>
      </c>
      <c r="L278" t="s">
        <v>787</v>
      </c>
      <c r="M278"/>
      <c r="N278"/>
      <c r="O278"/>
      <c r="P278"/>
      <c r="Q278" s="152"/>
      <c r="R278"/>
      <c r="S278"/>
      <c r="T278"/>
      <c r="U278"/>
      <c r="V278"/>
    </row>
    <row r="279" spans="1:22" x14ac:dyDescent="0.2">
      <c r="A279" t="s">
        <v>578</v>
      </c>
      <c r="B279" t="s">
        <v>125</v>
      </c>
      <c r="C279" s="152">
        <v>3838</v>
      </c>
      <c r="D279" s="152">
        <v>3131</v>
      </c>
      <c r="E279" s="152">
        <v>6969</v>
      </c>
      <c r="F279" s="152">
        <v>122914259.01675799</v>
      </c>
      <c r="G279" s="152">
        <v>134520454.70903599</v>
      </c>
      <c r="H279" s="152">
        <v>257434713.72579399</v>
      </c>
      <c r="I279" t="s">
        <v>742</v>
      </c>
      <c r="J279" t="s">
        <v>136</v>
      </c>
      <c r="K279">
        <v>718205</v>
      </c>
      <c r="L279" t="s">
        <v>787</v>
      </c>
      <c r="M279"/>
      <c r="N279"/>
      <c r="O279"/>
      <c r="P279"/>
      <c r="Q279" s="152"/>
      <c r="R279"/>
      <c r="S279"/>
      <c r="T279"/>
      <c r="U279"/>
      <c r="V279"/>
    </row>
    <row r="280" spans="1:22" x14ac:dyDescent="0.2">
      <c r="A280" t="s">
        <v>166</v>
      </c>
      <c r="B280" t="s">
        <v>436</v>
      </c>
      <c r="C280" s="152">
        <v>3594</v>
      </c>
      <c r="D280" s="152">
        <v>3311</v>
      </c>
      <c r="E280" s="152">
        <v>6905</v>
      </c>
      <c r="F280" s="152">
        <v>59455636.757097498</v>
      </c>
      <c r="G280" s="152">
        <v>63694808.058485404</v>
      </c>
      <c r="H280" s="152">
        <v>123150444.81558301</v>
      </c>
      <c r="I280" t="s">
        <v>867</v>
      </c>
      <c r="J280" t="s">
        <v>135</v>
      </c>
      <c r="K280">
        <v>321653</v>
      </c>
      <c r="L280" t="s">
        <v>1000</v>
      </c>
      <c r="M280"/>
      <c r="N280"/>
      <c r="O280"/>
      <c r="P280"/>
      <c r="Q280" s="152"/>
      <c r="R280"/>
      <c r="S280"/>
      <c r="T280"/>
      <c r="U280"/>
      <c r="V280"/>
    </row>
    <row r="281" spans="1:22" x14ac:dyDescent="0.2">
      <c r="A281" t="s">
        <v>645</v>
      </c>
      <c r="B281" t="s">
        <v>716</v>
      </c>
      <c r="C281" s="152">
        <v>3641</v>
      </c>
      <c r="D281" s="152">
        <v>3130</v>
      </c>
      <c r="E281" s="152">
        <v>6771</v>
      </c>
      <c r="F281" s="152">
        <v>96897897.440073699</v>
      </c>
      <c r="G281" s="152">
        <v>107791747.06890801</v>
      </c>
      <c r="H281" s="152">
        <v>204689644.50898099</v>
      </c>
      <c r="I281" t="s">
        <v>867</v>
      </c>
      <c r="J281" t="s">
        <v>136</v>
      </c>
      <c r="K281">
        <v>242081</v>
      </c>
      <c r="L281" t="s">
        <v>810</v>
      </c>
      <c r="M281"/>
      <c r="N281"/>
      <c r="O281"/>
      <c r="P281"/>
      <c r="Q281" s="152"/>
      <c r="R281"/>
      <c r="S281"/>
      <c r="T281"/>
      <c r="U281"/>
      <c r="V281"/>
    </row>
    <row r="282" spans="1:22" x14ac:dyDescent="0.2">
      <c r="A282" t="s">
        <v>578</v>
      </c>
      <c r="B282" t="s">
        <v>583</v>
      </c>
      <c r="C282" s="152">
        <v>4689</v>
      </c>
      <c r="D282" s="152">
        <v>2077</v>
      </c>
      <c r="E282" s="152">
        <v>6766</v>
      </c>
      <c r="F282" s="152">
        <v>102865508.754572</v>
      </c>
      <c r="G282" s="152">
        <v>62560493.268496402</v>
      </c>
      <c r="H282" s="152">
        <v>165426002.02306801</v>
      </c>
      <c r="I282" t="s">
        <v>867</v>
      </c>
      <c r="J282" t="s">
        <v>136</v>
      </c>
      <c r="K282">
        <v>188664</v>
      </c>
      <c r="L282" t="s">
        <v>893</v>
      </c>
      <c r="M282"/>
      <c r="N282"/>
      <c r="O282"/>
      <c r="P282"/>
      <c r="Q282" s="152"/>
      <c r="R282"/>
      <c r="S282"/>
      <c r="T282"/>
      <c r="U282"/>
      <c r="V282"/>
    </row>
    <row r="283" spans="1:22" x14ac:dyDescent="0.2">
      <c r="A283" t="s">
        <v>329</v>
      </c>
      <c r="B283" t="s">
        <v>979</v>
      </c>
      <c r="C283" s="152">
        <v>4051</v>
      </c>
      <c r="D283" s="152">
        <v>2709</v>
      </c>
      <c r="E283" s="152">
        <v>6760</v>
      </c>
      <c r="F283" s="152">
        <v>82014328.138349995</v>
      </c>
      <c r="G283" s="152">
        <v>67305242.617605105</v>
      </c>
      <c r="H283" s="152">
        <v>149319570.75595501</v>
      </c>
      <c r="I283" t="s">
        <v>867</v>
      </c>
      <c r="J283" t="s">
        <v>137</v>
      </c>
      <c r="K283">
        <v>403642</v>
      </c>
      <c r="L283" t="s">
        <v>791</v>
      </c>
      <c r="M283"/>
      <c r="N283"/>
      <c r="O283"/>
      <c r="P283"/>
      <c r="Q283" s="152"/>
      <c r="R283"/>
      <c r="S283"/>
      <c r="T283"/>
      <c r="U283"/>
      <c r="V283"/>
    </row>
    <row r="284" spans="1:22" x14ac:dyDescent="0.2">
      <c r="A284" t="s">
        <v>578</v>
      </c>
      <c r="B284" t="s">
        <v>579</v>
      </c>
      <c r="C284" s="152">
        <v>3582</v>
      </c>
      <c r="D284" s="152">
        <v>3169</v>
      </c>
      <c r="E284" s="152">
        <v>6751</v>
      </c>
      <c r="F284" s="152">
        <v>112485157.162754</v>
      </c>
      <c r="G284" s="152">
        <v>127842374.74722099</v>
      </c>
      <c r="H284" s="152">
        <v>240327531.90997499</v>
      </c>
      <c r="I284" t="s">
        <v>867</v>
      </c>
      <c r="J284" t="s">
        <v>136</v>
      </c>
      <c r="K284">
        <v>843284</v>
      </c>
      <c r="L284" t="s">
        <v>907</v>
      </c>
      <c r="M284"/>
      <c r="N284"/>
      <c r="O284"/>
      <c r="P284"/>
      <c r="Q284" s="152"/>
      <c r="R284"/>
      <c r="S284"/>
      <c r="T284"/>
      <c r="U284"/>
      <c r="V284"/>
    </row>
    <row r="285" spans="1:22" x14ac:dyDescent="0.2">
      <c r="A285" t="s">
        <v>150</v>
      </c>
      <c r="B285" t="s">
        <v>126</v>
      </c>
      <c r="C285" s="152">
        <v>2789</v>
      </c>
      <c r="D285" s="152">
        <v>3912</v>
      </c>
      <c r="E285" s="152">
        <v>6701</v>
      </c>
      <c r="F285" s="152">
        <v>37572558.639146701</v>
      </c>
      <c r="G285" s="152">
        <v>67115628.338201195</v>
      </c>
      <c r="H285" s="152">
        <v>104688186.977348</v>
      </c>
      <c r="I285" t="s">
        <v>742</v>
      </c>
      <c r="J285" t="s">
        <v>135</v>
      </c>
      <c r="K285">
        <v>919787</v>
      </c>
      <c r="L285" t="s">
        <v>787</v>
      </c>
      <c r="M285"/>
      <c r="N285"/>
      <c r="O285"/>
      <c r="P285"/>
      <c r="Q285" s="152"/>
      <c r="R285"/>
      <c r="S285"/>
      <c r="T285"/>
      <c r="U285"/>
      <c r="V285"/>
    </row>
    <row r="286" spans="1:22" x14ac:dyDescent="0.2">
      <c r="A286" t="s">
        <v>268</v>
      </c>
      <c r="B286" t="s">
        <v>279</v>
      </c>
      <c r="C286" s="152">
        <v>3020</v>
      </c>
      <c r="D286" s="152">
        <v>3632</v>
      </c>
      <c r="E286" s="152">
        <v>6652</v>
      </c>
      <c r="F286" s="152">
        <v>70913310.090344504</v>
      </c>
      <c r="G286" s="152">
        <v>100078603.807339</v>
      </c>
      <c r="H286" s="152">
        <v>170991913.89768299</v>
      </c>
      <c r="I286" t="s">
        <v>742</v>
      </c>
      <c r="J286" t="s">
        <v>135</v>
      </c>
      <c r="K286">
        <v>183178</v>
      </c>
      <c r="L286" t="s">
        <v>868</v>
      </c>
      <c r="M286"/>
      <c r="N286"/>
      <c r="O286"/>
      <c r="P286"/>
      <c r="Q286" s="152"/>
      <c r="R286"/>
      <c r="S286"/>
      <c r="T286"/>
      <c r="U286"/>
      <c r="V286"/>
    </row>
    <row r="287" spans="1:22" x14ac:dyDescent="0.2">
      <c r="A287" t="s">
        <v>578</v>
      </c>
      <c r="B287" t="s">
        <v>428</v>
      </c>
      <c r="C287" s="152">
        <v>3137</v>
      </c>
      <c r="D287" s="152">
        <v>3500</v>
      </c>
      <c r="E287" s="152">
        <v>6637</v>
      </c>
      <c r="F287" s="152">
        <v>150350115.293439</v>
      </c>
      <c r="G287" s="152">
        <v>208685401.61571199</v>
      </c>
      <c r="H287" s="152">
        <v>359035516.90915</v>
      </c>
      <c r="I287" t="s">
        <v>867</v>
      </c>
      <c r="J287" t="s">
        <v>136</v>
      </c>
      <c r="K287">
        <v>214163</v>
      </c>
      <c r="L287" t="s">
        <v>1000</v>
      </c>
      <c r="M287"/>
      <c r="N287"/>
      <c r="O287"/>
      <c r="P287"/>
      <c r="Q287" s="152"/>
      <c r="R287"/>
      <c r="S287"/>
      <c r="T287"/>
      <c r="U287"/>
      <c r="V287"/>
    </row>
    <row r="288" spans="1:22" x14ac:dyDescent="0.2">
      <c r="A288" t="s">
        <v>551</v>
      </c>
      <c r="B288" t="s">
        <v>571</v>
      </c>
      <c r="C288" s="152">
        <v>3371</v>
      </c>
      <c r="D288" s="152">
        <v>3166</v>
      </c>
      <c r="E288" s="152">
        <v>6537</v>
      </c>
      <c r="F288" s="152">
        <v>57264238.233069196</v>
      </c>
      <c r="G288" s="152">
        <v>69575510.930467397</v>
      </c>
      <c r="H288" s="152">
        <v>126839749.163537</v>
      </c>
      <c r="I288" t="s">
        <v>867</v>
      </c>
      <c r="J288" t="s">
        <v>139</v>
      </c>
      <c r="K288">
        <v>167296</v>
      </c>
      <c r="L288" t="s">
        <v>814</v>
      </c>
      <c r="M288"/>
      <c r="N288"/>
      <c r="O288"/>
      <c r="P288"/>
      <c r="Q288" s="152"/>
      <c r="R288"/>
      <c r="S288"/>
      <c r="T288"/>
      <c r="U288"/>
      <c r="V288"/>
    </row>
    <row r="289" spans="1:22" x14ac:dyDescent="0.2">
      <c r="A289" t="s">
        <v>329</v>
      </c>
      <c r="B289" t="s">
        <v>210</v>
      </c>
      <c r="C289" s="152">
        <v>4428</v>
      </c>
      <c r="D289" s="152">
        <v>2097</v>
      </c>
      <c r="E289" s="152">
        <v>6525</v>
      </c>
      <c r="F289" s="152">
        <v>282316176.99290198</v>
      </c>
      <c r="G289" s="152">
        <v>147573287.02666</v>
      </c>
      <c r="H289" s="152">
        <v>429889464.01956201</v>
      </c>
      <c r="I289" t="s">
        <v>867</v>
      </c>
      <c r="J289" t="s">
        <v>137</v>
      </c>
      <c r="K289">
        <v>985952</v>
      </c>
      <c r="L289" t="s">
        <v>198</v>
      </c>
      <c r="M289"/>
      <c r="N289"/>
      <c r="O289"/>
      <c r="P289"/>
      <c r="Q289" s="152"/>
      <c r="R289"/>
      <c r="S289"/>
      <c r="T289"/>
      <c r="U289"/>
      <c r="V289"/>
    </row>
    <row r="290" spans="1:22" x14ac:dyDescent="0.2">
      <c r="A290" t="s">
        <v>302</v>
      </c>
      <c r="B290" t="s">
        <v>309</v>
      </c>
      <c r="C290" s="152">
        <v>3124</v>
      </c>
      <c r="D290" s="152">
        <v>3293</v>
      </c>
      <c r="E290" s="152">
        <v>6417</v>
      </c>
      <c r="F290" s="152">
        <v>58460005.948180802</v>
      </c>
      <c r="G290" s="152">
        <v>79120489.162548497</v>
      </c>
      <c r="H290" s="152">
        <v>137580495.11072901</v>
      </c>
      <c r="I290" t="s">
        <v>742</v>
      </c>
      <c r="J290" t="s">
        <v>135</v>
      </c>
      <c r="K290">
        <v>416982</v>
      </c>
      <c r="L290" t="s">
        <v>112</v>
      </c>
      <c r="M290"/>
      <c r="N290"/>
      <c r="O290"/>
      <c r="P290"/>
      <c r="Q290" s="152"/>
      <c r="R290"/>
      <c r="S290"/>
      <c r="T290"/>
      <c r="U290"/>
      <c r="V290"/>
    </row>
    <row r="291" spans="1:22" x14ac:dyDescent="0.2">
      <c r="A291" t="s">
        <v>166</v>
      </c>
      <c r="B291" t="s">
        <v>174</v>
      </c>
      <c r="C291" s="152">
        <v>2770</v>
      </c>
      <c r="D291" s="152">
        <v>3643</v>
      </c>
      <c r="E291" s="152">
        <v>6413</v>
      </c>
      <c r="F291" s="152">
        <v>58296128.413270302</v>
      </c>
      <c r="G291" s="152">
        <v>93165213.478465706</v>
      </c>
      <c r="H291" s="152">
        <v>151461341.891736</v>
      </c>
      <c r="I291" t="s">
        <v>742</v>
      </c>
      <c r="J291" t="s">
        <v>135</v>
      </c>
      <c r="K291">
        <v>120014</v>
      </c>
      <c r="L291" t="s">
        <v>913</v>
      </c>
      <c r="M291"/>
      <c r="N291"/>
      <c r="O291"/>
      <c r="P291"/>
      <c r="Q291" s="152"/>
      <c r="R291"/>
      <c r="S291"/>
      <c r="T291"/>
      <c r="U291"/>
      <c r="V291"/>
    </row>
    <row r="292" spans="1:22" x14ac:dyDescent="0.2">
      <c r="A292" t="s">
        <v>328</v>
      </c>
      <c r="B292" t="s">
        <v>10</v>
      </c>
      <c r="C292" s="152">
        <v>3385</v>
      </c>
      <c r="D292" s="152">
        <v>3022</v>
      </c>
      <c r="E292" s="152">
        <v>6407</v>
      </c>
      <c r="F292" s="152">
        <v>95519661.206901506</v>
      </c>
      <c r="G292" s="152">
        <v>100146449.368091</v>
      </c>
      <c r="H292" s="152">
        <v>195666110.57499301</v>
      </c>
      <c r="I292" t="s">
        <v>867</v>
      </c>
      <c r="J292" t="s">
        <v>137</v>
      </c>
      <c r="K292">
        <v>829945</v>
      </c>
      <c r="L292" t="s">
        <v>502</v>
      </c>
      <c r="M292"/>
      <c r="N292"/>
      <c r="O292"/>
      <c r="P292"/>
      <c r="Q292" s="152"/>
      <c r="R292"/>
      <c r="S292"/>
      <c r="T292"/>
      <c r="U292"/>
      <c r="V292"/>
    </row>
    <row r="293" spans="1:22" x14ac:dyDescent="0.2">
      <c r="A293" t="s">
        <v>293</v>
      </c>
      <c r="B293" t="s">
        <v>375</v>
      </c>
      <c r="C293" s="152">
        <v>2844</v>
      </c>
      <c r="D293" s="152">
        <v>3535</v>
      </c>
      <c r="E293" s="152">
        <v>6379</v>
      </c>
      <c r="F293" s="152">
        <v>38877241.700602502</v>
      </c>
      <c r="G293" s="152">
        <v>60603915.775635697</v>
      </c>
      <c r="H293" s="152">
        <v>99481157.476238206</v>
      </c>
      <c r="I293" t="s">
        <v>742</v>
      </c>
      <c r="J293" t="s">
        <v>135</v>
      </c>
      <c r="K293">
        <v>914358</v>
      </c>
      <c r="L293" t="s">
        <v>1000</v>
      </c>
      <c r="M293"/>
      <c r="N293"/>
      <c r="O293"/>
      <c r="P293"/>
      <c r="Q293" s="152"/>
      <c r="R293"/>
      <c r="S293"/>
      <c r="T293"/>
      <c r="U293"/>
      <c r="V293"/>
    </row>
    <row r="294" spans="1:22" x14ac:dyDescent="0.2">
      <c r="A294" t="s">
        <v>254</v>
      </c>
      <c r="B294" t="s">
        <v>702</v>
      </c>
      <c r="C294" s="152">
        <v>2621</v>
      </c>
      <c r="D294" s="152">
        <v>3755</v>
      </c>
      <c r="E294" s="152">
        <v>6376</v>
      </c>
      <c r="F294" s="152">
        <v>27492859.0275314</v>
      </c>
      <c r="G294" s="152">
        <v>48983622.515849099</v>
      </c>
      <c r="H294" s="152">
        <v>76476481.543380499</v>
      </c>
      <c r="I294" t="s">
        <v>742</v>
      </c>
      <c r="J294" t="s">
        <v>135</v>
      </c>
      <c r="K294">
        <v>174490</v>
      </c>
      <c r="L294" t="s">
        <v>930</v>
      </c>
      <c r="M294"/>
      <c r="N294"/>
      <c r="O294"/>
      <c r="P294"/>
      <c r="Q294" s="152"/>
      <c r="R294"/>
      <c r="S294"/>
      <c r="T294"/>
      <c r="U294"/>
      <c r="V294"/>
    </row>
    <row r="295" spans="1:22" x14ac:dyDescent="0.2">
      <c r="A295" t="s">
        <v>254</v>
      </c>
      <c r="B295" t="s">
        <v>262</v>
      </c>
      <c r="C295" s="152">
        <v>3062</v>
      </c>
      <c r="D295" s="152">
        <v>3290</v>
      </c>
      <c r="E295" s="152">
        <v>6352</v>
      </c>
      <c r="F295" s="152">
        <v>32928598.4876916</v>
      </c>
      <c r="G295" s="152">
        <v>45956325.086635202</v>
      </c>
      <c r="H295" s="152">
        <v>78884923.574326798</v>
      </c>
      <c r="I295" t="s">
        <v>867</v>
      </c>
      <c r="J295" t="s">
        <v>135</v>
      </c>
      <c r="K295">
        <v>506881</v>
      </c>
      <c r="L295" t="s">
        <v>893</v>
      </c>
      <c r="M295"/>
      <c r="N295"/>
      <c r="O295"/>
      <c r="P295"/>
      <c r="Q295" s="152"/>
      <c r="R295"/>
      <c r="S295"/>
      <c r="T295"/>
      <c r="U295"/>
      <c r="V295"/>
    </row>
    <row r="296" spans="1:22" x14ac:dyDescent="0.2">
      <c r="A296" t="s">
        <v>183</v>
      </c>
      <c r="B296" t="s">
        <v>449</v>
      </c>
      <c r="C296" s="152">
        <v>2159</v>
      </c>
      <c r="D296" s="152">
        <v>4162</v>
      </c>
      <c r="E296" s="152">
        <v>6321</v>
      </c>
      <c r="F296" s="152">
        <v>37186702.034671798</v>
      </c>
      <c r="G296" s="152">
        <v>99176103.589599907</v>
      </c>
      <c r="H296" s="152">
        <v>136362805.62427199</v>
      </c>
      <c r="I296" t="s">
        <v>867</v>
      </c>
      <c r="J296" t="s">
        <v>135</v>
      </c>
      <c r="K296">
        <v>184291</v>
      </c>
      <c r="L296" t="s">
        <v>1000</v>
      </c>
      <c r="M296"/>
      <c r="N296"/>
      <c r="O296"/>
      <c r="P296"/>
      <c r="Q296" s="152"/>
      <c r="R296"/>
      <c r="S296"/>
      <c r="T296"/>
      <c r="U296"/>
      <c r="V296"/>
    </row>
    <row r="297" spans="1:22" x14ac:dyDescent="0.2">
      <c r="A297" t="s">
        <v>293</v>
      </c>
      <c r="B297" t="s">
        <v>1035</v>
      </c>
      <c r="C297" s="152">
        <v>2463</v>
      </c>
      <c r="D297" s="152">
        <v>3835</v>
      </c>
      <c r="E297" s="152">
        <v>6298</v>
      </c>
      <c r="F297" s="152">
        <v>36393482.710041396</v>
      </c>
      <c r="G297" s="152">
        <v>68216887.239117697</v>
      </c>
      <c r="H297" s="152">
        <v>104610369.949159</v>
      </c>
      <c r="I297" t="s">
        <v>742</v>
      </c>
      <c r="J297" t="s">
        <v>135</v>
      </c>
      <c r="K297">
        <v>614966</v>
      </c>
      <c r="L297" t="s">
        <v>99</v>
      </c>
      <c r="M297"/>
      <c r="N297"/>
      <c r="O297"/>
      <c r="P297"/>
      <c r="Q297" s="152"/>
      <c r="R297"/>
      <c r="S297"/>
      <c r="T297"/>
      <c r="U297"/>
      <c r="V297"/>
    </row>
    <row r="298" spans="1:22" x14ac:dyDescent="0.2">
      <c r="A298" t="s">
        <v>183</v>
      </c>
      <c r="B298" t="s">
        <v>655</v>
      </c>
      <c r="C298" s="152">
        <v>2744</v>
      </c>
      <c r="D298" s="152">
        <v>3531</v>
      </c>
      <c r="E298" s="152">
        <v>6275</v>
      </c>
      <c r="F298" s="152">
        <v>38793402.505436398</v>
      </c>
      <c r="G298" s="152">
        <v>63421564.896384597</v>
      </c>
      <c r="H298" s="152">
        <v>102214967.401821</v>
      </c>
      <c r="I298" t="s">
        <v>742</v>
      </c>
      <c r="J298" t="s">
        <v>135</v>
      </c>
      <c r="K298">
        <v>167239</v>
      </c>
      <c r="L298" t="s">
        <v>598</v>
      </c>
      <c r="M298"/>
      <c r="N298"/>
      <c r="O298"/>
      <c r="P298"/>
      <c r="Q298" s="152"/>
      <c r="R298"/>
      <c r="S298"/>
      <c r="T298"/>
      <c r="U298"/>
      <c r="V298"/>
    </row>
    <row r="299" spans="1:22" x14ac:dyDescent="0.2">
      <c r="A299" t="s">
        <v>150</v>
      </c>
      <c r="B299" t="s">
        <v>1014</v>
      </c>
      <c r="C299" s="152">
        <v>2507</v>
      </c>
      <c r="D299" s="152">
        <v>3745</v>
      </c>
      <c r="E299" s="152">
        <v>6252</v>
      </c>
      <c r="F299" s="152">
        <v>65591833.630479999</v>
      </c>
      <c r="G299" s="152">
        <v>121724363.315576</v>
      </c>
      <c r="H299" s="152">
        <v>187316196.94605601</v>
      </c>
      <c r="I299" t="s">
        <v>742</v>
      </c>
      <c r="J299" t="s">
        <v>135</v>
      </c>
      <c r="K299">
        <v>354233</v>
      </c>
      <c r="L299" t="s">
        <v>787</v>
      </c>
      <c r="M299"/>
      <c r="N299"/>
      <c r="O299"/>
      <c r="P299"/>
      <c r="Q299" s="152"/>
      <c r="R299"/>
      <c r="S299"/>
      <c r="T299"/>
      <c r="U299"/>
      <c r="V299"/>
    </row>
    <row r="300" spans="1:22" x14ac:dyDescent="0.2">
      <c r="A300" t="s">
        <v>338</v>
      </c>
      <c r="B300" t="s">
        <v>1066</v>
      </c>
      <c r="C300" s="152">
        <v>3510</v>
      </c>
      <c r="D300" s="152">
        <v>2694</v>
      </c>
      <c r="E300" s="152">
        <v>6204</v>
      </c>
      <c r="F300" s="152">
        <v>258355819.56881899</v>
      </c>
      <c r="G300" s="152">
        <v>229712069.09878901</v>
      </c>
      <c r="H300" s="152">
        <v>488067888.66760802</v>
      </c>
      <c r="I300" t="s">
        <v>742</v>
      </c>
      <c r="J300" t="s">
        <v>137</v>
      </c>
      <c r="K300">
        <v>155606</v>
      </c>
      <c r="L300" t="s">
        <v>450</v>
      </c>
      <c r="M300"/>
      <c r="N300"/>
      <c r="O300"/>
      <c r="P300"/>
      <c r="Q300" s="152"/>
      <c r="R300"/>
      <c r="S300"/>
      <c r="T300"/>
      <c r="U300"/>
      <c r="V300"/>
    </row>
    <row r="301" spans="1:22" x14ac:dyDescent="0.2">
      <c r="A301" t="s">
        <v>645</v>
      </c>
      <c r="B301" t="s">
        <v>713</v>
      </c>
      <c r="C301" s="152">
        <v>3635</v>
      </c>
      <c r="D301" s="152">
        <v>2535</v>
      </c>
      <c r="E301" s="152">
        <v>6170</v>
      </c>
      <c r="F301" s="152">
        <v>91839657.258246496</v>
      </c>
      <c r="G301" s="152">
        <v>71630556.086090401</v>
      </c>
      <c r="H301" s="152">
        <v>163470213.34433699</v>
      </c>
      <c r="I301" t="s">
        <v>867</v>
      </c>
      <c r="J301" t="s">
        <v>136</v>
      </c>
      <c r="K301">
        <v>761940</v>
      </c>
      <c r="L301" t="s">
        <v>893</v>
      </c>
      <c r="M301"/>
      <c r="N301"/>
      <c r="O301"/>
      <c r="P301"/>
      <c r="Q301" s="152"/>
      <c r="R301"/>
      <c r="S301"/>
      <c r="T301"/>
      <c r="U301"/>
      <c r="V301"/>
    </row>
    <row r="302" spans="1:22" x14ac:dyDescent="0.2">
      <c r="A302" t="s">
        <v>338</v>
      </c>
      <c r="B302" t="s">
        <v>1041</v>
      </c>
      <c r="C302" s="152">
        <v>2411</v>
      </c>
      <c r="D302" s="152">
        <v>3742</v>
      </c>
      <c r="E302" s="152">
        <v>6153</v>
      </c>
      <c r="F302" s="152">
        <v>108992321.95651899</v>
      </c>
      <c r="G302" s="152">
        <v>198810113.58581799</v>
      </c>
      <c r="H302" s="152">
        <v>307802435.542337</v>
      </c>
      <c r="I302" t="s">
        <v>742</v>
      </c>
      <c r="J302" t="s">
        <v>137</v>
      </c>
      <c r="K302">
        <v>575290</v>
      </c>
      <c r="L302" t="s">
        <v>1033</v>
      </c>
      <c r="M302"/>
      <c r="N302"/>
      <c r="O302"/>
      <c r="P302"/>
      <c r="Q302" s="152"/>
      <c r="R302"/>
      <c r="S302"/>
      <c r="T302"/>
      <c r="U302"/>
      <c r="V302"/>
    </row>
    <row r="303" spans="1:22" x14ac:dyDescent="0.2">
      <c r="A303" t="s">
        <v>861</v>
      </c>
      <c r="B303" t="s">
        <v>903</v>
      </c>
      <c r="C303" s="152">
        <v>3074</v>
      </c>
      <c r="D303" s="152">
        <v>3023</v>
      </c>
      <c r="E303" s="152">
        <v>6097</v>
      </c>
      <c r="F303" s="152">
        <v>56301383.681441002</v>
      </c>
      <c r="G303" s="152">
        <v>67707849.7740058</v>
      </c>
      <c r="H303" s="152">
        <v>124009233.455447</v>
      </c>
      <c r="I303" t="s">
        <v>867</v>
      </c>
      <c r="J303" t="s">
        <v>135</v>
      </c>
      <c r="K303">
        <v>552869</v>
      </c>
      <c r="L303" t="s">
        <v>814</v>
      </c>
      <c r="M303"/>
      <c r="N303"/>
      <c r="O303"/>
      <c r="P303"/>
      <c r="Q303" s="152"/>
      <c r="R303"/>
      <c r="S303"/>
      <c r="T303"/>
      <c r="U303"/>
      <c r="V303"/>
    </row>
    <row r="304" spans="1:22" x14ac:dyDescent="0.2">
      <c r="A304" t="s">
        <v>578</v>
      </c>
      <c r="B304" t="s">
        <v>478</v>
      </c>
      <c r="C304" s="152">
        <v>3048</v>
      </c>
      <c r="D304" s="152">
        <v>3004</v>
      </c>
      <c r="E304" s="152">
        <v>6052</v>
      </c>
      <c r="F304" s="152">
        <v>110328536.777191</v>
      </c>
      <c r="G304" s="152">
        <v>143483608.036221</v>
      </c>
      <c r="H304" s="152">
        <v>253812144.81341201</v>
      </c>
      <c r="I304" t="s">
        <v>867</v>
      </c>
      <c r="J304" t="s">
        <v>136</v>
      </c>
      <c r="K304">
        <v>418699</v>
      </c>
      <c r="L304" t="s">
        <v>37</v>
      </c>
      <c r="M304"/>
      <c r="N304"/>
      <c r="O304"/>
      <c r="P304"/>
      <c r="Q304" s="152"/>
      <c r="R304"/>
      <c r="S304"/>
      <c r="T304"/>
      <c r="U304"/>
      <c r="V304"/>
    </row>
    <row r="305" spans="1:22" x14ac:dyDescent="0.2">
      <c r="A305" t="s">
        <v>578</v>
      </c>
      <c r="B305" t="s">
        <v>13</v>
      </c>
      <c r="C305" s="152">
        <v>2986</v>
      </c>
      <c r="D305" s="152">
        <v>3065</v>
      </c>
      <c r="E305" s="152">
        <v>6051</v>
      </c>
      <c r="F305" s="152">
        <v>76641503.207614005</v>
      </c>
      <c r="G305" s="152">
        <v>102293099.203531</v>
      </c>
      <c r="H305" s="152">
        <v>178934602.411145</v>
      </c>
      <c r="I305" t="s">
        <v>867</v>
      </c>
      <c r="J305" t="s">
        <v>136</v>
      </c>
      <c r="K305">
        <v>865774</v>
      </c>
      <c r="L305" t="s">
        <v>502</v>
      </c>
      <c r="M305"/>
      <c r="N305"/>
      <c r="O305"/>
      <c r="P305"/>
      <c r="Q305" s="152"/>
      <c r="R305"/>
      <c r="S305"/>
      <c r="T305"/>
      <c r="U305"/>
      <c r="V305"/>
    </row>
    <row r="306" spans="1:22" x14ac:dyDescent="0.2">
      <c r="A306" t="s">
        <v>418</v>
      </c>
      <c r="B306" t="s">
        <v>730</v>
      </c>
      <c r="C306" s="152">
        <v>2397</v>
      </c>
      <c r="D306" s="152">
        <v>3588</v>
      </c>
      <c r="E306" s="152">
        <v>5985</v>
      </c>
      <c r="F306" s="152">
        <v>47048886.965128198</v>
      </c>
      <c r="G306" s="152">
        <v>90479294.892451793</v>
      </c>
      <c r="H306" s="152">
        <v>137528181.85758001</v>
      </c>
      <c r="I306" t="s">
        <v>742</v>
      </c>
      <c r="J306" t="s">
        <v>135</v>
      </c>
      <c r="K306">
        <v>235291</v>
      </c>
      <c r="L306" t="s">
        <v>403</v>
      </c>
      <c r="M306"/>
      <c r="N306"/>
      <c r="O306"/>
      <c r="P306"/>
      <c r="Q306" s="152"/>
      <c r="R306"/>
      <c r="S306"/>
      <c r="T306"/>
      <c r="U306"/>
      <c r="V306"/>
    </row>
    <row r="307" spans="1:22" x14ac:dyDescent="0.2">
      <c r="A307" t="s">
        <v>861</v>
      </c>
      <c r="B307" t="s">
        <v>492</v>
      </c>
      <c r="C307" s="152">
        <v>2498</v>
      </c>
      <c r="D307" s="152">
        <v>3437</v>
      </c>
      <c r="E307" s="152">
        <v>5935</v>
      </c>
      <c r="F307" s="152">
        <v>29673953.741220601</v>
      </c>
      <c r="G307" s="152">
        <v>52770416.738485299</v>
      </c>
      <c r="H307" s="152">
        <v>82444370.4797059</v>
      </c>
      <c r="I307" t="s">
        <v>742</v>
      </c>
      <c r="J307" t="s">
        <v>135</v>
      </c>
      <c r="K307">
        <v>668269</v>
      </c>
      <c r="L307" t="s">
        <v>880</v>
      </c>
      <c r="M307"/>
      <c r="N307"/>
      <c r="O307"/>
      <c r="P307"/>
      <c r="Q307" s="152"/>
      <c r="R307"/>
      <c r="S307"/>
      <c r="T307"/>
      <c r="U307"/>
      <c r="V307"/>
    </row>
    <row r="308" spans="1:22" x14ac:dyDescent="0.2">
      <c r="A308" t="s">
        <v>268</v>
      </c>
      <c r="B308" t="s">
        <v>270</v>
      </c>
      <c r="C308" s="152">
        <v>2666</v>
      </c>
      <c r="D308" s="152">
        <v>3267</v>
      </c>
      <c r="E308" s="152">
        <v>5933</v>
      </c>
      <c r="F308" s="152">
        <v>49412682.095208399</v>
      </c>
      <c r="G308" s="152">
        <v>71620522.561420202</v>
      </c>
      <c r="H308" s="152">
        <v>121033204.656629</v>
      </c>
      <c r="I308" t="s">
        <v>742</v>
      </c>
      <c r="J308" t="s">
        <v>135</v>
      </c>
      <c r="K308">
        <v>570044</v>
      </c>
      <c r="L308" t="s">
        <v>880</v>
      </c>
      <c r="M308"/>
      <c r="N308"/>
      <c r="O308"/>
      <c r="P308"/>
      <c r="Q308" s="152"/>
      <c r="R308"/>
      <c r="S308"/>
      <c r="T308"/>
      <c r="U308"/>
      <c r="V308"/>
    </row>
    <row r="309" spans="1:22" x14ac:dyDescent="0.2">
      <c r="A309" t="s">
        <v>735</v>
      </c>
      <c r="B309" t="s">
        <v>283</v>
      </c>
      <c r="C309" s="152">
        <v>2998</v>
      </c>
      <c r="D309" s="152">
        <v>2884</v>
      </c>
      <c r="E309" s="152">
        <v>5882</v>
      </c>
      <c r="F309" s="152">
        <v>69212803.273843899</v>
      </c>
      <c r="G309" s="152">
        <v>84668646.382364303</v>
      </c>
      <c r="H309" s="152">
        <v>153881449.65620801</v>
      </c>
      <c r="I309" t="s">
        <v>742</v>
      </c>
      <c r="J309" t="s">
        <v>136</v>
      </c>
      <c r="K309">
        <v>111518</v>
      </c>
      <c r="L309" t="s">
        <v>868</v>
      </c>
      <c r="M309"/>
      <c r="N309"/>
      <c r="O309"/>
      <c r="P309"/>
      <c r="Q309" s="152"/>
      <c r="R309"/>
      <c r="S309"/>
      <c r="T309"/>
      <c r="U309"/>
      <c r="V309"/>
    </row>
    <row r="310" spans="1:22" x14ac:dyDescent="0.2">
      <c r="A310" t="s">
        <v>150</v>
      </c>
      <c r="B310" t="s">
        <v>155</v>
      </c>
      <c r="C310" s="152">
        <v>3299</v>
      </c>
      <c r="D310" s="152">
        <v>2497</v>
      </c>
      <c r="E310" s="152">
        <v>5796</v>
      </c>
      <c r="F310" s="152">
        <v>58678315.699086599</v>
      </c>
      <c r="G310" s="152">
        <v>55312265.858062297</v>
      </c>
      <c r="H310" s="152">
        <v>113990581.55714899</v>
      </c>
      <c r="I310" t="s">
        <v>867</v>
      </c>
      <c r="J310" t="s">
        <v>135</v>
      </c>
      <c r="K310">
        <v>642298</v>
      </c>
      <c r="L310" t="s">
        <v>795</v>
      </c>
      <c r="M310"/>
      <c r="N310"/>
      <c r="O310"/>
      <c r="P310"/>
      <c r="Q310" s="152"/>
      <c r="R310"/>
      <c r="S310"/>
      <c r="T310"/>
      <c r="U310"/>
      <c r="V310"/>
    </row>
    <row r="311" spans="1:22" x14ac:dyDescent="0.2">
      <c r="A311" t="s">
        <v>717</v>
      </c>
      <c r="B311" t="s">
        <v>489</v>
      </c>
      <c r="C311" s="152">
        <v>2733</v>
      </c>
      <c r="D311" s="152">
        <v>3013</v>
      </c>
      <c r="E311" s="152">
        <v>5746</v>
      </c>
      <c r="F311" s="152">
        <v>94524435.415493995</v>
      </c>
      <c r="G311" s="152">
        <v>127227626.312659</v>
      </c>
      <c r="H311" s="152">
        <v>221752061.72815299</v>
      </c>
      <c r="I311" t="s">
        <v>742</v>
      </c>
      <c r="J311" t="s">
        <v>136</v>
      </c>
      <c r="K311">
        <v>496497</v>
      </c>
      <c r="L311" t="s">
        <v>909</v>
      </c>
      <c r="M311"/>
      <c r="N311"/>
      <c r="O311"/>
      <c r="P311"/>
      <c r="Q311" s="152"/>
      <c r="R311"/>
      <c r="S311"/>
      <c r="T311"/>
      <c r="U311"/>
      <c r="V311"/>
    </row>
    <row r="312" spans="1:22" x14ac:dyDescent="0.2">
      <c r="A312" t="s">
        <v>312</v>
      </c>
      <c r="B312" t="s">
        <v>319</v>
      </c>
      <c r="C312" s="152">
        <v>2253</v>
      </c>
      <c r="D312" s="152">
        <v>3470</v>
      </c>
      <c r="E312" s="152">
        <v>5723</v>
      </c>
      <c r="F312" s="152">
        <v>42369867.507392399</v>
      </c>
      <c r="G312" s="152">
        <v>79880831.074940696</v>
      </c>
      <c r="H312" s="152">
        <v>122250698.582333</v>
      </c>
      <c r="I312" t="s">
        <v>742</v>
      </c>
      <c r="J312" t="s">
        <v>135</v>
      </c>
      <c r="K312">
        <v>899120</v>
      </c>
      <c r="L312" t="s">
        <v>410</v>
      </c>
      <c r="M312"/>
      <c r="N312"/>
      <c r="O312"/>
      <c r="P312"/>
      <c r="Q312" s="152"/>
      <c r="R312"/>
      <c r="S312"/>
      <c r="T312"/>
      <c r="U312"/>
      <c r="V312"/>
    </row>
    <row r="313" spans="1:22" x14ac:dyDescent="0.2">
      <c r="A313" t="s">
        <v>418</v>
      </c>
      <c r="B313" t="s">
        <v>705</v>
      </c>
      <c r="C313" s="152">
        <v>2099</v>
      </c>
      <c r="D313" s="152">
        <v>3527</v>
      </c>
      <c r="E313" s="152">
        <v>5626</v>
      </c>
      <c r="F313" s="152">
        <v>41652781.970512897</v>
      </c>
      <c r="G313" s="152">
        <v>85326005.816504702</v>
      </c>
      <c r="H313" s="152">
        <v>126978787.787018</v>
      </c>
      <c r="I313" t="s">
        <v>742</v>
      </c>
      <c r="J313" t="s">
        <v>135</v>
      </c>
      <c r="K313">
        <v>204891</v>
      </c>
      <c r="L313" t="s">
        <v>930</v>
      </c>
      <c r="M313"/>
      <c r="N313"/>
      <c r="O313"/>
      <c r="P313"/>
      <c r="Q313" s="152"/>
      <c r="R313"/>
      <c r="S313"/>
      <c r="T313"/>
      <c r="U313"/>
      <c r="V313"/>
    </row>
    <row r="314" spans="1:22" x14ac:dyDescent="0.2">
      <c r="A314" t="s">
        <v>645</v>
      </c>
      <c r="B314" t="s">
        <v>124</v>
      </c>
      <c r="C314" s="152">
        <v>2888</v>
      </c>
      <c r="D314" s="152">
        <v>2701</v>
      </c>
      <c r="E314" s="152">
        <v>5589</v>
      </c>
      <c r="F314" s="152">
        <v>86205494.8789915</v>
      </c>
      <c r="G314" s="152">
        <v>98421221.831400707</v>
      </c>
      <c r="H314" s="152">
        <v>184626716.710392</v>
      </c>
      <c r="I314" t="s">
        <v>742</v>
      </c>
      <c r="J314" t="s">
        <v>136</v>
      </c>
      <c r="K314">
        <v>682377</v>
      </c>
      <c r="L314" t="s">
        <v>787</v>
      </c>
      <c r="M314"/>
      <c r="N314"/>
      <c r="O314"/>
      <c r="P314"/>
      <c r="Q314" s="152"/>
      <c r="R314"/>
      <c r="S314"/>
      <c r="T314"/>
      <c r="U314"/>
      <c r="V314"/>
    </row>
    <row r="315" spans="1:22" x14ac:dyDescent="0.2">
      <c r="A315" t="s">
        <v>578</v>
      </c>
      <c r="B315" t="s">
        <v>1060</v>
      </c>
      <c r="C315" s="152">
        <v>2930</v>
      </c>
      <c r="D315" s="152">
        <v>2598</v>
      </c>
      <c r="E315" s="152">
        <v>5528</v>
      </c>
      <c r="F315" s="152">
        <v>48647432.029240198</v>
      </c>
      <c r="G315" s="152">
        <v>55508147.826307803</v>
      </c>
      <c r="H315" s="152">
        <v>104155579.85554799</v>
      </c>
      <c r="I315" t="s">
        <v>742</v>
      </c>
      <c r="J315" t="s">
        <v>136</v>
      </c>
      <c r="K315">
        <v>549386</v>
      </c>
      <c r="L315" t="s">
        <v>387</v>
      </c>
      <c r="M315"/>
      <c r="N315"/>
      <c r="O315"/>
      <c r="P315"/>
      <c r="Q315" s="152"/>
      <c r="R315"/>
      <c r="S315"/>
      <c r="T315"/>
      <c r="U315"/>
      <c r="V315"/>
    </row>
    <row r="316" spans="1:22" x14ac:dyDescent="0.2">
      <c r="A316" t="s">
        <v>183</v>
      </c>
      <c r="B316" t="s">
        <v>912</v>
      </c>
      <c r="C316" s="152">
        <v>1903</v>
      </c>
      <c r="D316" s="152">
        <v>3610</v>
      </c>
      <c r="E316" s="152">
        <v>5513</v>
      </c>
      <c r="F316" s="152">
        <v>35704200.151466496</v>
      </c>
      <c r="G316" s="152">
        <v>90025134.627098396</v>
      </c>
      <c r="H316" s="152">
        <v>125729334.778565</v>
      </c>
      <c r="I316" t="s">
        <v>867</v>
      </c>
      <c r="J316" t="s">
        <v>135</v>
      </c>
      <c r="K316">
        <v>534099</v>
      </c>
      <c r="L316" t="s">
        <v>37</v>
      </c>
      <c r="M316"/>
      <c r="N316"/>
      <c r="O316"/>
      <c r="P316"/>
      <c r="Q316" s="152"/>
      <c r="R316"/>
      <c r="S316"/>
      <c r="T316"/>
      <c r="U316"/>
      <c r="V316"/>
    </row>
    <row r="317" spans="1:22" x14ac:dyDescent="0.2">
      <c r="A317" t="s">
        <v>837</v>
      </c>
      <c r="B317" t="s">
        <v>1091</v>
      </c>
      <c r="C317" s="152">
        <v>2241</v>
      </c>
      <c r="D317" s="152">
        <v>3264</v>
      </c>
      <c r="E317" s="152">
        <v>5505</v>
      </c>
      <c r="F317" s="152">
        <v>51554857.786564901</v>
      </c>
      <c r="G317" s="152">
        <v>91054945.042730793</v>
      </c>
      <c r="H317" s="152">
        <v>142609802.82929599</v>
      </c>
      <c r="I317" t="s">
        <v>867</v>
      </c>
      <c r="J317" t="s">
        <v>135</v>
      </c>
      <c r="K317">
        <v>416867</v>
      </c>
      <c r="L317" t="s">
        <v>877</v>
      </c>
      <c r="M317"/>
      <c r="N317"/>
      <c r="O317"/>
      <c r="P317"/>
      <c r="Q317" s="152"/>
      <c r="R317"/>
      <c r="S317"/>
      <c r="T317"/>
      <c r="U317"/>
      <c r="V317"/>
    </row>
    <row r="318" spans="1:22" x14ac:dyDescent="0.2">
      <c r="A318" t="s">
        <v>302</v>
      </c>
      <c r="B318" t="s">
        <v>516</v>
      </c>
      <c r="C318" s="152">
        <v>2502</v>
      </c>
      <c r="D318" s="152">
        <v>2985</v>
      </c>
      <c r="E318" s="152">
        <v>5487</v>
      </c>
      <c r="F318" s="152">
        <v>39934930.352117002</v>
      </c>
      <c r="G318" s="152">
        <v>66169521.245652698</v>
      </c>
      <c r="H318" s="152">
        <v>106104451.59777001</v>
      </c>
      <c r="I318" t="s">
        <v>867</v>
      </c>
      <c r="J318" t="s">
        <v>135</v>
      </c>
      <c r="K318">
        <v>255836</v>
      </c>
      <c r="L318" t="s">
        <v>517</v>
      </c>
      <c r="M318"/>
      <c r="N318"/>
      <c r="O318"/>
      <c r="P318"/>
      <c r="Q318" s="152"/>
      <c r="R318"/>
      <c r="S318"/>
      <c r="T318"/>
      <c r="U318"/>
      <c r="V318"/>
    </row>
    <row r="319" spans="1:22" x14ac:dyDescent="0.2">
      <c r="A319" t="s">
        <v>114</v>
      </c>
      <c r="B319" t="s">
        <v>962</v>
      </c>
      <c r="C319" s="152">
        <v>2581</v>
      </c>
      <c r="D319" s="152">
        <v>2859</v>
      </c>
      <c r="E319" s="152">
        <v>5440</v>
      </c>
      <c r="F319" s="152">
        <v>40140078.661202997</v>
      </c>
      <c r="G319" s="152">
        <v>57696088.532609098</v>
      </c>
      <c r="H319" s="152">
        <v>97836167.193812206</v>
      </c>
      <c r="I319" t="s">
        <v>867</v>
      </c>
      <c r="J319" t="s">
        <v>135</v>
      </c>
      <c r="K319">
        <v>986604</v>
      </c>
      <c r="L319" t="s">
        <v>907</v>
      </c>
      <c r="M319"/>
      <c r="N319"/>
      <c r="O319"/>
      <c r="P319"/>
      <c r="Q319" s="152"/>
      <c r="R319"/>
      <c r="S319"/>
      <c r="T319"/>
      <c r="U319"/>
      <c r="V319"/>
    </row>
    <row r="320" spans="1:22" x14ac:dyDescent="0.2">
      <c r="A320" t="s">
        <v>166</v>
      </c>
      <c r="B320" t="s">
        <v>845</v>
      </c>
      <c r="C320" s="152">
        <v>2119</v>
      </c>
      <c r="D320" s="152">
        <v>3297</v>
      </c>
      <c r="E320" s="152">
        <v>5416</v>
      </c>
      <c r="F320" s="152">
        <v>61748242.0200238</v>
      </c>
      <c r="G320" s="152">
        <v>114479350.80428</v>
      </c>
      <c r="H320" s="152">
        <v>176227592.82430401</v>
      </c>
      <c r="I320" t="s">
        <v>867</v>
      </c>
      <c r="J320" t="s">
        <v>135</v>
      </c>
      <c r="K320">
        <v>581371</v>
      </c>
      <c r="L320" t="s">
        <v>906</v>
      </c>
      <c r="M320"/>
      <c r="N320"/>
      <c r="O320"/>
      <c r="P320"/>
      <c r="Q320" s="152"/>
      <c r="R320"/>
      <c r="S320"/>
      <c r="T320"/>
      <c r="U320"/>
      <c r="V320"/>
    </row>
    <row r="321" spans="1:22" x14ac:dyDescent="0.2">
      <c r="A321" t="s">
        <v>268</v>
      </c>
      <c r="B321" t="s">
        <v>285</v>
      </c>
      <c r="C321" s="152">
        <v>2637</v>
      </c>
      <c r="D321" s="152">
        <v>2732</v>
      </c>
      <c r="E321" s="152">
        <v>5369</v>
      </c>
      <c r="F321" s="152">
        <v>53778398.675277397</v>
      </c>
      <c r="G321" s="152">
        <v>64044757.569697604</v>
      </c>
      <c r="H321" s="152">
        <v>117823156.244975</v>
      </c>
      <c r="I321" t="s">
        <v>742</v>
      </c>
      <c r="J321" t="s">
        <v>135</v>
      </c>
      <c r="K321">
        <v>634386</v>
      </c>
      <c r="L321" t="s">
        <v>818</v>
      </c>
      <c r="M321"/>
      <c r="N321"/>
      <c r="O321"/>
      <c r="P321"/>
      <c r="Q321" s="152"/>
      <c r="R321"/>
      <c r="S321"/>
      <c r="T321"/>
      <c r="U321"/>
      <c r="V321"/>
    </row>
    <row r="322" spans="1:22" x14ac:dyDescent="0.2">
      <c r="A322" t="s">
        <v>338</v>
      </c>
      <c r="B322" t="s">
        <v>432</v>
      </c>
      <c r="C322" s="152">
        <v>2748</v>
      </c>
      <c r="D322" s="152">
        <v>2589</v>
      </c>
      <c r="E322" s="152">
        <v>5337</v>
      </c>
      <c r="F322" s="152">
        <v>61211914.707681</v>
      </c>
      <c r="G322" s="152">
        <v>72690765.678583696</v>
      </c>
      <c r="H322" s="152">
        <v>133902680.38626499</v>
      </c>
      <c r="I322" t="s">
        <v>742</v>
      </c>
      <c r="J322" t="s">
        <v>137</v>
      </c>
      <c r="K322">
        <v>639633</v>
      </c>
      <c r="L322" t="s">
        <v>909</v>
      </c>
      <c r="M322"/>
      <c r="N322"/>
      <c r="O322"/>
      <c r="P322"/>
      <c r="Q322" s="152"/>
      <c r="R322"/>
      <c r="S322"/>
      <c r="T322"/>
      <c r="U322"/>
      <c r="V322"/>
    </row>
    <row r="323" spans="1:22" x14ac:dyDescent="0.2">
      <c r="A323" t="s">
        <v>166</v>
      </c>
      <c r="B323" t="s">
        <v>1110</v>
      </c>
      <c r="C323" s="152">
        <v>1659</v>
      </c>
      <c r="D323" s="152">
        <v>3647</v>
      </c>
      <c r="E323" s="152">
        <v>5306</v>
      </c>
      <c r="F323" s="152">
        <v>189616678.78907299</v>
      </c>
      <c r="G323" s="152">
        <v>468490652.80698699</v>
      </c>
      <c r="H323" s="152">
        <v>658107331.59606099</v>
      </c>
      <c r="I323" t="s">
        <v>867</v>
      </c>
      <c r="J323" t="s">
        <v>135</v>
      </c>
      <c r="K323">
        <v>374835</v>
      </c>
      <c r="L323" t="s">
        <v>907</v>
      </c>
      <c r="M323"/>
      <c r="N323"/>
      <c r="O323"/>
      <c r="P323"/>
      <c r="Q323" s="152"/>
      <c r="R323"/>
      <c r="S323"/>
      <c r="T323"/>
      <c r="U323"/>
      <c r="V323"/>
    </row>
    <row r="324" spans="1:22" x14ac:dyDescent="0.2">
      <c r="A324" t="s">
        <v>338</v>
      </c>
      <c r="B324" t="s">
        <v>339</v>
      </c>
      <c r="C324" s="152">
        <v>2924</v>
      </c>
      <c r="D324" s="152">
        <v>2380</v>
      </c>
      <c r="E324" s="152">
        <v>5304</v>
      </c>
      <c r="F324" s="152">
        <v>48491084.107835397</v>
      </c>
      <c r="G324" s="152">
        <v>46846162.186926901</v>
      </c>
      <c r="H324" s="152">
        <v>95337246.294762298</v>
      </c>
      <c r="I324" t="s">
        <v>867</v>
      </c>
      <c r="J324" t="s">
        <v>137</v>
      </c>
      <c r="K324">
        <v>319822</v>
      </c>
      <c r="L324" t="s">
        <v>914</v>
      </c>
      <c r="M324"/>
      <c r="N324"/>
      <c r="O324"/>
      <c r="P324"/>
      <c r="Q324" s="152"/>
      <c r="R324"/>
      <c r="S324"/>
      <c r="T324"/>
      <c r="U324"/>
      <c r="V324"/>
    </row>
    <row r="325" spans="1:22" x14ac:dyDescent="0.2">
      <c r="A325" t="s">
        <v>234</v>
      </c>
      <c r="B325" t="s">
        <v>194</v>
      </c>
      <c r="C325" s="152">
        <v>2222</v>
      </c>
      <c r="D325" s="152">
        <v>3027</v>
      </c>
      <c r="E325" s="152">
        <v>5249</v>
      </c>
      <c r="F325" s="152">
        <v>40877543.898816198</v>
      </c>
      <c r="G325" s="152">
        <v>71380561.597699896</v>
      </c>
      <c r="H325" s="152">
        <v>112258105.496516</v>
      </c>
      <c r="I325" t="s">
        <v>867</v>
      </c>
      <c r="J325" t="s">
        <v>135</v>
      </c>
      <c r="K325">
        <v>715664</v>
      </c>
      <c r="L325" t="s">
        <v>787</v>
      </c>
      <c r="M325"/>
      <c r="N325"/>
      <c r="O325"/>
      <c r="P325"/>
      <c r="Q325" s="152"/>
      <c r="R325"/>
      <c r="S325"/>
      <c r="T325"/>
      <c r="U325"/>
      <c r="V325"/>
    </row>
    <row r="326" spans="1:22" x14ac:dyDescent="0.2">
      <c r="A326" t="s">
        <v>234</v>
      </c>
      <c r="B326" t="s">
        <v>41</v>
      </c>
      <c r="C326" s="152">
        <v>1965</v>
      </c>
      <c r="D326" s="152">
        <v>3243</v>
      </c>
      <c r="E326" s="152">
        <v>5208</v>
      </c>
      <c r="F326" s="152">
        <v>44526460.369691603</v>
      </c>
      <c r="G326" s="152">
        <v>91995293.655988693</v>
      </c>
      <c r="H326" s="152">
        <v>136521754.02568001</v>
      </c>
      <c r="I326" t="s">
        <v>742</v>
      </c>
      <c r="J326" t="s">
        <v>135</v>
      </c>
      <c r="K326">
        <v>376319</v>
      </c>
      <c r="L326" t="s">
        <v>504</v>
      </c>
      <c r="M326"/>
      <c r="N326"/>
      <c r="O326"/>
      <c r="P326"/>
      <c r="Q326" s="152"/>
      <c r="R326"/>
      <c r="S326"/>
      <c r="T326"/>
      <c r="U326"/>
      <c r="V326"/>
    </row>
    <row r="327" spans="1:22" x14ac:dyDescent="0.2">
      <c r="A327" t="s">
        <v>312</v>
      </c>
      <c r="B327" t="s">
        <v>367</v>
      </c>
      <c r="C327" s="152">
        <v>2077</v>
      </c>
      <c r="D327" s="152">
        <v>3118</v>
      </c>
      <c r="E327" s="152">
        <v>5195</v>
      </c>
      <c r="F327" s="152">
        <v>59036256.355053902</v>
      </c>
      <c r="G327" s="152">
        <v>113145221.04360799</v>
      </c>
      <c r="H327" s="152">
        <v>172181477.39866099</v>
      </c>
      <c r="I327" t="s">
        <v>742</v>
      </c>
      <c r="J327" t="s">
        <v>135</v>
      </c>
      <c r="K327">
        <v>305003</v>
      </c>
      <c r="L327" t="s">
        <v>930</v>
      </c>
      <c r="M327"/>
      <c r="N327"/>
      <c r="O327"/>
      <c r="P327"/>
      <c r="Q327" s="152"/>
      <c r="R327"/>
      <c r="S327"/>
      <c r="T327"/>
      <c r="U327"/>
      <c r="V327"/>
    </row>
    <row r="328" spans="1:22" x14ac:dyDescent="0.2">
      <c r="A328" t="s">
        <v>861</v>
      </c>
      <c r="B328" t="s">
        <v>43</v>
      </c>
      <c r="C328" s="152">
        <v>2928</v>
      </c>
      <c r="D328" s="152">
        <v>2188</v>
      </c>
      <c r="E328" s="152">
        <v>5116</v>
      </c>
      <c r="F328" s="152">
        <v>61965718.938119397</v>
      </c>
      <c r="G328" s="152">
        <v>56539572.598210499</v>
      </c>
      <c r="H328" s="152">
        <v>118505291.53633</v>
      </c>
      <c r="I328" t="s">
        <v>867</v>
      </c>
      <c r="J328" t="s">
        <v>135</v>
      </c>
      <c r="K328">
        <v>857276</v>
      </c>
      <c r="L328" t="s">
        <v>795</v>
      </c>
      <c r="M328"/>
      <c r="N328"/>
      <c r="O328"/>
      <c r="P328"/>
      <c r="Q328" s="152"/>
      <c r="R328"/>
      <c r="S328"/>
      <c r="T328"/>
      <c r="U328"/>
      <c r="V328"/>
    </row>
    <row r="329" spans="1:22" x14ac:dyDescent="0.2">
      <c r="A329" t="s">
        <v>302</v>
      </c>
      <c r="B329" t="s">
        <v>304</v>
      </c>
      <c r="C329" s="152">
        <v>2367</v>
      </c>
      <c r="D329" s="152">
        <v>2739</v>
      </c>
      <c r="E329" s="152">
        <v>5106</v>
      </c>
      <c r="F329" s="152">
        <v>36957929.521335296</v>
      </c>
      <c r="G329" s="152">
        <v>51883053.215695597</v>
      </c>
      <c r="H329" s="152">
        <v>88840982.737030998</v>
      </c>
      <c r="I329" t="s">
        <v>742</v>
      </c>
      <c r="J329" t="s">
        <v>135</v>
      </c>
      <c r="K329">
        <v>579136</v>
      </c>
      <c r="L329" t="s">
        <v>99</v>
      </c>
      <c r="M329"/>
      <c r="N329"/>
      <c r="O329"/>
      <c r="P329"/>
      <c r="Q329" s="152"/>
      <c r="R329"/>
      <c r="S329"/>
      <c r="T329"/>
      <c r="U329"/>
      <c r="V329"/>
    </row>
    <row r="330" spans="1:22" x14ac:dyDescent="0.2">
      <c r="A330" t="s">
        <v>840</v>
      </c>
      <c r="B330" t="s">
        <v>971</v>
      </c>
      <c r="C330" s="152">
        <v>2662</v>
      </c>
      <c r="D330" s="152">
        <v>2436</v>
      </c>
      <c r="E330" s="152">
        <v>5098</v>
      </c>
      <c r="F330" s="152">
        <v>60428309.692886397</v>
      </c>
      <c r="G330" s="152">
        <v>68008726.239776894</v>
      </c>
      <c r="H330" s="152">
        <v>128437035.93266299</v>
      </c>
      <c r="I330" t="s">
        <v>867</v>
      </c>
      <c r="J330" t="s">
        <v>135</v>
      </c>
      <c r="K330">
        <v>760116</v>
      </c>
      <c r="L330" t="s">
        <v>972</v>
      </c>
      <c r="M330"/>
      <c r="N330"/>
      <c r="O330"/>
      <c r="P330"/>
      <c r="Q330" s="152"/>
      <c r="R330"/>
      <c r="S330"/>
      <c r="T330"/>
      <c r="U330"/>
      <c r="V330"/>
    </row>
    <row r="331" spans="1:22" x14ac:dyDescent="0.2">
      <c r="A331" t="s">
        <v>578</v>
      </c>
      <c r="B331" t="s">
        <v>1082</v>
      </c>
      <c r="C331" s="152">
        <v>2255</v>
      </c>
      <c r="D331" s="152">
        <v>2835</v>
      </c>
      <c r="E331" s="152">
        <v>5090</v>
      </c>
      <c r="F331" s="152">
        <v>89571915.481725499</v>
      </c>
      <c r="G331" s="152">
        <v>132600438.19632</v>
      </c>
      <c r="H331" s="152">
        <v>222172353.678045</v>
      </c>
      <c r="I331" t="s">
        <v>742</v>
      </c>
      <c r="J331" t="s">
        <v>136</v>
      </c>
      <c r="K331">
        <v>770388</v>
      </c>
      <c r="L331" t="s">
        <v>1083</v>
      </c>
      <c r="M331"/>
      <c r="N331"/>
      <c r="O331"/>
      <c r="P331"/>
      <c r="Q331" s="152"/>
      <c r="R331"/>
      <c r="S331"/>
      <c r="T331"/>
      <c r="U331"/>
      <c r="V331"/>
    </row>
    <row r="332" spans="1:22" x14ac:dyDescent="0.2">
      <c r="A332" t="s">
        <v>114</v>
      </c>
      <c r="B332" t="s">
        <v>398</v>
      </c>
      <c r="C332" s="152">
        <v>1961</v>
      </c>
      <c r="D332" s="152">
        <v>3049</v>
      </c>
      <c r="E332" s="152">
        <v>5010</v>
      </c>
      <c r="F332" s="152">
        <v>34435140.754198</v>
      </c>
      <c r="G332" s="152">
        <v>63465810.208314002</v>
      </c>
      <c r="H332" s="152">
        <v>97900950.962512001</v>
      </c>
      <c r="I332" t="s">
        <v>742</v>
      </c>
      <c r="J332" t="s">
        <v>135</v>
      </c>
      <c r="K332">
        <v>174086</v>
      </c>
      <c r="L332" t="s">
        <v>407</v>
      </c>
      <c r="M332"/>
      <c r="N332"/>
      <c r="O332"/>
      <c r="P332"/>
      <c r="Q332" s="152"/>
      <c r="R332"/>
      <c r="S332"/>
      <c r="T332"/>
      <c r="U332"/>
      <c r="V332"/>
    </row>
    <row r="333" spans="1:22" x14ac:dyDescent="0.2">
      <c r="A333" t="s">
        <v>312</v>
      </c>
      <c r="B333" t="s">
        <v>318</v>
      </c>
      <c r="C333" s="152">
        <v>2018</v>
      </c>
      <c r="D333" s="152">
        <v>2972</v>
      </c>
      <c r="E333" s="152">
        <v>4990</v>
      </c>
      <c r="F333" s="152">
        <v>36304192.456265897</v>
      </c>
      <c r="G333" s="152">
        <v>67492700.161742598</v>
      </c>
      <c r="H333" s="152">
        <v>103796892.618009</v>
      </c>
      <c r="I333" t="s">
        <v>742</v>
      </c>
      <c r="J333" t="s">
        <v>135</v>
      </c>
      <c r="K333">
        <v>262741</v>
      </c>
      <c r="L333" t="s">
        <v>403</v>
      </c>
      <c r="M333"/>
      <c r="N333"/>
      <c r="O333"/>
      <c r="P333"/>
      <c r="Q333" s="152"/>
      <c r="R333"/>
      <c r="S333"/>
      <c r="T333"/>
      <c r="U333"/>
      <c r="V333"/>
    </row>
    <row r="334" spans="1:22" x14ac:dyDescent="0.2">
      <c r="A334" t="s">
        <v>293</v>
      </c>
      <c r="B334" t="s">
        <v>301</v>
      </c>
      <c r="C334" s="152">
        <v>2156</v>
      </c>
      <c r="D334" s="152">
        <v>2725</v>
      </c>
      <c r="E334" s="152">
        <v>4881</v>
      </c>
      <c r="F334" s="152">
        <v>32307405.189623099</v>
      </c>
      <c r="G334" s="152">
        <v>51807307.206998803</v>
      </c>
      <c r="H334" s="152">
        <v>84114712.396621898</v>
      </c>
      <c r="I334" t="s">
        <v>867</v>
      </c>
      <c r="J334" t="s">
        <v>135</v>
      </c>
      <c r="K334">
        <v>126094</v>
      </c>
      <c r="L334" t="s">
        <v>810</v>
      </c>
      <c r="M334"/>
      <c r="N334"/>
      <c r="O334"/>
      <c r="P334"/>
      <c r="Q334" s="152"/>
      <c r="R334"/>
      <c r="S334"/>
      <c r="T334"/>
      <c r="U334"/>
      <c r="V334"/>
    </row>
    <row r="335" spans="1:22" x14ac:dyDescent="0.2">
      <c r="A335" t="s">
        <v>717</v>
      </c>
      <c r="B335" t="s">
        <v>719</v>
      </c>
      <c r="C335" s="152">
        <v>2429</v>
      </c>
      <c r="D335" s="152">
        <v>2433</v>
      </c>
      <c r="E335" s="152">
        <v>4862</v>
      </c>
      <c r="F335" s="152">
        <v>61090954.960873701</v>
      </c>
      <c r="G335" s="152">
        <v>78862323.625289395</v>
      </c>
      <c r="H335" s="152">
        <v>139953278.58616301</v>
      </c>
      <c r="I335" t="s">
        <v>867</v>
      </c>
      <c r="J335" t="s">
        <v>136</v>
      </c>
      <c r="K335">
        <v>787382</v>
      </c>
      <c r="L335" t="s">
        <v>795</v>
      </c>
      <c r="M335"/>
      <c r="N335"/>
      <c r="O335"/>
      <c r="P335"/>
      <c r="Q335" s="152"/>
      <c r="R335"/>
      <c r="S335"/>
      <c r="T335"/>
      <c r="U335"/>
      <c r="V335"/>
    </row>
    <row r="336" spans="1:22" x14ac:dyDescent="0.2">
      <c r="A336" t="s">
        <v>338</v>
      </c>
      <c r="B336" t="s">
        <v>1071</v>
      </c>
      <c r="C336" s="152">
        <v>1717</v>
      </c>
      <c r="D336" s="152">
        <v>3139</v>
      </c>
      <c r="E336" s="152">
        <v>4856</v>
      </c>
      <c r="F336" s="152">
        <v>126683039.736762</v>
      </c>
      <c r="G336" s="152">
        <v>296291434.54236603</v>
      </c>
      <c r="H336" s="152">
        <v>422974474.27912802</v>
      </c>
      <c r="I336" t="s">
        <v>742</v>
      </c>
      <c r="J336" t="s">
        <v>137</v>
      </c>
      <c r="K336">
        <v>948117</v>
      </c>
      <c r="L336" t="s">
        <v>450</v>
      </c>
      <c r="M336"/>
      <c r="N336"/>
      <c r="O336"/>
      <c r="P336"/>
      <c r="Q336" s="152"/>
      <c r="R336"/>
      <c r="S336"/>
      <c r="T336"/>
      <c r="U336"/>
      <c r="V336"/>
    </row>
    <row r="337" spans="1:22" x14ac:dyDescent="0.2">
      <c r="A337" t="s">
        <v>329</v>
      </c>
      <c r="B337" t="s">
        <v>330</v>
      </c>
      <c r="C337" s="152">
        <v>3197</v>
      </c>
      <c r="D337" s="152">
        <v>1617</v>
      </c>
      <c r="E337" s="152">
        <v>4814</v>
      </c>
      <c r="F337" s="152">
        <v>55055051.2875017</v>
      </c>
      <c r="G337" s="152">
        <v>30707656.198996801</v>
      </c>
      <c r="H337" s="152">
        <v>85762707.486498505</v>
      </c>
      <c r="I337" t="s">
        <v>867</v>
      </c>
      <c r="J337" t="s">
        <v>137</v>
      </c>
      <c r="K337">
        <v>981175</v>
      </c>
      <c r="L337" t="s">
        <v>859</v>
      </c>
      <c r="M337"/>
      <c r="N337"/>
      <c r="O337"/>
      <c r="P337"/>
      <c r="Q337" s="152"/>
      <c r="R337"/>
      <c r="S337"/>
      <c r="T337"/>
      <c r="U337"/>
      <c r="V337"/>
    </row>
    <row r="338" spans="1:22" x14ac:dyDescent="0.2">
      <c r="A338" t="s">
        <v>781</v>
      </c>
      <c r="B338" t="s">
        <v>931</v>
      </c>
      <c r="C338" s="152">
        <v>2267</v>
      </c>
      <c r="D338" s="152">
        <v>2494</v>
      </c>
      <c r="E338" s="152">
        <v>4761</v>
      </c>
      <c r="F338" s="152">
        <v>54561375.334275201</v>
      </c>
      <c r="G338" s="152">
        <v>72982347.356921107</v>
      </c>
      <c r="H338" s="152">
        <v>127543722.69119599</v>
      </c>
      <c r="I338" t="s">
        <v>867</v>
      </c>
      <c r="J338" t="s">
        <v>135</v>
      </c>
      <c r="K338">
        <v>569988</v>
      </c>
      <c r="L338" t="s">
        <v>932</v>
      </c>
      <c r="M338"/>
      <c r="N338"/>
      <c r="O338"/>
      <c r="P338"/>
      <c r="Q338" s="152"/>
      <c r="R338"/>
      <c r="S338"/>
      <c r="T338"/>
      <c r="U338"/>
      <c r="V338"/>
    </row>
    <row r="339" spans="1:22" x14ac:dyDescent="0.2">
      <c r="A339" t="s">
        <v>312</v>
      </c>
      <c r="B339" t="s">
        <v>665</v>
      </c>
      <c r="C339" s="152">
        <v>1851</v>
      </c>
      <c r="D339" s="152">
        <v>2859</v>
      </c>
      <c r="E339" s="152">
        <v>4710</v>
      </c>
      <c r="F339" s="152">
        <v>30088701.063741699</v>
      </c>
      <c r="G339" s="152">
        <v>60930560.431240402</v>
      </c>
      <c r="H339" s="152">
        <v>91019261.494982094</v>
      </c>
      <c r="I339" t="s">
        <v>742</v>
      </c>
      <c r="J339" t="s">
        <v>135</v>
      </c>
      <c r="K339">
        <v>517748</v>
      </c>
      <c r="L339" t="s">
        <v>874</v>
      </c>
      <c r="M339"/>
      <c r="N339"/>
      <c r="O339"/>
      <c r="P339"/>
      <c r="Q339" s="152"/>
      <c r="R339"/>
      <c r="S339"/>
      <c r="T339"/>
      <c r="U339"/>
      <c r="V339"/>
    </row>
    <row r="340" spans="1:22" x14ac:dyDescent="0.2">
      <c r="A340" t="s">
        <v>183</v>
      </c>
      <c r="B340" t="s">
        <v>1100</v>
      </c>
      <c r="C340" s="152">
        <v>1901</v>
      </c>
      <c r="D340" s="152">
        <v>2784</v>
      </c>
      <c r="E340" s="152">
        <v>4685</v>
      </c>
      <c r="F340" s="152">
        <v>38561604.034699999</v>
      </c>
      <c r="G340" s="152">
        <v>70469540.5305489</v>
      </c>
      <c r="H340" s="152">
        <v>109031144.565249</v>
      </c>
      <c r="I340" t="s">
        <v>742</v>
      </c>
      <c r="J340" t="s">
        <v>135</v>
      </c>
      <c r="K340">
        <v>819029</v>
      </c>
      <c r="L340" t="s">
        <v>1083</v>
      </c>
      <c r="M340"/>
      <c r="N340"/>
      <c r="O340"/>
      <c r="P340"/>
      <c r="Q340" s="152"/>
      <c r="R340"/>
      <c r="S340"/>
      <c r="T340"/>
      <c r="U340"/>
      <c r="V340"/>
    </row>
    <row r="341" spans="1:22" x14ac:dyDescent="0.2">
      <c r="A341" t="s">
        <v>781</v>
      </c>
      <c r="B341" t="s">
        <v>796</v>
      </c>
      <c r="C341" s="152">
        <v>2342</v>
      </c>
      <c r="D341" s="152">
        <v>2334</v>
      </c>
      <c r="E341" s="152">
        <v>4676</v>
      </c>
      <c r="F341" s="152">
        <v>56301280.855280101</v>
      </c>
      <c r="G341" s="152">
        <v>64470932.272118203</v>
      </c>
      <c r="H341" s="152">
        <v>120772213.127398</v>
      </c>
      <c r="I341" t="s">
        <v>867</v>
      </c>
      <c r="J341" t="s">
        <v>135</v>
      </c>
      <c r="K341">
        <v>928937</v>
      </c>
      <c r="L341" t="s">
        <v>795</v>
      </c>
      <c r="M341"/>
      <c r="N341"/>
      <c r="O341"/>
      <c r="P341"/>
      <c r="Q341" s="152"/>
      <c r="R341"/>
      <c r="S341"/>
      <c r="T341"/>
      <c r="U341"/>
      <c r="V341"/>
    </row>
    <row r="342" spans="1:22" x14ac:dyDescent="0.2">
      <c r="A342" t="s">
        <v>861</v>
      </c>
      <c r="B342" t="s">
        <v>45</v>
      </c>
      <c r="C342" s="152">
        <v>2439</v>
      </c>
      <c r="D342" s="152">
        <v>2207</v>
      </c>
      <c r="E342" s="152">
        <v>4646</v>
      </c>
      <c r="F342" s="152">
        <v>47518990.013979703</v>
      </c>
      <c r="G342" s="152">
        <v>52701261.749958597</v>
      </c>
      <c r="H342" s="152">
        <v>100220251.76393799</v>
      </c>
      <c r="I342" t="s">
        <v>867</v>
      </c>
      <c r="J342" t="s">
        <v>135</v>
      </c>
      <c r="K342">
        <v>484923</v>
      </c>
      <c r="L342" t="s">
        <v>907</v>
      </c>
      <c r="M342"/>
      <c r="N342"/>
      <c r="O342"/>
      <c r="P342"/>
      <c r="Q342" s="152"/>
      <c r="R342"/>
      <c r="S342"/>
      <c r="T342"/>
      <c r="U342"/>
      <c r="V342"/>
    </row>
    <row r="343" spans="1:22" x14ac:dyDescent="0.2">
      <c r="A343" t="s">
        <v>417</v>
      </c>
      <c r="B343" t="s">
        <v>237</v>
      </c>
      <c r="C343" s="152">
        <v>1783</v>
      </c>
      <c r="D343" s="152">
        <v>2756</v>
      </c>
      <c r="E343" s="152">
        <v>4539</v>
      </c>
      <c r="F343" s="152">
        <v>32490135.573417898</v>
      </c>
      <c r="G343" s="152">
        <v>70386846.663587406</v>
      </c>
      <c r="H343" s="152">
        <v>102876982.237005</v>
      </c>
      <c r="I343" t="s">
        <v>742</v>
      </c>
      <c r="J343" t="s">
        <v>135</v>
      </c>
      <c r="K343">
        <v>889386</v>
      </c>
      <c r="L343" t="s">
        <v>880</v>
      </c>
      <c r="M343"/>
      <c r="N343"/>
      <c r="O343"/>
      <c r="P343"/>
      <c r="Q343" s="152"/>
      <c r="R343"/>
      <c r="S343"/>
      <c r="T343"/>
      <c r="U343"/>
      <c r="V343"/>
    </row>
    <row r="344" spans="1:22" x14ac:dyDescent="0.2">
      <c r="A344" t="s">
        <v>150</v>
      </c>
      <c r="B344" t="s">
        <v>967</v>
      </c>
      <c r="C344" s="152">
        <v>1746</v>
      </c>
      <c r="D344" s="152">
        <v>2785</v>
      </c>
      <c r="E344" s="152">
        <v>4531</v>
      </c>
      <c r="F344" s="152">
        <v>38026654.985737301</v>
      </c>
      <c r="G344" s="152">
        <v>75527572.766438395</v>
      </c>
      <c r="H344" s="152">
        <v>113554227.752176</v>
      </c>
      <c r="I344" t="s">
        <v>742</v>
      </c>
      <c r="J344" t="s">
        <v>135</v>
      </c>
      <c r="K344">
        <v>218297</v>
      </c>
      <c r="L344" t="s">
        <v>450</v>
      </c>
      <c r="M344"/>
      <c r="N344"/>
      <c r="O344"/>
      <c r="P344"/>
      <c r="Q344" s="152"/>
      <c r="R344"/>
      <c r="S344"/>
      <c r="T344"/>
      <c r="U344"/>
      <c r="V344"/>
    </row>
    <row r="345" spans="1:22" x14ac:dyDescent="0.2">
      <c r="A345" t="s">
        <v>254</v>
      </c>
      <c r="B345" t="s">
        <v>266</v>
      </c>
      <c r="C345" s="152">
        <v>1939</v>
      </c>
      <c r="D345" s="152">
        <v>2557</v>
      </c>
      <c r="E345" s="152">
        <v>4496</v>
      </c>
      <c r="F345" s="152">
        <v>22529840.8884679</v>
      </c>
      <c r="G345" s="152">
        <v>37586117.818948001</v>
      </c>
      <c r="H345" s="152">
        <v>60115958.707415797</v>
      </c>
      <c r="I345" t="s">
        <v>867</v>
      </c>
      <c r="J345" t="s">
        <v>135</v>
      </c>
      <c r="K345">
        <v>582791</v>
      </c>
      <c r="L345" t="s">
        <v>791</v>
      </c>
      <c r="M345"/>
      <c r="N345"/>
      <c r="O345"/>
      <c r="P345"/>
      <c r="Q345" s="152"/>
      <c r="R345"/>
      <c r="S345"/>
      <c r="T345"/>
      <c r="U345"/>
      <c r="V345"/>
    </row>
    <row r="346" spans="1:22" x14ac:dyDescent="0.2">
      <c r="A346" t="s">
        <v>338</v>
      </c>
      <c r="B346" t="s">
        <v>378</v>
      </c>
      <c r="C346" s="152">
        <v>2207</v>
      </c>
      <c r="D346" s="152">
        <v>2274</v>
      </c>
      <c r="E346" s="152">
        <v>4481</v>
      </c>
      <c r="F346" s="152">
        <v>65137836.364433698</v>
      </c>
      <c r="G346" s="152">
        <v>80260277.897017494</v>
      </c>
      <c r="H346" s="152">
        <v>145398114.26145101</v>
      </c>
      <c r="I346" t="s">
        <v>867</v>
      </c>
      <c r="J346" t="s">
        <v>137</v>
      </c>
      <c r="K346">
        <v>855973</v>
      </c>
      <c r="L346" t="s">
        <v>784</v>
      </c>
      <c r="M346"/>
      <c r="N346"/>
      <c r="O346"/>
      <c r="P346"/>
      <c r="Q346" s="152"/>
      <c r="R346"/>
      <c r="S346"/>
      <c r="T346"/>
      <c r="U346"/>
      <c r="V346"/>
    </row>
    <row r="347" spans="1:22" x14ac:dyDescent="0.2">
      <c r="A347" t="s">
        <v>104</v>
      </c>
      <c r="B347" t="s">
        <v>106</v>
      </c>
      <c r="C347" s="152">
        <v>2127</v>
      </c>
      <c r="D347" s="152">
        <v>2349</v>
      </c>
      <c r="E347" s="152">
        <v>4476</v>
      </c>
      <c r="F347" s="152">
        <v>36095707.303425796</v>
      </c>
      <c r="G347" s="152">
        <v>47491507.070238002</v>
      </c>
      <c r="H347" s="152">
        <v>83587214.373663902</v>
      </c>
      <c r="I347" t="s">
        <v>742</v>
      </c>
      <c r="J347" t="s">
        <v>135</v>
      </c>
      <c r="K347">
        <v>316695</v>
      </c>
      <c r="L347" t="s">
        <v>818</v>
      </c>
      <c r="M347"/>
      <c r="N347"/>
      <c r="O347"/>
      <c r="P347"/>
      <c r="Q347" s="152"/>
      <c r="R347"/>
      <c r="S347"/>
      <c r="T347"/>
      <c r="U347"/>
      <c r="V347"/>
    </row>
    <row r="348" spans="1:22" x14ac:dyDescent="0.2">
      <c r="A348" t="s">
        <v>312</v>
      </c>
      <c r="B348" t="s">
        <v>667</v>
      </c>
      <c r="C348" s="152">
        <v>1762</v>
      </c>
      <c r="D348" s="152">
        <v>2701</v>
      </c>
      <c r="E348" s="152">
        <v>4463</v>
      </c>
      <c r="F348" s="152">
        <v>20776440.072175801</v>
      </c>
      <c r="G348" s="152">
        <v>42611756.974736102</v>
      </c>
      <c r="H348" s="152">
        <v>63388197.046911903</v>
      </c>
      <c r="I348" t="s">
        <v>742</v>
      </c>
      <c r="J348" t="s">
        <v>135</v>
      </c>
      <c r="K348">
        <v>553578</v>
      </c>
      <c r="L348" t="s">
        <v>874</v>
      </c>
      <c r="M348"/>
      <c r="N348"/>
      <c r="O348"/>
      <c r="P348"/>
      <c r="Q348" s="152"/>
      <c r="R348"/>
      <c r="S348"/>
      <c r="T348"/>
      <c r="U348"/>
      <c r="V348"/>
    </row>
    <row r="349" spans="1:22" x14ac:dyDescent="0.2">
      <c r="A349" t="s">
        <v>781</v>
      </c>
      <c r="B349" t="s">
        <v>729</v>
      </c>
      <c r="C349" s="152">
        <v>1824</v>
      </c>
      <c r="D349" s="152">
        <v>2632</v>
      </c>
      <c r="E349" s="152">
        <v>4456</v>
      </c>
      <c r="F349" s="152">
        <v>63812413.852556303</v>
      </c>
      <c r="G349" s="152">
        <v>105044907.18288</v>
      </c>
      <c r="H349" s="152">
        <v>168857321.035436</v>
      </c>
      <c r="I349" t="s">
        <v>867</v>
      </c>
      <c r="J349" t="s">
        <v>135</v>
      </c>
      <c r="K349">
        <v>152181</v>
      </c>
      <c r="L349" t="s">
        <v>728</v>
      </c>
      <c r="M349"/>
      <c r="N349"/>
      <c r="O349"/>
      <c r="P349"/>
      <c r="Q349" s="152"/>
      <c r="R349"/>
      <c r="S349"/>
      <c r="T349"/>
      <c r="U349"/>
      <c r="V349"/>
    </row>
    <row r="350" spans="1:22" x14ac:dyDescent="0.2">
      <c r="A350" t="s">
        <v>645</v>
      </c>
      <c r="B350" t="s">
        <v>648</v>
      </c>
      <c r="C350" s="152">
        <v>2312</v>
      </c>
      <c r="D350" s="152">
        <v>2112</v>
      </c>
      <c r="E350" s="152">
        <v>4424</v>
      </c>
      <c r="F350" s="152">
        <v>59546232.888482101</v>
      </c>
      <c r="G350" s="152">
        <v>69796642.457681596</v>
      </c>
      <c r="H350" s="152">
        <v>129342875.346164</v>
      </c>
      <c r="I350" t="s">
        <v>867</v>
      </c>
      <c r="J350" t="s">
        <v>136</v>
      </c>
      <c r="K350">
        <v>807453</v>
      </c>
      <c r="L350" t="s">
        <v>907</v>
      </c>
      <c r="M350"/>
      <c r="N350"/>
      <c r="O350"/>
      <c r="P350"/>
      <c r="Q350" s="152"/>
      <c r="R350"/>
      <c r="S350"/>
      <c r="T350"/>
      <c r="U350"/>
      <c r="V350"/>
    </row>
    <row r="351" spans="1:22" x14ac:dyDescent="0.2">
      <c r="A351" t="s">
        <v>150</v>
      </c>
      <c r="B351" t="s">
        <v>24</v>
      </c>
      <c r="C351" s="152">
        <v>1811</v>
      </c>
      <c r="D351" s="152">
        <v>2590</v>
      </c>
      <c r="E351" s="152">
        <v>4401</v>
      </c>
      <c r="F351" s="152">
        <v>19214758.462155301</v>
      </c>
      <c r="G351" s="152">
        <v>47967862.3162992</v>
      </c>
      <c r="H351" s="152">
        <v>67182620.778454497</v>
      </c>
      <c r="I351" t="s">
        <v>867</v>
      </c>
      <c r="J351" t="s">
        <v>135</v>
      </c>
      <c r="K351">
        <v>293498</v>
      </c>
      <c r="L351" t="s">
        <v>932</v>
      </c>
      <c r="M351"/>
      <c r="N351"/>
      <c r="O351"/>
      <c r="P351"/>
      <c r="Q351" s="152"/>
      <c r="R351"/>
      <c r="S351"/>
      <c r="T351"/>
      <c r="U351"/>
      <c r="V351"/>
    </row>
    <row r="352" spans="1:22" x14ac:dyDescent="0.2">
      <c r="A352" t="s">
        <v>338</v>
      </c>
      <c r="B352" t="s">
        <v>380</v>
      </c>
      <c r="C352" s="152">
        <v>2280</v>
      </c>
      <c r="D352" s="152">
        <v>2091</v>
      </c>
      <c r="E352" s="152">
        <v>4371</v>
      </c>
      <c r="F352" s="152">
        <v>40939808.575102203</v>
      </c>
      <c r="G352" s="152">
        <v>44779833.903596498</v>
      </c>
      <c r="H352" s="152">
        <v>85719642.478698596</v>
      </c>
      <c r="I352" t="s">
        <v>742</v>
      </c>
      <c r="J352" t="s">
        <v>137</v>
      </c>
      <c r="K352">
        <v>408484</v>
      </c>
      <c r="L352" t="s">
        <v>65</v>
      </c>
      <c r="M352"/>
      <c r="N352"/>
      <c r="O352"/>
      <c r="P352"/>
      <c r="Q352" s="152"/>
      <c r="R352"/>
      <c r="S352"/>
      <c r="T352"/>
      <c r="U352"/>
      <c r="V352"/>
    </row>
    <row r="353" spans="1:22" x14ac:dyDescent="0.2">
      <c r="A353" t="s">
        <v>312</v>
      </c>
      <c r="B353" t="s">
        <v>249</v>
      </c>
      <c r="C353" s="152">
        <v>1746</v>
      </c>
      <c r="D353" s="152">
        <v>2608</v>
      </c>
      <c r="E353" s="152">
        <v>4354</v>
      </c>
      <c r="F353" s="152">
        <v>33351892.859574001</v>
      </c>
      <c r="G353" s="152">
        <v>62986497.926268399</v>
      </c>
      <c r="H353" s="152">
        <v>96338390.785842404</v>
      </c>
      <c r="I353" t="s">
        <v>742</v>
      </c>
      <c r="J353" t="s">
        <v>135</v>
      </c>
      <c r="K353">
        <v>938498</v>
      </c>
      <c r="L353" t="s">
        <v>899</v>
      </c>
      <c r="M353"/>
      <c r="N353"/>
      <c r="O353"/>
      <c r="P353"/>
      <c r="Q353" s="152"/>
      <c r="R353"/>
      <c r="S353"/>
      <c r="T353"/>
      <c r="U353"/>
      <c r="V353"/>
    </row>
    <row r="354" spans="1:22" x14ac:dyDescent="0.2">
      <c r="A354" t="s">
        <v>150</v>
      </c>
      <c r="B354" t="s">
        <v>1040</v>
      </c>
      <c r="C354" s="152">
        <v>1896</v>
      </c>
      <c r="D354" s="152">
        <v>2456</v>
      </c>
      <c r="E354" s="152">
        <v>4352</v>
      </c>
      <c r="F354" s="152">
        <v>18023785.723550301</v>
      </c>
      <c r="G354" s="152">
        <v>28145307.291611198</v>
      </c>
      <c r="H354" s="152">
        <v>46169093.015161604</v>
      </c>
      <c r="I354" t="s">
        <v>742</v>
      </c>
      <c r="J354" t="s">
        <v>135</v>
      </c>
      <c r="K354">
        <v>817601</v>
      </c>
      <c r="L354" t="s">
        <v>99</v>
      </c>
      <c r="M354"/>
      <c r="N354"/>
      <c r="O354"/>
      <c r="P354"/>
      <c r="Q354" s="152"/>
      <c r="R354"/>
      <c r="S354"/>
      <c r="T354"/>
      <c r="U354"/>
      <c r="V354"/>
    </row>
    <row r="355" spans="1:22" x14ac:dyDescent="0.2">
      <c r="A355" t="s">
        <v>338</v>
      </c>
      <c r="B355" t="s">
        <v>1133</v>
      </c>
      <c r="C355" s="152">
        <v>1851</v>
      </c>
      <c r="D355" s="152">
        <v>2500</v>
      </c>
      <c r="E355" s="152">
        <v>4351</v>
      </c>
      <c r="F355" s="152">
        <v>160814162.43803099</v>
      </c>
      <c r="G355" s="152">
        <v>259648873.867311</v>
      </c>
      <c r="H355" s="152">
        <v>420463036.30534202</v>
      </c>
      <c r="I355" t="s">
        <v>867</v>
      </c>
      <c r="J355" t="s">
        <v>137</v>
      </c>
      <c r="K355">
        <v>727057</v>
      </c>
      <c r="L355" t="s">
        <v>1134</v>
      </c>
      <c r="M355"/>
      <c r="N355"/>
      <c r="O355"/>
      <c r="P355"/>
      <c r="Q355" s="152"/>
      <c r="R355"/>
      <c r="S355"/>
      <c r="T355"/>
      <c r="U355"/>
      <c r="V355"/>
    </row>
    <row r="356" spans="1:22" x14ac:dyDescent="0.2">
      <c r="A356" t="s">
        <v>166</v>
      </c>
      <c r="B356" t="s">
        <v>169</v>
      </c>
      <c r="C356" s="152">
        <v>2228</v>
      </c>
      <c r="D356" s="152">
        <v>2109</v>
      </c>
      <c r="E356" s="152">
        <v>4337</v>
      </c>
      <c r="F356" s="152">
        <v>43168868.8930301</v>
      </c>
      <c r="G356" s="152">
        <v>47920824.913949899</v>
      </c>
      <c r="H356" s="152">
        <v>91089693.806979999</v>
      </c>
      <c r="I356" t="s">
        <v>867</v>
      </c>
      <c r="J356" t="s">
        <v>135</v>
      </c>
      <c r="K356">
        <v>964767</v>
      </c>
      <c r="L356" t="s">
        <v>795</v>
      </c>
      <c r="M356"/>
      <c r="N356"/>
      <c r="O356"/>
      <c r="P356"/>
      <c r="Q356" s="152"/>
      <c r="R356"/>
      <c r="S356"/>
      <c r="T356"/>
      <c r="U356"/>
      <c r="V356"/>
    </row>
    <row r="357" spans="1:22" x14ac:dyDescent="0.2">
      <c r="A357" t="s">
        <v>781</v>
      </c>
      <c r="B357" t="s">
        <v>920</v>
      </c>
      <c r="C357" s="152">
        <v>2033</v>
      </c>
      <c r="D357" s="152">
        <v>2215</v>
      </c>
      <c r="E357" s="152">
        <v>4248</v>
      </c>
      <c r="F357" s="152">
        <v>53969395.655651197</v>
      </c>
      <c r="G357" s="152">
        <v>73288641.050296202</v>
      </c>
      <c r="H357" s="152">
        <v>127258036.705947</v>
      </c>
      <c r="I357" t="s">
        <v>867</v>
      </c>
      <c r="J357" t="s">
        <v>135</v>
      </c>
      <c r="K357">
        <v>973263</v>
      </c>
      <c r="L357" t="s">
        <v>502</v>
      </c>
      <c r="M357"/>
      <c r="N357"/>
      <c r="O357"/>
      <c r="P357"/>
      <c r="Q357" s="152"/>
      <c r="R357"/>
      <c r="S357"/>
      <c r="T357"/>
      <c r="U357"/>
      <c r="V357"/>
    </row>
    <row r="358" spans="1:22" x14ac:dyDescent="0.2">
      <c r="A358" t="s">
        <v>645</v>
      </c>
      <c r="B358" t="s">
        <v>429</v>
      </c>
      <c r="C358" s="152">
        <v>2088</v>
      </c>
      <c r="D358" s="152">
        <v>2156</v>
      </c>
      <c r="E358" s="152">
        <v>4244</v>
      </c>
      <c r="F358" s="152">
        <v>52185195.8138882</v>
      </c>
      <c r="G358" s="152">
        <v>67695551.716881797</v>
      </c>
      <c r="H358" s="152">
        <v>119880747.53077</v>
      </c>
      <c r="I358" t="s">
        <v>867</v>
      </c>
      <c r="J358" t="s">
        <v>136</v>
      </c>
      <c r="K358">
        <v>178335</v>
      </c>
      <c r="L358" t="s">
        <v>1000</v>
      </c>
      <c r="M358"/>
      <c r="N358"/>
      <c r="O358"/>
      <c r="P358"/>
      <c r="Q358" s="152"/>
      <c r="R358"/>
      <c r="S358"/>
      <c r="T358"/>
      <c r="U358"/>
      <c r="V358"/>
    </row>
    <row r="359" spans="1:22" x14ac:dyDescent="0.2">
      <c r="A359" t="s">
        <v>49</v>
      </c>
      <c r="B359" t="s">
        <v>1004</v>
      </c>
      <c r="C359" s="152">
        <v>2000</v>
      </c>
      <c r="D359" s="152">
        <v>2165</v>
      </c>
      <c r="E359" s="152">
        <v>4165</v>
      </c>
      <c r="F359" s="152">
        <v>37022417.4954018</v>
      </c>
      <c r="G359" s="152">
        <v>48013907.391807199</v>
      </c>
      <c r="H359" s="152">
        <v>85036324.887208998</v>
      </c>
      <c r="I359" t="s">
        <v>742</v>
      </c>
      <c r="J359" t="s">
        <v>135</v>
      </c>
      <c r="K359">
        <v>241497</v>
      </c>
      <c r="L359" t="s">
        <v>878</v>
      </c>
      <c r="M359"/>
      <c r="N359"/>
      <c r="O359"/>
      <c r="P359"/>
      <c r="Q359" s="152"/>
      <c r="R359"/>
      <c r="S359"/>
      <c r="T359"/>
      <c r="U359"/>
      <c r="V359"/>
    </row>
    <row r="360" spans="1:22" x14ac:dyDescent="0.2">
      <c r="A360" t="s">
        <v>254</v>
      </c>
      <c r="B360" t="s">
        <v>261</v>
      </c>
      <c r="C360" s="152">
        <v>1899</v>
      </c>
      <c r="D360" s="152">
        <v>2238</v>
      </c>
      <c r="E360" s="152">
        <v>4137</v>
      </c>
      <c r="F360" s="152">
        <v>18999844.6545812</v>
      </c>
      <c r="G360" s="152">
        <v>28408082.289589498</v>
      </c>
      <c r="H360" s="152">
        <v>47407926.944170602</v>
      </c>
      <c r="I360" t="s">
        <v>742</v>
      </c>
      <c r="J360" t="s">
        <v>135</v>
      </c>
      <c r="K360">
        <v>275495</v>
      </c>
      <c r="L360" t="s">
        <v>899</v>
      </c>
      <c r="M360"/>
      <c r="N360"/>
      <c r="O360"/>
      <c r="P360"/>
      <c r="Q360" s="152"/>
      <c r="R360"/>
      <c r="S360"/>
      <c r="T360"/>
      <c r="U360"/>
      <c r="V360"/>
    </row>
    <row r="361" spans="1:22" x14ac:dyDescent="0.2">
      <c r="A361" t="s">
        <v>150</v>
      </c>
      <c r="B361" t="s">
        <v>674</v>
      </c>
      <c r="C361" s="152">
        <v>1486</v>
      </c>
      <c r="D361" s="152">
        <v>2636</v>
      </c>
      <c r="E361" s="152">
        <v>4122</v>
      </c>
      <c r="F361" s="152">
        <v>27465104.412358601</v>
      </c>
      <c r="G361" s="152">
        <v>61137897.678184897</v>
      </c>
      <c r="H361" s="152">
        <v>88603002.090543404</v>
      </c>
      <c r="I361" t="s">
        <v>742</v>
      </c>
      <c r="J361" t="s">
        <v>135</v>
      </c>
      <c r="K361">
        <v>768499</v>
      </c>
      <c r="L361" t="s">
        <v>874</v>
      </c>
      <c r="M361"/>
      <c r="N361"/>
      <c r="O361"/>
      <c r="P361"/>
      <c r="Q361" s="152"/>
      <c r="R361"/>
      <c r="S361"/>
      <c r="T361"/>
      <c r="U361"/>
      <c r="V361"/>
    </row>
    <row r="362" spans="1:22" x14ac:dyDescent="0.2">
      <c r="A362" t="s">
        <v>578</v>
      </c>
      <c r="B362" t="s">
        <v>494</v>
      </c>
      <c r="C362" s="152">
        <v>1962</v>
      </c>
      <c r="D362" s="152">
        <v>2082</v>
      </c>
      <c r="E362" s="152">
        <v>4044</v>
      </c>
      <c r="F362" s="152">
        <v>62493092.995307103</v>
      </c>
      <c r="G362" s="152">
        <v>83666732.388326094</v>
      </c>
      <c r="H362" s="152">
        <v>146159825.38363299</v>
      </c>
      <c r="I362" t="s">
        <v>742</v>
      </c>
      <c r="J362" t="s">
        <v>136</v>
      </c>
      <c r="K362">
        <v>870493</v>
      </c>
      <c r="L362" t="s">
        <v>913</v>
      </c>
      <c r="M362"/>
      <c r="N362"/>
      <c r="O362"/>
      <c r="P362"/>
      <c r="Q362" s="152"/>
      <c r="R362"/>
      <c r="S362"/>
      <c r="T362"/>
      <c r="U362"/>
      <c r="V362"/>
    </row>
    <row r="363" spans="1:22" x14ac:dyDescent="0.2">
      <c r="A363" t="s">
        <v>781</v>
      </c>
      <c r="B363" t="s">
        <v>369</v>
      </c>
      <c r="C363" s="152">
        <v>1906</v>
      </c>
      <c r="D363" s="152">
        <v>2132</v>
      </c>
      <c r="E363" s="152">
        <v>4038</v>
      </c>
      <c r="F363" s="152">
        <v>39571202.494203597</v>
      </c>
      <c r="G363" s="152">
        <v>55606274.199975699</v>
      </c>
      <c r="H363" s="152">
        <v>95177476.694179296</v>
      </c>
      <c r="I363" t="s">
        <v>867</v>
      </c>
      <c r="J363" t="s">
        <v>135</v>
      </c>
      <c r="K363">
        <v>386581</v>
      </c>
      <c r="L363" t="s">
        <v>1000</v>
      </c>
      <c r="M363"/>
      <c r="N363"/>
      <c r="O363"/>
      <c r="P363"/>
      <c r="Q363" s="152"/>
      <c r="R363"/>
      <c r="S363"/>
      <c r="T363"/>
      <c r="U363"/>
      <c r="V363"/>
    </row>
    <row r="364" spans="1:22" x14ac:dyDescent="0.2">
      <c r="A364" t="s">
        <v>150</v>
      </c>
      <c r="B364" t="s">
        <v>231</v>
      </c>
      <c r="C364" s="152">
        <v>1589</v>
      </c>
      <c r="D364" s="152">
        <v>2441</v>
      </c>
      <c r="E364" s="152">
        <v>4030</v>
      </c>
      <c r="F364" s="152">
        <v>28476450.810169801</v>
      </c>
      <c r="G364" s="152">
        <v>58904896.827553503</v>
      </c>
      <c r="H364" s="152">
        <v>87381347.637723401</v>
      </c>
      <c r="I364" t="s">
        <v>742</v>
      </c>
      <c r="J364" t="s">
        <v>135</v>
      </c>
      <c r="K364">
        <v>874271</v>
      </c>
      <c r="L364" t="s">
        <v>490</v>
      </c>
      <c r="M364"/>
      <c r="N364"/>
      <c r="O364"/>
      <c r="P364"/>
      <c r="Q364" s="152"/>
      <c r="R364"/>
      <c r="S364"/>
      <c r="T364"/>
      <c r="U364"/>
      <c r="V364"/>
    </row>
    <row r="365" spans="1:22" x14ac:dyDescent="0.2">
      <c r="A365" t="s">
        <v>735</v>
      </c>
      <c r="B365" t="s">
        <v>1119</v>
      </c>
      <c r="C365" s="152">
        <v>1743</v>
      </c>
      <c r="D365" s="152">
        <v>2227</v>
      </c>
      <c r="E365" s="152">
        <v>3970</v>
      </c>
      <c r="F365" s="152">
        <v>39121820.008911401</v>
      </c>
      <c r="G365" s="152">
        <v>62670816.817033403</v>
      </c>
      <c r="H365" s="152">
        <v>101792636.825945</v>
      </c>
      <c r="I365" t="s">
        <v>742</v>
      </c>
      <c r="J365" t="s">
        <v>136</v>
      </c>
      <c r="K365">
        <v>721746</v>
      </c>
      <c r="L365" t="s">
        <v>866</v>
      </c>
      <c r="M365"/>
      <c r="N365"/>
      <c r="O365"/>
      <c r="P365"/>
      <c r="Q365" s="152"/>
      <c r="R365"/>
      <c r="S365"/>
      <c r="T365"/>
      <c r="U365"/>
      <c r="V365"/>
    </row>
    <row r="366" spans="1:22" x14ac:dyDescent="0.2">
      <c r="A366" t="s">
        <v>166</v>
      </c>
      <c r="B366" t="s">
        <v>9</v>
      </c>
      <c r="C366" s="152">
        <v>1979</v>
      </c>
      <c r="D366" s="152">
        <v>1959</v>
      </c>
      <c r="E366" s="152">
        <v>3938</v>
      </c>
      <c r="F366" s="152">
        <v>115310438.45531499</v>
      </c>
      <c r="G366" s="152">
        <v>122937293.436152</v>
      </c>
      <c r="H366" s="152">
        <v>238247731.89146701</v>
      </c>
      <c r="I366" t="s">
        <v>867</v>
      </c>
      <c r="J366" t="s">
        <v>135</v>
      </c>
      <c r="K366">
        <v>891804</v>
      </c>
      <c r="L366" t="s">
        <v>502</v>
      </c>
      <c r="M366"/>
      <c r="N366"/>
      <c r="O366"/>
      <c r="P366"/>
      <c r="Q366" s="152"/>
      <c r="R366"/>
      <c r="S366"/>
      <c r="T366"/>
      <c r="U366"/>
      <c r="V366"/>
    </row>
    <row r="367" spans="1:22" x14ac:dyDescent="0.2">
      <c r="A367" t="s">
        <v>578</v>
      </c>
      <c r="B367" t="s">
        <v>31</v>
      </c>
      <c r="C367" s="152">
        <v>2096</v>
      </c>
      <c r="D367" s="152">
        <v>1795</v>
      </c>
      <c r="E367" s="152">
        <v>3891</v>
      </c>
      <c r="F367" s="152">
        <v>45061239.626049601</v>
      </c>
      <c r="G367" s="152">
        <v>54206312.824218601</v>
      </c>
      <c r="H367" s="152">
        <v>99267552.450268194</v>
      </c>
      <c r="I367" t="s">
        <v>867</v>
      </c>
      <c r="J367" t="s">
        <v>136</v>
      </c>
      <c r="K367">
        <v>361733</v>
      </c>
      <c r="L367" t="s">
        <v>974</v>
      </c>
      <c r="M367"/>
      <c r="N367"/>
      <c r="O367"/>
      <c r="P367"/>
      <c r="Q367" s="152"/>
      <c r="R367"/>
      <c r="S367"/>
      <c r="T367"/>
      <c r="U367"/>
      <c r="V367"/>
    </row>
    <row r="368" spans="1:22" x14ac:dyDescent="0.2">
      <c r="A368" t="s">
        <v>781</v>
      </c>
      <c r="B368" t="s">
        <v>422</v>
      </c>
      <c r="C368" s="152">
        <v>1613</v>
      </c>
      <c r="D368" s="152">
        <v>2271</v>
      </c>
      <c r="E368" s="152">
        <v>3884</v>
      </c>
      <c r="F368" s="152">
        <v>44061868.103308298</v>
      </c>
      <c r="G368" s="152">
        <v>73649843.758632094</v>
      </c>
      <c r="H368" s="152">
        <v>117711711.86194</v>
      </c>
      <c r="I368" t="s">
        <v>867</v>
      </c>
      <c r="J368" t="s">
        <v>135</v>
      </c>
      <c r="K368">
        <v>339184</v>
      </c>
      <c r="L368" t="s">
        <v>728</v>
      </c>
      <c r="M368"/>
      <c r="N368"/>
      <c r="O368"/>
      <c r="P368"/>
      <c r="Q368" s="152"/>
      <c r="R368"/>
      <c r="S368"/>
      <c r="T368"/>
      <c r="U368"/>
      <c r="V368"/>
    </row>
    <row r="369" spans="1:22" x14ac:dyDescent="0.2">
      <c r="A369" t="s">
        <v>166</v>
      </c>
      <c r="B369" t="s">
        <v>457</v>
      </c>
      <c r="C369" s="152">
        <v>1914</v>
      </c>
      <c r="D369" s="152">
        <v>1892</v>
      </c>
      <c r="E369" s="152">
        <v>3806</v>
      </c>
      <c r="F369" s="152">
        <v>134930262.68899801</v>
      </c>
      <c r="G369" s="152">
        <v>164937770.00949201</v>
      </c>
      <c r="H369" s="152">
        <v>299868032.69848901</v>
      </c>
      <c r="I369" t="s">
        <v>742</v>
      </c>
      <c r="J369" t="s">
        <v>135</v>
      </c>
      <c r="K369">
        <v>987602</v>
      </c>
      <c r="L369" t="s">
        <v>450</v>
      </c>
      <c r="M369"/>
      <c r="N369"/>
      <c r="O369"/>
      <c r="P369"/>
      <c r="Q369" s="152"/>
      <c r="R369"/>
      <c r="S369"/>
      <c r="T369"/>
      <c r="U369"/>
      <c r="V369"/>
    </row>
    <row r="370" spans="1:22" x14ac:dyDescent="0.2">
      <c r="A370" t="s">
        <v>234</v>
      </c>
      <c r="B370" t="s">
        <v>1008</v>
      </c>
      <c r="C370" s="152">
        <v>1162</v>
      </c>
      <c r="D370" s="152">
        <v>2559</v>
      </c>
      <c r="E370" s="152">
        <v>3721</v>
      </c>
      <c r="F370" s="152">
        <v>15131744.533940701</v>
      </c>
      <c r="G370" s="152">
        <v>35931415.413411804</v>
      </c>
      <c r="H370" s="152">
        <v>51063159.947352499</v>
      </c>
      <c r="I370" t="s">
        <v>742</v>
      </c>
      <c r="J370" t="s">
        <v>135</v>
      </c>
      <c r="K370">
        <v>851725</v>
      </c>
      <c r="L370" t="s">
        <v>878</v>
      </c>
      <c r="M370"/>
      <c r="N370"/>
      <c r="O370"/>
      <c r="P370"/>
      <c r="Q370" s="152"/>
      <c r="R370"/>
      <c r="S370"/>
      <c r="T370"/>
      <c r="U370"/>
      <c r="V370"/>
    </row>
    <row r="371" spans="1:22" x14ac:dyDescent="0.2">
      <c r="A371" t="s">
        <v>150</v>
      </c>
      <c r="B371" t="s">
        <v>156</v>
      </c>
      <c r="C371" s="152">
        <v>1433</v>
      </c>
      <c r="D371" s="152">
        <v>2259</v>
      </c>
      <c r="E371" s="152">
        <v>3692</v>
      </c>
      <c r="F371" s="152">
        <v>27172934.4089977</v>
      </c>
      <c r="G371" s="152">
        <v>54804221.509891301</v>
      </c>
      <c r="H371" s="152">
        <v>81977155.918889105</v>
      </c>
      <c r="I371" t="s">
        <v>742</v>
      </c>
      <c r="J371" t="s">
        <v>135</v>
      </c>
      <c r="K371">
        <v>220186</v>
      </c>
      <c r="L371" t="s">
        <v>520</v>
      </c>
      <c r="M371"/>
      <c r="N371"/>
      <c r="O371"/>
      <c r="P371"/>
      <c r="Q371" s="152"/>
      <c r="R371"/>
      <c r="S371"/>
      <c r="T371"/>
      <c r="U371"/>
      <c r="V371"/>
    </row>
    <row r="372" spans="1:22" x14ac:dyDescent="0.2">
      <c r="A372" t="s">
        <v>49</v>
      </c>
      <c r="B372" t="s">
        <v>77</v>
      </c>
      <c r="C372" s="152">
        <v>1969</v>
      </c>
      <c r="D372" s="152">
        <v>1687</v>
      </c>
      <c r="E372" s="152">
        <v>3656</v>
      </c>
      <c r="F372" s="152">
        <v>30066844.8272717</v>
      </c>
      <c r="G372" s="152">
        <v>30822380.004849002</v>
      </c>
      <c r="H372" s="152">
        <v>60889224.832120702</v>
      </c>
      <c r="I372" t="s">
        <v>867</v>
      </c>
      <c r="J372" t="s">
        <v>135</v>
      </c>
      <c r="K372">
        <v>914291</v>
      </c>
      <c r="L372" t="s">
        <v>198</v>
      </c>
      <c r="M372"/>
      <c r="N372"/>
      <c r="O372"/>
      <c r="P372"/>
      <c r="Q372" s="152"/>
      <c r="R372"/>
      <c r="S372"/>
      <c r="T372"/>
      <c r="U372"/>
      <c r="V372"/>
    </row>
    <row r="373" spans="1:22" x14ac:dyDescent="0.2">
      <c r="A373" t="s">
        <v>645</v>
      </c>
      <c r="B373" t="s">
        <v>649</v>
      </c>
      <c r="C373" s="152">
        <v>2192</v>
      </c>
      <c r="D373" s="152">
        <v>1428</v>
      </c>
      <c r="E373" s="152">
        <v>3620</v>
      </c>
      <c r="F373" s="152">
        <v>70534395.818813905</v>
      </c>
      <c r="G373" s="152">
        <v>54575759.981361002</v>
      </c>
      <c r="H373" s="152">
        <v>125110155.800175</v>
      </c>
      <c r="I373" t="s">
        <v>867</v>
      </c>
      <c r="J373" t="s">
        <v>136</v>
      </c>
      <c r="K373">
        <v>413260</v>
      </c>
      <c r="L373" t="s">
        <v>907</v>
      </c>
      <c r="M373"/>
      <c r="N373"/>
      <c r="O373"/>
      <c r="P373"/>
      <c r="Q373" s="152"/>
      <c r="R373"/>
      <c r="S373"/>
      <c r="T373"/>
      <c r="U373"/>
      <c r="V373"/>
    </row>
    <row r="374" spans="1:22" x14ac:dyDescent="0.2">
      <c r="A374" t="s">
        <v>166</v>
      </c>
      <c r="B374" t="s">
        <v>1111</v>
      </c>
      <c r="C374" s="152">
        <v>1298</v>
      </c>
      <c r="D374" s="152">
        <v>2304</v>
      </c>
      <c r="E374" s="152">
        <v>3602</v>
      </c>
      <c r="F374" s="152">
        <v>150267078.56554601</v>
      </c>
      <c r="G374" s="152">
        <v>292827075.95079398</v>
      </c>
      <c r="H374" s="152">
        <v>443094154.51634002</v>
      </c>
      <c r="I374" t="s">
        <v>867</v>
      </c>
      <c r="J374" t="s">
        <v>135</v>
      </c>
      <c r="K374">
        <v>339002</v>
      </c>
      <c r="L374" t="s">
        <v>907</v>
      </c>
      <c r="M374"/>
      <c r="N374"/>
      <c r="O374"/>
      <c r="P374"/>
      <c r="Q374" s="152"/>
      <c r="R374"/>
      <c r="S374"/>
      <c r="T374"/>
      <c r="U374"/>
      <c r="V374"/>
    </row>
    <row r="375" spans="1:22" x14ac:dyDescent="0.2">
      <c r="A375" t="s">
        <v>104</v>
      </c>
      <c r="B375" t="s">
        <v>107</v>
      </c>
      <c r="C375" s="152">
        <v>1729</v>
      </c>
      <c r="D375" s="152">
        <v>1855</v>
      </c>
      <c r="E375" s="152">
        <v>3584</v>
      </c>
      <c r="F375" s="152">
        <v>33568073.5326671</v>
      </c>
      <c r="G375" s="152">
        <v>42896134.801009402</v>
      </c>
      <c r="H375" s="152">
        <v>76464208.333676502</v>
      </c>
      <c r="I375" t="s">
        <v>867</v>
      </c>
      <c r="J375" t="s">
        <v>135</v>
      </c>
      <c r="K375">
        <v>556589</v>
      </c>
      <c r="L375" t="s">
        <v>907</v>
      </c>
      <c r="M375"/>
      <c r="N375"/>
      <c r="O375"/>
      <c r="P375"/>
      <c r="Q375" s="152"/>
      <c r="R375"/>
      <c r="S375"/>
      <c r="T375"/>
      <c r="U375"/>
      <c r="V375"/>
    </row>
    <row r="376" spans="1:22" x14ac:dyDescent="0.2">
      <c r="A376" t="s">
        <v>861</v>
      </c>
      <c r="B376" t="s">
        <v>38</v>
      </c>
      <c r="C376" s="152">
        <v>1646</v>
      </c>
      <c r="D376" s="152">
        <v>1924</v>
      </c>
      <c r="E376" s="152">
        <v>3570</v>
      </c>
      <c r="F376" s="152">
        <v>37381730.1416215</v>
      </c>
      <c r="G376" s="152">
        <v>55649262.579365</v>
      </c>
      <c r="H376" s="152">
        <v>93030992.720986605</v>
      </c>
      <c r="I376" t="s">
        <v>867</v>
      </c>
      <c r="J376" t="s">
        <v>135</v>
      </c>
      <c r="K376">
        <v>484980</v>
      </c>
      <c r="L376" t="s">
        <v>37</v>
      </c>
      <c r="M376"/>
      <c r="N376"/>
      <c r="O376"/>
      <c r="P376"/>
      <c r="Q376" s="152"/>
      <c r="R376"/>
      <c r="S376"/>
      <c r="T376"/>
      <c r="U376"/>
      <c r="V376"/>
    </row>
    <row r="377" spans="1:22" x14ac:dyDescent="0.2">
      <c r="A377" t="s">
        <v>416</v>
      </c>
      <c r="B377" t="s">
        <v>708</v>
      </c>
      <c r="C377" s="152">
        <v>1265</v>
      </c>
      <c r="D377" s="152">
        <v>2303</v>
      </c>
      <c r="E377" s="152">
        <v>3568</v>
      </c>
      <c r="F377" s="152">
        <v>24323222.851466302</v>
      </c>
      <c r="G377" s="152">
        <v>55456362.882897802</v>
      </c>
      <c r="H377" s="152">
        <v>79779585.734364107</v>
      </c>
      <c r="I377" t="s">
        <v>742</v>
      </c>
      <c r="J377" t="s">
        <v>135</v>
      </c>
      <c r="K377">
        <v>197632</v>
      </c>
      <c r="L377" t="s">
        <v>930</v>
      </c>
      <c r="M377"/>
      <c r="N377"/>
      <c r="O377"/>
      <c r="P377"/>
      <c r="Q377" s="152"/>
      <c r="R377"/>
      <c r="S377"/>
      <c r="T377"/>
      <c r="U377"/>
      <c r="V377"/>
    </row>
    <row r="378" spans="1:22" x14ac:dyDescent="0.2">
      <c r="A378" t="s">
        <v>902</v>
      </c>
      <c r="B378" t="s">
        <v>134</v>
      </c>
      <c r="C378" s="152">
        <v>1215</v>
      </c>
      <c r="D378" s="152">
        <v>2313</v>
      </c>
      <c r="E378" s="152">
        <v>3528</v>
      </c>
      <c r="F378" s="152">
        <v>88540034.227912605</v>
      </c>
      <c r="G378" s="152">
        <v>177799205.10270011</v>
      </c>
      <c r="H378" s="152">
        <v>266339239.3306123</v>
      </c>
      <c r="I378" t="s">
        <v>867</v>
      </c>
      <c r="J378" t="s">
        <v>137</v>
      </c>
      <c r="K378">
        <v>4</v>
      </c>
      <c r="L378" t="s">
        <v>807</v>
      </c>
      <c r="M378"/>
      <c r="N378"/>
      <c r="O378"/>
      <c r="P378"/>
      <c r="Q378" s="152"/>
      <c r="R378"/>
      <c r="S378"/>
      <c r="T378"/>
      <c r="U378"/>
      <c r="V378"/>
    </row>
    <row r="379" spans="1:22" x14ac:dyDescent="0.2">
      <c r="A379" t="s">
        <v>338</v>
      </c>
      <c r="B379" t="s">
        <v>659</v>
      </c>
      <c r="C379" s="152">
        <v>1829</v>
      </c>
      <c r="D379" s="152">
        <v>1684</v>
      </c>
      <c r="E379" s="152">
        <v>3513</v>
      </c>
      <c r="F379" s="152">
        <v>30238514.176256198</v>
      </c>
      <c r="G379" s="152">
        <v>34205963.4786129</v>
      </c>
      <c r="H379" s="152">
        <v>64444477.654869102</v>
      </c>
      <c r="I379" t="s">
        <v>742</v>
      </c>
      <c r="J379" t="s">
        <v>137</v>
      </c>
      <c r="K379">
        <v>302760</v>
      </c>
      <c r="L379" t="s">
        <v>874</v>
      </c>
      <c r="M379"/>
      <c r="N379"/>
      <c r="O379"/>
      <c r="P379"/>
      <c r="Q379" s="152"/>
      <c r="R379"/>
      <c r="S379"/>
      <c r="T379"/>
      <c r="U379"/>
      <c r="V379"/>
    </row>
    <row r="380" spans="1:22" x14ac:dyDescent="0.2">
      <c r="A380" t="s">
        <v>902</v>
      </c>
      <c r="B380" t="s">
        <v>133</v>
      </c>
      <c r="C380" s="152">
        <v>1592</v>
      </c>
      <c r="D380" s="152">
        <v>1878</v>
      </c>
      <c r="E380" s="152">
        <v>3470</v>
      </c>
      <c r="F380" s="152">
        <v>132149448.52587859</v>
      </c>
      <c r="G380" s="152">
        <v>165074394.30896842</v>
      </c>
      <c r="H380" s="152">
        <v>297223842.83484602</v>
      </c>
      <c r="I380" t="s">
        <v>867</v>
      </c>
      <c r="J380" t="s">
        <v>137</v>
      </c>
      <c r="K380">
        <v>3</v>
      </c>
      <c r="L380" t="s">
        <v>807</v>
      </c>
      <c r="M380"/>
      <c r="N380"/>
      <c r="O380"/>
      <c r="P380"/>
      <c r="Q380" s="152"/>
      <c r="R380"/>
      <c r="S380"/>
      <c r="T380"/>
      <c r="U380"/>
      <c r="V380"/>
    </row>
    <row r="381" spans="1:22" x14ac:dyDescent="0.2">
      <c r="A381" t="s">
        <v>268</v>
      </c>
      <c r="B381" t="s">
        <v>278</v>
      </c>
      <c r="C381" s="152">
        <v>1435</v>
      </c>
      <c r="D381" s="152">
        <v>2032</v>
      </c>
      <c r="E381" s="152">
        <v>3467</v>
      </c>
      <c r="F381" s="152">
        <v>30427220.839658398</v>
      </c>
      <c r="G381" s="152">
        <v>53509635.018183403</v>
      </c>
      <c r="H381" s="152">
        <v>83936855.857841805</v>
      </c>
      <c r="I381" t="s">
        <v>742</v>
      </c>
      <c r="J381" t="s">
        <v>135</v>
      </c>
      <c r="K381">
        <v>147348</v>
      </c>
      <c r="L381" t="s">
        <v>868</v>
      </c>
      <c r="M381"/>
      <c r="N381"/>
      <c r="O381"/>
      <c r="P381"/>
      <c r="Q381" s="152"/>
      <c r="R381"/>
      <c r="S381"/>
      <c r="T381"/>
      <c r="U381"/>
      <c r="V381"/>
    </row>
    <row r="382" spans="1:22" x14ac:dyDescent="0.2">
      <c r="A382" t="s">
        <v>338</v>
      </c>
      <c r="B382" t="s">
        <v>486</v>
      </c>
      <c r="C382" s="152">
        <v>1449</v>
      </c>
      <c r="D382" s="152">
        <v>2011</v>
      </c>
      <c r="E382" s="152">
        <v>3460</v>
      </c>
      <c r="F382" s="152">
        <v>100777221.609593</v>
      </c>
      <c r="G382" s="152">
        <v>166333091.57648799</v>
      </c>
      <c r="H382" s="152">
        <v>267110313.18608099</v>
      </c>
      <c r="I382" t="s">
        <v>867</v>
      </c>
      <c r="J382" t="s">
        <v>137</v>
      </c>
      <c r="K382">
        <v>250340</v>
      </c>
      <c r="L382" t="s">
        <v>932</v>
      </c>
      <c r="M382"/>
      <c r="N382"/>
      <c r="O382"/>
      <c r="P382"/>
      <c r="Q382" s="152"/>
      <c r="R382"/>
      <c r="S382"/>
      <c r="T382"/>
      <c r="U382"/>
      <c r="V382"/>
    </row>
    <row r="383" spans="1:22" x14ac:dyDescent="0.2">
      <c r="A383" t="s">
        <v>254</v>
      </c>
      <c r="B383" t="s">
        <v>484</v>
      </c>
      <c r="C383" s="152">
        <v>1625</v>
      </c>
      <c r="D383" s="152">
        <v>1797</v>
      </c>
      <c r="E383" s="152">
        <v>3422</v>
      </c>
      <c r="F383" s="152">
        <v>11671259.693263501</v>
      </c>
      <c r="G383" s="152">
        <v>17575413.118035901</v>
      </c>
      <c r="H383" s="152">
        <v>29246672.811299399</v>
      </c>
      <c r="I383" t="s">
        <v>742</v>
      </c>
      <c r="J383" t="s">
        <v>135</v>
      </c>
      <c r="K383">
        <v>908038</v>
      </c>
      <c r="L383" t="s">
        <v>20</v>
      </c>
      <c r="M383"/>
      <c r="N383"/>
      <c r="O383"/>
      <c r="P383"/>
      <c r="Q383" s="152"/>
      <c r="R383"/>
      <c r="S383"/>
      <c r="T383"/>
      <c r="U383"/>
      <c r="V383"/>
    </row>
    <row r="384" spans="1:22" x14ac:dyDescent="0.2">
      <c r="A384" t="s">
        <v>338</v>
      </c>
      <c r="B384" t="s">
        <v>1102</v>
      </c>
      <c r="C384" s="152">
        <v>1503</v>
      </c>
      <c r="D384" s="152">
        <v>1862</v>
      </c>
      <c r="E384" s="152">
        <v>3365</v>
      </c>
      <c r="F384" s="152">
        <v>153269156.10407501</v>
      </c>
      <c r="G384" s="152">
        <v>214434137.84728599</v>
      </c>
      <c r="H384" s="152">
        <v>367703293.95136201</v>
      </c>
      <c r="I384" t="s">
        <v>867</v>
      </c>
      <c r="J384" t="s">
        <v>137</v>
      </c>
      <c r="K384">
        <v>558239</v>
      </c>
      <c r="L384" t="s">
        <v>784</v>
      </c>
      <c r="M384"/>
      <c r="N384"/>
      <c r="O384"/>
      <c r="P384"/>
      <c r="Q384" s="152"/>
      <c r="R384"/>
      <c r="S384"/>
      <c r="T384"/>
      <c r="U384"/>
      <c r="V384"/>
    </row>
    <row r="385" spans="1:22" x14ac:dyDescent="0.2">
      <c r="A385" t="s">
        <v>183</v>
      </c>
      <c r="B385" t="s">
        <v>701</v>
      </c>
      <c r="C385" s="152">
        <v>1289</v>
      </c>
      <c r="D385" s="152">
        <v>2005</v>
      </c>
      <c r="E385" s="152">
        <v>3294</v>
      </c>
      <c r="F385" s="152">
        <v>24072737.057295099</v>
      </c>
      <c r="G385" s="152">
        <v>45068095.204332598</v>
      </c>
      <c r="H385" s="152">
        <v>69140832.261627704</v>
      </c>
      <c r="I385" t="s">
        <v>742</v>
      </c>
      <c r="J385" t="s">
        <v>135</v>
      </c>
      <c r="K385">
        <v>232991</v>
      </c>
      <c r="L385" t="s">
        <v>504</v>
      </c>
      <c r="M385"/>
      <c r="N385"/>
      <c r="O385"/>
      <c r="P385"/>
      <c r="Q385" s="152"/>
      <c r="R385"/>
      <c r="S385"/>
      <c r="T385"/>
      <c r="U385"/>
      <c r="V385"/>
    </row>
    <row r="386" spans="1:22" x14ac:dyDescent="0.2">
      <c r="A386" t="s">
        <v>329</v>
      </c>
      <c r="B386" t="s">
        <v>138</v>
      </c>
      <c r="C386" s="152">
        <v>2181</v>
      </c>
      <c r="D386" s="152">
        <v>1084</v>
      </c>
      <c r="E386" s="152">
        <v>3265</v>
      </c>
      <c r="F386" s="152">
        <v>121975661.67979801</v>
      </c>
      <c r="G386" s="152">
        <v>58751270.529104903</v>
      </c>
      <c r="H386" s="152">
        <v>180726932.20890301</v>
      </c>
      <c r="I386" t="s">
        <v>867</v>
      </c>
      <c r="J386" t="s">
        <v>137</v>
      </c>
      <c r="K386">
        <v>121780</v>
      </c>
      <c r="L386" t="s">
        <v>198</v>
      </c>
      <c r="M386"/>
      <c r="N386"/>
      <c r="O386"/>
      <c r="P386"/>
      <c r="Q386" s="152"/>
      <c r="R386"/>
      <c r="S386"/>
      <c r="T386"/>
      <c r="U386"/>
      <c r="V386"/>
    </row>
    <row r="387" spans="1:22" x14ac:dyDescent="0.2">
      <c r="A387" t="s">
        <v>166</v>
      </c>
      <c r="B387" t="s">
        <v>314</v>
      </c>
      <c r="C387" s="152">
        <v>1730</v>
      </c>
      <c r="D387" s="152">
        <v>1484</v>
      </c>
      <c r="E387" s="152">
        <v>3214</v>
      </c>
      <c r="F387" s="152">
        <v>24425887.979593199</v>
      </c>
      <c r="G387" s="152">
        <v>26366727.528191801</v>
      </c>
      <c r="H387" s="152">
        <v>50792615.507785</v>
      </c>
      <c r="I387" t="s">
        <v>742</v>
      </c>
      <c r="J387" t="s">
        <v>135</v>
      </c>
      <c r="K387">
        <v>435818</v>
      </c>
      <c r="L387" t="s">
        <v>99</v>
      </c>
      <c r="M387"/>
      <c r="N387"/>
      <c r="O387"/>
      <c r="P387"/>
      <c r="Q387" s="152"/>
      <c r="R387"/>
      <c r="S387"/>
      <c r="T387"/>
      <c r="U387"/>
      <c r="V387"/>
    </row>
    <row r="388" spans="1:22" x14ac:dyDescent="0.2">
      <c r="A388" t="s">
        <v>150</v>
      </c>
      <c r="B388" t="s">
        <v>164</v>
      </c>
      <c r="C388" s="152">
        <v>1345</v>
      </c>
      <c r="D388" s="152">
        <v>1868</v>
      </c>
      <c r="E388" s="152">
        <v>3213</v>
      </c>
      <c r="F388" s="152">
        <v>25104297.203543201</v>
      </c>
      <c r="G388" s="152">
        <v>44975941.486442998</v>
      </c>
      <c r="H388" s="152">
        <v>70080238.689986199</v>
      </c>
      <c r="I388" t="s">
        <v>867</v>
      </c>
      <c r="J388" t="s">
        <v>135</v>
      </c>
      <c r="K388">
        <v>385401</v>
      </c>
      <c r="L388" t="s">
        <v>810</v>
      </c>
      <c r="M388"/>
      <c r="N388"/>
      <c r="O388"/>
      <c r="P388"/>
      <c r="Q388" s="152"/>
      <c r="R388"/>
      <c r="S388"/>
      <c r="T388"/>
      <c r="U388"/>
      <c r="V388"/>
    </row>
    <row r="389" spans="1:22" x14ac:dyDescent="0.2">
      <c r="A389" t="s">
        <v>166</v>
      </c>
      <c r="B389" t="s">
        <v>438</v>
      </c>
      <c r="C389" s="152">
        <v>1929</v>
      </c>
      <c r="D389" s="152">
        <v>1278</v>
      </c>
      <c r="E389" s="152">
        <v>3207</v>
      </c>
      <c r="F389" s="152">
        <v>31963180.729734</v>
      </c>
      <c r="G389" s="152">
        <v>25441929.721075501</v>
      </c>
      <c r="H389" s="152">
        <v>57405110.450809598</v>
      </c>
      <c r="I389" t="s">
        <v>867</v>
      </c>
      <c r="J389" t="s">
        <v>135</v>
      </c>
      <c r="K389">
        <v>520759</v>
      </c>
      <c r="L389" t="s">
        <v>907</v>
      </c>
      <c r="M389"/>
      <c r="N389"/>
      <c r="O389"/>
      <c r="P389"/>
      <c r="Q389" s="152"/>
      <c r="R389"/>
      <c r="S389"/>
      <c r="T389"/>
      <c r="U389"/>
      <c r="V389"/>
    </row>
    <row r="390" spans="1:22" x14ac:dyDescent="0.2">
      <c r="A390" t="s">
        <v>578</v>
      </c>
      <c r="B390" t="s">
        <v>427</v>
      </c>
      <c r="C390" s="152">
        <v>1705</v>
      </c>
      <c r="D390" s="152">
        <v>1484</v>
      </c>
      <c r="E390" s="152">
        <v>3189</v>
      </c>
      <c r="F390" s="152">
        <v>36308031.853658304</v>
      </c>
      <c r="G390" s="152">
        <v>45829412.498737402</v>
      </c>
      <c r="H390" s="152">
        <v>82137444.352395698</v>
      </c>
      <c r="I390" t="s">
        <v>867</v>
      </c>
      <c r="J390" t="s">
        <v>136</v>
      </c>
      <c r="K390">
        <v>308908</v>
      </c>
      <c r="L390" t="s">
        <v>782</v>
      </c>
      <c r="M390"/>
      <c r="N390"/>
      <c r="O390"/>
      <c r="P390"/>
      <c r="Q390" s="152"/>
      <c r="R390"/>
      <c r="S390"/>
      <c r="T390"/>
      <c r="U390"/>
      <c r="V390"/>
    </row>
    <row r="391" spans="1:22" x14ac:dyDescent="0.2">
      <c r="A391" t="s">
        <v>645</v>
      </c>
      <c r="B391" t="s">
        <v>208</v>
      </c>
      <c r="C391" s="152">
        <v>1760</v>
      </c>
      <c r="D391" s="152">
        <v>1423</v>
      </c>
      <c r="E391" s="152">
        <v>3183</v>
      </c>
      <c r="F391" s="152">
        <v>38204443.554977097</v>
      </c>
      <c r="G391" s="152">
        <v>41047373.817006402</v>
      </c>
      <c r="H391" s="152">
        <v>79251817.371983498</v>
      </c>
      <c r="I391" t="s">
        <v>867</v>
      </c>
      <c r="J391" t="s">
        <v>136</v>
      </c>
      <c r="K391">
        <v>804443</v>
      </c>
      <c r="L391" t="s">
        <v>207</v>
      </c>
      <c r="M391"/>
      <c r="N391"/>
      <c r="O391"/>
      <c r="P391"/>
      <c r="Q391" s="152"/>
      <c r="R391"/>
      <c r="S391"/>
      <c r="T391"/>
      <c r="U391"/>
      <c r="V391"/>
    </row>
    <row r="392" spans="1:22" x14ac:dyDescent="0.2">
      <c r="A392" t="s">
        <v>645</v>
      </c>
      <c r="B392" t="s">
        <v>653</v>
      </c>
      <c r="C392" s="152">
        <v>1540</v>
      </c>
      <c r="D392" s="152">
        <v>1580</v>
      </c>
      <c r="E392" s="152">
        <v>3120</v>
      </c>
      <c r="F392" s="152">
        <v>44187772.482411802</v>
      </c>
      <c r="G392" s="152">
        <v>63156825.394922599</v>
      </c>
      <c r="H392" s="152">
        <v>107344597.877334</v>
      </c>
      <c r="I392" t="s">
        <v>867</v>
      </c>
      <c r="J392" t="s">
        <v>136</v>
      </c>
      <c r="K392">
        <v>112755</v>
      </c>
      <c r="L392" t="s">
        <v>785</v>
      </c>
      <c r="M392"/>
      <c r="N392"/>
      <c r="O392"/>
      <c r="P392"/>
      <c r="Q392" s="152"/>
      <c r="R392"/>
      <c r="S392"/>
      <c r="T392"/>
      <c r="U392"/>
      <c r="V392"/>
    </row>
    <row r="393" spans="1:22" x14ac:dyDescent="0.2">
      <c r="A393" t="s">
        <v>645</v>
      </c>
      <c r="B393" t="s">
        <v>1084</v>
      </c>
      <c r="C393" s="152">
        <v>1584</v>
      </c>
      <c r="D393" s="152">
        <v>1527</v>
      </c>
      <c r="E393" s="152">
        <v>3111</v>
      </c>
      <c r="F393" s="152">
        <v>27970107.785066601</v>
      </c>
      <c r="G393" s="152">
        <v>32662500.1127114</v>
      </c>
      <c r="H393" s="152">
        <v>60632607.897777997</v>
      </c>
      <c r="I393" t="s">
        <v>742</v>
      </c>
      <c r="J393" t="s">
        <v>136</v>
      </c>
      <c r="K393">
        <v>734558</v>
      </c>
      <c r="L393" t="s">
        <v>1083</v>
      </c>
      <c r="M393"/>
      <c r="N393"/>
      <c r="O393"/>
      <c r="P393"/>
      <c r="Q393" s="152"/>
      <c r="R393"/>
      <c r="S393"/>
      <c r="T393"/>
      <c r="U393"/>
      <c r="V393"/>
    </row>
    <row r="394" spans="1:22" x14ac:dyDescent="0.2">
      <c r="A394" t="s">
        <v>268</v>
      </c>
      <c r="B394" t="s">
        <v>292</v>
      </c>
      <c r="C394" s="152">
        <v>1471</v>
      </c>
      <c r="D394" s="152">
        <v>1623</v>
      </c>
      <c r="E394" s="152">
        <v>3094</v>
      </c>
      <c r="F394" s="152">
        <v>33497582.5624092</v>
      </c>
      <c r="G394" s="152">
        <v>43263458.948930196</v>
      </c>
      <c r="H394" s="152">
        <v>76761041.511339501</v>
      </c>
      <c r="I394" t="s">
        <v>742</v>
      </c>
      <c r="J394" t="s">
        <v>135</v>
      </c>
      <c r="K394">
        <v>182584</v>
      </c>
      <c r="L394" t="s">
        <v>291</v>
      </c>
      <c r="M394"/>
      <c r="N394"/>
      <c r="O394"/>
      <c r="P394"/>
      <c r="Q394" s="152"/>
      <c r="R394"/>
      <c r="S394"/>
      <c r="T394"/>
      <c r="U394"/>
      <c r="V394"/>
    </row>
    <row r="395" spans="1:22" x14ac:dyDescent="0.2">
      <c r="A395" t="s">
        <v>108</v>
      </c>
      <c r="B395" t="s">
        <v>113</v>
      </c>
      <c r="C395" s="152">
        <v>1364</v>
      </c>
      <c r="D395" s="152">
        <v>1728</v>
      </c>
      <c r="E395" s="152">
        <v>3092</v>
      </c>
      <c r="F395" s="152">
        <v>18709807.376902498</v>
      </c>
      <c r="G395" s="152">
        <v>28943875.503519699</v>
      </c>
      <c r="H395" s="152">
        <v>47653682.880422197</v>
      </c>
      <c r="I395" t="s">
        <v>742</v>
      </c>
      <c r="J395" t="s">
        <v>135</v>
      </c>
      <c r="K395">
        <v>507475</v>
      </c>
      <c r="L395" t="s">
        <v>99</v>
      </c>
      <c r="M395"/>
      <c r="N395"/>
      <c r="O395"/>
      <c r="P395"/>
      <c r="Q395" s="152"/>
      <c r="R395"/>
      <c r="S395"/>
      <c r="T395"/>
      <c r="U395"/>
      <c r="V395"/>
    </row>
    <row r="396" spans="1:22" x14ac:dyDescent="0.2">
      <c r="A396" t="s">
        <v>329</v>
      </c>
      <c r="B396" t="s">
        <v>362</v>
      </c>
      <c r="C396" s="152">
        <v>1536</v>
      </c>
      <c r="D396" s="152">
        <v>1541</v>
      </c>
      <c r="E396" s="152">
        <v>3077</v>
      </c>
      <c r="F396" s="152">
        <v>38518684.643807799</v>
      </c>
      <c r="G396" s="152">
        <v>47757105.026670203</v>
      </c>
      <c r="H396" s="152">
        <v>86275789.670478001</v>
      </c>
      <c r="I396" t="s">
        <v>742</v>
      </c>
      <c r="J396" t="s">
        <v>137</v>
      </c>
      <c r="K396">
        <v>159509</v>
      </c>
      <c r="L396" t="s">
        <v>1000</v>
      </c>
      <c r="M396"/>
      <c r="N396"/>
      <c r="O396"/>
      <c r="P396"/>
      <c r="Q396" s="152"/>
      <c r="R396"/>
      <c r="S396"/>
      <c r="T396"/>
      <c r="U396"/>
      <c r="V396"/>
    </row>
    <row r="397" spans="1:22" x14ac:dyDescent="0.2">
      <c r="A397" t="s">
        <v>837</v>
      </c>
      <c r="B397" t="s">
        <v>839</v>
      </c>
      <c r="C397" s="152">
        <v>1263</v>
      </c>
      <c r="D397" s="152">
        <v>1780</v>
      </c>
      <c r="E397" s="152">
        <v>3043</v>
      </c>
      <c r="F397" s="152">
        <v>32818827.493446101</v>
      </c>
      <c r="G397" s="152">
        <v>56357193.361138299</v>
      </c>
      <c r="H397" s="152">
        <v>89176020.854584396</v>
      </c>
      <c r="I397" t="s">
        <v>867</v>
      </c>
      <c r="J397" t="s">
        <v>135</v>
      </c>
      <c r="K397">
        <v>103606</v>
      </c>
      <c r="L397" t="s">
        <v>791</v>
      </c>
      <c r="M397"/>
      <c r="N397"/>
      <c r="O397"/>
      <c r="P397"/>
      <c r="Q397" s="152"/>
      <c r="R397"/>
      <c r="S397"/>
      <c r="T397"/>
      <c r="U397"/>
      <c r="V397"/>
    </row>
    <row r="398" spans="1:22" x14ac:dyDescent="0.2">
      <c r="A398" t="s">
        <v>183</v>
      </c>
      <c r="B398" t="s">
        <v>891</v>
      </c>
      <c r="C398" s="152">
        <v>1232</v>
      </c>
      <c r="D398" s="152">
        <v>1805</v>
      </c>
      <c r="E398" s="152">
        <v>3037</v>
      </c>
      <c r="F398" s="152">
        <v>24383527.3163592</v>
      </c>
      <c r="G398" s="152">
        <v>43405177.572180599</v>
      </c>
      <c r="H398" s="152">
        <v>67788704.888539806</v>
      </c>
      <c r="I398" t="s">
        <v>742</v>
      </c>
      <c r="J398" t="s">
        <v>135</v>
      </c>
      <c r="K398">
        <v>670091</v>
      </c>
      <c r="L398" t="s">
        <v>520</v>
      </c>
      <c r="M398"/>
      <c r="N398"/>
      <c r="O398"/>
      <c r="P398"/>
      <c r="Q398" s="152"/>
      <c r="R398"/>
      <c r="S398"/>
      <c r="T398"/>
      <c r="U398"/>
      <c r="V398"/>
    </row>
    <row r="399" spans="1:22" x14ac:dyDescent="0.2">
      <c r="A399" t="s">
        <v>721</v>
      </c>
      <c r="B399" t="s">
        <v>734</v>
      </c>
      <c r="C399" s="152">
        <v>1486</v>
      </c>
      <c r="D399" s="152">
        <v>1549</v>
      </c>
      <c r="E399" s="152">
        <v>3035</v>
      </c>
      <c r="F399" s="152">
        <v>27149457.272404999</v>
      </c>
      <c r="G399" s="152">
        <v>34405401.912973203</v>
      </c>
      <c r="H399" s="152">
        <v>61554859.185378201</v>
      </c>
      <c r="I399" t="s">
        <v>742</v>
      </c>
      <c r="J399" t="s">
        <v>136</v>
      </c>
      <c r="K399">
        <v>587634</v>
      </c>
      <c r="L399" t="s">
        <v>65</v>
      </c>
      <c r="M399"/>
      <c r="N399"/>
      <c r="O399"/>
      <c r="P399"/>
      <c r="Q399" s="152"/>
      <c r="R399"/>
      <c r="S399"/>
      <c r="T399"/>
      <c r="U399"/>
      <c r="V399"/>
    </row>
    <row r="400" spans="1:22" x14ac:dyDescent="0.2">
      <c r="A400" t="s">
        <v>416</v>
      </c>
      <c r="B400" t="s">
        <v>162</v>
      </c>
      <c r="C400" s="152">
        <v>1225</v>
      </c>
      <c r="D400" s="152">
        <v>1801</v>
      </c>
      <c r="E400" s="152">
        <v>3026</v>
      </c>
      <c r="F400" s="152">
        <v>20284310.793409601</v>
      </c>
      <c r="G400" s="152">
        <v>38496423.957057297</v>
      </c>
      <c r="H400" s="152">
        <v>58780734.750466898</v>
      </c>
      <c r="I400" t="s">
        <v>742</v>
      </c>
      <c r="J400" t="s">
        <v>135</v>
      </c>
      <c r="K400">
        <v>908806</v>
      </c>
      <c r="L400" t="s">
        <v>99</v>
      </c>
      <c r="M400"/>
      <c r="N400"/>
      <c r="O400"/>
      <c r="P400"/>
      <c r="Q400" s="152"/>
      <c r="R400"/>
      <c r="S400"/>
      <c r="T400"/>
      <c r="U400"/>
      <c r="V400"/>
    </row>
    <row r="401" spans="1:22" x14ac:dyDescent="0.2">
      <c r="A401" t="s">
        <v>338</v>
      </c>
      <c r="B401" t="s">
        <v>1028</v>
      </c>
      <c r="C401" s="152">
        <v>1482</v>
      </c>
      <c r="D401" s="152">
        <v>1539</v>
      </c>
      <c r="E401" s="152">
        <v>3021</v>
      </c>
      <c r="F401" s="152">
        <v>124310608.259185</v>
      </c>
      <c r="G401" s="152">
        <v>155710347.18697101</v>
      </c>
      <c r="H401" s="152">
        <v>280020955.44615602</v>
      </c>
      <c r="I401" t="s">
        <v>742</v>
      </c>
      <c r="J401" t="s">
        <v>137</v>
      </c>
      <c r="K401">
        <v>539460</v>
      </c>
      <c r="L401" t="s">
        <v>1029</v>
      </c>
      <c r="M401"/>
      <c r="N401"/>
      <c r="O401"/>
      <c r="P401"/>
      <c r="Q401" s="152"/>
      <c r="R401"/>
      <c r="S401"/>
      <c r="T401"/>
      <c r="U401"/>
      <c r="V401"/>
    </row>
    <row r="402" spans="1:22" x14ac:dyDescent="0.2">
      <c r="A402" t="s">
        <v>166</v>
      </c>
      <c r="B402" t="s">
        <v>440</v>
      </c>
      <c r="C402" s="152">
        <v>752</v>
      </c>
      <c r="D402" s="152">
        <v>2245</v>
      </c>
      <c r="E402" s="152">
        <v>2997</v>
      </c>
      <c r="F402" s="152">
        <v>7682335.67242439</v>
      </c>
      <c r="G402" s="152">
        <v>25333629.726311699</v>
      </c>
      <c r="H402" s="152">
        <v>33015965.398736101</v>
      </c>
      <c r="I402" t="s">
        <v>742</v>
      </c>
      <c r="J402" t="s">
        <v>135</v>
      </c>
      <c r="K402">
        <v>118000</v>
      </c>
      <c r="L402" t="s">
        <v>65</v>
      </c>
      <c r="M402"/>
      <c r="N402"/>
      <c r="O402"/>
      <c r="P402"/>
      <c r="Q402" s="152"/>
      <c r="R402"/>
      <c r="S402"/>
      <c r="T402"/>
      <c r="U402"/>
      <c r="V402"/>
    </row>
    <row r="403" spans="1:22" x14ac:dyDescent="0.2">
      <c r="A403" t="s">
        <v>417</v>
      </c>
      <c r="B403" t="s">
        <v>934</v>
      </c>
      <c r="C403" s="152">
        <v>1090</v>
      </c>
      <c r="D403" s="152">
        <v>1900</v>
      </c>
      <c r="E403" s="152">
        <v>2990</v>
      </c>
      <c r="F403" s="152">
        <v>20313723.172224101</v>
      </c>
      <c r="G403" s="152">
        <v>45537509.006927602</v>
      </c>
      <c r="H403" s="152">
        <v>65851232.179151602</v>
      </c>
      <c r="I403" t="s">
        <v>867</v>
      </c>
      <c r="J403" t="s">
        <v>135</v>
      </c>
      <c r="K403">
        <v>649491</v>
      </c>
      <c r="L403" t="s">
        <v>932</v>
      </c>
      <c r="M403"/>
      <c r="N403"/>
      <c r="O403"/>
      <c r="P403"/>
      <c r="Q403" s="152"/>
      <c r="R403"/>
      <c r="S403"/>
      <c r="T403"/>
      <c r="U403"/>
      <c r="V403"/>
    </row>
    <row r="404" spans="1:22" x14ac:dyDescent="0.2">
      <c r="A404" t="s">
        <v>114</v>
      </c>
      <c r="B404" t="s">
        <v>942</v>
      </c>
      <c r="C404" s="152">
        <v>1096</v>
      </c>
      <c r="D404" s="152">
        <v>1805</v>
      </c>
      <c r="E404" s="152">
        <v>2901</v>
      </c>
      <c r="F404" s="152">
        <v>24308539.0263067</v>
      </c>
      <c r="G404" s="152">
        <v>52769669.553909302</v>
      </c>
      <c r="H404" s="152">
        <v>77078208.580216005</v>
      </c>
      <c r="I404" t="s">
        <v>867</v>
      </c>
      <c r="J404" t="s">
        <v>135</v>
      </c>
      <c r="K404">
        <v>520692</v>
      </c>
      <c r="L404" t="s">
        <v>927</v>
      </c>
      <c r="M404"/>
      <c r="N404"/>
      <c r="O404"/>
      <c r="P404"/>
      <c r="Q404" s="152"/>
      <c r="R404"/>
      <c r="S404"/>
      <c r="T404"/>
      <c r="U404"/>
      <c r="V404"/>
    </row>
    <row r="405" spans="1:22" x14ac:dyDescent="0.2">
      <c r="A405" t="s">
        <v>781</v>
      </c>
      <c r="B405" t="s">
        <v>816</v>
      </c>
      <c r="C405" s="152">
        <v>1250</v>
      </c>
      <c r="D405" s="152">
        <v>1641</v>
      </c>
      <c r="E405" s="152">
        <v>2891</v>
      </c>
      <c r="F405" s="152">
        <v>27874112.054493301</v>
      </c>
      <c r="G405" s="152">
        <v>45347654.577543899</v>
      </c>
      <c r="H405" s="152">
        <v>73221766.632037193</v>
      </c>
      <c r="I405" t="s">
        <v>867</v>
      </c>
      <c r="J405" t="s">
        <v>135</v>
      </c>
      <c r="K405">
        <v>170423</v>
      </c>
      <c r="L405" t="s">
        <v>815</v>
      </c>
      <c r="M405"/>
      <c r="N405"/>
      <c r="O405"/>
      <c r="P405"/>
      <c r="Q405" s="152"/>
      <c r="R405"/>
      <c r="S405"/>
      <c r="T405"/>
      <c r="U405"/>
      <c r="V405"/>
    </row>
    <row r="406" spans="1:22" x14ac:dyDescent="0.2">
      <c r="A406" t="s">
        <v>902</v>
      </c>
      <c r="B406" t="s">
        <v>132</v>
      </c>
      <c r="C406" s="152">
        <v>1317</v>
      </c>
      <c r="D406" s="152">
        <v>1563</v>
      </c>
      <c r="E406" s="152">
        <v>2880</v>
      </c>
      <c r="F406" s="152">
        <v>99443127.744073406</v>
      </c>
      <c r="G406" s="152">
        <v>139024783.21096659</v>
      </c>
      <c r="H406" s="152">
        <v>238467910.9550401</v>
      </c>
      <c r="I406" t="s">
        <v>867</v>
      </c>
      <c r="J406" t="s">
        <v>137</v>
      </c>
      <c r="K406">
        <v>2</v>
      </c>
      <c r="L406" t="s">
        <v>807</v>
      </c>
      <c r="M406"/>
      <c r="N406"/>
      <c r="O406"/>
      <c r="P406"/>
      <c r="Q406" s="152"/>
      <c r="R406"/>
      <c r="S406"/>
      <c r="T406"/>
      <c r="U406"/>
      <c r="V406"/>
    </row>
    <row r="407" spans="1:22" x14ac:dyDescent="0.2">
      <c r="A407" t="s">
        <v>183</v>
      </c>
      <c r="B407" t="s">
        <v>203</v>
      </c>
      <c r="C407" s="152">
        <v>1241</v>
      </c>
      <c r="D407" s="152">
        <v>1615</v>
      </c>
      <c r="E407" s="152">
        <v>2856</v>
      </c>
      <c r="F407" s="152">
        <v>25349234.939325102</v>
      </c>
      <c r="G407" s="152">
        <v>40857702.0094558</v>
      </c>
      <c r="H407" s="152">
        <v>66206936.948780902</v>
      </c>
      <c r="I407" t="s">
        <v>867</v>
      </c>
      <c r="J407" t="s">
        <v>135</v>
      </c>
      <c r="K407">
        <v>206250</v>
      </c>
      <c r="L407" t="s">
        <v>810</v>
      </c>
      <c r="M407"/>
      <c r="N407"/>
      <c r="O407"/>
      <c r="P407"/>
      <c r="Q407" s="152"/>
      <c r="R407"/>
      <c r="S407"/>
      <c r="T407"/>
      <c r="U407"/>
      <c r="V407"/>
    </row>
    <row r="408" spans="1:22" x14ac:dyDescent="0.2">
      <c r="A408" t="s">
        <v>735</v>
      </c>
      <c r="B408" t="s">
        <v>731</v>
      </c>
      <c r="C408" s="152">
        <v>1416</v>
      </c>
      <c r="D408" s="152">
        <v>1422</v>
      </c>
      <c r="E408" s="152">
        <v>2838</v>
      </c>
      <c r="F408" s="152">
        <v>28397653.3816415</v>
      </c>
      <c r="G408" s="152">
        <v>34719896.193094</v>
      </c>
      <c r="H408" s="152">
        <v>63117549.574735403</v>
      </c>
      <c r="I408" t="s">
        <v>742</v>
      </c>
      <c r="J408" t="s">
        <v>136</v>
      </c>
      <c r="K408">
        <v>252296</v>
      </c>
      <c r="L408" t="s">
        <v>913</v>
      </c>
      <c r="M408"/>
      <c r="N408"/>
      <c r="O408"/>
      <c r="P408"/>
      <c r="Q408" s="152"/>
      <c r="R408"/>
      <c r="S408"/>
      <c r="T408"/>
      <c r="U408"/>
      <c r="V408"/>
    </row>
    <row r="409" spans="1:22" x14ac:dyDescent="0.2">
      <c r="A409" t="s">
        <v>645</v>
      </c>
      <c r="B409" t="s">
        <v>652</v>
      </c>
      <c r="C409" s="152">
        <v>1232</v>
      </c>
      <c r="D409" s="152">
        <v>1585</v>
      </c>
      <c r="E409" s="152">
        <v>2817</v>
      </c>
      <c r="F409" s="152">
        <v>34499890.405182503</v>
      </c>
      <c r="G409" s="152">
        <v>59137041.6216667</v>
      </c>
      <c r="H409" s="152">
        <v>93636932.0268493</v>
      </c>
      <c r="I409" t="s">
        <v>867</v>
      </c>
      <c r="J409" t="s">
        <v>136</v>
      </c>
      <c r="K409">
        <v>483099</v>
      </c>
      <c r="L409" t="s">
        <v>815</v>
      </c>
      <c r="M409"/>
      <c r="N409"/>
      <c r="O409"/>
      <c r="P409"/>
      <c r="Q409" s="152"/>
      <c r="R409"/>
      <c r="S409"/>
      <c r="T409"/>
      <c r="U409"/>
      <c r="V409"/>
    </row>
    <row r="410" spans="1:22" x14ac:dyDescent="0.2">
      <c r="A410" t="s">
        <v>166</v>
      </c>
      <c r="B410" t="s">
        <v>828</v>
      </c>
      <c r="C410" s="152">
        <v>1342</v>
      </c>
      <c r="D410" s="152">
        <v>1444</v>
      </c>
      <c r="E410" s="152">
        <v>2786</v>
      </c>
      <c r="F410" s="152">
        <v>20730347.5140469</v>
      </c>
      <c r="G410" s="152">
        <v>26759699.138216801</v>
      </c>
      <c r="H410" s="152">
        <v>47490046.652263701</v>
      </c>
      <c r="I410" t="s">
        <v>742</v>
      </c>
      <c r="J410" t="s">
        <v>135</v>
      </c>
      <c r="K410">
        <v>532325</v>
      </c>
      <c r="L410" t="s">
        <v>918</v>
      </c>
      <c r="M410"/>
      <c r="N410"/>
      <c r="O410"/>
      <c r="P410"/>
      <c r="Q410" s="152"/>
      <c r="R410"/>
      <c r="S410"/>
      <c r="T410"/>
      <c r="U410"/>
      <c r="V410"/>
    </row>
    <row r="411" spans="1:22" x14ac:dyDescent="0.2">
      <c r="A411" t="s">
        <v>781</v>
      </c>
      <c r="B411" t="s">
        <v>790</v>
      </c>
      <c r="C411" s="152">
        <v>1296</v>
      </c>
      <c r="D411" s="152">
        <v>1466</v>
      </c>
      <c r="E411" s="152">
        <v>2762</v>
      </c>
      <c r="F411" s="152">
        <v>31572767.651748199</v>
      </c>
      <c r="G411" s="152">
        <v>43262151.117876701</v>
      </c>
      <c r="H411" s="152">
        <v>74834918.769624904</v>
      </c>
      <c r="I411" t="s">
        <v>867</v>
      </c>
      <c r="J411" t="s">
        <v>135</v>
      </c>
      <c r="K411">
        <v>403584</v>
      </c>
      <c r="L411" t="s">
        <v>810</v>
      </c>
      <c r="M411"/>
      <c r="N411"/>
      <c r="O411"/>
      <c r="P411"/>
      <c r="Q411" s="152"/>
      <c r="R411"/>
      <c r="S411"/>
      <c r="T411"/>
      <c r="U411"/>
      <c r="V411"/>
    </row>
    <row r="412" spans="1:22" x14ac:dyDescent="0.2">
      <c r="A412" t="s">
        <v>781</v>
      </c>
      <c r="B412" t="s">
        <v>976</v>
      </c>
      <c r="C412" s="152">
        <v>1430</v>
      </c>
      <c r="D412" s="152">
        <v>1325</v>
      </c>
      <c r="E412" s="152">
        <v>2755</v>
      </c>
      <c r="F412" s="152">
        <v>34227146.06961</v>
      </c>
      <c r="G412" s="152">
        <v>39314236.135345303</v>
      </c>
      <c r="H412" s="152">
        <v>73541382.204955295</v>
      </c>
      <c r="I412" t="s">
        <v>867</v>
      </c>
      <c r="J412" t="s">
        <v>135</v>
      </c>
      <c r="K412">
        <v>184416</v>
      </c>
      <c r="L412" t="s">
        <v>785</v>
      </c>
      <c r="M412"/>
      <c r="N412"/>
      <c r="O412"/>
      <c r="P412"/>
      <c r="Q412" s="152"/>
      <c r="R412"/>
      <c r="S412"/>
      <c r="T412"/>
      <c r="U412"/>
      <c r="V412"/>
    </row>
    <row r="413" spans="1:22" x14ac:dyDescent="0.2">
      <c r="A413" t="s">
        <v>49</v>
      </c>
      <c r="B413" t="s">
        <v>1034</v>
      </c>
      <c r="C413" s="152">
        <v>1451</v>
      </c>
      <c r="D413" s="152">
        <v>1282</v>
      </c>
      <c r="E413" s="152">
        <v>2733</v>
      </c>
      <c r="F413" s="152">
        <v>19677600.7553491</v>
      </c>
      <c r="G413" s="152">
        <v>22019202.191864401</v>
      </c>
      <c r="H413" s="152">
        <v>41696802.947213501</v>
      </c>
      <c r="I413" t="s">
        <v>742</v>
      </c>
      <c r="J413" t="s">
        <v>135</v>
      </c>
      <c r="K413">
        <v>571695</v>
      </c>
      <c r="L413" t="s">
        <v>981</v>
      </c>
      <c r="M413"/>
      <c r="N413"/>
      <c r="O413"/>
      <c r="P413"/>
      <c r="Q413" s="152"/>
      <c r="R413"/>
      <c r="S413"/>
      <c r="T413"/>
      <c r="U413"/>
      <c r="V413"/>
    </row>
    <row r="414" spans="1:22" x14ac:dyDescent="0.2">
      <c r="A414" t="s">
        <v>578</v>
      </c>
      <c r="B414" t="s">
        <v>581</v>
      </c>
      <c r="C414" s="152">
        <v>1047</v>
      </c>
      <c r="D414" s="152">
        <v>1659</v>
      </c>
      <c r="E414" s="152">
        <v>2706</v>
      </c>
      <c r="F414" s="152">
        <v>41068124.492699802</v>
      </c>
      <c r="G414" s="152">
        <v>88248103.354215994</v>
      </c>
      <c r="H414" s="152">
        <v>129316227.84691601</v>
      </c>
      <c r="I414" t="s">
        <v>867</v>
      </c>
      <c r="J414" t="s">
        <v>136</v>
      </c>
      <c r="K414">
        <v>294918</v>
      </c>
      <c r="L414" t="s">
        <v>795</v>
      </c>
      <c r="M414"/>
      <c r="N414"/>
      <c r="O414"/>
      <c r="P414"/>
      <c r="Q414" s="152"/>
      <c r="R414"/>
      <c r="S414"/>
      <c r="T414"/>
      <c r="U414"/>
      <c r="V414"/>
    </row>
    <row r="415" spans="1:22" x14ac:dyDescent="0.2">
      <c r="A415" t="s">
        <v>150</v>
      </c>
      <c r="B415" t="s">
        <v>152</v>
      </c>
      <c r="C415" s="152">
        <v>1141</v>
      </c>
      <c r="D415" s="152">
        <v>1535</v>
      </c>
      <c r="E415" s="152">
        <v>2676</v>
      </c>
      <c r="F415" s="152">
        <v>21181830.776941098</v>
      </c>
      <c r="G415" s="152">
        <v>37150416.075632699</v>
      </c>
      <c r="H415" s="152">
        <v>58332246.852573797</v>
      </c>
      <c r="I415" t="s">
        <v>742</v>
      </c>
      <c r="J415" t="s">
        <v>135</v>
      </c>
      <c r="K415">
        <v>477729</v>
      </c>
      <c r="L415" t="s">
        <v>403</v>
      </c>
      <c r="M415"/>
      <c r="N415"/>
      <c r="O415"/>
      <c r="P415"/>
      <c r="Q415" s="152"/>
      <c r="R415"/>
      <c r="S415"/>
      <c r="T415"/>
      <c r="U415"/>
      <c r="V415"/>
    </row>
    <row r="416" spans="1:22" x14ac:dyDescent="0.2">
      <c r="A416" t="s">
        <v>96</v>
      </c>
      <c r="B416" t="s">
        <v>361</v>
      </c>
      <c r="C416" s="152">
        <v>970</v>
      </c>
      <c r="D416" s="152">
        <v>1671</v>
      </c>
      <c r="E416" s="152">
        <v>2641</v>
      </c>
      <c r="F416" s="152">
        <v>12515827.757787401</v>
      </c>
      <c r="G416" s="152">
        <v>27305563.979867902</v>
      </c>
      <c r="H416" s="152">
        <v>39821391.7376552</v>
      </c>
      <c r="I416" t="s">
        <v>742</v>
      </c>
      <c r="J416" t="s">
        <v>135</v>
      </c>
      <c r="K416">
        <v>125856</v>
      </c>
      <c r="L416" t="s">
        <v>930</v>
      </c>
      <c r="M416"/>
      <c r="N416"/>
      <c r="O416"/>
      <c r="P416"/>
      <c r="Q416" s="152"/>
      <c r="R416"/>
      <c r="S416"/>
      <c r="T416"/>
      <c r="U416"/>
      <c r="V416"/>
    </row>
    <row r="417" spans="1:22" x14ac:dyDescent="0.2">
      <c r="A417" t="s">
        <v>735</v>
      </c>
      <c r="B417" t="s">
        <v>503</v>
      </c>
      <c r="C417" s="152">
        <v>1139</v>
      </c>
      <c r="D417" s="152">
        <v>1494</v>
      </c>
      <c r="E417" s="152">
        <v>2633</v>
      </c>
      <c r="F417" s="152">
        <v>27800326.630834799</v>
      </c>
      <c r="G417" s="152">
        <v>41881864.629137397</v>
      </c>
      <c r="H417" s="152">
        <v>69682191.2599722</v>
      </c>
      <c r="I417" t="s">
        <v>742</v>
      </c>
      <c r="J417" t="s">
        <v>136</v>
      </c>
      <c r="K417">
        <v>959098</v>
      </c>
      <c r="L417" t="s">
        <v>880</v>
      </c>
      <c r="M417"/>
      <c r="N417"/>
      <c r="O417"/>
      <c r="P417"/>
      <c r="Q417" s="152"/>
      <c r="R417"/>
      <c r="S417"/>
      <c r="T417"/>
      <c r="U417"/>
      <c r="V417"/>
    </row>
    <row r="418" spans="1:22" x14ac:dyDescent="0.2">
      <c r="A418" t="s">
        <v>166</v>
      </c>
      <c r="B418" t="s">
        <v>1089</v>
      </c>
      <c r="C418" s="152">
        <v>1092</v>
      </c>
      <c r="D418" s="152">
        <v>1458</v>
      </c>
      <c r="E418" s="152">
        <v>2550</v>
      </c>
      <c r="F418" s="152">
        <v>15786515.0688299</v>
      </c>
      <c r="G418" s="152">
        <v>27070992.2624452</v>
      </c>
      <c r="H418" s="152">
        <v>42857507.331275098</v>
      </c>
      <c r="I418" t="s">
        <v>742</v>
      </c>
      <c r="J418" t="s">
        <v>135</v>
      </c>
      <c r="K418">
        <v>503573</v>
      </c>
      <c r="L418" t="s">
        <v>1083</v>
      </c>
      <c r="M418"/>
      <c r="N418"/>
      <c r="O418"/>
      <c r="P418"/>
      <c r="Q418" s="152"/>
      <c r="R418"/>
      <c r="S418"/>
      <c r="T418"/>
      <c r="U418"/>
      <c r="V418"/>
    </row>
    <row r="419" spans="1:22" x14ac:dyDescent="0.2">
      <c r="A419" t="s">
        <v>416</v>
      </c>
      <c r="B419" t="s">
        <v>946</v>
      </c>
      <c r="C419" s="152">
        <v>928</v>
      </c>
      <c r="D419" s="152">
        <v>1589</v>
      </c>
      <c r="E419" s="152">
        <v>2517</v>
      </c>
      <c r="F419" s="152">
        <v>21250597.5864526</v>
      </c>
      <c r="G419" s="152">
        <v>46802964.6978314</v>
      </c>
      <c r="H419" s="152">
        <v>68053562.284283996</v>
      </c>
      <c r="I419" t="s">
        <v>742</v>
      </c>
      <c r="J419" t="s">
        <v>135</v>
      </c>
      <c r="K419">
        <v>123497</v>
      </c>
      <c r="L419" t="s">
        <v>450</v>
      </c>
      <c r="M419"/>
      <c r="N419"/>
      <c r="O419"/>
      <c r="P419"/>
      <c r="Q419" s="152"/>
      <c r="R419"/>
      <c r="S419"/>
      <c r="T419"/>
      <c r="U419"/>
      <c r="V419"/>
    </row>
    <row r="420" spans="1:22" x14ac:dyDescent="0.2">
      <c r="A420" t="s">
        <v>417</v>
      </c>
      <c r="B420" t="s">
        <v>453</v>
      </c>
      <c r="C420" s="152">
        <v>1153</v>
      </c>
      <c r="D420" s="152">
        <v>1349</v>
      </c>
      <c r="E420" s="152">
        <v>2502</v>
      </c>
      <c r="F420" s="152">
        <v>19632668.2772885</v>
      </c>
      <c r="G420" s="152">
        <v>32919267.237484101</v>
      </c>
      <c r="H420" s="152">
        <v>52551935.514772601</v>
      </c>
      <c r="I420" t="s">
        <v>742</v>
      </c>
      <c r="J420" t="s">
        <v>135</v>
      </c>
      <c r="K420">
        <v>473231</v>
      </c>
      <c r="L420" t="s">
        <v>909</v>
      </c>
      <c r="M420"/>
      <c r="N420"/>
      <c r="O420"/>
      <c r="P420"/>
      <c r="Q420" s="152"/>
      <c r="R420"/>
      <c r="S420"/>
      <c r="T420"/>
      <c r="U420"/>
      <c r="V420"/>
    </row>
    <row r="421" spans="1:22" x14ac:dyDescent="0.2">
      <c r="A421" t="s">
        <v>338</v>
      </c>
      <c r="B421" t="s">
        <v>900</v>
      </c>
      <c r="C421" s="152">
        <v>1301</v>
      </c>
      <c r="D421" s="152">
        <v>1195</v>
      </c>
      <c r="E421" s="152">
        <v>2496</v>
      </c>
      <c r="F421" s="152">
        <v>20447152.617019899</v>
      </c>
      <c r="G421" s="152">
        <v>22406977.802976102</v>
      </c>
      <c r="H421" s="152">
        <v>42854130.419996098</v>
      </c>
      <c r="I421" t="s">
        <v>742</v>
      </c>
      <c r="J421" t="s">
        <v>137</v>
      </c>
      <c r="K421">
        <v>996348</v>
      </c>
      <c r="L421" t="s">
        <v>899</v>
      </c>
      <c r="M421"/>
      <c r="N421"/>
      <c r="O421"/>
      <c r="P421"/>
      <c r="Q421" s="152"/>
      <c r="R421"/>
      <c r="S421"/>
      <c r="T421"/>
      <c r="U421"/>
      <c r="V421"/>
    </row>
    <row r="422" spans="1:22" x14ac:dyDescent="0.2">
      <c r="A422" t="s">
        <v>268</v>
      </c>
      <c r="B422" t="s">
        <v>280</v>
      </c>
      <c r="C422" s="152">
        <v>1003</v>
      </c>
      <c r="D422" s="152">
        <v>1466</v>
      </c>
      <c r="E422" s="152">
        <v>2469</v>
      </c>
      <c r="F422" s="152">
        <v>21761728.642464001</v>
      </c>
      <c r="G422" s="152">
        <v>37563902.2663683</v>
      </c>
      <c r="H422" s="152">
        <v>59325630.908832297</v>
      </c>
      <c r="I422" t="s">
        <v>742</v>
      </c>
      <c r="J422" t="s">
        <v>135</v>
      </c>
      <c r="K422">
        <v>821389</v>
      </c>
      <c r="L422" t="s">
        <v>868</v>
      </c>
      <c r="M422"/>
      <c r="N422"/>
      <c r="O422"/>
      <c r="P422"/>
      <c r="Q422" s="152"/>
      <c r="R422"/>
      <c r="S422"/>
      <c r="T422"/>
      <c r="U422"/>
      <c r="V422"/>
    </row>
    <row r="423" spans="1:22" x14ac:dyDescent="0.2">
      <c r="A423" t="s">
        <v>735</v>
      </c>
      <c r="B423" t="s">
        <v>370</v>
      </c>
      <c r="C423" s="152">
        <v>1024</v>
      </c>
      <c r="D423" s="152">
        <v>1419</v>
      </c>
      <c r="E423" s="152">
        <v>2443</v>
      </c>
      <c r="F423" s="152">
        <v>31473933.454539701</v>
      </c>
      <c r="G423" s="152">
        <v>53493522.252633899</v>
      </c>
      <c r="H423" s="152">
        <v>84967455.707173601</v>
      </c>
      <c r="I423" t="s">
        <v>742</v>
      </c>
      <c r="J423" t="s">
        <v>136</v>
      </c>
      <c r="K423">
        <v>537639</v>
      </c>
      <c r="L423" t="s">
        <v>1000</v>
      </c>
      <c r="M423"/>
      <c r="N423"/>
      <c r="O423"/>
      <c r="P423"/>
      <c r="Q423" s="152"/>
      <c r="R423"/>
      <c r="S423"/>
      <c r="T423"/>
      <c r="U423"/>
      <c r="V423"/>
    </row>
    <row r="424" spans="1:22" x14ac:dyDescent="0.2">
      <c r="A424" t="s">
        <v>166</v>
      </c>
      <c r="B424" t="s">
        <v>980</v>
      </c>
      <c r="C424" s="152">
        <v>1148</v>
      </c>
      <c r="D424" s="152">
        <v>1288</v>
      </c>
      <c r="E424" s="152">
        <v>2436</v>
      </c>
      <c r="F424" s="152">
        <v>20017480.542461399</v>
      </c>
      <c r="G424" s="152">
        <v>26812660.312947001</v>
      </c>
      <c r="H424" s="152">
        <v>46830140.8554084</v>
      </c>
      <c r="I424" t="s">
        <v>742</v>
      </c>
      <c r="J424" t="s">
        <v>135</v>
      </c>
      <c r="K424">
        <v>352468</v>
      </c>
      <c r="L424" t="s">
        <v>981</v>
      </c>
      <c r="M424"/>
      <c r="N424"/>
      <c r="O424"/>
      <c r="P424"/>
      <c r="Q424" s="152"/>
      <c r="R424"/>
      <c r="S424"/>
      <c r="T424"/>
      <c r="U424"/>
      <c r="V424"/>
    </row>
    <row r="425" spans="1:22" x14ac:dyDescent="0.2">
      <c r="A425" t="s">
        <v>338</v>
      </c>
      <c r="B425" t="s">
        <v>1135</v>
      </c>
      <c r="C425" s="152">
        <v>1288</v>
      </c>
      <c r="D425" s="152">
        <v>1145</v>
      </c>
      <c r="E425" s="152">
        <v>2433</v>
      </c>
      <c r="F425" s="152">
        <v>108388550.666573</v>
      </c>
      <c r="G425" s="152">
        <v>110194453.27333599</v>
      </c>
      <c r="H425" s="152">
        <v>218583003.93990901</v>
      </c>
      <c r="I425" t="s">
        <v>867</v>
      </c>
      <c r="J425" t="s">
        <v>137</v>
      </c>
      <c r="K425">
        <v>615310</v>
      </c>
      <c r="L425" t="s">
        <v>1134</v>
      </c>
      <c r="M425"/>
      <c r="N425"/>
      <c r="O425"/>
      <c r="P425"/>
      <c r="Q425" s="152"/>
      <c r="R425"/>
      <c r="S425"/>
      <c r="T425"/>
      <c r="U425"/>
      <c r="V425"/>
    </row>
    <row r="426" spans="1:22" x14ac:dyDescent="0.2">
      <c r="A426" t="s">
        <v>234</v>
      </c>
      <c r="B426" t="s">
        <v>250</v>
      </c>
      <c r="C426" s="152">
        <v>1060</v>
      </c>
      <c r="D426" s="152">
        <v>1335</v>
      </c>
      <c r="E426" s="152">
        <v>2395</v>
      </c>
      <c r="F426" s="152">
        <v>16995014.755801</v>
      </c>
      <c r="G426" s="152">
        <v>27222833.312584601</v>
      </c>
      <c r="H426" s="152">
        <v>44217848.068385601</v>
      </c>
      <c r="I426" t="s">
        <v>867</v>
      </c>
      <c r="J426" t="s">
        <v>135</v>
      </c>
      <c r="K426">
        <v>286948</v>
      </c>
      <c r="L426" t="s">
        <v>37</v>
      </c>
      <c r="M426"/>
      <c r="N426"/>
      <c r="O426"/>
      <c r="P426"/>
      <c r="Q426" s="152"/>
      <c r="R426"/>
      <c r="S426"/>
      <c r="T426"/>
      <c r="U426"/>
      <c r="V426"/>
    </row>
    <row r="427" spans="1:22" x14ac:dyDescent="0.2">
      <c r="A427" t="s">
        <v>166</v>
      </c>
      <c r="B427" t="s">
        <v>873</v>
      </c>
      <c r="C427" s="152">
        <v>1072</v>
      </c>
      <c r="D427" s="152">
        <v>1295</v>
      </c>
      <c r="E427" s="152">
        <v>2367</v>
      </c>
      <c r="F427" s="152">
        <v>17959713.5542791</v>
      </c>
      <c r="G427" s="152">
        <v>25900847.879673101</v>
      </c>
      <c r="H427" s="152">
        <v>43860561.433952197</v>
      </c>
      <c r="I427" t="s">
        <v>742</v>
      </c>
      <c r="J427" t="s">
        <v>135</v>
      </c>
      <c r="K427">
        <v>985895</v>
      </c>
      <c r="L427" t="s">
        <v>65</v>
      </c>
      <c r="M427"/>
      <c r="N427"/>
      <c r="O427"/>
      <c r="P427"/>
      <c r="Q427" s="152"/>
      <c r="R427"/>
      <c r="S427"/>
      <c r="T427"/>
      <c r="U427"/>
      <c r="V427"/>
    </row>
    <row r="428" spans="1:22" x14ac:dyDescent="0.2">
      <c r="A428" t="s">
        <v>150</v>
      </c>
      <c r="B428" t="s">
        <v>704</v>
      </c>
      <c r="C428" s="152">
        <v>982</v>
      </c>
      <c r="D428" s="152">
        <v>1375</v>
      </c>
      <c r="E428" s="152">
        <v>2357</v>
      </c>
      <c r="F428" s="152">
        <v>18794992.989679899</v>
      </c>
      <c r="G428" s="152">
        <v>34098483.254258603</v>
      </c>
      <c r="H428" s="152">
        <v>52893476.243938498</v>
      </c>
      <c r="I428" t="s">
        <v>742</v>
      </c>
      <c r="J428" t="s">
        <v>135</v>
      </c>
      <c r="K428">
        <v>169060</v>
      </c>
      <c r="L428" t="s">
        <v>930</v>
      </c>
      <c r="M428"/>
      <c r="N428"/>
      <c r="O428"/>
      <c r="P428"/>
      <c r="Q428" s="152"/>
      <c r="R428"/>
      <c r="S428"/>
      <c r="T428"/>
      <c r="U428"/>
      <c r="V428"/>
    </row>
    <row r="429" spans="1:22" x14ac:dyDescent="0.2">
      <c r="A429" t="s">
        <v>338</v>
      </c>
      <c r="B429" t="s">
        <v>1078</v>
      </c>
      <c r="C429" s="152">
        <v>1207</v>
      </c>
      <c r="D429" s="152">
        <v>1126</v>
      </c>
      <c r="E429" s="152">
        <v>2333</v>
      </c>
      <c r="F429" s="152">
        <v>49122053.175593503</v>
      </c>
      <c r="G429" s="152">
        <v>52640853.961697698</v>
      </c>
      <c r="H429" s="152">
        <v>101762907.137291</v>
      </c>
      <c r="I429" t="s">
        <v>867</v>
      </c>
      <c r="J429" t="s">
        <v>137</v>
      </c>
      <c r="K429">
        <v>781716</v>
      </c>
      <c r="L429" t="s">
        <v>1068</v>
      </c>
      <c r="M429"/>
      <c r="N429"/>
      <c r="O429"/>
      <c r="P429"/>
      <c r="Q429" s="152"/>
      <c r="R429"/>
      <c r="S429"/>
      <c r="T429"/>
      <c r="U429"/>
      <c r="V429"/>
    </row>
    <row r="430" spans="1:22" x14ac:dyDescent="0.2">
      <c r="A430" t="s">
        <v>150</v>
      </c>
      <c r="B430" t="s">
        <v>158</v>
      </c>
      <c r="C430" s="152">
        <v>959</v>
      </c>
      <c r="D430" s="152">
        <v>1372</v>
      </c>
      <c r="E430" s="152">
        <v>2331</v>
      </c>
      <c r="F430" s="152">
        <v>21397994.650771901</v>
      </c>
      <c r="G430" s="152">
        <v>38673500.5234496</v>
      </c>
      <c r="H430" s="152">
        <v>60071495.174221501</v>
      </c>
      <c r="I430" t="s">
        <v>742</v>
      </c>
      <c r="J430" t="s">
        <v>135</v>
      </c>
      <c r="K430">
        <v>401810</v>
      </c>
      <c r="L430" t="s">
        <v>872</v>
      </c>
      <c r="M430"/>
      <c r="N430"/>
      <c r="O430"/>
      <c r="P430"/>
      <c r="Q430" s="152"/>
      <c r="R430"/>
      <c r="S430"/>
      <c r="T430"/>
      <c r="U430"/>
      <c r="V430"/>
    </row>
    <row r="431" spans="1:22" x14ac:dyDescent="0.2">
      <c r="A431" t="s">
        <v>254</v>
      </c>
      <c r="B431" t="s">
        <v>366</v>
      </c>
      <c r="C431" s="152">
        <v>1133</v>
      </c>
      <c r="D431" s="152">
        <v>1194</v>
      </c>
      <c r="E431" s="152">
        <v>2327</v>
      </c>
      <c r="F431" s="152">
        <v>7226959.5268205898</v>
      </c>
      <c r="G431" s="152">
        <v>10843240.663233001</v>
      </c>
      <c r="H431" s="152">
        <v>18070200.190053601</v>
      </c>
      <c r="I431" t="s">
        <v>742</v>
      </c>
      <c r="J431" t="s">
        <v>135</v>
      </c>
      <c r="K431">
        <v>269175</v>
      </c>
      <c r="L431" t="s">
        <v>930</v>
      </c>
      <c r="M431"/>
      <c r="N431"/>
      <c r="O431"/>
      <c r="P431"/>
      <c r="Q431" s="152"/>
      <c r="R431"/>
      <c r="S431"/>
      <c r="T431"/>
      <c r="U431"/>
      <c r="V431"/>
    </row>
    <row r="432" spans="1:22" x14ac:dyDescent="0.2">
      <c r="A432" t="s">
        <v>166</v>
      </c>
      <c r="B432" t="s">
        <v>358</v>
      </c>
      <c r="C432" s="152">
        <v>1000</v>
      </c>
      <c r="D432" s="152">
        <v>1312</v>
      </c>
      <c r="E432" s="152">
        <v>2312</v>
      </c>
      <c r="F432" s="152">
        <v>15524986.6819067</v>
      </c>
      <c r="G432" s="152">
        <v>23386147.479017898</v>
      </c>
      <c r="H432" s="152">
        <v>38911134.160924599</v>
      </c>
      <c r="I432" t="s">
        <v>742</v>
      </c>
      <c r="J432" t="s">
        <v>135</v>
      </c>
      <c r="K432">
        <v>467985</v>
      </c>
      <c r="L432" t="s">
        <v>520</v>
      </c>
      <c r="M432"/>
      <c r="N432"/>
      <c r="O432"/>
      <c r="P432"/>
      <c r="Q432" s="152"/>
      <c r="R432"/>
      <c r="S432"/>
      <c r="T432"/>
      <c r="U432"/>
      <c r="V432"/>
    </row>
    <row r="433" spans="1:22" x14ac:dyDescent="0.2">
      <c r="A433" t="s">
        <v>781</v>
      </c>
      <c r="B433" t="s">
        <v>458</v>
      </c>
      <c r="C433" s="152">
        <v>1330</v>
      </c>
      <c r="D433" s="152">
        <v>973</v>
      </c>
      <c r="E433" s="152">
        <v>2303</v>
      </c>
      <c r="F433" s="152">
        <v>14861519.5089805</v>
      </c>
      <c r="G433" s="152">
        <v>13405740.703519899</v>
      </c>
      <c r="H433" s="152">
        <v>28267260.212500401</v>
      </c>
      <c r="I433" t="s">
        <v>867</v>
      </c>
      <c r="J433" t="s">
        <v>135</v>
      </c>
      <c r="K433">
        <v>584979</v>
      </c>
      <c r="L433" t="s">
        <v>459</v>
      </c>
      <c r="M433"/>
      <c r="N433"/>
      <c r="O433"/>
      <c r="P433"/>
      <c r="Q433" s="152"/>
      <c r="R433"/>
      <c r="S433"/>
      <c r="T433"/>
      <c r="U433"/>
      <c r="V433"/>
    </row>
    <row r="434" spans="1:22" x14ac:dyDescent="0.2">
      <c r="A434" t="s">
        <v>114</v>
      </c>
      <c r="B434" t="s">
        <v>1023</v>
      </c>
      <c r="C434" s="152">
        <v>1048</v>
      </c>
      <c r="D434" s="152">
        <v>1208</v>
      </c>
      <c r="E434" s="152">
        <v>2256</v>
      </c>
      <c r="F434" s="152">
        <v>11607337.003029799</v>
      </c>
      <c r="G434" s="152">
        <v>18820478.436169598</v>
      </c>
      <c r="H434" s="152">
        <v>30427815.439199399</v>
      </c>
      <c r="I434" t="s">
        <v>742</v>
      </c>
      <c r="J434" t="s">
        <v>135</v>
      </c>
      <c r="K434">
        <v>889261</v>
      </c>
      <c r="L434" t="s">
        <v>99</v>
      </c>
      <c r="M434"/>
      <c r="N434"/>
      <c r="O434"/>
      <c r="P434"/>
      <c r="Q434" s="152"/>
      <c r="R434"/>
      <c r="S434"/>
      <c r="T434"/>
      <c r="U434"/>
      <c r="V434"/>
    </row>
    <row r="435" spans="1:22" x14ac:dyDescent="0.2">
      <c r="A435" t="s">
        <v>166</v>
      </c>
      <c r="B435" t="s">
        <v>856</v>
      </c>
      <c r="C435" s="152">
        <v>1147</v>
      </c>
      <c r="D435" s="152">
        <v>1085</v>
      </c>
      <c r="E435" s="152">
        <v>2232</v>
      </c>
      <c r="F435" s="152">
        <v>51151648.064946897</v>
      </c>
      <c r="G435" s="152">
        <v>57729774.229389198</v>
      </c>
      <c r="H435" s="152">
        <v>108881422.29433601</v>
      </c>
      <c r="I435" t="s">
        <v>867</v>
      </c>
      <c r="J435" t="s">
        <v>135</v>
      </c>
      <c r="K435">
        <v>993097</v>
      </c>
      <c r="L435" t="s">
        <v>932</v>
      </c>
      <c r="M435"/>
      <c r="N435"/>
      <c r="O435"/>
      <c r="P435"/>
      <c r="Q435" s="152"/>
      <c r="R435"/>
      <c r="S435"/>
      <c r="T435"/>
      <c r="U435"/>
      <c r="V435"/>
    </row>
    <row r="436" spans="1:22" x14ac:dyDescent="0.2">
      <c r="A436" t="s">
        <v>717</v>
      </c>
      <c r="B436" t="s">
        <v>1085</v>
      </c>
      <c r="C436" s="152">
        <v>1080</v>
      </c>
      <c r="D436" s="152">
        <v>1146</v>
      </c>
      <c r="E436" s="152">
        <v>2226</v>
      </c>
      <c r="F436" s="152">
        <v>39158602.3906084</v>
      </c>
      <c r="G436" s="152">
        <v>52202097.919698797</v>
      </c>
      <c r="H436" s="152">
        <v>91360700.310307205</v>
      </c>
      <c r="I436" t="s">
        <v>867</v>
      </c>
      <c r="J436" t="s">
        <v>136</v>
      </c>
      <c r="K436">
        <v>189662</v>
      </c>
      <c r="L436" t="s">
        <v>877</v>
      </c>
      <c r="M436"/>
      <c r="N436"/>
      <c r="O436"/>
      <c r="P436"/>
      <c r="Q436" s="152"/>
      <c r="R436"/>
      <c r="S436"/>
      <c r="T436"/>
      <c r="U436"/>
      <c r="V436"/>
    </row>
    <row r="437" spans="1:22" x14ac:dyDescent="0.2">
      <c r="A437" t="s">
        <v>166</v>
      </c>
      <c r="B437" t="s">
        <v>170</v>
      </c>
      <c r="C437" s="152">
        <v>1273</v>
      </c>
      <c r="D437" s="152">
        <v>916</v>
      </c>
      <c r="E437" s="152">
        <v>2189</v>
      </c>
      <c r="F437" s="152">
        <v>19676753.9496434</v>
      </c>
      <c r="G437" s="152">
        <v>18535811.370189</v>
      </c>
      <c r="H437" s="152">
        <v>38212565.319832399</v>
      </c>
      <c r="I437" t="s">
        <v>867</v>
      </c>
      <c r="J437" t="s">
        <v>135</v>
      </c>
      <c r="K437">
        <v>522581</v>
      </c>
      <c r="L437" t="s">
        <v>810</v>
      </c>
      <c r="M437"/>
      <c r="N437"/>
      <c r="O437"/>
      <c r="P437"/>
      <c r="Q437" s="152"/>
      <c r="R437"/>
      <c r="S437"/>
      <c r="T437"/>
      <c r="U437"/>
      <c r="V437"/>
    </row>
    <row r="438" spans="1:22" x14ac:dyDescent="0.2">
      <c r="A438" t="s">
        <v>721</v>
      </c>
      <c r="B438" t="s">
        <v>954</v>
      </c>
      <c r="C438" s="152">
        <v>1097</v>
      </c>
      <c r="D438" s="152">
        <v>1055</v>
      </c>
      <c r="E438" s="152">
        <v>2152</v>
      </c>
      <c r="F438" s="152">
        <v>22201029.316401199</v>
      </c>
      <c r="G438" s="152">
        <v>25164784.878145799</v>
      </c>
      <c r="H438" s="152">
        <v>47365814.194547102</v>
      </c>
      <c r="I438" t="s">
        <v>742</v>
      </c>
      <c r="J438" t="s">
        <v>136</v>
      </c>
      <c r="K438">
        <v>443721</v>
      </c>
      <c r="L438" t="s">
        <v>112</v>
      </c>
      <c r="M438"/>
      <c r="N438"/>
      <c r="O438"/>
      <c r="P438"/>
      <c r="Q438" s="152"/>
      <c r="R438"/>
      <c r="S438"/>
      <c r="T438"/>
      <c r="U438"/>
      <c r="V438"/>
    </row>
    <row r="439" spans="1:22" x14ac:dyDescent="0.2">
      <c r="A439" t="s">
        <v>166</v>
      </c>
      <c r="B439" t="s">
        <v>1073</v>
      </c>
      <c r="C439" s="152">
        <v>1090</v>
      </c>
      <c r="D439" s="152">
        <v>1059</v>
      </c>
      <c r="E439" s="152">
        <v>2149</v>
      </c>
      <c r="F439" s="152">
        <v>18541661.995194901</v>
      </c>
      <c r="G439" s="152">
        <v>22046832.395589702</v>
      </c>
      <c r="H439" s="152">
        <v>40588494.390784599</v>
      </c>
      <c r="I439" t="s">
        <v>742</v>
      </c>
      <c r="J439" t="s">
        <v>135</v>
      </c>
      <c r="K439">
        <v>872200</v>
      </c>
      <c r="L439" t="s">
        <v>20</v>
      </c>
      <c r="M439"/>
      <c r="N439"/>
      <c r="O439"/>
      <c r="P439"/>
      <c r="Q439" s="152"/>
      <c r="R439"/>
      <c r="S439"/>
      <c r="T439"/>
      <c r="U439"/>
      <c r="V439"/>
    </row>
    <row r="440" spans="1:22" x14ac:dyDescent="0.2">
      <c r="A440" t="s">
        <v>416</v>
      </c>
      <c r="B440" t="s">
        <v>460</v>
      </c>
      <c r="C440" s="152">
        <v>1193</v>
      </c>
      <c r="D440" s="152">
        <v>943</v>
      </c>
      <c r="E440" s="152">
        <v>2136</v>
      </c>
      <c r="F440" s="152">
        <v>7335879.7256817203</v>
      </c>
      <c r="G440" s="152">
        <v>9064960.8230270706</v>
      </c>
      <c r="H440" s="152">
        <v>16400840.5487088</v>
      </c>
      <c r="I440" t="s">
        <v>867</v>
      </c>
      <c r="J440" t="s">
        <v>135</v>
      </c>
      <c r="K440">
        <v>620807</v>
      </c>
      <c r="L440" t="s">
        <v>459</v>
      </c>
      <c r="M440"/>
      <c r="N440"/>
      <c r="O440"/>
      <c r="P440"/>
      <c r="Q440" s="152"/>
      <c r="R440"/>
      <c r="S440"/>
      <c r="T440"/>
      <c r="U440"/>
      <c r="V440"/>
    </row>
    <row r="441" spans="1:22" x14ac:dyDescent="0.2">
      <c r="A441" t="s">
        <v>293</v>
      </c>
      <c r="B441" t="s">
        <v>196</v>
      </c>
      <c r="C441" s="152">
        <v>687</v>
      </c>
      <c r="D441" s="152">
        <v>1442</v>
      </c>
      <c r="E441" s="152">
        <v>2129</v>
      </c>
      <c r="F441" s="152">
        <v>10635260.8957783</v>
      </c>
      <c r="G441" s="152">
        <v>26442022.500335</v>
      </c>
      <c r="H441" s="152">
        <v>37077283.396113202</v>
      </c>
      <c r="I441" t="s">
        <v>742</v>
      </c>
      <c r="J441" t="s">
        <v>135</v>
      </c>
      <c r="K441">
        <v>650796</v>
      </c>
      <c r="L441" t="s">
        <v>99</v>
      </c>
      <c r="M441"/>
      <c r="N441"/>
      <c r="O441"/>
      <c r="P441"/>
      <c r="Q441" s="152"/>
      <c r="R441"/>
      <c r="S441"/>
      <c r="T441"/>
      <c r="U441"/>
      <c r="V441"/>
    </row>
    <row r="442" spans="1:22" x14ac:dyDescent="0.2">
      <c r="A442" t="s">
        <v>338</v>
      </c>
      <c r="B442" t="s">
        <v>359</v>
      </c>
      <c r="C442" s="152">
        <v>1031</v>
      </c>
      <c r="D442" s="152">
        <v>1092</v>
      </c>
      <c r="E442" s="152">
        <v>2123</v>
      </c>
      <c r="F442" s="152">
        <v>16739736.605516599</v>
      </c>
      <c r="G442" s="152">
        <v>21463456.2277443</v>
      </c>
      <c r="H442" s="152">
        <v>38203192.833260901</v>
      </c>
      <c r="I442" t="s">
        <v>742</v>
      </c>
      <c r="J442" t="s">
        <v>137</v>
      </c>
      <c r="K442">
        <v>794115</v>
      </c>
      <c r="L442" t="s">
        <v>99</v>
      </c>
      <c r="M442"/>
      <c r="N442"/>
      <c r="O442"/>
      <c r="P442"/>
      <c r="Q442" s="152"/>
      <c r="R442"/>
      <c r="S442"/>
      <c r="T442"/>
      <c r="U442"/>
      <c r="V442"/>
    </row>
    <row r="443" spans="1:22" x14ac:dyDescent="0.2">
      <c r="A443" t="s">
        <v>416</v>
      </c>
      <c r="B443" t="s">
        <v>986</v>
      </c>
      <c r="C443" s="152">
        <v>813</v>
      </c>
      <c r="D443" s="152">
        <v>1275</v>
      </c>
      <c r="E443" s="152">
        <v>2088</v>
      </c>
      <c r="F443" s="152">
        <v>14553165.4965609</v>
      </c>
      <c r="G443" s="152">
        <v>31865437.231445398</v>
      </c>
      <c r="H443" s="152">
        <v>46418602.728006303</v>
      </c>
      <c r="I443" t="s">
        <v>742</v>
      </c>
      <c r="J443" t="s">
        <v>135</v>
      </c>
      <c r="K443">
        <v>425892</v>
      </c>
      <c r="L443" t="s">
        <v>787</v>
      </c>
      <c r="M443"/>
      <c r="N443"/>
      <c r="O443"/>
      <c r="P443"/>
      <c r="Q443" s="152"/>
      <c r="R443"/>
      <c r="S443"/>
      <c r="T443"/>
      <c r="U443"/>
      <c r="V443"/>
    </row>
    <row r="444" spans="1:22" x14ac:dyDescent="0.2">
      <c r="A444" t="s">
        <v>386</v>
      </c>
      <c r="B444" t="s">
        <v>944</v>
      </c>
      <c r="C444" s="152">
        <v>1165</v>
      </c>
      <c r="D444" s="152">
        <v>917</v>
      </c>
      <c r="E444" s="152">
        <v>2082</v>
      </c>
      <c r="F444" s="152">
        <v>59493437.448310502</v>
      </c>
      <c r="G444" s="152">
        <v>50343715.972134598</v>
      </c>
      <c r="H444" s="152">
        <v>109837153.420445</v>
      </c>
      <c r="I444" t="s">
        <v>742</v>
      </c>
      <c r="J444" t="s">
        <v>139</v>
      </c>
      <c r="K444">
        <v>819433</v>
      </c>
      <c r="L444" t="s">
        <v>787</v>
      </c>
      <c r="M444"/>
      <c r="N444"/>
      <c r="O444"/>
      <c r="P444"/>
      <c r="Q444" s="152"/>
      <c r="R444"/>
      <c r="S444"/>
      <c r="T444"/>
      <c r="U444"/>
      <c r="V444"/>
    </row>
    <row r="445" spans="1:22" x14ac:dyDescent="0.2">
      <c r="A445" t="s">
        <v>150</v>
      </c>
      <c r="B445" t="s">
        <v>706</v>
      </c>
      <c r="C445" s="152">
        <v>786</v>
      </c>
      <c r="D445" s="152">
        <v>1296</v>
      </c>
      <c r="E445" s="152">
        <v>2082</v>
      </c>
      <c r="F445" s="152">
        <v>14883429.1302564</v>
      </c>
      <c r="G445" s="152">
        <v>31280380.450282801</v>
      </c>
      <c r="H445" s="152">
        <v>46163809.5805391</v>
      </c>
      <c r="I445" t="s">
        <v>742</v>
      </c>
      <c r="J445" t="s">
        <v>135</v>
      </c>
      <c r="K445">
        <v>233460</v>
      </c>
      <c r="L445" t="s">
        <v>930</v>
      </c>
      <c r="M445"/>
      <c r="N445"/>
      <c r="O445"/>
      <c r="P445"/>
      <c r="Q445" s="152"/>
      <c r="R445"/>
      <c r="S445"/>
      <c r="T445"/>
      <c r="U445"/>
      <c r="V445"/>
    </row>
    <row r="446" spans="1:22" x14ac:dyDescent="0.2">
      <c r="A446" t="s">
        <v>645</v>
      </c>
      <c r="B446" t="s">
        <v>646</v>
      </c>
      <c r="C446" s="152">
        <v>1082</v>
      </c>
      <c r="D446" s="152">
        <v>992</v>
      </c>
      <c r="E446" s="152">
        <v>2074</v>
      </c>
      <c r="F446" s="152">
        <v>26835997.602204502</v>
      </c>
      <c r="G446" s="152">
        <v>31042087.556530099</v>
      </c>
      <c r="H446" s="152">
        <v>57878085.1587345</v>
      </c>
      <c r="I446" t="s">
        <v>867</v>
      </c>
      <c r="J446" t="s">
        <v>136</v>
      </c>
      <c r="K446">
        <v>330746</v>
      </c>
      <c r="L446" t="s">
        <v>795</v>
      </c>
      <c r="M446"/>
      <c r="N446"/>
      <c r="O446"/>
      <c r="P446"/>
      <c r="Q446" s="152"/>
      <c r="R446"/>
      <c r="S446"/>
      <c r="T446"/>
      <c r="U446"/>
      <c r="V446"/>
    </row>
    <row r="447" spans="1:22" x14ac:dyDescent="0.2">
      <c r="A447" t="s">
        <v>108</v>
      </c>
      <c r="B447" t="s">
        <v>111</v>
      </c>
      <c r="C447" s="152">
        <v>1293</v>
      </c>
      <c r="D447" s="152">
        <v>781</v>
      </c>
      <c r="E447" s="152">
        <v>2074</v>
      </c>
      <c r="F447" s="152">
        <v>19250100.052429602</v>
      </c>
      <c r="G447" s="152">
        <v>14104543.0821482</v>
      </c>
      <c r="H447" s="152">
        <v>33354643.1345778</v>
      </c>
      <c r="I447" t="s">
        <v>867</v>
      </c>
      <c r="J447" t="s">
        <v>135</v>
      </c>
      <c r="K447">
        <v>570630</v>
      </c>
      <c r="L447" t="s">
        <v>795</v>
      </c>
      <c r="M447"/>
      <c r="N447"/>
      <c r="O447"/>
      <c r="P447"/>
      <c r="Q447" s="152"/>
      <c r="R447"/>
      <c r="S447"/>
      <c r="T447"/>
      <c r="U447"/>
      <c r="V447"/>
    </row>
    <row r="448" spans="1:22" x14ac:dyDescent="0.2">
      <c r="A448" t="s">
        <v>183</v>
      </c>
      <c r="B448" t="s">
        <v>617</v>
      </c>
      <c r="C448" s="152">
        <v>756</v>
      </c>
      <c r="D448" s="152">
        <v>1314</v>
      </c>
      <c r="E448" s="152">
        <v>2070</v>
      </c>
      <c r="F448" s="152">
        <v>15612228.8709174</v>
      </c>
      <c r="G448" s="152">
        <v>33807976.102125898</v>
      </c>
      <c r="H448" s="152">
        <v>49420204.9730433</v>
      </c>
      <c r="I448" t="s">
        <v>867</v>
      </c>
      <c r="J448" t="s">
        <v>135</v>
      </c>
      <c r="K448">
        <v>503698</v>
      </c>
      <c r="L448" t="s">
        <v>425</v>
      </c>
      <c r="M448"/>
      <c r="N448"/>
      <c r="O448"/>
      <c r="P448"/>
      <c r="Q448" s="152"/>
      <c r="R448"/>
      <c r="S448"/>
      <c r="T448"/>
      <c r="U448"/>
      <c r="V448"/>
    </row>
    <row r="449" spans="1:22" x14ac:dyDescent="0.2">
      <c r="A449" t="s">
        <v>645</v>
      </c>
      <c r="B449" t="s">
        <v>14</v>
      </c>
      <c r="C449" s="152">
        <v>1044</v>
      </c>
      <c r="D449" s="152">
        <v>1019</v>
      </c>
      <c r="E449" s="152">
        <v>2063</v>
      </c>
      <c r="F449" s="152">
        <v>24904691.377242699</v>
      </c>
      <c r="G449" s="152">
        <v>29146601.451771099</v>
      </c>
      <c r="H449" s="152">
        <v>54051292.829013802</v>
      </c>
      <c r="I449" t="s">
        <v>867</v>
      </c>
      <c r="J449" t="s">
        <v>136</v>
      </c>
      <c r="K449">
        <v>901603</v>
      </c>
      <c r="L449" t="s">
        <v>502</v>
      </c>
      <c r="M449"/>
      <c r="N449"/>
      <c r="O449"/>
      <c r="P449"/>
      <c r="Q449" s="152"/>
      <c r="R449"/>
      <c r="S449"/>
      <c r="T449"/>
      <c r="U449"/>
      <c r="V449"/>
    </row>
    <row r="450" spans="1:22" x14ac:dyDescent="0.2">
      <c r="A450" t="s">
        <v>254</v>
      </c>
      <c r="B450" t="s">
        <v>822</v>
      </c>
      <c r="C450" s="152">
        <v>617</v>
      </c>
      <c r="D450" s="152">
        <v>1417</v>
      </c>
      <c r="E450" s="152">
        <v>2034</v>
      </c>
      <c r="F450" s="152">
        <v>10908968.757948499</v>
      </c>
      <c r="G450" s="152">
        <v>28515574.701983299</v>
      </c>
      <c r="H450" s="152">
        <v>39424543.459931798</v>
      </c>
      <c r="I450" t="s">
        <v>742</v>
      </c>
      <c r="J450" t="s">
        <v>135</v>
      </c>
      <c r="K450">
        <v>192146</v>
      </c>
      <c r="L450" t="s">
        <v>866</v>
      </c>
      <c r="M450"/>
      <c r="N450"/>
      <c r="O450"/>
      <c r="P450"/>
      <c r="Q450" s="152"/>
      <c r="R450"/>
      <c r="S450"/>
      <c r="T450"/>
      <c r="U450"/>
      <c r="V450"/>
    </row>
    <row r="451" spans="1:22" x14ac:dyDescent="0.2">
      <c r="A451" t="s">
        <v>108</v>
      </c>
      <c r="B451" t="s">
        <v>1064</v>
      </c>
      <c r="C451" s="152">
        <v>967</v>
      </c>
      <c r="D451" s="152">
        <v>1064</v>
      </c>
      <c r="E451" s="152">
        <v>2031</v>
      </c>
      <c r="F451" s="152">
        <v>9452780.0579826999</v>
      </c>
      <c r="G451" s="152">
        <v>13591671.4815233</v>
      </c>
      <c r="H451" s="152">
        <v>23044451.539506</v>
      </c>
      <c r="I451" t="s">
        <v>742</v>
      </c>
      <c r="J451" t="s">
        <v>135</v>
      </c>
      <c r="K451">
        <v>844464</v>
      </c>
      <c r="L451" t="s">
        <v>387</v>
      </c>
      <c r="M451"/>
      <c r="N451"/>
      <c r="O451"/>
      <c r="P451"/>
      <c r="Q451" s="152"/>
      <c r="R451"/>
      <c r="S451"/>
      <c r="T451"/>
      <c r="U451"/>
      <c r="V451"/>
    </row>
    <row r="452" spans="1:22" x14ac:dyDescent="0.2">
      <c r="A452" t="s">
        <v>234</v>
      </c>
      <c r="B452" t="s">
        <v>696</v>
      </c>
      <c r="C452" s="152">
        <v>852</v>
      </c>
      <c r="D452" s="152">
        <v>1175</v>
      </c>
      <c r="E452" s="152">
        <v>2027</v>
      </c>
      <c r="F452" s="152">
        <v>15288143.8186501</v>
      </c>
      <c r="G452" s="152">
        <v>26514705.6685673</v>
      </c>
      <c r="H452" s="152">
        <v>41802849.487217396</v>
      </c>
      <c r="I452" t="s">
        <v>742</v>
      </c>
      <c r="J452" t="s">
        <v>135</v>
      </c>
      <c r="K452">
        <v>987784</v>
      </c>
      <c r="L452" t="s">
        <v>874</v>
      </c>
      <c r="M452"/>
      <c r="N452"/>
      <c r="O452"/>
      <c r="P452"/>
      <c r="Q452" s="152"/>
      <c r="R452"/>
      <c r="S452"/>
      <c r="T452"/>
      <c r="U452"/>
      <c r="V452"/>
    </row>
    <row r="453" spans="1:22" x14ac:dyDescent="0.2">
      <c r="A453" t="s">
        <v>183</v>
      </c>
      <c r="B453" t="s">
        <v>445</v>
      </c>
      <c r="C453" s="152">
        <v>549</v>
      </c>
      <c r="D453" s="152">
        <v>1475</v>
      </c>
      <c r="E453" s="152">
        <v>2024</v>
      </c>
      <c r="F453" s="152">
        <v>7996428.7071080999</v>
      </c>
      <c r="G453" s="152">
        <v>19286149.826106202</v>
      </c>
      <c r="H453" s="152">
        <v>27282578.533214301</v>
      </c>
      <c r="I453" t="s">
        <v>742</v>
      </c>
      <c r="J453" t="s">
        <v>135</v>
      </c>
      <c r="K453">
        <v>153833</v>
      </c>
      <c r="L453" t="s">
        <v>65</v>
      </c>
      <c r="M453"/>
      <c r="N453"/>
      <c r="O453"/>
      <c r="P453"/>
      <c r="Q453" s="152"/>
      <c r="R453"/>
      <c r="S453"/>
      <c r="T453"/>
      <c r="U453"/>
      <c r="V453"/>
    </row>
    <row r="454" spans="1:22" x14ac:dyDescent="0.2">
      <c r="A454" t="s">
        <v>551</v>
      </c>
      <c r="B454" t="s">
        <v>561</v>
      </c>
      <c r="C454" s="152">
        <v>1106</v>
      </c>
      <c r="D454" s="152">
        <v>915</v>
      </c>
      <c r="E454" s="152">
        <v>2021</v>
      </c>
      <c r="F454" s="152">
        <v>22997572.459032599</v>
      </c>
      <c r="G454" s="152">
        <v>24357625.568968698</v>
      </c>
      <c r="H454" s="152">
        <v>47355198.028001398</v>
      </c>
      <c r="I454" t="s">
        <v>867</v>
      </c>
      <c r="J454" t="s">
        <v>139</v>
      </c>
      <c r="K454">
        <v>832360</v>
      </c>
      <c r="L454" t="s">
        <v>810</v>
      </c>
      <c r="M454"/>
      <c r="N454"/>
      <c r="O454"/>
      <c r="P454"/>
      <c r="Q454" s="152"/>
      <c r="R454"/>
      <c r="S454"/>
      <c r="T454"/>
      <c r="U454"/>
      <c r="V454"/>
    </row>
    <row r="455" spans="1:22" x14ac:dyDescent="0.2">
      <c r="A455" t="s">
        <v>234</v>
      </c>
      <c r="B455" t="s">
        <v>802</v>
      </c>
      <c r="C455" s="152">
        <v>877</v>
      </c>
      <c r="D455" s="152">
        <v>1126</v>
      </c>
      <c r="E455" s="152">
        <v>2003</v>
      </c>
      <c r="F455" s="152">
        <v>11905319.855410499</v>
      </c>
      <c r="G455" s="152">
        <v>19525852.706050798</v>
      </c>
      <c r="H455" s="152">
        <v>31431172.5614613</v>
      </c>
      <c r="I455" t="s">
        <v>742</v>
      </c>
      <c r="J455" t="s">
        <v>135</v>
      </c>
      <c r="K455">
        <v>539585</v>
      </c>
      <c r="L455" t="s">
        <v>801</v>
      </c>
      <c r="M455"/>
      <c r="N455"/>
      <c r="O455"/>
      <c r="P455"/>
      <c r="Q455" s="152"/>
      <c r="R455"/>
      <c r="S455"/>
      <c r="T455"/>
      <c r="U455"/>
      <c r="V455"/>
    </row>
    <row r="456" spans="1:22" x14ac:dyDescent="0.2">
      <c r="A456" t="s">
        <v>104</v>
      </c>
      <c r="B456" t="s">
        <v>806</v>
      </c>
      <c r="C456" s="152">
        <v>891</v>
      </c>
      <c r="D456" s="152">
        <v>1110</v>
      </c>
      <c r="E456" s="152">
        <v>2001</v>
      </c>
      <c r="F456" s="152">
        <v>14866923.6978058</v>
      </c>
      <c r="G456" s="152">
        <v>22129247.787539899</v>
      </c>
      <c r="H456" s="152">
        <v>36996171.485345699</v>
      </c>
      <c r="I456" t="s">
        <v>742</v>
      </c>
      <c r="J456" t="s">
        <v>135</v>
      </c>
      <c r="K456">
        <v>904490</v>
      </c>
      <c r="L456" t="s">
        <v>1020</v>
      </c>
      <c r="M456"/>
      <c r="N456"/>
      <c r="O456"/>
      <c r="P456"/>
      <c r="Q456" s="152"/>
      <c r="R456"/>
      <c r="S456"/>
      <c r="T456"/>
      <c r="U456"/>
      <c r="V456"/>
    </row>
    <row r="457" spans="1:22" x14ac:dyDescent="0.2">
      <c r="A457" t="s">
        <v>49</v>
      </c>
      <c r="B457" t="s">
        <v>60</v>
      </c>
      <c r="C457" s="152">
        <v>909</v>
      </c>
      <c r="D457" s="152">
        <v>1077</v>
      </c>
      <c r="E457" s="152">
        <v>1986</v>
      </c>
      <c r="F457" s="152">
        <v>12853704.757511601</v>
      </c>
      <c r="G457" s="152">
        <v>18826007.7993384</v>
      </c>
      <c r="H457" s="152">
        <v>31679712.556850001</v>
      </c>
      <c r="I457" t="s">
        <v>742</v>
      </c>
      <c r="J457" t="s">
        <v>135</v>
      </c>
      <c r="K457">
        <v>764951</v>
      </c>
      <c r="L457" t="s">
        <v>880</v>
      </c>
      <c r="M457"/>
      <c r="N457"/>
      <c r="O457"/>
      <c r="P457"/>
      <c r="Q457" s="152"/>
      <c r="R457"/>
      <c r="S457"/>
      <c r="T457"/>
      <c r="U457"/>
      <c r="V457"/>
    </row>
    <row r="458" spans="1:22" x14ac:dyDescent="0.2">
      <c r="A458" t="s">
        <v>645</v>
      </c>
      <c r="B458" t="s">
        <v>32</v>
      </c>
      <c r="C458" s="152">
        <v>924</v>
      </c>
      <c r="D458" s="152">
        <v>1050</v>
      </c>
      <c r="E458" s="152">
        <v>1974</v>
      </c>
      <c r="F458" s="152">
        <v>25061226.035196599</v>
      </c>
      <c r="G458" s="152">
        <v>35186749.683069304</v>
      </c>
      <c r="H458" s="152">
        <v>60247975.718265899</v>
      </c>
      <c r="I458" t="s">
        <v>867</v>
      </c>
      <c r="J458" t="s">
        <v>136</v>
      </c>
      <c r="K458">
        <v>554691</v>
      </c>
      <c r="L458" t="s">
        <v>974</v>
      </c>
      <c r="M458"/>
      <c r="N458"/>
      <c r="O458"/>
      <c r="P458"/>
      <c r="Q458" s="152"/>
      <c r="R458"/>
      <c r="S458"/>
      <c r="T458"/>
      <c r="U458"/>
      <c r="V458"/>
    </row>
    <row r="459" spans="1:22" x14ac:dyDescent="0.2">
      <c r="A459" t="s">
        <v>150</v>
      </c>
      <c r="B459" t="s">
        <v>154</v>
      </c>
      <c r="C459" s="152">
        <v>821</v>
      </c>
      <c r="D459" s="152">
        <v>1123</v>
      </c>
      <c r="E459" s="152">
        <v>1944</v>
      </c>
      <c r="F459" s="152">
        <v>17101107.6435619</v>
      </c>
      <c r="G459" s="152">
        <v>29202514.097808</v>
      </c>
      <c r="H459" s="152">
        <v>46303621.741369903</v>
      </c>
      <c r="I459" t="s">
        <v>742</v>
      </c>
      <c r="J459" t="s">
        <v>135</v>
      </c>
      <c r="K459">
        <v>992099</v>
      </c>
      <c r="L459" t="s">
        <v>140</v>
      </c>
      <c r="M459"/>
      <c r="N459"/>
      <c r="O459"/>
      <c r="P459"/>
      <c r="Q459" s="152"/>
      <c r="R459"/>
      <c r="S459"/>
      <c r="T459"/>
      <c r="U459"/>
      <c r="V459"/>
    </row>
    <row r="460" spans="1:22" x14ac:dyDescent="0.2">
      <c r="A460" t="s">
        <v>234</v>
      </c>
      <c r="B460" t="s">
        <v>236</v>
      </c>
      <c r="C460" s="152">
        <v>827</v>
      </c>
      <c r="D460" s="152">
        <v>1114</v>
      </c>
      <c r="E460" s="152">
        <v>1941</v>
      </c>
      <c r="F460" s="152">
        <v>15976094.9850694</v>
      </c>
      <c r="G460" s="152">
        <v>26347033.414857101</v>
      </c>
      <c r="H460" s="152">
        <v>42323128.399926499</v>
      </c>
      <c r="I460" t="s">
        <v>742</v>
      </c>
      <c r="J460" t="s">
        <v>135</v>
      </c>
      <c r="K460">
        <v>779538</v>
      </c>
      <c r="L460" t="s">
        <v>99</v>
      </c>
      <c r="M460"/>
      <c r="N460"/>
      <c r="O460"/>
      <c r="P460"/>
      <c r="Q460" s="152"/>
      <c r="R460"/>
      <c r="S460"/>
      <c r="T460"/>
      <c r="U460"/>
      <c r="V460"/>
    </row>
    <row r="461" spans="1:22" x14ac:dyDescent="0.2">
      <c r="A461" t="s">
        <v>721</v>
      </c>
      <c r="B461" t="s">
        <v>744</v>
      </c>
      <c r="C461" s="152">
        <v>856</v>
      </c>
      <c r="D461" s="152">
        <v>1083</v>
      </c>
      <c r="E461" s="152">
        <v>1939</v>
      </c>
      <c r="F461" s="152">
        <v>19907142.189775702</v>
      </c>
      <c r="G461" s="152">
        <v>30222793.193087701</v>
      </c>
      <c r="H461" s="152">
        <v>50129935.382863402</v>
      </c>
      <c r="I461" t="s">
        <v>742</v>
      </c>
      <c r="J461" t="s">
        <v>136</v>
      </c>
      <c r="K461">
        <v>917898</v>
      </c>
      <c r="L461" t="s">
        <v>411</v>
      </c>
      <c r="M461"/>
      <c r="N461"/>
      <c r="O461"/>
      <c r="P461"/>
      <c r="Q461" s="152"/>
      <c r="R461"/>
      <c r="S461"/>
      <c r="T461"/>
      <c r="U461"/>
      <c r="V461"/>
    </row>
    <row r="462" spans="1:22" x14ac:dyDescent="0.2">
      <c r="A462" t="s">
        <v>114</v>
      </c>
      <c r="B462" t="s">
        <v>364</v>
      </c>
      <c r="C462" s="152">
        <v>956</v>
      </c>
      <c r="D462" s="152">
        <v>978</v>
      </c>
      <c r="E462" s="152">
        <v>1934</v>
      </c>
      <c r="F462" s="152">
        <v>18967620.972432099</v>
      </c>
      <c r="G462" s="152">
        <v>23769066.850942198</v>
      </c>
      <c r="H462" s="152">
        <v>42736687.823374301</v>
      </c>
      <c r="I462" t="s">
        <v>742</v>
      </c>
      <c r="J462" t="s">
        <v>135</v>
      </c>
      <c r="K462">
        <v>197517</v>
      </c>
      <c r="L462" t="s">
        <v>930</v>
      </c>
      <c r="M462"/>
      <c r="N462"/>
      <c r="O462"/>
      <c r="P462"/>
      <c r="Q462" s="152"/>
      <c r="R462"/>
      <c r="S462"/>
      <c r="T462"/>
      <c r="U462"/>
      <c r="V462"/>
    </row>
    <row r="463" spans="1:22" x14ac:dyDescent="0.2">
      <c r="A463" t="s">
        <v>419</v>
      </c>
      <c r="B463" t="s">
        <v>373</v>
      </c>
      <c r="C463" s="152">
        <v>722</v>
      </c>
      <c r="D463" s="152">
        <v>1206</v>
      </c>
      <c r="E463" s="152">
        <v>1928</v>
      </c>
      <c r="F463" s="152">
        <v>9649630.6926715802</v>
      </c>
      <c r="G463" s="152">
        <v>19786088.570671</v>
      </c>
      <c r="H463" s="152">
        <v>29435719.2633426</v>
      </c>
      <c r="I463" t="s">
        <v>742</v>
      </c>
      <c r="J463" t="s">
        <v>135</v>
      </c>
      <c r="K463">
        <v>882530</v>
      </c>
      <c r="L463" t="s">
        <v>930</v>
      </c>
      <c r="M463"/>
      <c r="N463"/>
      <c r="O463"/>
      <c r="P463"/>
      <c r="Q463" s="152"/>
      <c r="R463"/>
      <c r="S463"/>
      <c r="T463"/>
      <c r="U463"/>
      <c r="V463"/>
    </row>
    <row r="464" spans="1:22" x14ac:dyDescent="0.2">
      <c r="A464" t="s">
        <v>551</v>
      </c>
      <c r="B464" t="s">
        <v>943</v>
      </c>
      <c r="C464" s="152">
        <v>1004</v>
      </c>
      <c r="D464" s="152">
        <v>915</v>
      </c>
      <c r="E464" s="152">
        <v>1919</v>
      </c>
      <c r="F464" s="152">
        <v>42358417.746787101</v>
      </c>
      <c r="G464" s="152">
        <v>43928035.6007284</v>
      </c>
      <c r="H464" s="152">
        <v>86286453.347515598</v>
      </c>
      <c r="I464" t="s">
        <v>742</v>
      </c>
      <c r="J464" t="s">
        <v>139</v>
      </c>
      <c r="K464">
        <v>783605</v>
      </c>
      <c r="L464" t="s">
        <v>787</v>
      </c>
      <c r="M464"/>
      <c r="N464"/>
      <c r="O464"/>
      <c r="P464"/>
      <c r="Q464" s="152"/>
      <c r="R464"/>
      <c r="S464"/>
      <c r="T464"/>
      <c r="U464"/>
      <c r="V464"/>
    </row>
    <row r="465" spans="1:22" x14ac:dyDescent="0.2">
      <c r="A465" t="s">
        <v>386</v>
      </c>
      <c r="B465" t="s">
        <v>947</v>
      </c>
      <c r="C465" s="152">
        <v>1161</v>
      </c>
      <c r="D465" s="152">
        <v>756</v>
      </c>
      <c r="E465" s="152">
        <v>1917</v>
      </c>
      <c r="F465" s="152">
        <v>61862155.865468599</v>
      </c>
      <c r="G465" s="152">
        <v>43881708.653594598</v>
      </c>
      <c r="H465" s="152">
        <v>105743864.519063</v>
      </c>
      <c r="I465" t="s">
        <v>742</v>
      </c>
      <c r="J465" t="s">
        <v>139</v>
      </c>
      <c r="K465">
        <v>855262</v>
      </c>
      <c r="L465" t="s">
        <v>787</v>
      </c>
      <c r="M465"/>
      <c r="N465"/>
      <c r="O465"/>
      <c r="P465"/>
      <c r="Q465" s="152"/>
      <c r="R465"/>
      <c r="S465"/>
      <c r="T465"/>
      <c r="U465"/>
      <c r="V465"/>
    </row>
    <row r="466" spans="1:22" x14ac:dyDescent="0.2">
      <c r="A466" t="s">
        <v>49</v>
      </c>
      <c r="B466" t="s">
        <v>53</v>
      </c>
      <c r="C466" s="152">
        <v>959</v>
      </c>
      <c r="D466" s="152">
        <v>936</v>
      </c>
      <c r="E466" s="152">
        <v>1895</v>
      </c>
      <c r="F466" s="152">
        <v>13736679.2392873</v>
      </c>
      <c r="G466" s="152">
        <v>16754848.210782399</v>
      </c>
      <c r="H466" s="152">
        <v>30491527.450069599</v>
      </c>
      <c r="I466" t="s">
        <v>867</v>
      </c>
      <c r="J466" t="s">
        <v>135</v>
      </c>
      <c r="K466">
        <v>148585</v>
      </c>
      <c r="L466" t="s">
        <v>785</v>
      </c>
      <c r="M466"/>
      <c r="N466"/>
      <c r="O466"/>
      <c r="P466"/>
      <c r="Q466" s="152"/>
      <c r="R466"/>
      <c r="S466"/>
      <c r="T466"/>
      <c r="U466"/>
      <c r="V466"/>
    </row>
    <row r="467" spans="1:22" x14ac:dyDescent="0.2">
      <c r="A467" t="s">
        <v>861</v>
      </c>
      <c r="B467" t="s">
        <v>1031</v>
      </c>
      <c r="C467" s="152">
        <v>949</v>
      </c>
      <c r="D467" s="152">
        <v>943</v>
      </c>
      <c r="E467" s="152">
        <v>1892</v>
      </c>
      <c r="F467" s="152">
        <v>20308398.5449441</v>
      </c>
      <c r="G467" s="152">
        <v>23439033.329969399</v>
      </c>
      <c r="H467" s="152">
        <v>43747431.874913499</v>
      </c>
      <c r="I467" t="s">
        <v>742</v>
      </c>
      <c r="J467" t="s">
        <v>135</v>
      </c>
      <c r="K467">
        <v>388298</v>
      </c>
      <c r="L467" t="s">
        <v>981</v>
      </c>
      <c r="M467"/>
      <c r="N467"/>
      <c r="O467"/>
      <c r="P467"/>
      <c r="Q467" s="152"/>
      <c r="R467"/>
      <c r="S467"/>
      <c r="T467"/>
      <c r="U467"/>
      <c r="V467"/>
    </row>
    <row r="468" spans="1:22" x14ac:dyDescent="0.2">
      <c r="A468" t="s">
        <v>234</v>
      </c>
      <c r="B468" t="s">
        <v>288</v>
      </c>
      <c r="C468" s="152">
        <v>811</v>
      </c>
      <c r="D468" s="152">
        <v>1069</v>
      </c>
      <c r="E468" s="152">
        <v>1880</v>
      </c>
      <c r="F468" s="152">
        <v>11655995.0132559</v>
      </c>
      <c r="G468" s="152">
        <v>18556121.534880899</v>
      </c>
      <c r="H468" s="152">
        <v>30212116.548136801</v>
      </c>
      <c r="I468" t="s">
        <v>742</v>
      </c>
      <c r="J468" t="s">
        <v>135</v>
      </c>
      <c r="K468">
        <v>288183</v>
      </c>
      <c r="L468" t="s">
        <v>870</v>
      </c>
      <c r="M468"/>
      <c r="N468"/>
      <c r="O468"/>
      <c r="P468"/>
      <c r="Q468" s="152"/>
      <c r="R468"/>
      <c r="S468"/>
      <c r="T468"/>
      <c r="U468"/>
      <c r="V468"/>
    </row>
    <row r="469" spans="1:22" x14ac:dyDescent="0.2">
      <c r="A469" t="s">
        <v>166</v>
      </c>
      <c r="B469" t="s">
        <v>622</v>
      </c>
      <c r="C469" s="152">
        <v>912</v>
      </c>
      <c r="D469" s="152">
        <v>941</v>
      </c>
      <c r="E469" s="152">
        <v>1853</v>
      </c>
      <c r="F469" s="152">
        <v>22157938.443169501</v>
      </c>
      <c r="G469" s="152">
        <v>25135870.853783499</v>
      </c>
      <c r="H469" s="152">
        <v>47293809.296952903</v>
      </c>
      <c r="I469" t="s">
        <v>867</v>
      </c>
      <c r="J469" t="s">
        <v>135</v>
      </c>
      <c r="K469">
        <v>467860</v>
      </c>
      <c r="L469" t="s">
        <v>425</v>
      </c>
      <c r="M469"/>
      <c r="N469"/>
      <c r="O469"/>
      <c r="P469"/>
      <c r="Q469" s="152"/>
      <c r="R469"/>
      <c r="S469"/>
      <c r="T469"/>
      <c r="U469"/>
      <c r="V469"/>
    </row>
    <row r="470" spans="1:22" x14ac:dyDescent="0.2">
      <c r="A470" t="s">
        <v>578</v>
      </c>
      <c r="B470" t="s">
        <v>206</v>
      </c>
      <c r="C470" s="152">
        <v>958</v>
      </c>
      <c r="D470" s="152">
        <v>884</v>
      </c>
      <c r="E470" s="152">
        <v>1842</v>
      </c>
      <c r="F470" s="152">
        <v>19742468.812288001</v>
      </c>
      <c r="G470" s="152">
        <v>24422525.325781401</v>
      </c>
      <c r="H470" s="152">
        <v>44164994.138069503</v>
      </c>
      <c r="I470" t="s">
        <v>867</v>
      </c>
      <c r="J470" t="s">
        <v>136</v>
      </c>
      <c r="K470">
        <v>768614</v>
      </c>
      <c r="L470" t="s">
        <v>207</v>
      </c>
      <c r="M470"/>
      <c r="N470"/>
      <c r="O470"/>
      <c r="P470"/>
      <c r="Q470" s="152"/>
      <c r="R470"/>
      <c r="S470"/>
      <c r="T470"/>
      <c r="U470"/>
      <c r="V470"/>
    </row>
    <row r="471" spans="1:22" x14ac:dyDescent="0.2">
      <c r="A471" t="s">
        <v>254</v>
      </c>
      <c r="B471" t="s">
        <v>830</v>
      </c>
      <c r="C471" s="152">
        <v>914</v>
      </c>
      <c r="D471" s="152">
        <v>924</v>
      </c>
      <c r="E471" s="152">
        <v>1838</v>
      </c>
      <c r="F471" s="152">
        <v>12626256.5065114</v>
      </c>
      <c r="G471" s="152">
        <v>17812242.7147348</v>
      </c>
      <c r="H471" s="152">
        <v>30438499.221246202</v>
      </c>
      <c r="I471" t="s">
        <v>742</v>
      </c>
      <c r="J471" t="s">
        <v>135</v>
      </c>
      <c r="K471">
        <v>603985</v>
      </c>
      <c r="L471" t="s">
        <v>918</v>
      </c>
      <c r="M471"/>
      <c r="N471"/>
      <c r="O471"/>
      <c r="P471"/>
      <c r="Q471" s="152"/>
      <c r="R471"/>
      <c r="S471"/>
      <c r="T471"/>
      <c r="U471"/>
      <c r="V471"/>
    </row>
    <row r="472" spans="1:22" x14ac:dyDescent="0.2">
      <c r="A472" t="s">
        <v>721</v>
      </c>
      <c r="B472" t="s">
        <v>724</v>
      </c>
      <c r="C472" s="152">
        <v>788</v>
      </c>
      <c r="D472" s="152">
        <v>1041</v>
      </c>
      <c r="E472" s="152">
        <v>1829</v>
      </c>
      <c r="F472" s="152">
        <v>16766482.276758799</v>
      </c>
      <c r="G472" s="152">
        <v>27965667.6857301</v>
      </c>
      <c r="H472" s="152">
        <v>44732149.962488897</v>
      </c>
      <c r="I472" t="s">
        <v>742</v>
      </c>
      <c r="J472" t="s">
        <v>136</v>
      </c>
      <c r="K472">
        <v>390898</v>
      </c>
      <c r="L472" t="s">
        <v>880</v>
      </c>
      <c r="M472"/>
      <c r="N472"/>
      <c r="O472"/>
      <c r="P472"/>
      <c r="Q472" s="152"/>
      <c r="R472"/>
      <c r="S472"/>
      <c r="T472"/>
      <c r="U472"/>
      <c r="V472"/>
    </row>
    <row r="473" spans="1:22" x14ac:dyDescent="0.2">
      <c r="A473" t="s">
        <v>837</v>
      </c>
      <c r="B473" t="s">
        <v>1019</v>
      </c>
      <c r="C473" s="152">
        <v>701</v>
      </c>
      <c r="D473" s="152">
        <v>1124</v>
      </c>
      <c r="E473" s="152">
        <v>1825</v>
      </c>
      <c r="F473" s="152">
        <v>16922092.019714799</v>
      </c>
      <c r="G473" s="152">
        <v>34879151.4463384</v>
      </c>
      <c r="H473" s="152">
        <v>51801243.466053098</v>
      </c>
      <c r="I473" t="s">
        <v>867</v>
      </c>
      <c r="J473" t="s">
        <v>135</v>
      </c>
      <c r="K473">
        <v>741694</v>
      </c>
      <c r="L473" t="s">
        <v>974</v>
      </c>
      <c r="M473"/>
      <c r="N473"/>
      <c r="O473"/>
      <c r="P473"/>
      <c r="Q473" s="152"/>
      <c r="R473"/>
      <c r="S473"/>
      <c r="T473"/>
      <c r="U473"/>
      <c r="V473"/>
    </row>
    <row r="474" spans="1:22" x14ac:dyDescent="0.2">
      <c r="A474" t="s">
        <v>837</v>
      </c>
      <c r="B474" t="s">
        <v>461</v>
      </c>
      <c r="C474" s="152">
        <v>1021</v>
      </c>
      <c r="D474" s="152">
        <v>778</v>
      </c>
      <c r="E474" s="152">
        <v>1799</v>
      </c>
      <c r="F474" s="152">
        <v>3848351.52417213</v>
      </c>
      <c r="G474" s="152">
        <v>4692608.5026030196</v>
      </c>
      <c r="H474" s="152">
        <v>8540960.0267751496</v>
      </c>
      <c r="I474" t="s">
        <v>867</v>
      </c>
      <c r="J474" t="s">
        <v>135</v>
      </c>
      <c r="K474">
        <v>656637</v>
      </c>
      <c r="L474" t="s">
        <v>459</v>
      </c>
      <c r="M474"/>
      <c r="N474"/>
      <c r="O474"/>
      <c r="P474"/>
      <c r="Q474" s="152"/>
      <c r="R474"/>
      <c r="S474"/>
      <c r="T474"/>
      <c r="U474"/>
      <c r="V474"/>
    </row>
    <row r="475" spans="1:22" x14ac:dyDescent="0.2">
      <c r="A475" t="s">
        <v>338</v>
      </c>
      <c r="B475" t="s">
        <v>360</v>
      </c>
      <c r="C475" s="152">
        <v>914</v>
      </c>
      <c r="D475" s="152">
        <v>872</v>
      </c>
      <c r="E475" s="152">
        <v>1786</v>
      </c>
      <c r="F475" s="152">
        <v>14025744.553078201</v>
      </c>
      <c r="G475" s="152">
        <v>16090184.704016101</v>
      </c>
      <c r="H475" s="152">
        <v>30115929.257094398</v>
      </c>
      <c r="I475" t="s">
        <v>742</v>
      </c>
      <c r="J475" t="s">
        <v>137</v>
      </c>
      <c r="K475">
        <v>722454</v>
      </c>
      <c r="L475" t="s">
        <v>99</v>
      </c>
      <c r="M475"/>
      <c r="N475"/>
      <c r="O475"/>
      <c r="P475"/>
      <c r="Q475" s="152"/>
      <c r="R475"/>
      <c r="S475"/>
      <c r="T475"/>
      <c r="U475"/>
      <c r="V475"/>
    </row>
    <row r="476" spans="1:22" x14ac:dyDescent="0.2">
      <c r="A476" t="s">
        <v>338</v>
      </c>
      <c r="B476" t="s">
        <v>94</v>
      </c>
      <c r="C476" s="152">
        <v>836</v>
      </c>
      <c r="D476" s="152">
        <v>935</v>
      </c>
      <c r="E476" s="152">
        <v>1771</v>
      </c>
      <c r="F476" s="152">
        <v>7451356.5662370399</v>
      </c>
      <c r="G476" s="152">
        <v>11038500.6504289</v>
      </c>
      <c r="H476" s="152">
        <v>18489857.216666002</v>
      </c>
      <c r="I476" t="s">
        <v>742</v>
      </c>
      <c r="J476" t="s">
        <v>137</v>
      </c>
      <c r="K476">
        <v>749606</v>
      </c>
      <c r="L476" t="s">
        <v>92</v>
      </c>
      <c r="M476"/>
      <c r="N476"/>
      <c r="O476"/>
      <c r="P476"/>
      <c r="Q476" s="152"/>
      <c r="R476"/>
      <c r="S476"/>
      <c r="T476"/>
      <c r="U476"/>
      <c r="V476"/>
    </row>
    <row r="477" spans="1:22" x14ac:dyDescent="0.2">
      <c r="A477" t="s">
        <v>735</v>
      </c>
      <c r="B477" t="s">
        <v>737</v>
      </c>
      <c r="C477" s="152">
        <v>868</v>
      </c>
      <c r="D477" s="152">
        <v>900</v>
      </c>
      <c r="E477" s="152">
        <v>1768</v>
      </c>
      <c r="F477" s="152">
        <v>17455005.8281735</v>
      </c>
      <c r="G477" s="152">
        <v>21946034.048648998</v>
      </c>
      <c r="H477" s="152">
        <v>39401039.876822501</v>
      </c>
      <c r="I477" t="s">
        <v>742</v>
      </c>
      <c r="J477" t="s">
        <v>136</v>
      </c>
      <c r="K477">
        <v>370239</v>
      </c>
      <c r="L477" t="s">
        <v>403</v>
      </c>
      <c r="M477"/>
      <c r="N477"/>
      <c r="O477"/>
      <c r="P477"/>
      <c r="Q477" s="152"/>
      <c r="R477"/>
      <c r="S477"/>
      <c r="T477"/>
      <c r="U477"/>
      <c r="V477"/>
    </row>
    <row r="478" spans="1:22" x14ac:dyDescent="0.2">
      <c r="A478" t="s">
        <v>150</v>
      </c>
      <c r="B478" t="s">
        <v>1090</v>
      </c>
      <c r="C478" s="152">
        <v>732</v>
      </c>
      <c r="D478" s="152">
        <v>1031</v>
      </c>
      <c r="E478" s="152">
        <v>1763</v>
      </c>
      <c r="F478" s="152">
        <v>14328672.5517822</v>
      </c>
      <c r="G478" s="152">
        <v>24892654.288754299</v>
      </c>
      <c r="H478" s="152">
        <v>39221326.840536498</v>
      </c>
      <c r="I478" t="s">
        <v>742</v>
      </c>
      <c r="J478" t="s">
        <v>135</v>
      </c>
      <c r="K478">
        <v>586982</v>
      </c>
      <c r="L478" t="s">
        <v>1083</v>
      </c>
      <c r="M478"/>
      <c r="N478"/>
      <c r="O478"/>
      <c r="P478"/>
      <c r="Q478" s="152"/>
      <c r="R478"/>
      <c r="S478"/>
      <c r="T478"/>
      <c r="U478"/>
      <c r="V478"/>
    </row>
    <row r="479" spans="1:22" x14ac:dyDescent="0.2">
      <c r="A479" t="s">
        <v>234</v>
      </c>
      <c r="B479" t="s">
        <v>233</v>
      </c>
      <c r="C479" s="152">
        <v>735</v>
      </c>
      <c r="D479" s="152">
        <v>1018</v>
      </c>
      <c r="E479" s="152">
        <v>1753</v>
      </c>
      <c r="F479" s="152">
        <v>15002462.2744668</v>
      </c>
      <c r="G479" s="152">
        <v>24911604.192477901</v>
      </c>
      <c r="H479" s="152">
        <v>39914066.466944598</v>
      </c>
      <c r="I479" t="s">
        <v>742</v>
      </c>
      <c r="J479" t="s">
        <v>135</v>
      </c>
      <c r="K479">
        <v>368407</v>
      </c>
      <c r="L479" t="s">
        <v>490</v>
      </c>
      <c r="M479"/>
      <c r="N479"/>
      <c r="O479"/>
      <c r="P479"/>
      <c r="Q479" s="152"/>
      <c r="R479"/>
      <c r="S479"/>
      <c r="T479"/>
      <c r="U479"/>
      <c r="V479"/>
    </row>
    <row r="480" spans="1:22" x14ac:dyDescent="0.2">
      <c r="A480" t="s">
        <v>254</v>
      </c>
      <c r="B480" t="s">
        <v>263</v>
      </c>
      <c r="C480" s="152">
        <v>827</v>
      </c>
      <c r="D480" s="152">
        <v>919</v>
      </c>
      <c r="E480" s="152">
        <v>1746</v>
      </c>
      <c r="F480" s="152">
        <v>9461263.0102510192</v>
      </c>
      <c r="G480" s="152">
        <v>14359769.534302499</v>
      </c>
      <c r="H480" s="152">
        <v>23821032.5445535</v>
      </c>
      <c r="I480" t="s">
        <v>867</v>
      </c>
      <c r="J480" t="s">
        <v>135</v>
      </c>
      <c r="K480">
        <v>756452</v>
      </c>
      <c r="L480" t="s">
        <v>814</v>
      </c>
      <c r="M480"/>
      <c r="N480"/>
      <c r="O480"/>
      <c r="P480"/>
      <c r="Q480" s="152"/>
      <c r="R480"/>
      <c r="S480"/>
      <c r="T480"/>
      <c r="U480"/>
      <c r="V480"/>
    </row>
    <row r="481" spans="1:22" x14ac:dyDescent="0.2">
      <c r="A481" t="s">
        <v>861</v>
      </c>
      <c r="B481" t="s">
        <v>733</v>
      </c>
      <c r="C481" s="152">
        <v>791</v>
      </c>
      <c r="D481" s="152">
        <v>929</v>
      </c>
      <c r="E481" s="152">
        <v>1720</v>
      </c>
      <c r="F481" s="152">
        <v>13674258.087319201</v>
      </c>
      <c r="G481" s="152">
        <v>19874595.0240741</v>
      </c>
      <c r="H481" s="152">
        <v>33548853.111393299</v>
      </c>
      <c r="I481" t="s">
        <v>742</v>
      </c>
      <c r="J481" t="s">
        <v>135</v>
      </c>
      <c r="K481">
        <v>785493</v>
      </c>
      <c r="L481" t="s">
        <v>46</v>
      </c>
      <c r="M481"/>
      <c r="N481"/>
      <c r="O481"/>
      <c r="P481"/>
      <c r="Q481" s="152"/>
      <c r="R481"/>
      <c r="S481"/>
      <c r="T481"/>
      <c r="U481"/>
      <c r="V481"/>
    </row>
    <row r="482" spans="1:22" x14ac:dyDescent="0.2">
      <c r="A482" t="s">
        <v>735</v>
      </c>
      <c r="B482" t="s">
        <v>739</v>
      </c>
      <c r="C482" s="152">
        <v>891</v>
      </c>
      <c r="D482" s="152">
        <v>827</v>
      </c>
      <c r="E482" s="152">
        <v>1718</v>
      </c>
      <c r="F482" s="152">
        <v>17192834.780393898</v>
      </c>
      <c r="G482" s="152">
        <v>18351227.7236767</v>
      </c>
      <c r="H482" s="152">
        <v>35544062.504070602</v>
      </c>
      <c r="I482" t="s">
        <v>742</v>
      </c>
      <c r="J482" t="s">
        <v>136</v>
      </c>
      <c r="K482">
        <v>515973</v>
      </c>
      <c r="L482" t="s">
        <v>65</v>
      </c>
      <c r="M482"/>
      <c r="N482"/>
      <c r="O482"/>
      <c r="P482"/>
      <c r="Q482" s="152"/>
      <c r="R482"/>
      <c r="S482"/>
      <c r="T482"/>
      <c r="U482"/>
      <c r="V482"/>
    </row>
    <row r="483" spans="1:22" x14ac:dyDescent="0.2">
      <c r="A483" t="s">
        <v>721</v>
      </c>
      <c r="B483" t="s">
        <v>722</v>
      </c>
      <c r="C483" s="152">
        <v>861</v>
      </c>
      <c r="D483" s="152">
        <v>857</v>
      </c>
      <c r="E483" s="152">
        <v>1718</v>
      </c>
      <c r="F483" s="152">
        <v>15684697.867585899</v>
      </c>
      <c r="G483" s="152">
        <v>17383147.184384201</v>
      </c>
      <c r="H483" s="152">
        <v>33067845.051970001</v>
      </c>
      <c r="I483" t="s">
        <v>742</v>
      </c>
      <c r="J483" t="s">
        <v>136</v>
      </c>
      <c r="K483">
        <v>426726</v>
      </c>
      <c r="L483" t="s">
        <v>880</v>
      </c>
      <c r="M483"/>
      <c r="N483"/>
      <c r="O483"/>
      <c r="P483"/>
      <c r="Q483" s="152"/>
      <c r="R483"/>
      <c r="S483"/>
      <c r="T483"/>
      <c r="U483"/>
      <c r="V483"/>
    </row>
    <row r="484" spans="1:22" x14ac:dyDescent="0.2">
      <c r="A484" t="s">
        <v>150</v>
      </c>
      <c r="B484" t="s">
        <v>950</v>
      </c>
      <c r="C484" s="152">
        <v>661</v>
      </c>
      <c r="D484" s="152">
        <v>1049</v>
      </c>
      <c r="E484" s="152">
        <v>1710</v>
      </c>
      <c r="F484" s="152">
        <v>13058455.2634672</v>
      </c>
      <c r="G484" s="152">
        <v>25787556.648065899</v>
      </c>
      <c r="H484" s="152">
        <v>38846011.911533102</v>
      </c>
      <c r="I484" t="s">
        <v>867</v>
      </c>
      <c r="J484" t="s">
        <v>135</v>
      </c>
      <c r="K484">
        <v>823096</v>
      </c>
      <c r="L484" t="s">
        <v>927</v>
      </c>
      <c r="M484"/>
      <c r="N484"/>
      <c r="O484"/>
      <c r="P484"/>
      <c r="Q484" s="152"/>
      <c r="R484"/>
      <c r="S484"/>
      <c r="T484"/>
      <c r="U484"/>
      <c r="V484"/>
    </row>
    <row r="485" spans="1:22" x14ac:dyDescent="0.2">
      <c r="A485" t="s">
        <v>861</v>
      </c>
      <c r="B485" t="s">
        <v>47</v>
      </c>
      <c r="C485" s="152">
        <v>797</v>
      </c>
      <c r="D485" s="152">
        <v>908</v>
      </c>
      <c r="E485" s="152">
        <v>1705</v>
      </c>
      <c r="F485" s="152">
        <v>18259428.442170899</v>
      </c>
      <c r="G485" s="152">
        <v>26192600.013220601</v>
      </c>
      <c r="H485" s="152">
        <v>44452028.455391496</v>
      </c>
      <c r="I485" t="s">
        <v>742</v>
      </c>
      <c r="J485" t="s">
        <v>135</v>
      </c>
      <c r="K485">
        <v>237834</v>
      </c>
      <c r="L485" t="s">
        <v>46</v>
      </c>
      <c r="M485"/>
      <c r="N485"/>
      <c r="O485"/>
      <c r="P485"/>
      <c r="Q485" s="152"/>
      <c r="R485"/>
      <c r="S485"/>
      <c r="T485"/>
      <c r="U485"/>
      <c r="V485"/>
    </row>
    <row r="486" spans="1:22" x14ac:dyDescent="0.2">
      <c r="A486" t="s">
        <v>312</v>
      </c>
      <c r="B486" t="s">
        <v>30</v>
      </c>
      <c r="C486" s="152">
        <v>666</v>
      </c>
      <c r="D486" s="152">
        <v>999</v>
      </c>
      <c r="E486" s="152">
        <v>1665</v>
      </c>
      <c r="F486" s="152">
        <v>10188514.8028228</v>
      </c>
      <c r="G486" s="152">
        <v>19066574.551773999</v>
      </c>
      <c r="H486" s="152">
        <v>29255089.354596801</v>
      </c>
      <c r="I486" t="s">
        <v>742</v>
      </c>
      <c r="J486" t="s">
        <v>135</v>
      </c>
      <c r="K486">
        <v>353235</v>
      </c>
      <c r="L486" t="s">
        <v>407</v>
      </c>
      <c r="M486"/>
      <c r="N486"/>
      <c r="O486"/>
      <c r="P486"/>
      <c r="Q486" s="152"/>
      <c r="R486"/>
      <c r="S486"/>
      <c r="T486"/>
      <c r="U486"/>
      <c r="V486"/>
    </row>
    <row r="487" spans="1:22" x14ac:dyDescent="0.2">
      <c r="A487" t="s">
        <v>312</v>
      </c>
      <c r="B487" t="s">
        <v>1095</v>
      </c>
      <c r="C487" s="152">
        <v>604</v>
      </c>
      <c r="D487" s="152">
        <v>1060</v>
      </c>
      <c r="E487" s="152">
        <v>1664</v>
      </c>
      <c r="F487" s="152">
        <v>12144319.158005601</v>
      </c>
      <c r="G487" s="152">
        <v>28708398.452837199</v>
      </c>
      <c r="H487" s="152">
        <v>40852717.610842697</v>
      </c>
      <c r="I487" t="s">
        <v>742</v>
      </c>
      <c r="J487" t="s">
        <v>135</v>
      </c>
      <c r="K487">
        <v>225490</v>
      </c>
      <c r="L487" t="s">
        <v>1083</v>
      </c>
      <c r="M487"/>
      <c r="N487"/>
      <c r="O487"/>
      <c r="P487"/>
      <c r="Q487" s="152"/>
      <c r="R487"/>
      <c r="S487"/>
      <c r="T487"/>
      <c r="U487"/>
      <c r="V487"/>
    </row>
    <row r="488" spans="1:22" x14ac:dyDescent="0.2">
      <c r="A488" t="s">
        <v>254</v>
      </c>
      <c r="B488" t="s">
        <v>255</v>
      </c>
      <c r="C488" s="152">
        <v>674</v>
      </c>
      <c r="D488" s="152">
        <v>970</v>
      </c>
      <c r="E488" s="152">
        <v>1644</v>
      </c>
      <c r="F488" s="152">
        <v>10798127.5885172</v>
      </c>
      <c r="G488" s="152">
        <v>20648815.8699104</v>
      </c>
      <c r="H488" s="152">
        <v>31446943.458427701</v>
      </c>
      <c r="I488" t="s">
        <v>742</v>
      </c>
      <c r="J488" t="s">
        <v>135</v>
      </c>
      <c r="K488">
        <v>652628</v>
      </c>
      <c r="L488" t="s">
        <v>872</v>
      </c>
      <c r="M488"/>
      <c r="N488"/>
      <c r="O488"/>
      <c r="P488"/>
      <c r="Q488" s="152"/>
      <c r="R488"/>
      <c r="S488"/>
      <c r="T488"/>
      <c r="U488"/>
      <c r="V488"/>
    </row>
    <row r="489" spans="1:22" x14ac:dyDescent="0.2">
      <c r="A489" t="s">
        <v>735</v>
      </c>
      <c r="B489" t="s">
        <v>16</v>
      </c>
      <c r="C489" s="152">
        <v>668</v>
      </c>
      <c r="D489" s="152">
        <v>944</v>
      </c>
      <c r="E489" s="152">
        <v>1612</v>
      </c>
      <c r="F489" s="152">
        <v>12748052.5301126</v>
      </c>
      <c r="G489" s="152">
        <v>19992309.3947527</v>
      </c>
      <c r="H489" s="152">
        <v>32740361.924865201</v>
      </c>
      <c r="I489" t="s">
        <v>742</v>
      </c>
      <c r="J489" t="s">
        <v>136</v>
      </c>
      <c r="K489">
        <v>316752</v>
      </c>
      <c r="L489" t="s">
        <v>490</v>
      </c>
      <c r="M489"/>
      <c r="N489"/>
      <c r="O489"/>
      <c r="P489"/>
      <c r="Q489" s="152"/>
      <c r="R489"/>
      <c r="S489"/>
      <c r="T489"/>
      <c r="U489"/>
      <c r="V489"/>
    </row>
    <row r="490" spans="1:22" x14ac:dyDescent="0.2">
      <c r="A490" t="s">
        <v>419</v>
      </c>
      <c r="B490" t="s">
        <v>528</v>
      </c>
      <c r="C490" s="152">
        <v>613</v>
      </c>
      <c r="D490" s="152">
        <v>982</v>
      </c>
      <c r="E490" s="152">
        <v>1595</v>
      </c>
      <c r="F490" s="152">
        <v>9337937.2473720107</v>
      </c>
      <c r="G490" s="152">
        <v>20619160.142907001</v>
      </c>
      <c r="H490" s="152">
        <v>29957097.390278999</v>
      </c>
      <c r="I490" t="s">
        <v>742</v>
      </c>
      <c r="J490" t="s">
        <v>135</v>
      </c>
      <c r="K490">
        <v>625236</v>
      </c>
      <c r="L490" t="s">
        <v>874</v>
      </c>
      <c r="M490"/>
      <c r="N490"/>
      <c r="O490"/>
      <c r="P490"/>
      <c r="Q490" s="152"/>
      <c r="R490"/>
      <c r="S490"/>
      <c r="T490"/>
      <c r="U490"/>
      <c r="V490"/>
    </row>
    <row r="491" spans="1:22" x14ac:dyDescent="0.2">
      <c r="A491" t="s">
        <v>166</v>
      </c>
      <c r="B491" t="s">
        <v>630</v>
      </c>
      <c r="C491" s="152">
        <v>659</v>
      </c>
      <c r="D491" s="152">
        <v>925</v>
      </c>
      <c r="E491" s="152">
        <v>1584</v>
      </c>
      <c r="F491" s="152">
        <v>13788001.6642946</v>
      </c>
      <c r="G491" s="152">
        <v>26281023.540605899</v>
      </c>
      <c r="H491" s="152">
        <v>40069025.204900503</v>
      </c>
      <c r="I491" t="s">
        <v>742</v>
      </c>
      <c r="J491" t="s">
        <v>135</v>
      </c>
      <c r="K491">
        <v>303230</v>
      </c>
      <c r="L491" t="s">
        <v>930</v>
      </c>
      <c r="M491"/>
      <c r="N491"/>
      <c r="O491"/>
      <c r="P491"/>
      <c r="Q491" s="152"/>
      <c r="R491"/>
      <c r="S491"/>
      <c r="T491"/>
      <c r="U491"/>
      <c r="V491"/>
    </row>
    <row r="492" spans="1:22" x14ac:dyDescent="0.2">
      <c r="A492" t="s">
        <v>49</v>
      </c>
      <c r="B492" t="s">
        <v>50</v>
      </c>
      <c r="C492" s="152">
        <v>738</v>
      </c>
      <c r="D492" s="152">
        <v>845</v>
      </c>
      <c r="E492" s="152">
        <v>1583</v>
      </c>
      <c r="F492" s="152">
        <v>13598524.8628911</v>
      </c>
      <c r="G492" s="152">
        <v>17277292.152286001</v>
      </c>
      <c r="H492" s="152">
        <v>30875817.015177101</v>
      </c>
      <c r="I492" t="s">
        <v>742</v>
      </c>
      <c r="J492" t="s">
        <v>135</v>
      </c>
      <c r="K492">
        <v>280867</v>
      </c>
      <c r="L492" t="s">
        <v>818</v>
      </c>
      <c r="M492"/>
      <c r="N492"/>
      <c r="O492"/>
      <c r="P492"/>
      <c r="Q492" s="152"/>
      <c r="R492"/>
      <c r="S492"/>
      <c r="T492"/>
      <c r="U492"/>
      <c r="V492"/>
    </row>
    <row r="493" spans="1:22" x14ac:dyDescent="0.2">
      <c r="A493" t="s">
        <v>338</v>
      </c>
      <c r="B493" t="s">
        <v>1108</v>
      </c>
      <c r="C493" s="152">
        <v>597</v>
      </c>
      <c r="D493" s="152">
        <v>981</v>
      </c>
      <c r="E493" s="152">
        <v>1578</v>
      </c>
      <c r="F493" s="152">
        <v>71276501.531391695</v>
      </c>
      <c r="G493" s="152">
        <v>130658380.928927</v>
      </c>
      <c r="H493" s="152">
        <v>201934882.46031901</v>
      </c>
      <c r="I493" t="s">
        <v>867</v>
      </c>
      <c r="J493" t="s">
        <v>137</v>
      </c>
      <c r="K493">
        <v>172601</v>
      </c>
      <c r="L493" t="s">
        <v>907</v>
      </c>
      <c r="M493"/>
      <c r="N493"/>
      <c r="O493"/>
      <c r="P493"/>
      <c r="Q493" s="152"/>
      <c r="R493"/>
      <c r="S493"/>
      <c r="T493"/>
      <c r="U493"/>
      <c r="V493"/>
    </row>
    <row r="494" spans="1:22" x14ac:dyDescent="0.2">
      <c r="A494" t="s">
        <v>837</v>
      </c>
      <c r="B494" t="s">
        <v>881</v>
      </c>
      <c r="C494" s="152">
        <v>721</v>
      </c>
      <c r="D494" s="152">
        <v>850</v>
      </c>
      <c r="E494" s="152">
        <v>1571</v>
      </c>
      <c r="F494" s="152">
        <v>17772184.3452489</v>
      </c>
      <c r="G494" s="152">
        <v>25563223.568855301</v>
      </c>
      <c r="H494" s="152">
        <v>43335407.914104201</v>
      </c>
      <c r="I494" t="s">
        <v>742</v>
      </c>
      <c r="J494" t="s">
        <v>135</v>
      </c>
      <c r="K494">
        <v>420463</v>
      </c>
      <c r="L494" t="s">
        <v>880</v>
      </c>
      <c r="M494"/>
      <c r="N494"/>
      <c r="O494"/>
      <c r="P494"/>
      <c r="Q494" s="152"/>
      <c r="R494"/>
      <c r="S494"/>
      <c r="T494"/>
      <c r="U494"/>
      <c r="V494"/>
    </row>
    <row r="495" spans="1:22" x14ac:dyDescent="0.2">
      <c r="A495" t="s">
        <v>735</v>
      </c>
      <c r="B495" t="s">
        <v>901</v>
      </c>
      <c r="C495" s="152">
        <v>787</v>
      </c>
      <c r="D495" s="152">
        <v>769</v>
      </c>
      <c r="E495" s="152">
        <v>1556</v>
      </c>
      <c r="F495" s="152">
        <v>11249536.885310501</v>
      </c>
      <c r="G495" s="152">
        <v>13512473.424755201</v>
      </c>
      <c r="H495" s="152">
        <v>24762010.310065702</v>
      </c>
      <c r="I495" t="s">
        <v>742</v>
      </c>
      <c r="J495" t="s">
        <v>136</v>
      </c>
      <c r="K495">
        <v>132175</v>
      </c>
      <c r="L495" t="s">
        <v>899</v>
      </c>
      <c r="M495"/>
      <c r="N495"/>
      <c r="O495"/>
      <c r="P495"/>
      <c r="Q495" s="152"/>
      <c r="R495"/>
      <c r="S495"/>
      <c r="T495"/>
      <c r="U495"/>
      <c r="V495"/>
    </row>
    <row r="496" spans="1:22" x14ac:dyDescent="0.2">
      <c r="A496" t="s">
        <v>150</v>
      </c>
      <c r="B496" t="s">
        <v>244</v>
      </c>
      <c r="C496" s="152">
        <v>615</v>
      </c>
      <c r="D496" s="152">
        <v>940</v>
      </c>
      <c r="E496" s="152">
        <v>1555</v>
      </c>
      <c r="F496" s="152">
        <v>10530199.352176899</v>
      </c>
      <c r="G496" s="152">
        <v>20772644.412149001</v>
      </c>
      <c r="H496" s="152">
        <v>31302843.764325999</v>
      </c>
      <c r="I496" t="s">
        <v>742</v>
      </c>
      <c r="J496" t="s">
        <v>135</v>
      </c>
      <c r="K496">
        <v>333633</v>
      </c>
      <c r="L496" t="s">
        <v>899</v>
      </c>
      <c r="M496"/>
      <c r="N496"/>
      <c r="O496"/>
      <c r="P496"/>
      <c r="Q496" s="152"/>
      <c r="R496"/>
      <c r="S496"/>
      <c r="T496"/>
      <c r="U496"/>
      <c r="V496"/>
    </row>
    <row r="497" spans="1:22" x14ac:dyDescent="0.2">
      <c r="A497" t="s">
        <v>721</v>
      </c>
      <c r="B497" t="s">
        <v>1127</v>
      </c>
      <c r="C497" s="152">
        <v>694</v>
      </c>
      <c r="D497" s="152">
        <v>851</v>
      </c>
      <c r="E497" s="152">
        <v>1545</v>
      </c>
      <c r="F497" s="152">
        <v>16570143.046256199</v>
      </c>
      <c r="G497" s="152">
        <v>24249781.0048704</v>
      </c>
      <c r="H497" s="152">
        <v>40819924.051126599</v>
      </c>
      <c r="I497" t="s">
        <v>742</v>
      </c>
      <c r="J497" t="s">
        <v>136</v>
      </c>
      <c r="K497">
        <v>900894</v>
      </c>
      <c r="L497" t="s">
        <v>866</v>
      </c>
      <c r="M497"/>
      <c r="N497"/>
      <c r="O497"/>
      <c r="P497"/>
      <c r="Q497" s="152"/>
      <c r="R497"/>
      <c r="S497"/>
      <c r="T497"/>
      <c r="U497"/>
      <c r="V497"/>
    </row>
    <row r="498" spans="1:22" x14ac:dyDescent="0.2">
      <c r="A498" t="s">
        <v>735</v>
      </c>
      <c r="B498" t="s">
        <v>217</v>
      </c>
      <c r="C498" s="152">
        <v>664</v>
      </c>
      <c r="D498" s="152">
        <v>825</v>
      </c>
      <c r="E498" s="152">
        <v>1489</v>
      </c>
      <c r="F498" s="152">
        <v>12858616.4008781</v>
      </c>
      <c r="G498" s="152">
        <v>20848605.531211499</v>
      </c>
      <c r="H498" s="152">
        <v>33707221.9320895</v>
      </c>
      <c r="I498" t="s">
        <v>742</v>
      </c>
      <c r="J498" t="s">
        <v>136</v>
      </c>
      <c r="K498">
        <v>173435</v>
      </c>
      <c r="L498" t="s">
        <v>490</v>
      </c>
      <c r="M498"/>
      <c r="N498"/>
      <c r="O498"/>
      <c r="P498"/>
      <c r="Q498" s="152"/>
      <c r="R498"/>
      <c r="S498"/>
      <c r="T498"/>
      <c r="U498"/>
      <c r="V498"/>
    </row>
    <row r="499" spans="1:22" x14ac:dyDescent="0.2">
      <c r="A499" t="s">
        <v>234</v>
      </c>
      <c r="B499" t="s">
        <v>1149</v>
      </c>
      <c r="C499" s="152">
        <v>633</v>
      </c>
      <c r="D499" s="152">
        <v>849</v>
      </c>
      <c r="E499" s="152">
        <v>1482</v>
      </c>
      <c r="F499" s="152">
        <v>11618509.527114499</v>
      </c>
      <c r="G499" s="152">
        <v>19193232.2241439</v>
      </c>
      <c r="H499" s="152">
        <v>30811741.751258399</v>
      </c>
      <c r="I499" t="s">
        <v>742</v>
      </c>
      <c r="J499" t="s">
        <v>135</v>
      </c>
      <c r="K499">
        <v>990028</v>
      </c>
      <c r="L499" t="s">
        <v>930</v>
      </c>
      <c r="M499"/>
      <c r="N499"/>
      <c r="O499"/>
      <c r="P499"/>
      <c r="Q499" s="152"/>
      <c r="R499"/>
      <c r="S499"/>
      <c r="T499"/>
      <c r="U499"/>
      <c r="V499"/>
    </row>
    <row r="500" spans="1:22" x14ac:dyDescent="0.2">
      <c r="A500" t="s">
        <v>328</v>
      </c>
      <c r="B500" t="s">
        <v>1032</v>
      </c>
      <c r="C500" s="152">
        <v>792</v>
      </c>
      <c r="D500" s="152">
        <v>679</v>
      </c>
      <c r="E500" s="152">
        <v>1471</v>
      </c>
      <c r="F500" s="152">
        <v>19303997.367387701</v>
      </c>
      <c r="G500" s="152">
        <v>22262509.3782451</v>
      </c>
      <c r="H500" s="152">
        <v>41566506.745632797</v>
      </c>
      <c r="I500" t="s">
        <v>867</v>
      </c>
      <c r="J500" t="s">
        <v>137</v>
      </c>
      <c r="K500">
        <v>592295</v>
      </c>
      <c r="L500" t="s">
        <v>815</v>
      </c>
      <c r="M500"/>
      <c r="N500"/>
      <c r="O500"/>
      <c r="P500"/>
      <c r="Q500" s="152"/>
      <c r="R500"/>
      <c r="S500"/>
      <c r="T500"/>
      <c r="U500"/>
      <c r="V500"/>
    </row>
    <row r="501" spans="1:22" x14ac:dyDescent="0.2">
      <c r="A501" t="s">
        <v>268</v>
      </c>
      <c r="B501" t="s">
        <v>833</v>
      </c>
      <c r="C501" s="152">
        <v>492</v>
      </c>
      <c r="D501" s="152">
        <v>974</v>
      </c>
      <c r="E501" s="152">
        <v>1466</v>
      </c>
      <c r="F501" s="152">
        <v>9127687.0074437894</v>
      </c>
      <c r="G501" s="152">
        <v>24946595.630867399</v>
      </c>
      <c r="H501" s="152">
        <v>34074282.6383112</v>
      </c>
      <c r="I501" t="s">
        <v>742</v>
      </c>
      <c r="J501" t="s">
        <v>135</v>
      </c>
      <c r="K501">
        <v>806091</v>
      </c>
      <c r="L501" t="s">
        <v>99</v>
      </c>
      <c r="M501"/>
      <c r="N501"/>
      <c r="O501"/>
      <c r="P501"/>
      <c r="Q501" s="152"/>
      <c r="R501"/>
      <c r="S501"/>
      <c r="T501"/>
      <c r="U501"/>
      <c r="V501"/>
    </row>
    <row r="502" spans="1:22" x14ac:dyDescent="0.2">
      <c r="A502" t="s">
        <v>114</v>
      </c>
      <c r="B502" t="s">
        <v>117</v>
      </c>
      <c r="C502" s="152">
        <v>824</v>
      </c>
      <c r="D502" s="152">
        <v>612</v>
      </c>
      <c r="E502" s="152">
        <v>1436</v>
      </c>
      <c r="F502" s="152">
        <v>13845706.6804472</v>
      </c>
      <c r="G502" s="152">
        <v>12223980.9543548</v>
      </c>
      <c r="H502" s="152">
        <v>26069687.634801898</v>
      </c>
      <c r="I502" t="s">
        <v>867</v>
      </c>
      <c r="J502" t="s">
        <v>135</v>
      </c>
      <c r="K502">
        <v>678128</v>
      </c>
      <c r="L502" t="s">
        <v>795</v>
      </c>
      <c r="M502"/>
      <c r="N502"/>
      <c r="O502"/>
      <c r="P502"/>
      <c r="Q502" s="152"/>
      <c r="R502"/>
      <c r="S502"/>
      <c r="T502"/>
      <c r="U502"/>
      <c r="V502"/>
    </row>
    <row r="503" spans="1:22" x14ac:dyDescent="0.2">
      <c r="A503" t="s">
        <v>166</v>
      </c>
      <c r="B503" t="s">
        <v>435</v>
      </c>
      <c r="C503" s="152">
        <v>762</v>
      </c>
      <c r="D503" s="152">
        <v>663</v>
      </c>
      <c r="E503" s="152">
        <v>1425</v>
      </c>
      <c r="F503" s="152">
        <v>64022892.632837899</v>
      </c>
      <c r="G503" s="152">
        <v>60978639.834110796</v>
      </c>
      <c r="H503" s="152">
        <v>125001532.466949</v>
      </c>
      <c r="I503" t="s">
        <v>742</v>
      </c>
      <c r="J503" t="s">
        <v>135</v>
      </c>
      <c r="K503">
        <v>272831</v>
      </c>
      <c r="L503" t="s">
        <v>527</v>
      </c>
      <c r="M503"/>
      <c r="N503"/>
      <c r="O503"/>
      <c r="P503"/>
      <c r="Q503" s="152"/>
      <c r="R503"/>
      <c r="S503"/>
      <c r="T503"/>
      <c r="U503"/>
      <c r="V503"/>
    </row>
    <row r="504" spans="1:22" x14ac:dyDescent="0.2">
      <c r="A504" t="s">
        <v>268</v>
      </c>
      <c r="B504" t="s">
        <v>1016</v>
      </c>
      <c r="C504" s="152">
        <v>670</v>
      </c>
      <c r="D504" s="152">
        <v>744</v>
      </c>
      <c r="E504" s="152">
        <v>1414</v>
      </c>
      <c r="F504" s="152">
        <v>12997092.965721499</v>
      </c>
      <c r="G504" s="152">
        <v>17710396.913597401</v>
      </c>
      <c r="H504" s="152">
        <v>30707489.8793189</v>
      </c>
      <c r="I504" t="s">
        <v>742</v>
      </c>
      <c r="J504" t="s">
        <v>135</v>
      </c>
      <c r="K504">
        <v>373183</v>
      </c>
      <c r="L504" t="s">
        <v>868</v>
      </c>
      <c r="M504"/>
      <c r="N504"/>
      <c r="O504"/>
      <c r="P504"/>
      <c r="Q504" s="152"/>
      <c r="R504"/>
      <c r="S504"/>
      <c r="T504"/>
      <c r="U504"/>
      <c r="V504"/>
    </row>
    <row r="505" spans="1:22" x14ac:dyDescent="0.2">
      <c r="A505" t="s">
        <v>302</v>
      </c>
      <c r="B505" t="s">
        <v>223</v>
      </c>
      <c r="C505" s="152">
        <v>643</v>
      </c>
      <c r="D505" s="152">
        <v>770</v>
      </c>
      <c r="E505" s="152">
        <v>1413</v>
      </c>
      <c r="F505" s="152">
        <v>9032436.0620397795</v>
      </c>
      <c r="G505" s="152">
        <v>12889262.0314642</v>
      </c>
      <c r="H505" s="152">
        <v>21921698.093504</v>
      </c>
      <c r="I505" t="s">
        <v>742</v>
      </c>
      <c r="J505" t="s">
        <v>135</v>
      </c>
      <c r="K505">
        <v>688986</v>
      </c>
      <c r="L505" t="s">
        <v>490</v>
      </c>
      <c r="M505"/>
      <c r="N505"/>
      <c r="O505"/>
      <c r="P505"/>
      <c r="Q505" s="152"/>
      <c r="R505"/>
      <c r="S505"/>
      <c r="T505"/>
      <c r="U505"/>
      <c r="V505"/>
    </row>
    <row r="506" spans="1:22" x14ac:dyDescent="0.2">
      <c r="A506" t="s">
        <v>420</v>
      </c>
      <c r="B506" t="s">
        <v>306</v>
      </c>
      <c r="C506" s="152">
        <v>683</v>
      </c>
      <c r="D506" s="152">
        <v>729</v>
      </c>
      <c r="E506" s="152">
        <v>1412</v>
      </c>
      <c r="F506" s="152">
        <v>10471558.1901756</v>
      </c>
      <c r="G506" s="152">
        <v>13649188.268865</v>
      </c>
      <c r="H506" s="152">
        <v>24120746.459040601</v>
      </c>
      <c r="I506" t="s">
        <v>867</v>
      </c>
      <c r="J506" t="s">
        <v>135</v>
      </c>
      <c r="K506">
        <v>631960</v>
      </c>
      <c r="L506" t="s">
        <v>784</v>
      </c>
      <c r="M506"/>
      <c r="N506"/>
      <c r="O506"/>
      <c r="P506"/>
      <c r="Q506" s="152"/>
      <c r="R506"/>
      <c r="S506"/>
      <c r="T506"/>
      <c r="U506"/>
      <c r="V506"/>
    </row>
    <row r="507" spans="1:22" x14ac:dyDescent="0.2">
      <c r="A507" t="s">
        <v>781</v>
      </c>
      <c r="B507" t="s">
        <v>452</v>
      </c>
      <c r="C507" s="152">
        <v>519</v>
      </c>
      <c r="D507" s="152">
        <v>890</v>
      </c>
      <c r="E507" s="152">
        <v>1409</v>
      </c>
      <c r="F507" s="152">
        <v>11408145.2938</v>
      </c>
      <c r="G507" s="152">
        <v>24430228.722402502</v>
      </c>
      <c r="H507" s="152">
        <v>35838374.016202599</v>
      </c>
      <c r="I507" t="s">
        <v>742</v>
      </c>
      <c r="J507" t="s">
        <v>135</v>
      </c>
      <c r="K507">
        <v>524470</v>
      </c>
      <c r="L507" t="s">
        <v>1025</v>
      </c>
      <c r="M507"/>
      <c r="N507"/>
      <c r="O507"/>
      <c r="P507"/>
      <c r="Q507" s="152"/>
      <c r="R507"/>
      <c r="S507"/>
      <c r="T507"/>
      <c r="U507"/>
      <c r="V507"/>
    </row>
    <row r="508" spans="1:22" x14ac:dyDescent="0.2">
      <c r="A508" t="s">
        <v>551</v>
      </c>
      <c r="B508" t="s">
        <v>949</v>
      </c>
      <c r="C508" s="152">
        <v>757</v>
      </c>
      <c r="D508" s="152">
        <v>651</v>
      </c>
      <c r="E508" s="152">
        <v>1408</v>
      </c>
      <c r="F508" s="152">
        <v>17277998.7909532</v>
      </c>
      <c r="G508" s="152">
        <v>17019463.3735805</v>
      </c>
      <c r="H508" s="152">
        <v>34297462.1645336</v>
      </c>
      <c r="I508" t="s">
        <v>742</v>
      </c>
      <c r="J508" t="s">
        <v>139</v>
      </c>
      <c r="K508">
        <v>747774</v>
      </c>
      <c r="L508" t="s">
        <v>787</v>
      </c>
      <c r="M508"/>
      <c r="N508"/>
      <c r="O508"/>
      <c r="P508"/>
      <c r="Q508" s="152"/>
      <c r="R508"/>
      <c r="S508"/>
      <c r="T508"/>
      <c r="U508"/>
      <c r="V508"/>
    </row>
    <row r="509" spans="1:22" x14ac:dyDescent="0.2">
      <c r="A509" t="s">
        <v>645</v>
      </c>
      <c r="B509" t="s">
        <v>844</v>
      </c>
      <c r="C509" s="152">
        <v>579</v>
      </c>
      <c r="D509" s="152">
        <v>818</v>
      </c>
      <c r="E509" s="152">
        <v>1397</v>
      </c>
      <c r="F509" s="152">
        <v>21484451.952830199</v>
      </c>
      <c r="G509" s="152">
        <v>37220960.223871201</v>
      </c>
      <c r="H509" s="152">
        <v>58705412.176701397</v>
      </c>
      <c r="I509" t="s">
        <v>867</v>
      </c>
      <c r="J509" t="s">
        <v>136</v>
      </c>
      <c r="K509">
        <v>545541</v>
      </c>
      <c r="L509" t="s">
        <v>906</v>
      </c>
      <c r="M509"/>
      <c r="N509"/>
      <c r="O509"/>
      <c r="P509"/>
      <c r="Q509" s="152"/>
      <c r="R509"/>
      <c r="S509"/>
      <c r="T509"/>
      <c r="U509"/>
      <c r="V509"/>
    </row>
    <row r="510" spans="1:22" x14ac:dyDescent="0.2">
      <c r="A510" t="s">
        <v>578</v>
      </c>
      <c r="B510" t="s">
        <v>973</v>
      </c>
      <c r="C510" s="152">
        <v>720</v>
      </c>
      <c r="D510" s="152">
        <v>667</v>
      </c>
      <c r="E510" s="152">
        <v>1387</v>
      </c>
      <c r="F510" s="152">
        <v>11620005.6598929</v>
      </c>
      <c r="G510" s="152">
        <v>13199256.4727789</v>
      </c>
      <c r="H510" s="152">
        <v>24819262.1326718</v>
      </c>
      <c r="I510" t="s">
        <v>867</v>
      </c>
      <c r="J510" t="s">
        <v>136</v>
      </c>
      <c r="K510">
        <v>867606</v>
      </c>
      <c r="L510" t="s">
        <v>972</v>
      </c>
      <c r="M510"/>
      <c r="N510"/>
      <c r="O510"/>
      <c r="P510"/>
      <c r="Q510" s="152"/>
      <c r="R510"/>
      <c r="S510"/>
      <c r="T510"/>
      <c r="U510"/>
      <c r="V510"/>
    </row>
    <row r="511" spans="1:22" x14ac:dyDescent="0.2">
      <c r="A511" t="s">
        <v>338</v>
      </c>
      <c r="B511" t="s">
        <v>379</v>
      </c>
      <c r="C511" s="152">
        <v>734</v>
      </c>
      <c r="D511" s="152">
        <v>636</v>
      </c>
      <c r="E511" s="152">
        <v>1370</v>
      </c>
      <c r="F511" s="152">
        <v>11858862.1679432</v>
      </c>
      <c r="G511" s="152">
        <v>12115391.11582</v>
      </c>
      <c r="H511" s="152">
        <v>23974253.283763099</v>
      </c>
      <c r="I511" t="s">
        <v>742</v>
      </c>
      <c r="J511" t="s">
        <v>137</v>
      </c>
      <c r="K511">
        <v>480145</v>
      </c>
      <c r="L511" t="s">
        <v>65</v>
      </c>
      <c r="M511"/>
      <c r="N511"/>
      <c r="O511"/>
      <c r="P511"/>
      <c r="Q511" s="152"/>
      <c r="R511"/>
      <c r="S511"/>
      <c r="T511"/>
      <c r="U511"/>
      <c r="V511"/>
    </row>
    <row r="512" spans="1:22" x14ac:dyDescent="0.2">
      <c r="A512" t="s">
        <v>735</v>
      </c>
      <c r="B512" t="s">
        <v>39</v>
      </c>
      <c r="C512" s="152">
        <v>625</v>
      </c>
      <c r="D512" s="152">
        <v>716</v>
      </c>
      <c r="E512" s="152">
        <v>1341</v>
      </c>
      <c r="F512" s="152">
        <v>10530836.3055683</v>
      </c>
      <c r="G512" s="152">
        <v>16367579.488268601</v>
      </c>
      <c r="H512" s="152">
        <v>26898415.793836899</v>
      </c>
      <c r="I512" t="s">
        <v>742</v>
      </c>
      <c r="J512" t="s">
        <v>136</v>
      </c>
      <c r="K512">
        <v>483800</v>
      </c>
      <c r="L512" t="s">
        <v>504</v>
      </c>
      <c r="M512"/>
      <c r="N512"/>
      <c r="O512"/>
      <c r="P512"/>
      <c r="Q512" s="152"/>
      <c r="R512"/>
      <c r="S512"/>
      <c r="T512"/>
      <c r="U512"/>
      <c r="V512"/>
    </row>
    <row r="513" spans="1:22" x14ac:dyDescent="0.2">
      <c r="A513" t="s">
        <v>418</v>
      </c>
      <c r="B513" t="s">
        <v>809</v>
      </c>
      <c r="C513" s="152">
        <v>533</v>
      </c>
      <c r="D513" s="152">
        <v>807</v>
      </c>
      <c r="E513" s="152">
        <v>1340</v>
      </c>
      <c r="F513" s="152">
        <v>12070510.636368601</v>
      </c>
      <c r="G513" s="152">
        <v>22137411.099195201</v>
      </c>
      <c r="H513" s="152">
        <v>34207921.7355638</v>
      </c>
      <c r="I513" t="s">
        <v>742</v>
      </c>
      <c r="J513" t="s">
        <v>135</v>
      </c>
      <c r="K513">
        <v>174672</v>
      </c>
      <c r="L513" t="s">
        <v>407</v>
      </c>
      <c r="M513"/>
      <c r="N513"/>
      <c r="O513"/>
      <c r="P513"/>
      <c r="Q513" s="152"/>
      <c r="R513"/>
      <c r="S513"/>
      <c r="T513"/>
      <c r="U513"/>
      <c r="V513"/>
    </row>
    <row r="514" spans="1:22" x14ac:dyDescent="0.2">
      <c r="A514" t="s">
        <v>293</v>
      </c>
      <c r="B514" t="s">
        <v>496</v>
      </c>
      <c r="C514" s="152">
        <v>554</v>
      </c>
      <c r="D514" s="152">
        <v>784</v>
      </c>
      <c r="E514" s="152">
        <v>1338</v>
      </c>
      <c r="F514" s="152">
        <v>8271452.58340922</v>
      </c>
      <c r="G514" s="152">
        <v>14747878.9271443</v>
      </c>
      <c r="H514" s="152">
        <v>23019331.510553502</v>
      </c>
      <c r="I514" t="s">
        <v>742</v>
      </c>
      <c r="J514" t="s">
        <v>135</v>
      </c>
      <c r="K514">
        <v>401695</v>
      </c>
      <c r="L514" t="s">
        <v>140</v>
      </c>
      <c r="M514"/>
      <c r="N514"/>
      <c r="O514"/>
      <c r="P514"/>
      <c r="Q514" s="152"/>
      <c r="R514"/>
      <c r="S514"/>
      <c r="T514"/>
      <c r="U514"/>
      <c r="V514"/>
    </row>
    <row r="515" spans="1:22" x14ac:dyDescent="0.2">
      <c r="A515" t="s">
        <v>338</v>
      </c>
      <c r="B515" t="s">
        <v>381</v>
      </c>
      <c r="C515" s="152">
        <v>755</v>
      </c>
      <c r="D515" s="152">
        <v>576</v>
      </c>
      <c r="E515" s="152">
        <v>1331</v>
      </c>
      <c r="F515" s="152">
        <v>12925785.997256599</v>
      </c>
      <c r="G515" s="152">
        <v>12010746.634638</v>
      </c>
      <c r="H515" s="152">
        <v>24936532.6318946</v>
      </c>
      <c r="I515" t="s">
        <v>742</v>
      </c>
      <c r="J515" t="s">
        <v>137</v>
      </c>
      <c r="K515">
        <v>444315</v>
      </c>
      <c r="L515" t="s">
        <v>65</v>
      </c>
      <c r="M515"/>
      <c r="N515"/>
      <c r="O515"/>
      <c r="P515"/>
      <c r="Q515" s="152"/>
      <c r="R515"/>
      <c r="S515"/>
      <c r="T515"/>
      <c r="U515"/>
      <c r="V515"/>
    </row>
    <row r="516" spans="1:22" x14ac:dyDescent="0.2">
      <c r="A516" t="s">
        <v>312</v>
      </c>
      <c r="B516" t="s">
        <v>225</v>
      </c>
      <c r="C516" s="152">
        <v>597</v>
      </c>
      <c r="D516" s="152">
        <v>677</v>
      </c>
      <c r="E516" s="152">
        <v>1274</v>
      </c>
      <c r="F516" s="152">
        <v>9332830.2459784206</v>
      </c>
      <c r="G516" s="152">
        <v>13403251.6192484</v>
      </c>
      <c r="H516" s="152">
        <v>22736081.865226801</v>
      </c>
      <c r="I516" t="s">
        <v>742</v>
      </c>
      <c r="J516" t="s">
        <v>135</v>
      </c>
      <c r="K516">
        <v>189258</v>
      </c>
      <c r="L516" t="s">
        <v>490</v>
      </c>
      <c r="M516"/>
      <c r="N516"/>
      <c r="O516"/>
      <c r="P516"/>
      <c r="Q516" s="152"/>
      <c r="R516"/>
      <c r="S516"/>
      <c r="T516"/>
      <c r="U516"/>
      <c r="V516"/>
    </row>
    <row r="517" spans="1:22" x14ac:dyDescent="0.2">
      <c r="A517" t="s">
        <v>183</v>
      </c>
      <c r="B517" t="s">
        <v>657</v>
      </c>
      <c r="C517" s="152">
        <v>493</v>
      </c>
      <c r="D517" s="152">
        <v>776</v>
      </c>
      <c r="E517" s="152">
        <v>1269</v>
      </c>
      <c r="F517" s="152">
        <v>8754935.3901466206</v>
      </c>
      <c r="G517" s="152">
        <v>17052692.059740301</v>
      </c>
      <c r="H517" s="152">
        <v>25807627.449886899</v>
      </c>
      <c r="I517" t="s">
        <v>742</v>
      </c>
      <c r="J517" t="s">
        <v>135</v>
      </c>
      <c r="K517">
        <v>231100</v>
      </c>
      <c r="L517" t="s">
        <v>874</v>
      </c>
      <c r="M517"/>
      <c r="N517"/>
      <c r="O517"/>
      <c r="P517"/>
      <c r="Q517" s="152"/>
      <c r="R517"/>
      <c r="S517"/>
      <c r="T517"/>
      <c r="U517"/>
      <c r="V517"/>
    </row>
    <row r="518" spans="1:22" x14ac:dyDescent="0.2">
      <c r="A518" t="s">
        <v>735</v>
      </c>
      <c r="B518" t="s">
        <v>883</v>
      </c>
      <c r="C518" s="152">
        <v>501</v>
      </c>
      <c r="D518" s="152">
        <v>767</v>
      </c>
      <c r="E518" s="152">
        <v>1268</v>
      </c>
      <c r="F518" s="152">
        <v>11114310.513738601</v>
      </c>
      <c r="G518" s="152">
        <v>20160999.0091701</v>
      </c>
      <c r="H518" s="152">
        <v>31275309.522908799</v>
      </c>
      <c r="I518" t="s">
        <v>742</v>
      </c>
      <c r="J518" t="s">
        <v>136</v>
      </c>
      <c r="K518">
        <v>909333</v>
      </c>
      <c r="L518" t="s">
        <v>882</v>
      </c>
      <c r="M518"/>
      <c r="N518"/>
      <c r="O518"/>
      <c r="P518"/>
      <c r="Q518" s="152"/>
      <c r="R518"/>
      <c r="S518"/>
      <c r="T518"/>
      <c r="U518"/>
      <c r="V518"/>
    </row>
    <row r="519" spans="1:22" x14ac:dyDescent="0.2">
      <c r="A519" t="s">
        <v>840</v>
      </c>
      <c r="B519" t="s">
        <v>941</v>
      </c>
      <c r="C519" s="152">
        <v>382</v>
      </c>
      <c r="D519" s="152">
        <v>857</v>
      </c>
      <c r="E519" s="152">
        <v>1239</v>
      </c>
      <c r="F519" s="152">
        <v>9240644.3870062493</v>
      </c>
      <c r="G519" s="152">
        <v>22376572.4016864</v>
      </c>
      <c r="H519" s="152">
        <v>31617216.788692702</v>
      </c>
      <c r="I519" t="s">
        <v>867</v>
      </c>
      <c r="J519" t="s">
        <v>135</v>
      </c>
      <c r="K519">
        <v>653030</v>
      </c>
      <c r="L519" t="s">
        <v>795</v>
      </c>
      <c r="M519"/>
      <c r="N519"/>
      <c r="O519"/>
      <c r="P519"/>
      <c r="Q519" s="152"/>
      <c r="R519"/>
      <c r="S519"/>
      <c r="T519"/>
      <c r="U519"/>
      <c r="V519"/>
    </row>
    <row r="520" spans="1:22" x14ac:dyDescent="0.2">
      <c r="A520" t="s">
        <v>150</v>
      </c>
      <c r="B520" t="s">
        <v>488</v>
      </c>
      <c r="C520" s="152">
        <v>507</v>
      </c>
      <c r="D520" s="152">
        <v>728</v>
      </c>
      <c r="E520" s="152">
        <v>1235</v>
      </c>
      <c r="F520" s="152">
        <v>8497765.0062398408</v>
      </c>
      <c r="G520" s="152">
        <v>15092596.2229697</v>
      </c>
      <c r="H520" s="152">
        <v>23590361.229209501</v>
      </c>
      <c r="I520" t="s">
        <v>867</v>
      </c>
      <c r="J520" t="s">
        <v>135</v>
      </c>
      <c r="K520">
        <v>602094</v>
      </c>
      <c r="L520" t="s">
        <v>37</v>
      </c>
      <c r="M520"/>
      <c r="N520"/>
      <c r="O520"/>
      <c r="P520"/>
      <c r="Q520" s="152"/>
      <c r="R520"/>
      <c r="S520"/>
      <c r="T520"/>
      <c r="U520"/>
      <c r="V520"/>
    </row>
    <row r="521" spans="1:22" x14ac:dyDescent="0.2">
      <c r="A521" t="s">
        <v>861</v>
      </c>
      <c r="B521" t="s">
        <v>1065</v>
      </c>
      <c r="C521" s="152">
        <v>624</v>
      </c>
      <c r="D521" s="152">
        <v>602</v>
      </c>
      <c r="E521" s="152">
        <v>1226</v>
      </c>
      <c r="F521" s="152">
        <v>6099749.6222727997</v>
      </c>
      <c r="G521" s="152">
        <v>9255605.7185404804</v>
      </c>
      <c r="H521" s="152">
        <v>15355355.3408133</v>
      </c>
      <c r="I521" t="s">
        <v>742</v>
      </c>
      <c r="J521" t="s">
        <v>135</v>
      </c>
      <c r="K521">
        <v>908095</v>
      </c>
      <c r="L521" t="s">
        <v>387</v>
      </c>
      <c r="M521"/>
      <c r="N521"/>
      <c r="O521"/>
      <c r="P521"/>
      <c r="Q521" s="152"/>
      <c r="R521"/>
      <c r="S521"/>
      <c r="T521"/>
      <c r="U521"/>
      <c r="V521"/>
    </row>
    <row r="522" spans="1:22" x14ac:dyDescent="0.2">
      <c r="A522" t="s">
        <v>735</v>
      </c>
      <c r="B522" t="s">
        <v>738</v>
      </c>
      <c r="C522" s="152">
        <v>485</v>
      </c>
      <c r="D522" s="152">
        <v>729</v>
      </c>
      <c r="E522" s="152">
        <v>1214</v>
      </c>
      <c r="F522" s="152">
        <v>9231476.2966515906</v>
      </c>
      <c r="G522" s="152">
        <v>17314935.005835999</v>
      </c>
      <c r="H522" s="152">
        <v>26546411.302487601</v>
      </c>
      <c r="I522" t="s">
        <v>742</v>
      </c>
      <c r="J522" t="s">
        <v>136</v>
      </c>
      <c r="K522">
        <v>298570</v>
      </c>
      <c r="L522" t="s">
        <v>403</v>
      </c>
      <c r="M522"/>
      <c r="N522"/>
      <c r="O522"/>
      <c r="P522"/>
      <c r="Q522" s="152"/>
      <c r="R522"/>
      <c r="S522"/>
      <c r="T522"/>
      <c r="U522"/>
      <c r="V522"/>
    </row>
    <row r="523" spans="1:22" x14ac:dyDescent="0.2">
      <c r="A523" t="s">
        <v>329</v>
      </c>
      <c r="B523" t="s">
        <v>12</v>
      </c>
      <c r="C523" s="152">
        <v>653</v>
      </c>
      <c r="D523" s="152">
        <v>553</v>
      </c>
      <c r="E523" s="152">
        <v>1206</v>
      </c>
      <c r="F523" s="152">
        <v>27733909.782887802</v>
      </c>
      <c r="G523" s="152">
        <v>25523380.876881201</v>
      </c>
      <c r="H523" s="152">
        <v>53257290.659768999</v>
      </c>
      <c r="I523" t="s">
        <v>867</v>
      </c>
      <c r="J523" t="s">
        <v>137</v>
      </c>
      <c r="K523">
        <v>927632</v>
      </c>
      <c r="L523" t="s">
        <v>502</v>
      </c>
      <c r="M523"/>
      <c r="N523"/>
      <c r="O523"/>
      <c r="P523"/>
      <c r="Q523" s="152"/>
      <c r="R523"/>
      <c r="S523"/>
      <c r="T523"/>
      <c r="U523"/>
      <c r="V523"/>
    </row>
    <row r="524" spans="1:22" x14ac:dyDescent="0.2">
      <c r="A524" t="s">
        <v>781</v>
      </c>
      <c r="B524" t="s">
        <v>1146</v>
      </c>
      <c r="C524" s="152">
        <v>786</v>
      </c>
      <c r="D524" s="152">
        <v>419</v>
      </c>
      <c r="E524" s="152">
        <v>1205</v>
      </c>
      <c r="F524" s="152">
        <v>16901665.120329902</v>
      </c>
      <c r="G524" s="152">
        <v>10153287.425309399</v>
      </c>
      <c r="H524" s="152">
        <v>27054952.545639299</v>
      </c>
      <c r="I524" t="s">
        <v>867</v>
      </c>
      <c r="J524" t="s">
        <v>135</v>
      </c>
      <c r="K524">
        <v>203067</v>
      </c>
      <c r="L524" t="s">
        <v>814</v>
      </c>
      <c r="M524"/>
      <c r="N524"/>
      <c r="O524"/>
      <c r="P524"/>
      <c r="Q524" s="152"/>
      <c r="R524"/>
      <c r="S524"/>
      <c r="T524"/>
      <c r="U524"/>
      <c r="V524"/>
    </row>
    <row r="525" spans="1:22" x14ac:dyDescent="0.2">
      <c r="A525" t="s">
        <v>49</v>
      </c>
      <c r="B525" t="s">
        <v>76</v>
      </c>
      <c r="C525" s="152">
        <v>678</v>
      </c>
      <c r="D525" s="152">
        <v>521</v>
      </c>
      <c r="E525" s="152">
        <v>1199</v>
      </c>
      <c r="F525" s="152">
        <v>11437327.909497701</v>
      </c>
      <c r="G525" s="152">
        <v>10894757.572131401</v>
      </c>
      <c r="H525" s="152">
        <v>22332085.4816291</v>
      </c>
      <c r="I525" t="s">
        <v>867</v>
      </c>
      <c r="J525" t="s">
        <v>135</v>
      </c>
      <c r="K525">
        <v>273078</v>
      </c>
      <c r="L525" t="s">
        <v>782</v>
      </c>
      <c r="M525"/>
      <c r="N525"/>
      <c r="O525"/>
      <c r="P525"/>
      <c r="Q525" s="152"/>
      <c r="R525"/>
      <c r="S525"/>
      <c r="T525"/>
      <c r="U525"/>
      <c r="V525"/>
    </row>
    <row r="526" spans="1:22" x14ac:dyDescent="0.2">
      <c r="A526" t="s">
        <v>114</v>
      </c>
      <c r="B526" t="s">
        <v>273</v>
      </c>
      <c r="C526" s="152">
        <v>481</v>
      </c>
      <c r="D526" s="152">
        <v>711</v>
      </c>
      <c r="E526" s="152">
        <v>1192</v>
      </c>
      <c r="F526" s="152">
        <v>8300053.0076437602</v>
      </c>
      <c r="G526" s="152">
        <v>16133938.8411033</v>
      </c>
      <c r="H526" s="152">
        <v>24433991.848747101</v>
      </c>
      <c r="I526" t="s">
        <v>742</v>
      </c>
      <c r="J526" t="s">
        <v>135</v>
      </c>
      <c r="K526">
        <v>626945</v>
      </c>
      <c r="L526" t="s">
        <v>99</v>
      </c>
      <c r="M526"/>
      <c r="N526"/>
      <c r="O526"/>
      <c r="P526"/>
      <c r="Q526" s="152"/>
      <c r="R526"/>
      <c r="S526"/>
      <c r="T526"/>
      <c r="U526"/>
      <c r="V526"/>
    </row>
    <row r="527" spans="1:22" x14ac:dyDescent="0.2">
      <c r="A527" t="s">
        <v>721</v>
      </c>
      <c r="B527" t="s">
        <v>727</v>
      </c>
      <c r="C527" s="152">
        <v>603</v>
      </c>
      <c r="D527" s="152">
        <v>589</v>
      </c>
      <c r="E527" s="152">
        <v>1192</v>
      </c>
      <c r="F527" s="152">
        <v>8405471.8811279591</v>
      </c>
      <c r="G527" s="152">
        <v>10071118.777020499</v>
      </c>
      <c r="H527" s="152">
        <v>18476590.658148501</v>
      </c>
      <c r="I527" t="s">
        <v>742</v>
      </c>
      <c r="J527" t="s">
        <v>136</v>
      </c>
      <c r="K527">
        <v>203836</v>
      </c>
      <c r="L527" t="s">
        <v>899</v>
      </c>
      <c r="M527"/>
      <c r="N527"/>
      <c r="O527"/>
      <c r="P527"/>
      <c r="Q527" s="152"/>
      <c r="R527"/>
      <c r="S527"/>
      <c r="T527"/>
      <c r="U527"/>
      <c r="V527"/>
    </row>
    <row r="528" spans="1:22" x14ac:dyDescent="0.2">
      <c r="A528" t="s">
        <v>721</v>
      </c>
      <c r="B528" t="s">
        <v>350</v>
      </c>
      <c r="C528" s="152">
        <v>532</v>
      </c>
      <c r="D528" s="152">
        <v>640</v>
      </c>
      <c r="E528" s="152">
        <v>1172</v>
      </c>
      <c r="F528" s="152">
        <v>11353527.503678299</v>
      </c>
      <c r="G528" s="152">
        <v>15803649.047503</v>
      </c>
      <c r="H528" s="152">
        <v>27157176.551181301</v>
      </c>
      <c r="I528" t="s">
        <v>742</v>
      </c>
      <c r="J528" t="s">
        <v>136</v>
      </c>
      <c r="K528">
        <v>955435</v>
      </c>
      <c r="L528" t="s">
        <v>340</v>
      </c>
      <c r="M528"/>
      <c r="N528"/>
      <c r="O528"/>
      <c r="P528"/>
      <c r="Q528" s="152"/>
      <c r="R528"/>
      <c r="S528"/>
      <c r="T528"/>
      <c r="U528"/>
      <c r="V528"/>
    </row>
    <row r="529" spans="1:22" x14ac:dyDescent="0.2">
      <c r="A529" t="s">
        <v>419</v>
      </c>
      <c r="B529" t="s">
        <v>890</v>
      </c>
      <c r="C529" s="152">
        <v>460</v>
      </c>
      <c r="D529" s="152">
        <v>703</v>
      </c>
      <c r="E529" s="152">
        <v>1163</v>
      </c>
      <c r="F529" s="152">
        <v>10512292.987638401</v>
      </c>
      <c r="G529" s="152">
        <v>22182818.126357399</v>
      </c>
      <c r="H529" s="152">
        <v>32695111.113995802</v>
      </c>
      <c r="I529" t="s">
        <v>742</v>
      </c>
      <c r="J529" t="s">
        <v>135</v>
      </c>
      <c r="K529">
        <v>116822</v>
      </c>
      <c r="L529" t="s">
        <v>882</v>
      </c>
      <c r="M529"/>
      <c r="N529"/>
      <c r="O529"/>
      <c r="P529"/>
      <c r="Q529" s="152"/>
      <c r="R529"/>
      <c r="S529"/>
      <c r="T529"/>
      <c r="U529"/>
      <c r="V529"/>
    </row>
    <row r="530" spans="1:22" x14ac:dyDescent="0.2">
      <c r="A530" t="s">
        <v>861</v>
      </c>
      <c r="B530" t="s">
        <v>1088</v>
      </c>
      <c r="C530" s="152">
        <v>483</v>
      </c>
      <c r="D530" s="152">
        <v>679</v>
      </c>
      <c r="E530" s="152">
        <v>1162</v>
      </c>
      <c r="F530" s="152">
        <v>9543721.9535062406</v>
      </c>
      <c r="G530" s="152">
        <v>15262987.5651411</v>
      </c>
      <c r="H530" s="152">
        <v>24806709.518647298</v>
      </c>
      <c r="I530" t="s">
        <v>742</v>
      </c>
      <c r="J530" t="s">
        <v>135</v>
      </c>
      <c r="K530">
        <v>242495</v>
      </c>
      <c r="L530" t="s">
        <v>1083</v>
      </c>
      <c r="M530"/>
      <c r="N530"/>
      <c r="O530"/>
      <c r="P530"/>
      <c r="Q530" s="152"/>
      <c r="R530"/>
      <c r="S530"/>
      <c r="T530"/>
      <c r="U530"/>
      <c r="V530"/>
    </row>
    <row r="531" spans="1:22" x14ac:dyDescent="0.2">
      <c r="A531" t="s">
        <v>417</v>
      </c>
      <c r="B531" t="s">
        <v>230</v>
      </c>
      <c r="C531" s="152">
        <v>407</v>
      </c>
      <c r="D531" s="152">
        <v>739</v>
      </c>
      <c r="E531" s="152">
        <v>1146</v>
      </c>
      <c r="F531" s="152">
        <v>11014511.3640601</v>
      </c>
      <c r="G531" s="152">
        <v>25450155.852735501</v>
      </c>
      <c r="H531" s="152">
        <v>36464667.216795698</v>
      </c>
      <c r="I531" t="s">
        <v>742</v>
      </c>
      <c r="J531" t="s">
        <v>135</v>
      </c>
      <c r="K531">
        <v>925099</v>
      </c>
      <c r="L531" t="s">
        <v>490</v>
      </c>
      <c r="M531"/>
      <c r="N531"/>
      <c r="O531"/>
      <c r="P531"/>
      <c r="Q531" s="152"/>
      <c r="R531"/>
      <c r="S531"/>
      <c r="T531"/>
      <c r="U531"/>
      <c r="V531"/>
    </row>
    <row r="532" spans="1:22" x14ac:dyDescent="0.2">
      <c r="A532" t="s">
        <v>254</v>
      </c>
      <c r="B532" t="s">
        <v>414</v>
      </c>
      <c r="C532" s="152">
        <v>499</v>
      </c>
      <c r="D532" s="152">
        <v>641</v>
      </c>
      <c r="E532" s="152">
        <v>1140</v>
      </c>
      <c r="F532" s="152">
        <v>7477122.2827217402</v>
      </c>
      <c r="G532" s="152">
        <v>14222223.5800351</v>
      </c>
      <c r="H532" s="152">
        <v>21699345.8627568</v>
      </c>
      <c r="I532" t="s">
        <v>867</v>
      </c>
      <c r="J532" t="s">
        <v>135</v>
      </c>
      <c r="K532">
        <v>203182</v>
      </c>
      <c r="L532" t="s">
        <v>787</v>
      </c>
      <c r="M532"/>
      <c r="N532"/>
      <c r="O532"/>
      <c r="P532"/>
      <c r="Q532" s="152"/>
      <c r="R532"/>
      <c r="S532"/>
      <c r="T532"/>
      <c r="U532"/>
      <c r="V532"/>
    </row>
    <row r="533" spans="1:22" x14ac:dyDescent="0.2">
      <c r="A533" t="s">
        <v>417</v>
      </c>
      <c r="B533" t="s">
        <v>916</v>
      </c>
      <c r="C533" s="152">
        <v>460</v>
      </c>
      <c r="D533" s="152">
        <v>669</v>
      </c>
      <c r="E533" s="152">
        <v>1129</v>
      </c>
      <c r="F533" s="152">
        <v>9949074.2264000494</v>
      </c>
      <c r="G533" s="152">
        <v>17391425.488005299</v>
      </c>
      <c r="H533" s="152">
        <v>27340499.714405399</v>
      </c>
      <c r="I533" t="s">
        <v>742</v>
      </c>
      <c r="J533" t="s">
        <v>135</v>
      </c>
      <c r="K533">
        <v>770263</v>
      </c>
      <c r="L533" t="s">
        <v>99</v>
      </c>
      <c r="M533"/>
      <c r="N533"/>
      <c r="O533"/>
      <c r="P533"/>
      <c r="Q533" s="152"/>
      <c r="R533"/>
      <c r="S533"/>
      <c r="T533"/>
      <c r="U533"/>
      <c r="V533"/>
    </row>
    <row r="534" spans="1:22" x14ac:dyDescent="0.2">
      <c r="A534" t="s">
        <v>338</v>
      </c>
      <c r="B534" t="s">
        <v>1136</v>
      </c>
      <c r="C534" s="152">
        <v>394</v>
      </c>
      <c r="D534" s="152">
        <v>703</v>
      </c>
      <c r="E534" s="152">
        <v>1097</v>
      </c>
      <c r="F534" s="152">
        <v>30551155.4173044</v>
      </c>
      <c r="G534" s="152">
        <v>65991959.371635802</v>
      </c>
      <c r="H534" s="152">
        <v>96543114.788940296</v>
      </c>
      <c r="I534" t="s">
        <v>867</v>
      </c>
      <c r="J534" t="s">
        <v>137</v>
      </c>
      <c r="K534">
        <v>691220</v>
      </c>
      <c r="L534" t="s">
        <v>1134</v>
      </c>
      <c r="M534"/>
      <c r="N534"/>
      <c r="O534"/>
      <c r="P534"/>
      <c r="Q534" s="152"/>
      <c r="R534"/>
      <c r="S534"/>
      <c r="T534"/>
      <c r="U534"/>
      <c r="V534"/>
    </row>
    <row r="535" spans="1:22" x14ac:dyDescent="0.2">
      <c r="A535" t="s">
        <v>735</v>
      </c>
      <c r="B535" t="s">
        <v>1120</v>
      </c>
      <c r="C535" s="152">
        <v>470</v>
      </c>
      <c r="D535" s="152">
        <v>625</v>
      </c>
      <c r="E535" s="152">
        <v>1095</v>
      </c>
      <c r="F535" s="152">
        <v>11717649.3670315</v>
      </c>
      <c r="G535" s="152">
        <v>18173903.3342623</v>
      </c>
      <c r="H535" s="152">
        <v>29891552.7012938</v>
      </c>
      <c r="I535" t="s">
        <v>742</v>
      </c>
      <c r="J535" t="s">
        <v>136</v>
      </c>
      <c r="K535">
        <v>793406</v>
      </c>
      <c r="L535" t="s">
        <v>866</v>
      </c>
      <c r="M535"/>
      <c r="N535"/>
      <c r="O535"/>
      <c r="P535"/>
      <c r="Q535" s="152"/>
      <c r="R535"/>
      <c r="S535"/>
      <c r="T535"/>
      <c r="U535"/>
      <c r="V535"/>
    </row>
    <row r="536" spans="1:22" x14ac:dyDescent="0.2">
      <c r="A536" t="s">
        <v>837</v>
      </c>
      <c r="B536" t="s">
        <v>514</v>
      </c>
      <c r="C536" s="152">
        <v>384</v>
      </c>
      <c r="D536" s="152">
        <v>700</v>
      </c>
      <c r="E536" s="152">
        <v>1084</v>
      </c>
      <c r="F536" s="152">
        <v>9769459.9350202195</v>
      </c>
      <c r="G536" s="152">
        <v>22308638.690177102</v>
      </c>
      <c r="H536" s="152">
        <v>32078098.625197299</v>
      </c>
      <c r="I536" t="s">
        <v>742</v>
      </c>
      <c r="J536" t="s">
        <v>135</v>
      </c>
      <c r="K536">
        <v>721035</v>
      </c>
      <c r="L536" t="s">
        <v>878</v>
      </c>
      <c r="M536"/>
      <c r="N536"/>
      <c r="O536"/>
      <c r="P536"/>
      <c r="Q536" s="152"/>
      <c r="R536"/>
      <c r="S536"/>
      <c r="T536"/>
      <c r="U536"/>
      <c r="V536"/>
    </row>
    <row r="537" spans="1:22" x14ac:dyDescent="0.2">
      <c r="A537" t="s">
        <v>302</v>
      </c>
      <c r="B537" t="s">
        <v>197</v>
      </c>
      <c r="C537" s="152">
        <v>457</v>
      </c>
      <c r="D537" s="152">
        <v>619</v>
      </c>
      <c r="E537" s="152">
        <v>1076</v>
      </c>
      <c r="F537" s="152">
        <v>9855490.6448244601</v>
      </c>
      <c r="G537" s="152">
        <v>16662604.7997069</v>
      </c>
      <c r="H537" s="152">
        <v>26518095.4445314</v>
      </c>
      <c r="I537" t="s">
        <v>867</v>
      </c>
      <c r="J537" t="s">
        <v>135</v>
      </c>
      <c r="K537">
        <v>644005</v>
      </c>
      <c r="L537" t="s">
        <v>787</v>
      </c>
      <c r="M537"/>
      <c r="N537"/>
      <c r="O537"/>
      <c r="P537"/>
      <c r="Q537" s="152"/>
      <c r="R537"/>
      <c r="S537"/>
      <c r="T537"/>
      <c r="U537"/>
      <c r="V537"/>
    </row>
    <row r="538" spans="1:22" x14ac:dyDescent="0.2">
      <c r="A538" t="s">
        <v>302</v>
      </c>
      <c r="B538" t="s">
        <v>661</v>
      </c>
      <c r="C538" s="152">
        <v>458</v>
      </c>
      <c r="D538" s="152">
        <v>597</v>
      </c>
      <c r="E538" s="152">
        <v>1055</v>
      </c>
      <c r="F538" s="152">
        <v>9103465.3989132307</v>
      </c>
      <c r="G538" s="152">
        <v>14541132.9731788</v>
      </c>
      <c r="H538" s="152">
        <v>23644598.372092001</v>
      </c>
      <c r="I538" t="s">
        <v>742</v>
      </c>
      <c r="J538" t="s">
        <v>135</v>
      </c>
      <c r="K538">
        <v>374421</v>
      </c>
      <c r="L538" t="s">
        <v>874</v>
      </c>
      <c r="M538"/>
      <c r="N538"/>
      <c r="O538"/>
      <c r="P538"/>
      <c r="Q538" s="152"/>
      <c r="R538"/>
      <c r="S538"/>
      <c r="T538"/>
      <c r="U538"/>
      <c r="V538"/>
    </row>
    <row r="539" spans="1:22" x14ac:dyDescent="0.2">
      <c r="A539" t="s">
        <v>166</v>
      </c>
      <c r="B539" t="s">
        <v>167</v>
      </c>
      <c r="C539" s="152">
        <v>512</v>
      </c>
      <c r="D539" s="152">
        <v>537</v>
      </c>
      <c r="E539" s="152">
        <v>1049</v>
      </c>
      <c r="F539" s="152">
        <v>7013066.9835206596</v>
      </c>
      <c r="G539" s="152">
        <v>9532464.7118512504</v>
      </c>
      <c r="H539" s="152">
        <v>16545531.6953719</v>
      </c>
      <c r="I539" t="s">
        <v>742</v>
      </c>
      <c r="J539" t="s">
        <v>135</v>
      </c>
      <c r="K539">
        <v>294322</v>
      </c>
      <c r="L539" t="s">
        <v>872</v>
      </c>
      <c r="M539"/>
      <c r="N539"/>
      <c r="O539"/>
      <c r="P539"/>
      <c r="Q539" s="152"/>
      <c r="R539"/>
      <c r="S539"/>
      <c r="T539"/>
      <c r="U539"/>
      <c r="V539"/>
    </row>
    <row r="540" spans="1:22" x14ac:dyDescent="0.2">
      <c r="A540" t="s">
        <v>578</v>
      </c>
      <c r="B540" t="s">
        <v>204</v>
      </c>
      <c r="C540" s="152">
        <v>463</v>
      </c>
      <c r="D540" s="152">
        <v>584</v>
      </c>
      <c r="E540" s="152">
        <v>1047</v>
      </c>
      <c r="F540" s="152">
        <v>17790158.526972901</v>
      </c>
      <c r="G540" s="152">
        <v>29042976.277421501</v>
      </c>
      <c r="H540" s="152">
        <v>46833134.804394402</v>
      </c>
      <c r="I540" t="s">
        <v>867</v>
      </c>
      <c r="J540" t="s">
        <v>136</v>
      </c>
      <c r="K540">
        <v>442897</v>
      </c>
      <c r="L540" t="s">
        <v>914</v>
      </c>
      <c r="M540"/>
      <c r="N540"/>
      <c r="O540"/>
      <c r="P540"/>
      <c r="Q540" s="152"/>
      <c r="R540"/>
      <c r="S540"/>
      <c r="T540"/>
      <c r="U540"/>
      <c r="V540"/>
    </row>
    <row r="541" spans="1:22" x14ac:dyDescent="0.2">
      <c r="A541" t="s">
        <v>312</v>
      </c>
      <c r="B541" t="s">
        <v>313</v>
      </c>
      <c r="C541" s="152">
        <v>479</v>
      </c>
      <c r="D541" s="152">
        <v>564</v>
      </c>
      <c r="E541" s="152">
        <v>1043</v>
      </c>
      <c r="F541" s="152">
        <v>4873029.5411193101</v>
      </c>
      <c r="G541" s="152">
        <v>6806539.1767633399</v>
      </c>
      <c r="H541" s="152">
        <v>11679568.7178826</v>
      </c>
      <c r="I541" t="s">
        <v>742</v>
      </c>
      <c r="J541" t="s">
        <v>135</v>
      </c>
      <c r="K541">
        <v>543306</v>
      </c>
      <c r="L541" t="s">
        <v>99</v>
      </c>
      <c r="M541"/>
      <c r="N541"/>
      <c r="O541"/>
      <c r="P541"/>
      <c r="Q541" s="152"/>
      <c r="R541"/>
      <c r="S541"/>
      <c r="T541"/>
      <c r="U541"/>
      <c r="V541"/>
    </row>
    <row r="542" spans="1:22" x14ac:dyDescent="0.2">
      <c r="A542" t="s">
        <v>721</v>
      </c>
      <c r="B542" t="s">
        <v>725</v>
      </c>
      <c r="C542" s="152">
        <v>450</v>
      </c>
      <c r="D542" s="152">
        <v>587</v>
      </c>
      <c r="E542" s="152">
        <v>1037</v>
      </c>
      <c r="F542" s="152">
        <v>10825712.7005543</v>
      </c>
      <c r="G542" s="152">
        <v>16590166.5331684</v>
      </c>
      <c r="H542" s="152">
        <v>27415879.233722702</v>
      </c>
      <c r="I542" t="s">
        <v>742</v>
      </c>
      <c r="J542" t="s">
        <v>136</v>
      </c>
      <c r="K542">
        <v>549972</v>
      </c>
      <c r="L542" t="s">
        <v>880</v>
      </c>
      <c r="M542"/>
      <c r="N542"/>
      <c r="O542"/>
      <c r="P542"/>
      <c r="Q542" s="152"/>
      <c r="R542"/>
      <c r="S542"/>
      <c r="T542"/>
      <c r="U542"/>
      <c r="V542"/>
    </row>
    <row r="543" spans="1:22" x14ac:dyDescent="0.2">
      <c r="A543" t="s">
        <v>781</v>
      </c>
      <c r="B543" t="s">
        <v>718</v>
      </c>
      <c r="C543" s="152">
        <v>396</v>
      </c>
      <c r="D543" s="152">
        <v>639</v>
      </c>
      <c r="E543" s="152">
        <v>1035</v>
      </c>
      <c r="F543" s="152">
        <v>9791701.2245090809</v>
      </c>
      <c r="G543" s="152">
        <v>17706856.8478879</v>
      </c>
      <c r="H543" s="152">
        <v>27498558.072397001</v>
      </c>
      <c r="I543" t="s">
        <v>867</v>
      </c>
      <c r="J543" t="s">
        <v>135</v>
      </c>
      <c r="K543">
        <v>272898</v>
      </c>
      <c r="L543" t="s">
        <v>728</v>
      </c>
      <c r="M543"/>
      <c r="N543"/>
      <c r="O543"/>
      <c r="P543"/>
      <c r="Q543" s="152"/>
      <c r="R543"/>
      <c r="S543"/>
      <c r="T543"/>
      <c r="U543"/>
      <c r="V543"/>
    </row>
    <row r="544" spans="1:22" x14ac:dyDescent="0.2">
      <c r="A544" t="s">
        <v>861</v>
      </c>
      <c r="B544" t="s">
        <v>896</v>
      </c>
      <c r="C544" s="152">
        <v>499</v>
      </c>
      <c r="D544" s="152">
        <v>534</v>
      </c>
      <c r="E544" s="152">
        <v>1033</v>
      </c>
      <c r="F544" s="152">
        <v>8907965.8599487394</v>
      </c>
      <c r="G544" s="152">
        <v>11647723.992678899</v>
      </c>
      <c r="H544" s="152">
        <v>20555689.852627698</v>
      </c>
      <c r="I544" t="s">
        <v>742</v>
      </c>
      <c r="J544" t="s">
        <v>135</v>
      </c>
      <c r="K544">
        <v>435693</v>
      </c>
      <c r="L544" t="s">
        <v>57</v>
      </c>
      <c r="M544"/>
      <c r="N544"/>
      <c r="O544"/>
      <c r="P544"/>
      <c r="Q544" s="152"/>
      <c r="R544"/>
      <c r="S544"/>
      <c r="T544"/>
      <c r="U544"/>
      <c r="V544"/>
    </row>
    <row r="545" spans="1:22" x14ac:dyDescent="0.2">
      <c r="A545" t="s">
        <v>338</v>
      </c>
      <c r="B545" t="s">
        <v>1097</v>
      </c>
      <c r="C545" s="152">
        <v>679</v>
      </c>
      <c r="D545" s="152">
        <v>333</v>
      </c>
      <c r="E545" s="152">
        <v>1012</v>
      </c>
      <c r="F545" s="152">
        <v>48402076.529589199</v>
      </c>
      <c r="G545" s="152">
        <v>27548138.677976299</v>
      </c>
      <c r="H545" s="152">
        <v>75950215.207565501</v>
      </c>
      <c r="I545" t="s">
        <v>867</v>
      </c>
      <c r="J545" t="s">
        <v>137</v>
      </c>
      <c r="K545">
        <v>925032</v>
      </c>
      <c r="L545" t="s">
        <v>1068</v>
      </c>
      <c r="M545"/>
      <c r="N545"/>
      <c r="O545"/>
      <c r="P545"/>
      <c r="Q545" s="152"/>
      <c r="R545"/>
      <c r="S545"/>
      <c r="T545"/>
      <c r="U545"/>
      <c r="V545"/>
    </row>
    <row r="546" spans="1:22" x14ac:dyDescent="0.2">
      <c r="A546" t="s">
        <v>114</v>
      </c>
      <c r="B546" t="s">
        <v>677</v>
      </c>
      <c r="C546" s="152">
        <v>412</v>
      </c>
      <c r="D546" s="152">
        <v>586</v>
      </c>
      <c r="E546" s="152">
        <v>998</v>
      </c>
      <c r="F546" s="152">
        <v>6409147.1040217802</v>
      </c>
      <c r="G546" s="152">
        <v>11881437.1981255</v>
      </c>
      <c r="H546" s="152">
        <v>18290584.302147299</v>
      </c>
      <c r="I546" t="s">
        <v>742</v>
      </c>
      <c r="J546" t="s">
        <v>135</v>
      </c>
      <c r="K546">
        <v>804385</v>
      </c>
      <c r="L546" t="s">
        <v>874</v>
      </c>
      <c r="M546"/>
      <c r="N546"/>
      <c r="O546"/>
      <c r="P546"/>
      <c r="Q546" s="152"/>
      <c r="R546"/>
      <c r="S546"/>
      <c r="T546"/>
      <c r="U546"/>
      <c r="V546"/>
    </row>
    <row r="547" spans="1:22" x14ac:dyDescent="0.2">
      <c r="A547" t="s">
        <v>49</v>
      </c>
      <c r="B547" t="s">
        <v>371</v>
      </c>
      <c r="C547" s="152">
        <v>495</v>
      </c>
      <c r="D547" s="152">
        <v>503</v>
      </c>
      <c r="E547" s="152">
        <v>998</v>
      </c>
      <c r="F547" s="152">
        <v>6402501.8913638499</v>
      </c>
      <c r="G547" s="152">
        <v>7499822.3935112497</v>
      </c>
      <c r="H547" s="152">
        <v>13902324.2848751</v>
      </c>
      <c r="I547" t="s">
        <v>742</v>
      </c>
      <c r="J547" t="s">
        <v>135</v>
      </c>
      <c r="K547">
        <v>707638</v>
      </c>
      <c r="L547" t="s">
        <v>930</v>
      </c>
      <c r="M547"/>
      <c r="N547"/>
      <c r="O547"/>
      <c r="P547"/>
      <c r="Q547" s="152"/>
      <c r="R547"/>
      <c r="S547"/>
      <c r="T547"/>
      <c r="U547"/>
      <c r="V547"/>
    </row>
    <row r="548" spans="1:22" x14ac:dyDescent="0.2">
      <c r="A548" t="s">
        <v>416</v>
      </c>
      <c r="B548" t="s">
        <v>1018</v>
      </c>
      <c r="C548" s="152">
        <v>337</v>
      </c>
      <c r="D548" s="152">
        <v>659</v>
      </c>
      <c r="E548" s="152">
        <v>996</v>
      </c>
      <c r="F548" s="152">
        <v>7014571.3161015697</v>
      </c>
      <c r="G548" s="152">
        <v>16837674.813427798</v>
      </c>
      <c r="H548" s="152">
        <v>23852246.129529301</v>
      </c>
      <c r="I548" t="s">
        <v>742</v>
      </c>
      <c r="J548" t="s">
        <v>135</v>
      </c>
      <c r="K548">
        <v>391896</v>
      </c>
      <c r="L548" t="s">
        <v>874</v>
      </c>
      <c r="M548"/>
      <c r="N548"/>
      <c r="O548"/>
      <c r="P548"/>
      <c r="Q548" s="152"/>
      <c r="R548"/>
      <c r="S548"/>
      <c r="T548"/>
      <c r="U548"/>
      <c r="V548"/>
    </row>
    <row r="549" spans="1:22" x14ac:dyDescent="0.2">
      <c r="A549" t="s">
        <v>416</v>
      </c>
      <c r="B549" t="s">
        <v>157</v>
      </c>
      <c r="C549" s="152">
        <v>347</v>
      </c>
      <c r="D549" s="152">
        <v>637</v>
      </c>
      <c r="E549" s="152">
        <v>984</v>
      </c>
      <c r="F549" s="152">
        <v>5358034.2084063897</v>
      </c>
      <c r="G549" s="152">
        <v>12431134.8819072</v>
      </c>
      <c r="H549" s="152">
        <v>17789169.090313599</v>
      </c>
      <c r="I549" t="s">
        <v>742</v>
      </c>
      <c r="J549" t="s">
        <v>135</v>
      </c>
      <c r="K549">
        <v>118182</v>
      </c>
      <c r="L549" t="s">
        <v>520</v>
      </c>
      <c r="M549"/>
      <c r="N549"/>
      <c r="O549"/>
      <c r="P549"/>
      <c r="Q549" s="152"/>
      <c r="R549"/>
      <c r="S549"/>
      <c r="T549"/>
      <c r="U549"/>
      <c r="V549"/>
    </row>
    <row r="550" spans="1:22" x14ac:dyDescent="0.2">
      <c r="A550" t="s">
        <v>49</v>
      </c>
      <c r="B550" t="s">
        <v>64</v>
      </c>
      <c r="C550" s="152">
        <v>429</v>
      </c>
      <c r="D550" s="152">
        <v>550</v>
      </c>
      <c r="E550" s="152">
        <v>979</v>
      </c>
      <c r="F550" s="152">
        <v>6388450.6586858695</v>
      </c>
      <c r="G550" s="152">
        <v>9465610.1983531602</v>
      </c>
      <c r="H550" s="152">
        <v>15854060.857039001</v>
      </c>
      <c r="I550" t="s">
        <v>742</v>
      </c>
      <c r="J550" t="s">
        <v>135</v>
      </c>
      <c r="K550">
        <v>155259</v>
      </c>
      <c r="L550" t="s">
        <v>403</v>
      </c>
      <c r="M550"/>
      <c r="N550"/>
      <c r="O550"/>
      <c r="P550"/>
      <c r="Q550" s="152"/>
      <c r="R550"/>
      <c r="S550"/>
      <c r="T550"/>
      <c r="U550"/>
      <c r="V550"/>
    </row>
    <row r="551" spans="1:22" x14ac:dyDescent="0.2">
      <c r="A551" t="s">
        <v>49</v>
      </c>
      <c r="B551" t="s">
        <v>1042</v>
      </c>
      <c r="C551" s="152">
        <v>519</v>
      </c>
      <c r="D551" s="152">
        <v>449</v>
      </c>
      <c r="E551" s="152">
        <v>968</v>
      </c>
      <c r="F551" s="152">
        <v>7830573.13006231</v>
      </c>
      <c r="G551" s="152">
        <v>8211715.1358197099</v>
      </c>
      <c r="H551" s="152">
        <v>16042288.265882</v>
      </c>
      <c r="I551" t="s">
        <v>742</v>
      </c>
      <c r="J551" t="s">
        <v>135</v>
      </c>
      <c r="K551">
        <v>317404</v>
      </c>
      <c r="L551" t="s">
        <v>407</v>
      </c>
      <c r="M551"/>
      <c r="N551"/>
      <c r="O551"/>
      <c r="P551"/>
      <c r="Q551" s="152"/>
      <c r="R551"/>
      <c r="S551"/>
      <c r="T551"/>
      <c r="U551"/>
      <c r="V551"/>
    </row>
    <row r="552" spans="1:22" x14ac:dyDescent="0.2">
      <c r="A552" t="s">
        <v>254</v>
      </c>
      <c r="B552" t="s">
        <v>267</v>
      </c>
      <c r="C552" s="152">
        <v>498</v>
      </c>
      <c r="D552" s="152">
        <v>459</v>
      </c>
      <c r="E552" s="152">
        <v>957</v>
      </c>
      <c r="F552" s="152">
        <v>6220117.8764164997</v>
      </c>
      <c r="G552" s="152">
        <v>7428424.4711434999</v>
      </c>
      <c r="H552" s="152">
        <v>13648542.34756</v>
      </c>
      <c r="I552" t="s">
        <v>867</v>
      </c>
      <c r="J552" t="s">
        <v>135</v>
      </c>
      <c r="K552">
        <v>606467</v>
      </c>
      <c r="L552" t="s">
        <v>795</v>
      </c>
      <c r="M552"/>
      <c r="N552"/>
      <c r="O552"/>
      <c r="P552"/>
      <c r="Q552" s="152"/>
      <c r="R552"/>
      <c r="S552"/>
      <c r="T552"/>
      <c r="U552"/>
      <c r="V552"/>
    </row>
    <row r="553" spans="1:22" x14ac:dyDescent="0.2">
      <c r="A553" t="s">
        <v>735</v>
      </c>
      <c r="B553" t="s">
        <v>491</v>
      </c>
      <c r="C553" s="152">
        <v>401</v>
      </c>
      <c r="D553" s="152">
        <v>547</v>
      </c>
      <c r="E553" s="152">
        <v>948</v>
      </c>
      <c r="F553" s="152">
        <v>10437205.9693399</v>
      </c>
      <c r="G553" s="152">
        <v>17977947.9643168</v>
      </c>
      <c r="H553" s="152">
        <v>28415153.9336567</v>
      </c>
      <c r="I553" t="s">
        <v>742</v>
      </c>
      <c r="J553" t="s">
        <v>136</v>
      </c>
      <c r="K553">
        <v>632430</v>
      </c>
      <c r="L553" t="s">
        <v>880</v>
      </c>
      <c r="M553"/>
      <c r="N553"/>
      <c r="O553"/>
      <c r="P553"/>
      <c r="Q553" s="152"/>
      <c r="R553"/>
      <c r="S553"/>
      <c r="T553"/>
      <c r="U553"/>
      <c r="V553"/>
    </row>
    <row r="554" spans="1:22" x14ac:dyDescent="0.2">
      <c r="A554" t="s">
        <v>861</v>
      </c>
      <c r="B554" t="s">
        <v>621</v>
      </c>
      <c r="C554" s="152">
        <v>431</v>
      </c>
      <c r="D554" s="152">
        <v>511</v>
      </c>
      <c r="E554" s="152">
        <v>942</v>
      </c>
      <c r="F554" s="152">
        <v>8055786.00700083</v>
      </c>
      <c r="G554" s="152">
        <v>10753371.6242483</v>
      </c>
      <c r="H554" s="152">
        <v>18809157.6312491</v>
      </c>
      <c r="I554" t="s">
        <v>742</v>
      </c>
      <c r="J554" t="s">
        <v>135</v>
      </c>
      <c r="K554">
        <v>354290</v>
      </c>
      <c r="L554" t="s">
        <v>618</v>
      </c>
      <c r="M554"/>
      <c r="N554"/>
      <c r="O554"/>
      <c r="P554"/>
      <c r="Q554" s="152"/>
      <c r="R554"/>
      <c r="S554"/>
      <c r="T554"/>
      <c r="U554"/>
      <c r="V554"/>
    </row>
    <row r="555" spans="1:22" x14ac:dyDescent="0.2">
      <c r="A555" t="s">
        <v>234</v>
      </c>
      <c r="B555" t="s">
        <v>1045</v>
      </c>
      <c r="C555" s="152">
        <v>354</v>
      </c>
      <c r="D555" s="152">
        <v>587</v>
      </c>
      <c r="E555" s="152">
        <v>941</v>
      </c>
      <c r="F555" s="152">
        <v>5226756.5429271096</v>
      </c>
      <c r="G555" s="152">
        <v>10937563.418242799</v>
      </c>
      <c r="H555" s="152">
        <v>16164319.9611699</v>
      </c>
      <c r="I555" t="s">
        <v>742</v>
      </c>
      <c r="J555" t="s">
        <v>135</v>
      </c>
      <c r="K555">
        <v>353821</v>
      </c>
      <c r="L555" t="s">
        <v>407</v>
      </c>
      <c r="M555"/>
      <c r="N555"/>
      <c r="O555"/>
      <c r="P555"/>
      <c r="Q555" s="152"/>
      <c r="R555"/>
      <c r="S555"/>
      <c r="T555"/>
      <c r="U555"/>
      <c r="V555"/>
    </row>
    <row r="556" spans="1:22" x14ac:dyDescent="0.2">
      <c r="A556" t="s">
        <v>861</v>
      </c>
      <c r="B556" t="s">
        <v>44</v>
      </c>
      <c r="C556" s="152">
        <v>428</v>
      </c>
      <c r="D556" s="152">
        <v>509</v>
      </c>
      <c r="E556" s="152">
        <v>937</v>
      </c>
      <c r="F556" s="152">
        <v>8534237.0196562707</v>
      </c>
      <c r="G556" s="152">
        <v>14115564.036786599</v>
      </c>
      <c r="H556" s="152">
        <v>22649801.056442901</v>
      </c>
      <c r="I556" t="s">
        <v>742</v>
      </c>
      <c r="J556" t="s">
        <v>135</v>
      </c>
      <c r="K556">
        <v>390187</v>
      </c>
      <c r="L556" t="s">
        <v>520</v>
      </c>
      <c r="M556"/>
      <c r="N556"/>
      <c r="O556"/>
      <c r="P556"/>
      <c r="Q556" s="152"/>
      <c r="R556"/>
      <c r="S556"/>
      <c r="T556"/>
      <c r="U556"/>
      <c r="V556"/>
    </row>
    <row r="557" spans="1:22" x14ac:dyDescent="0.2">
      <c r="A557" t="s">
        <v>382</v>
      </c>
      <c r="B557" t="s">
        <v>948</v>
      </c>
      <c r="C557" s="152">
        <v>554</v>
      </c>
      <c r="D557" s="152">
        <v>382</v>
      </c>
      <c r="E557" s="152">
        <v>936</v>
      </c>
      <c r="F557" s="152">
        <v>27276886.5099818</v>
      </c>
      <c r="G557" s="152">
        <v>18959674.107537001</v>
      </c>
      <c r="H557" s="152">
        <v>46236560.617518798</v>
      </c>
      <c r="I557" t="s">
        <v>742</v>
      </c>
      <c r="J557" t="s">
        <v>139</v>
      </c>
      <c r="K557">
        <v>891093</v>
      </c>
      <c r="L557" t="s">
        <v>787</v>
      </c>
      <c r="M557"/>
      <c r="N557"/>
      <c r="O557"/>
      <c r="P557"/>
      <c r="Q557" s="152"/>
      <c r="R557"/>
      <c r="S557"/>
      <c r="T557"/>
      <c r="U557"/>
      <c r="V557"/>
    </row>
    <row r="558" spans="1:22" x14ac:dyDescent="0.2">
      <c r="A558" t="s">
        <v>268</v>
      </c>
      <c r="B558" t="s">
        <v>286</v>
      </c>
      <c r="C558" s="152">
        <v>425</v>
      </c>
      <c r="D558" s="152">
        <v>509</v>
      </c>
      <c r="E558" s="152">
        <v>934</v>
      </c>
      <c r="F558" s="152">
        <v>8030327.2052279301</v>
      </c>
      <c r="G558" s="152">
        <v>11516140.505535999</v>
      </c>
      <c r="H558" s="152">
        <v>19546467.710763901</v>
      </c>
      <c r="I558" t="s">
        <v>742</v>
      </c>
      <c r="J558" t="s">
        <v>135</v>
      </c>
      <c r="K558">
        <v>273664</v>
      </c>
      <c r="L558" t="s">
        <v>46</v>
      </c>
      <c r="M558"/>
      <c r="N558"/>
      <c r="O558"/>
      <c r="P558"/>
      <c r="Q558" s="152"/>
      <c r="R558"/>
      <c r="S558"/>
      <c r="T558"/>
      <c r="U558"/>
      <c r="V558"/>
    </row>
    <row r="559" spans="1:22" x14ac:dyDescent="0.2">
      <c r="A559" t="s">
        <v>735</v>
      </c>
      <c r="B559" t="s">
        <v>434</v>
      </c>
      <c r="C559" s="152">
        <v>458</v>
      </c>
      <c r="D559" s="152">
        <v>469</v>
      </c>
      <c r="E559" s="152">
        <v>927</v>
      </c>
      <c r="F559" s="152">
        <v>8264775.2489365898</v>
      </c>
      <c r="G559" s="152">
        <v>10611560.5252467</v>
      </c>
      <c r="H559" s="152">
        <v>18876335.774183299</v>
      </c>
      <c r="I559" t="s">
        <v>742</v>
      </c>
      <c r="J559" t="s">
        <v>136</v>
      </c>
      <c r="K559">
        <v>259499</v>
      </c>
      <c r="L559" t="s">
        <v>99</v>
      </c>
      <c r="M559"/>
      <c r="N559"/>
      <c r="O559"/>
      <c r="P559"/>
      <c r="Q559" s="152"/>
      <c r="R559"/>
      <c r="S559"/>
      <c r="T559"/>
      <c r="U559"/>
      <c r="V559"/>
    </row>
    <row r="560" spans="1:22" x14ac:dyDescent="0.2">
      <c r="A560" t="s">
        <v>254</v>
      </c>
      <c r="B560" t="s">
        <v>413</v>
      </c>
      <c r="C560" s="152">
        <v>336</v>
      </c>
      <c r="D560" s="152">
        <v>571</v>
      </c>
      <c r="E560" s="152">
        <v>907</v>
      </c>
      <c r="F560" s="152">
        <v>5963477.5679851798</v>
      </c>
      <c r="G560" s="152">
        <v>13211103.386729401</v>
      </c>
      <c r="H560" s="152">
        <v>19174580.9547146</v>
      </c>
      <c r="I560" t="s">
        <v>742</v>
      </c>
      <c r="J560" t="s">
        <v>135</v>
      </c>
      <c r="K560">
        <v>944637</v>
      </c>
      <c r="L560" t="s">
        <v>99</v>
      </c>
      <c r="M560"/>
      <c r="N560"/>
      <c r="O560"/>
      <c r="P560"/>
      <c r="Q560" s="152"/>
      <c r="R560"/>
      <c r="S560"/>
      <c r="T560"/>
      <c r="U560"/>
      <c r="V560"/>
    </row>
    <row r="561" spans="1:22" x14ac:dyDescent="0.2">
      <c r="A561" t="s">
        <v>166</v>
      </c>
      <c r="B561" t="s">
        <v>656</v>
      </c>
      <c r="C561" s="152">
        <v>433</v>
      </c>
      <c r="D561" s="152">
        <v>470</v>
      </c>
      <c r="E561" s="152">
        <v>903</v>
      </c>
      <c r="F561" s="152">
        <v>6772780.2094336301</v>
      </c>
      <c r="G561" s="152">
        <v>8886430.5004393607</v>
      </c>
      <c r="H561" s="152">
        <v>15659210.709873</v>
      </c>
      <c r="I561" t="s">
        <v>742</v>
      </c>
      <c r="J561" t="s">
        <v>135</v>
      </c>
      <c r="K561">
        <v>195271</v>
      </c>
      <c r="L561" t="s">
        <v>874</v>
      </c>
      <c r="M561"/>
      <c r="N561"/>
      <c r="O561"/>
      <c r="P561"/>
      <c r="Q561" s="152"/>
      <c r="R561"/>
      <c r="S561"/>
      <c r="T561"/>
      <c r="U561"/>
      <c r="V561"/>
    </row>
    <row r="562" spans="1:22" x14ac:dyDescent="0.2">
      <c r="A562" t="s">
        <v>104</v>
      </c>
      <c r="B562" t="s">
        <v>228</v>
      </c>
      <c r="C562" s="152">
        <v>390</v>
      </c>
      <c r="D562" s="152">
        <v>508</v>
      </c>
      <c r="E562" s="152">
        <v>898</v>
      </c>
      <c r="F562" s="152">
        <v>7104852.4626523396</v>
      </c>
      <c r="G562" s="152">
        <v>10496004.0318934</v>
      </c>
      <c r="H562" s="152">
        <v>17600856.494545698</v>
      </c>
      <c r="I562" t="s">
        <v>742</v>
      </c>
      <c r="J562" t="s">
        <v>135</v>
      </c>
      <c r="K562">
        <v>440065</v>
      </c>
      <c r="L562" t="s">
        <v>490</v>
      </c>
      <c r="M562"/>
      <c r="N562"/>
      <c r="O562"/>
      <c r="P562"/>
      <c r="Q562" s="152"/>
      <c r="R562"/>
      <c r="S562"/>
      <c r="T562"/>
      <c r="U562"/>
      <c r="V562"/>
    </row>
    <row r="563" spans="1:22" x14ac:dyDescent="0.2">
      <c r="A563" t="s">
        <v>735</v>
      </c>
      <c r="B563" t="s">
        <v>35</v>
      </c>
      <c r="C563" s="152">
        <v>371</v>
      </c>
      <c r="D563" s="152">
        <v>523</v>
      </c>
      <c r="E563" s="152">
        <v>894</v>
      </c>
      <c r="F563" s="152">
        <v>7504561.6741407802</v>
      </c>
      <c r="G563" s="152">
        <v>12549511.8391417</v>
      </c>
      <c r="H563" s="152">
        <v>20054073.5132825</v>
      </c>
      <c r="I563" t="s">
        <v>742</v>
      </c>
      <c r="J563" t="s">
        <v>136</v>
      </c>
      <c r="K563">
        <v>103010</v>
      </c>
      <c r="L563" t="s">
        <v>407</v>
      </c>
      <c r="M563"/>
      <c r="N563"/>
      <c r="O563"/>
      <c r="P563"/>
      <c r="Q563" s="152"/>
      <c r="R563"/>
      <c r="S563"/>
      <c r="T563"/>
      <c r="U563"/>
      <c r="V563"/>
    </row>
    <row r="564" spans="1:22" x14ac:dyDescent="0.2">
      <c r="A564" t="s">
        <v>645</v>
      </c>
      <c r="B564" t="s">
        <v>698</v>
      </c>
      <c r="C564" s="152">
        <v>347</v>
      </c>
      <c r="D564" s="152">
        <v>534</v>
      </c>
      <c r="E564" s="152">
        <v>881</v>
      </c>
      <c r="F564" s="152">
        <v>11006881.2235197</v>
      </c>
      <c r="G564" s="152">
        <v>17687311.976392299</v>
      </c>
      <c r="H564" s="152">
        <v>28694193.199912</v>
      </c>
      <c r="I564" t="s">
        <v>867</v>
      </c>
      <c r="J564" t="s">
        <v>136</v>
      </c>
      <c r="K564">
        <v>384750</v>
      </c>
      <c r="L564" t="s">
        <v>784</v>
      </c>
      <c r="M564"/>
      <c r="N564"/>
      <c r="O564"/>
      <c r="P564"/>
      <c r="Q564" s="152"/>
      <c r="R564"/>
      <c r="S564"/>
      <c r="T564"/>
      <c r="U564"/>
      <c r="V564"/>
    </row>
    <row r="565" spans="1:22" x14ac:dyDescent="0.2">
      <c r="A565" t="s">
        <v>338</v>
      </c>
      <c r="B565" t="s">
        <v>506</v>
      </c>
      <c r="C565" s="152">
        <v>324</v>
      </c>
      <c r="D565" s="152">
        <v>552</v>
      </c>
      <c r="E565" s="152">
        <v>876</v>
      </c>
      <c r="F565" s="152">
        <v>12535062.9548133</v>
      </c>
      <c r="G565" s="152">
        <v>22217428.523189802</v>
      </c>
      <c r="H565" s="152">
        <v>34752491.478003003</v>
      </c>
      <c r="I565" t="s">
        <v>742</v>
      </c>
      <c r="J565" t="s">
        <v>137</v>
      </c>
      <c r="K565">
        <v>688861</v>
      </c>
      <c r="L565" t="s">
        <v>1033</v>
      </c>
      <c r="M565"/>
      <c r="N565"/>
      <c r="O565"/>
      <c r="P565"/>
      <c r="Q565" s="152"/>
      <c r="R565"/>
      <c r="S565"/>
      <c r="T565"/>
      <c r="U565"/>
      <c r="V565"/>
    </row>
    <row r="566" spans="1:22" x14ac:dyDescent="0.2">
      <c r="A566" t="s">
        <v>254</v>
      </c>
      <c r="B566" t="s">
        <v>264</v>
      </c>
      <c r="C566" s="152">
        <v>368</v>
      </c>
      <c r="D566" s="152">
        <v>505</v>
      </c>
      <c r="E566" s="152">
        <v>873</v>
      </c>
      <c r="F566" s="152">
        <v>3646157.7234153301</v>
      </c>
      <c r="G566" s="152">
        <v>6743517.44135396</v>
      </c>
      <c r="H566" s="152">
        <v>10389675.164769299</v>
      </c>
      <c r="I566" t="s">
        <v>742</v>
      </c>
      <c r="J566" t="s">
        <v>135</v>
      </c>
      <c r="K566">
        <v>920439</v>
      </c>
      <c r="L566" t="s">
        <v>140</v>
      </c>
      <c r="M566"/>
      <c r="N566"/>
      <c r="O566"/>
      <c r="P566"/>
      <c r="Q566" s="152"/>
      <c r="R566"/>
      <c r="S566"/>
      <c r="T566"/>
      <c r="U566"/>
      <c r="V566"/>
    </row>
    <row r="567" spans="1:22" x14ac:dyDescent="0.2">
      <c r="A567" t="s">
        <v>735</v>
      </c>
      <c r="B567" t="s">
        <v>1044</v>
      </c>
      <c r="C567" s="152">
        <v>451</v>
      </c>
      <c r="D567" s="152">
        <v>417</v>
      </c>
      <c r="E567" s="152">
        <v>868</v>
      </c>
      <c r="F567" s="152">
        <v>6742344.0535573298</v>
      </c>
      <c r="G567" s="152">
        <v>7676466.1233468195</v>
      </c>
      <c r="H567" s="152">
        <v>14418810.176904101</v>
      </c>
      <c r="I567" t="s">
        <v>742</v>
      </c>
      <c r="J567" t="s">
        <v>136</v>
      </c>
      <c r="K567">
        <v>874099</v>
      </c>
      <c r="L567" t="s">
        <v>407</v>
      </c>
      <c r="M567"/>
      <c r="N567"/>
      <c r="O567"/>
      <c r="P567"/>
      <c r="Q567" s="152"/>
      <c r="R567"/>
      <c r="S567"/>
      <c r="T567"/>
      <c r="U567"/>
      <c r="V567"/>
    </row>
    <row r="568" spans="1:22" x14ac:dyDescent="0.2">
      <c r="A568" t="s">
        <v>735</v>
      </c>
      <c r="B568" t="s">
        <v>965</v>
      </c>
      <c r="C568" s="152">
        <v>359</v>
      </c>
      <c r="D568" s="152">
        <v>487</v>
      </c>
      <c r="E568" s="152">
        <v>846</v>
      </c>
      <c r="F568" s="152">
        <v>6741415.8115229197</v>
      </c>
      <c r="G568" s="152">
        <v>12001954.9711076</v>
      </c>
      <c r="H568" s="152">
        <v>18743370.782630499</v>
      </c>
      <c r="I568" t="s">
        <v>742</v>
      </c>
      <c r="J568" t="s">
        <v>136</v>
      </c>
      <c r="K568">
        <v>336115</v>
      </c>
      <c r="L568" t="s">
        <v>866</v>
      </c>
      <c r="M568"/>
      <c r="N568"/>
      <c r="O568"/>
      <c r="P568"/>
      <c r="Q568" s="152"/>
      <c r="R568"/>
      <c r="S568"/>
      <c r="T568"/>
      <c r="U568"/>
      <c r="V568"/>
    </row>
    <row r="569" spans="1:22" x14ac:dyDescent="0.2">
      <c r="A569" t="s">
        <v>49</v>
      </c>
      <c r="B569" t="s">
        <v>377</v>
      </c>
      <c r="C569" s="152">
        <v>410</v>
      </c>
      <c r="D569" s="152">
        <v>435</v>
      </c>
      <c r="E569" s="152">
        <v>845</v>
      </c>
      <c r="F569" s="152">
        <v>4110101.6897151801</v>
      </c>
      <c r="G569" s="152">
        <v>5575186.7998799402</v>
      </c>
      <c r="H569" s="152">
        <v>9685288.4895951208</v>
      </c>
      <c r="I569" t="s">
        <v>742</v>
      </c>
      <c r="J569" t="s">
        <v>135</v>
      </c>
      <c r="K569">
        <v>954198</v>
      </c>
      <c r="L569" t="s">
        <v>930</v>
      </c>
      <c r="M569"/>
      <c r="N569"/>
      <c r="O569"/>
      <c r="P569"/>
      <c r="Q569" s="152"/>
      <c r="R569"/>
      <c r="S569"/>
      <c r="T569"/>
      <c r="U569"/>
      <c r="V569"/>
    </row>
    <row r="570" spans="1:22" x14ac:dyDescent="0.2">
      <c r="A570" t="s">
        <v>114</v>
      </c>
      <c r="B570" t="s">
        <v>116</v>
      </c>
      <c r="C570" s="152">
        <v>301</v>
      </c>
      <c r="D570" s="152">
        <v>543</v>
      </c>
      <c r="E570" s="152">
        <v>844</v>
      </c>
      <c r="F570" s="152">
        <v>6539451.3708327897</v>
      </c>
      <c r="G570" s="152">
        <v>14952180.9003899</v>
      </c>
      <c r="H570" s="152">
        <v>21491632.271222699</v>
      </c>
      <c r="I570" t="s">
        <v>742</v>
      </c>
      <c r="J570" t="s">
        <v>135</v>
      </c>
      <c r="K570">
        <v>107201</v>
      </c>
      <c r="L570" t="s">
        <v>945</v>
      </c>
      <c r="M570"/>
      <c r="N570"/>
      <c r="O570"/>
      <c r="P570"/>
      <c r="Q570" s="152"/>
      <c r="R570"/>
      <c r="S570"/>
      <c r="T570"/>
      <c r="U570"/>
      <c r="V570"/>
    </row>
    <row r="571" spans="1:22" x14ac:dyDescent="0.2">
      <c r="A571" t="s">
        <v>114</v>
      </c>
      <c r="B571" t="s">
        <v>40</v>
      </c>
      <c r="C571" s="152">
        <v>327</v>
      </c>
      <c r="D571" s="152">
        <v>515</v>
      </c>
      <c r="E571" s="152">
        <v>842</v>
      </c>
      <c r="F571" s="152">
        <v>5234058.0118198702</v>
      </c>
      <c r="G571" s="152">
        <v>10455576.577840799</v>
      </c>
      <c r="H571" s="152">
        <v>15689634.5896607</v>
      </c>
      <c r="I571" t="s">
        <v>742</v>
      </c>
      <c r="J571" t="s">
        <v>135</v>
      </c>
      <c r="K571">
        <v>304659</v>
      </c>
      <c r="L571" t="s">
        <v>504</v>
      </c>
      <c r="M571"/>
      <c r="N571"/>
      <c r="O571"/>
      <c r="P571"/>
      <c r="Q571" s="152"/>
      <c r="R571"/>
      <c r="S571"/>
      <c r="T571"/>
      <c r="U571"/>
      <c r="V571"/>
    </row>
    <row r="572" spans="1:22" x14ac:dyDescent="0.2">
      <c r="A572" t="s">
        <v>312</v>
      </c>
      <c r="B572" t="s">
        <v>522</v>
      </c>
      <c r="C572" s="152">
        <v>316</v>
      </c>
      <c r="D572" s="152">
        <v>519</v>
      </c>
      <c r="E572" s="152">
        <v>835</v>
      </c>
      <c r="F572" s="152">
        <v>5892377.11041734</v>
      </c>
      <c r="G572" s="152">
        <v>11884005.579789801</v>
      </c>
      <c r="H572" s="152">
        <v>17776382.690207101</v>
      </c>
      <c r="I572" t="s">
        <v>742</v>
      </c>
      <c r="J572" t="s">
        <v>135</v>
      </c>
      <c r="K572">
        <v>843698</v>
      </c>
      <c r="L572" t="s">
        <v>99</v>
      </c>
      <c r="M572"/>
      <c r="N572"/>
      <c r="O572"/>
      <c r="P572"/>
      <c r="Q572" s="152"/>
      <c r="R572"/>
      <c r="S572"/>
      <c r="T572"/>
      <c r="U572"/>
      <c r="V572"/>
    </row>
    <row r="573" spans="1:22" x14ac:dyDescent="0.2">
      <c r="A573" t="s">
        <v>49</v>
      </c>
      <c r="B573" t="s">
        <v>923</v>
      </c>
      <c r="C573" s="152">
        <v>392</v>
      </c>
      <c r="D573" s="152">
        <v>423</v>
      </c>
      <c r="E573" s="152">
        <v>815</v>
      </c>
      <c r="F573" s="152">
        <v>7703407.0815737601</v>
      </c>
      <c r="G573" s="152">
        <v>9665893.6825805604</v>
      </c>
      <c r="H573" s="152">
        <v>17369300.7641543</v>
      </c>
      <c r="I573" t="s">
        <v>867</v>
      </c>
      <c r="J573" t="s">
        <v>135</v>
      </c>
      <c r="K573">
        <v>144923</v>
      </c>
      <c r="L573" t="s">
        <v>502</v>
      </c>
      <c r="M573"/>
      <c r="N573"/>
      <c r="O573"/>
      <c r="P573"/>
      <c r="Q573" s="152"/>
      <c r="R573"/>
      <c r="S573"/>
      <c r="T573"/>
      <c r="U573"/>
      <c r="V573"/>
    </row>
    <row r="574" spans="1:22" x14ac:dyDescent="0.2">
      <c r="A574" t="s">
        <v>312</v>
      </c>
      <c r="B574" t="s">
        <v>376</v>
      </c>
      <c r="C574" s="152">
        <v>325</v>
      </c>
      <c r="D574" s="152">
        <v>490</v>
      </c>
      <c r="E574" s="152">
        <v>815</v>
      </c>
      <c r="F574" s="152">
        <v>5391907.09847607</v>
      </c>
      <c r="G574" s="152">
        <v>10608271.182748999</v>
      </c>
      <c r="H574" s="152">
        <v>16000178.2812251</v>
      </c>
      <c r="I574" t="s">
        <v>742</v>
      </c>
      <c r="J574" t="s">
        <v>135</v>
      </c>
      <c r="K574">
        <v>918367</v>
      </c>
      <c r="L574" t="s">
        <v>930</v>
      </c>
      <c r="M574"/>
      <c r="N574"/>
      <c r="O574"/>
      <c r="P574"/>
      <c r="Q574" s="152"/>
      <c r="R574"/>
      <c r="S574"/>
      <c r="T574"/>
      <c r="U574"/>
      <c r="V574"/>
    </row>
    <row r="575" spans="1:22" x14ac:dyDescent="0.2">
      <c r="A575" t="s">
        <v>234</v>
      </c>
      <c r="B575" t="s">
        <v>493</v>
      </c>
      <c r="C575" s="152">
        <v>279</v>
      </c>
      <c r="D575" s="152">
        <v>524</v>
      </c>
      <c r="E575" s="152">
        <v>803</v>
      </c>
      <c r="F575" s="152">
        <v>4081023.0417115502</v>
      </c>
      <c r="G575" s="152">
        <v>10021782.0845418</v>
      </c>
      <c r="H575" s="152">
        <v>14102805.126253299</v>
      </c>
      <c r="I575" t="s">
        <v>742</v>
      </c>
      <c r="J575" t="s">
        <v>135</v>
      </c>
      <c r="K575">
        <v>704098</v>
      </c>
      <c r="L575" t="s">
        <v>880</v>
      </c>
      <c r="M575"/>
      <c r="N575"/>
      <c r="O575"/>
      <c r="P575"/>
      <c r="Q575" s="152"/>
      <c r="R575"/>
      <c r="S575"/>
      <c r="T575"/>
      <c r="U575"/>
      <c r="V575"/>
    </row>
    <row r="576" spans="1:22" x14ac:dyDescent="0.2">
      <c r="A576" t="s">
        <v>166</v>
      </c>
      <c r="B576" t="s">
        <v>277</v>
      </c>
      <c r="C576" s="152">
        <v>369</v>
      </c>
      <c r="D576" s="152">
        <v>432</v>
      </c>
      <c r="E576" s="152">
        <v>801</v>
      </c>
      <c r="F576" s="152">
        <v>5885871.4240199104</v>
      </c>
      <c r="G576" s="152">
        <v>8019972.0693212003</v>
      </c>
      <c r="H576" s="152">
        <v>13905843.493341099</v>
      </c>
      <c r="I576" t="s">
        <v>742</v>
      </c>
      <c r="J576" t="s">
        <v>135</v>
      </c>
      <c r="K576">
        <v>290668</v>
      </c>
      <c r="L576" t="s">
        <v>868</v>
      </c>
      <c r="M576"/>
      <c r="N576"/>
      <c r="O576"/>
      <c r="P576"/>
      <c r="Q576" s="152"/>
      <c r="R576"/>
      <c r="S576"/>
      <c r="T576"/>
      <c r="U576"/>
      <c r="V576"/>
    </row>
    <row r="577" spans="1:22" x14ac:dyDescent="0.2">
      <c r="A577" t="s">
        <v>735</v>
      </c>
      <c r="B577" t="s">
        <v>1117</v>
      </c>
      <c r="C577" s="152">
        <v>370</v>
      </c>
      <c r="D577" s="152">
        <v>404</v>
      </c>
      <c r="E577" s="152">
        <v>774</v>
      </c>
      <c r="F577" s="152">
        <v>4628257.2924814299</v>
      </c>
      <c r="G577" s="152">
        <v>7410878.9836928798</v>
      </c>
      <c r="H577" s="152">
        <v>12039136.276174299</v>
      </c>
      <c r="I577" t="s">
        <v>742</v>
      </c>
      <c r="J577" t="s">
        <v>136</v>
      </c>
      <c r="K577">
        <v>479436</v>
      </c>
      <c r="L577" t="s">
        <v>866</v>
      </c>
      <c r="M577"/>
      <c r="N577"/>
      <c r="O577"/>
      <c r="P577"/>
      <c r="Q577" s="152"/>
      <c r="R577"/>
      <c r="S577"/>
      <c r="T577"/>
      <c r="U577"/>
      <c r="V577"/>
    </row>
    <row r="578" spans="1:22" x14ac:dyDescent="0.2">
      <c r="A578" t="s">
        <v>861</v>
      </c>
      <c r="B578" t="s">
        <v>120</v>
      </c>
      <c r="C578" s="152">
        <v>358</v>
      </c>
      <c r="D578" s="152">
        <v>414</v>
      </c>
      <c r="E578" s="152">
        <v>772</v>
      </c>
      <c r="F578" s="152">
        <v>5979326.9396721497</v>
      </c>
      <c r="G578" s="152">
        <v>8593609.8560613208</v>
      </c>
      <c r="H578" s="152">
        <v>14572936.7957335</v>
      </c>
      <c r="I578" t="s">
        <v>742</v>
      </c>
      <c r="J578" t="s">
        <v>135</v>
      </c>
      <c r="K578">
        <v>219006</v>
      </c>
      <c r="L578" t="s">
        <v>868</v>
      </c>
      <c r="M578"/>
      <c r="N578"/>
      <c r="O578"/>
      <c r="P578"/>
      <c r="Q578" s="152"/>
      <c r="R578"/>
      <c r="S578"/>
      <c r="T578"/>
      <c r="U578"/>
      <c r="V578"/>
    </row>
    <row r="579" spans="1:22" x14ac:dyDescent="0.2">
      <c r="A579" t="s">
        <v>338</v>
      </c>
      <c r="B579" t="s">
        <v>959</v>
      </c>
      <c r="C579" s="152">
        <v>427</v>
      </c>
      <c r="D579" s="152">
        <v>334</v>
      </c>
      <c r="E579" s="152">
        <v>761</v>
      </c>
      <c r="F579" s="152">
        <v>6466813.8715449199</v>
      </c>
      <c r="G579" s="152">
        <v>5878168.3851967603</v>
      </c>
      <c r="H579" s="152">
        <v>12344982.256741701</v>
      </c>
      <c r="I579" t="s">
        <v>742</v>
      </c>
      <c r="J579" t="s">
        <v>137</v>
      </c>
      <c r="K579">
        <v>857037</v>
      </c>
      <c r="L579" t="s">
        <v>140</v>
      </c>
      <c r="M579"/>
      <c r="N579"/>
      <c r="O579"/>
      <c r="P579"/>
      <c r="Q579" s="152"/>
      <c r="R579"/>
      <c r="S579"/>
      <c r="T579"/>
      <c r="U579"/>
      <c r="V579"/>
    </row>
    <row r="580" spans="1:22" x14ac:dyDescent="0.2">
      <c r="A580" t="s">
        <v>735</v>
      </c>
      <c r="B580" t="s">
        <v>740</v>
      </c>
      <c r="C580" s="152">
        <v>330</v>
      </c>
      <c r="D580" s="152">
        <v>421</v>
      </c>
      <c r="E580" s="152">
        <v>751</v>
      </c>
      <c r="F580" s="152">
        <v>6451272.2146817902</v>
      </c>
      <c r="G580" s="152">
        <v>11428901.707014101</v>
      </c>
      <c r="H580" s="152">
        <v>17880173.921695899</v>
      </c>
      <c r="I580" t="s">
        <v>742</v>
      </c>
      <c r="J580" t="s">
        <v>136</v>
      </c>
      <c r="K580">
        <v>753384</v>
      </c>
      <c r="L580" t="s">
        <v>403</v>
      </c>
      <c r="M580"/>
      <c r="N580"/>
      <c r="O580"/>
      <c r="P580"/>
      <c r="Q580" s="152"/>
      <c r="R580"/>
      <c r="S580"/>
      <c r="T580"/>
      <c r="U580"/>
      <c r="V580"/>
    </row>
    <row r="581" spans="1:22" x14ac:dyDescent="0.2">
      <c r="A581" t="s">
        <v>312</v>
      </c>
      <c r="B581" t="s">
        <v>29</v>
      </c>
      <c r="C581" s="152">
        <v>334</v>
      </c>
      <c r="D581" s="152">
        <v>414</v>
      </c>
      <c r="E581" s="152">
        <v>748</v>
      </c>
      <c r="F581" s="152">
        <v>4695387.0700371303</v>
      </c>
      <c r="G581" s="152">
        <v>7524626.9744804204</v>
      </c>
      <c r="H581" s="152">
        <v>12220014.044517601</v>
      </c>
      <c r="I581" t="s">
        <v>742</v>
      </c>
      <c r="J581" t="s">
        <v>135</v>
      </c>
      <c r="K581">
        <v>136895</v>
      </c>
      <c r="L581" t="s">
        <v>407</v>
      </c>
      <c r="M581"/>
      <c r="N581"/>
      <c r="O581"/>
      <c r="P581"/>
      <c r="Q581" s="152"/>
      <c r="R581"/>
      <c r="S581"/>
      <c r="T581"/>
      <c r="U581"/>
      <c r="V581"/>
    </row>
    <row r="582" spans="1:22" x14ac:dyDescent="0.2">
      <c r="A582" t="s">
        <v>114</v>
      </c>
      <c r="B582" t="s">
        <v>399</v>
      </c>
      <c r="C582" s="152">
        <v>319</v>
      </c>
      <c r="D582" s="152">
        <v>423</v>
      </c>
      <c r="E582" s="152">
        <v>742</v>
      </c>
      <c r="F582" s="152">
        <v>5821475.5697303899</v>
      </c>
      <c r="G582" s="152">
        <v>10213327.9085097</v>
      </c>
      <c r="H582" s="152">
        <v>16034803.478240101</v>
      </c>
      <c r="I582" t="s">
        <v>742</v>
      </c>
      <c r="J582" t="s">
        <v>135</v>
      </c>
      <c r="K582">
        <v>815837</v>
      </c>
      <c r="L582" t="s">
        <v>407</v>
      </c>
      <c r="M582"/>
      <c r="N582"/>
      <c r="O582"/>
      <c r="P582"/>
      <c r="Q582" s="152"/>
      <c r="R582"/>
      <c r="S582"/>
      <c r="T582"/>
      <c r="U582"/>
      <c r="V582"/>
    </row>
    <row r="583" spans="1:22" x14ac:dyDescent="0.2">
      <c r="A583" t="s">
        <v>104</v>
      </c>
      <c r="B583" t="s">
        <v>1030</v>
      </c>
      <c r="C583" s="152">
        <v>320</v>
      </c>
      <c r="D583" s="152">
        <v>421</v>
      </c>
      <c r="E583" s="152">
        <v>741</v>
      </c>
      <c r="F583" s="152">
        <v>6144274.1618614104</v>
      </c>
      <c r="G583" s="152">
        <v>10146778.060991799</v>
      </c>
      <c r="H583" s="152">
        <v>16291052.222853201</v>
      </c>
      <c r="I583" t="s">
        <v>742</v>
      </c>
      <c r="J583" t="s">
        <v>135</v>
      </c>
      <c r="K583">
        <v>356063</v>
      </c>
      <c r="L583" t="s">
        <v>46</v>
      </c>
      <c r="M583"/>
      <c r="N583"/>
      <c r="O583"/>
      <c r="P583"/>
      <c r="Q583" s="152"/>
      <c r="R583"/>
      <c r="S583"/>
      <c r="T583"/>
      <c r="U583"/>
      <c r="V583"/>
    </row>
    <row r="584" spans="1:22" x14ac:dyDescent="0.2">
      <c r="A584" t="s">
        <v>114</v>
      </c>
      <c r="B584" t="s">
        <v>372</v>
      </c>
      <c r="C584" s="152">
        <v>292</v>
      </c>
      <c r="D584" s="152">
        <v>437</v>
      </c>
      <c r="E584" s="152">
        <v>729</v>
      </c>
      <c r="F584" s="152">
        <v>4779317.7322998103</v>
      </c>
      <c r="G584" s="152">
        <v>8760072.3292050902</v>
      </c>
      <c r="H584" s="152">
        <v>13539390.0615049</v>
      </c>
      <c r="I584" t="s">
        <v>742</v>
      </c>
      <c r="J584" t="s">
        <v>135</v>
      </c>
      <c r="K584">
        <v>846709</v>
      </c>
      <c r="L584" t="s">
        <v>930</v>
      </c>
      <c r="M584"/>
      <c r="N584"/>
      <c r="O584"/>
      <c r="P584"/>
      <c r="Q584" s="152"/>
      <c r="R584"/>
      <c r="S584"/>
      <c r="T584"/>
      <c r="U584"/>
      <c r="V584"/>
    </row>
    <row r="585" spans="1:22" x14ac:dyDescent="0.2">
      <c r="A585" t="s">
        <v>293</v>
      </c>
      <c r="B585" t="s">
        <v>224</v>
      </c>
      <c r="C585" s="152">
        <v>294</v>
      </c>
      <c r="D585" s="152">
        <v>426</v>
      </c>
      <c r="E585" s="152">
        <v>720</v>
      </c>
      <c r="F585" s="152">
        <v>4484564.9395983499</v>
      </c>
      <c r="G585" s="152">
        <v>7993796.5868447004</v>
      </c>
      <c r="H585" s="152">
        <v>12478361.5264431</v>
      </c>
      <c r="I585" t="s">
        <v>742</v>
      </c>
      <c r="J585" t="s">
        <v>135</v>
      </c>
      <c r="K585">
        <v>296749</v>
      </c>
      <c r="L585" t="s">
        <v>490</v>
      </c>
      <c r="M585"/>
      <c r="N585"/>
      <c r="O585"/>
      <c r="P585"/>
      <c r="Q585" s="152"/>
      <c r="R585"/>
      <c r="S585"/>
      <c r="T585"/>
      <c r="U585"/>
      <c r="V585"/>
    </row>
    <row r="586" spans="1:22" x14ac:dyDescent="0.2">
      <c r="A586" t="s">
        <v>418</v>
      </c>
      <c r="B586" t="s">
        <v>245</v>
      </c>
      <c r="C586" s="152">
        <v>315</v>
      </c>
      <c r="D586" s="152">
        <v>402</v>
      </c>
      <c r="E586" s="152">
        <v>717</v>
      </c>
      <c r="F586" s="152">
        <v>5811158.1532076104</v>
      </c>
      <c r="G586" s="152">
        <v>9787798.63846655</v>
      </c>
      <c r="H586" s="152">
        <v>15598956.7916742</v>
      </c>
      <c r="I586" t="s">
        <v>742</v>
      </c>
      <c r="J586" t="s">
        <v>135</v>
      </c>
      <c r="K586">
        <v>369462</v>
      </c>
      <c r="L586" t="s">
        <v>899</v>
      </c>
      <c r="M586"/>
      <c r="N586"/>
      <c r="O586"/>
      <c r="P586"/>
      <c r="Q586" s="152"/>
      <c r="R586"/>
      <c r="S586"/>
      <c r="T586"/>
      <c r="U586"/>
      <c r="V586"/>
    </row>
    <row r="587" spans="1:22" x14ac:dyDescent="0.2">
      <c r="A587" t="s">
        <v>861</v>
      </c>
      <c r="B587" t="s">
        <v>454</v>
      </c>
      <c r="C587" s="152">
        <v>338</v>
      </c>
      <c r="D587" s="152">
        <v>377</v>
      </c>
      <c r="E587" s="152">
        <v>715</v>
      </c>
      <c r="F587" s="152">
        <v>4941493.5793673396</v>
      </c>
      <c r="G587" s="152">
        <v>7160282.7189801699</v>
      </c>
      <c r="H587" s="152">
        <v>12101776.298347499</v>
      </c>
      <c r="I587" t="s">
        <v>742</v>
      </c>
      <c r="J587" t="s">
        <v>135</v>
      </c>
      <c r="K587">
        <v>170951</v>
      </c>
      <c r="L587" t="s">
        <v>1025</v>
      </c>
      <c r="M587"/>
      <c r="N587"/>
      <c r="O587"/>
      <c r="P587"/>
      <c r="Q587" s="152"/>
      <c r="R587"/>
      <c r="S587"/>
      <c r="T587"/>
      <c r="U587"/>
      <c r="V587"/>
    </row>
    <row r="588" spans="1:22" x14ac:dyDescent="0.2">
      <c r="A588" t="s">
        <v>49</v>
      </c>
      <c r="B588" t="s">
        <v>218</v>
      </c>
      <c r="C588" s="152">
        <v>323</v>
      </c>
      <c r="D588" s="152">
        <v>391</v>
      </c>
      <c r="E588" s="152">
        <v>714</v>
      </c>
      <c r="F588" s="152">
        <v>3672069.3310364801</v>
      </c>
      <c r="G588" s="152">
        <v>5841619.7468589302</v>
      </c>
      <c r="H588" s="152">
        <v>9513689.0778954197</v>
      </c>
      <c r="I588" t="s">
        <v>742</v>
      </c>
      <c r="J588" t="s">
        <v>135</v>
      </c>
      <c r="K588">
        <v>475897</v>
      </c>
      <c r="L588" t="s">
        <v>490</v>
      </c>
      <c r="M588"/>
      <c r="N588"/>
      <c r="O588"/>
      <c r="P588"/>
      <c r="Q588" s="152"/>
      <c r="R588"/>
      <c r="S588"/>
      <c r="T588"/>
      <c r="U588"/>
      <c r="V588"/>
    </row>
    <row r="589" spans="1:22" x14ac:dyDescent="0.2">
      <c r="A589" t="s">
        <v>166</v>
      </c>
      <c r="B589" t="s">
        <v>456</v>
      </c>
      <c r="C589" s="152">
        <v>297</v>
      </c>
      <c r="D589" s="152">
        <v>413</v>
      </c>
      <c r="E589" s="152">
        <v>710</v>
      </c>
      <c r="F589" s="152">
        <v>14826128.064935399</v>
      </c>
      <c r="G589" s="152">
        <v>25568604.898562498</v>
      </c>
      <c r="H589" s="152">
        <v>40394732.963497899</v>
      </c>
      <c r="I589" t="s">
        <v>742</v>
      </c>
      <c r="J589" t="s">
        <v>135</v>
      </c>
      <c r="K589">
        <v>123430</v>
      </c>
      <c r="L589" t="s">
        <v>450</v>
      </c>
      <c r="M589"/>
      <c r="N589"/>
      <c r="O589"/>
      <c r="P589"/>
      <c r="Q589" s="152"/>
      <c r="R589"/>
      <c r="S589"/>
      <c r="T589"/>
      <c r="U589"/>
      <c r="V589"/>
    </row>
    <row r="590" spans="1:22" x14ac:dyDescent="0.2">
      <c r="A590" t="s">
        <v>268</v>
      </c>
      <c r="B590" t="s">
        <v>272</v>
      </c>
      <c r="C590" s="152">
        <v>334</v>
      </c>
      <c r="D590" s="152">
        <v>372</v>
      </c>
      <c r="E590" s="152">
        <v>706</v>
      </c>
      <c r="F590" s="152">
        <v>6138049.1352846297</v>
      </c>
      <c r="G590" s="152">
        <v>8167572.10521717</v>
      </c>
      <c r="H590" s="152">
        <v>14305621.240501801</v>
      </c>
      <c r="I590" t="s">
        <v>742</v>
      </c>
      <c r="J590" t="s">
        <v>135</v>
      </c>
      <c r="K590">
        <v>324665</v>
      </c>
      <c r="L590" t="s">
        <v>520</v>
      </c>
      <c r="M590"/>
      <c r="N590"/>
      <c r="O590"/>
      <c r="P590"/>
      <c r="Q590" s="152"/>
      <c r="R590"/>
      <c r="S590"/>
      <c r="T590"/>
      <c r="U590"/>
      <c r="V590"/>
    </row>
    <row r="591" spans="1:22" x14ac:dyDescent="0.2">
      <c r="A591" t="s">
        <v>114</v>
      </c>
      <c r="B591" t="s">
        <v>19</v>
      </c>
      <c r="C591" s="152">
        <v>281</v>
      </c>
      <c r="D591" s="152">
        <v>421</v>
      </c>
      <c r="E591" s="152">
        <v>702</v>
      </c>
      <c r="F591" s="152">
        <v>4076718.7400131798</v>
      </c>
      <c r="G591" s="152">
        <v>8278592.46738197</v>
      </c>
      <c r="H591" s="152">
        <v>12355311.2073952</v>
      </c>
      <c r="I591" t="s">
        <v>742</v>
      </c>
      <c r="J591" t="s">
        <v>135</v>
      </c>
      <c r="K591">
        <v>836379</v>
      </c>
      <c r="L591" t="s">
        <v>20</v>
      </c>
      <c r="M591"/>
      <c r="N591"/>
      <c r="O591"/>
      <c r="P591"/>
      <c r="Q591" s="152"/>
      <c r="R591"/>
      <c r="S591"/>
      <c r="T591"/>
      <c r="U591"/>
      <c r="V591"/>
    </row>
    <row r="592" spans="1:22" x14ac:dyDescent="0.2">
      <c r="A592" t="s">
        <v>183</v>
      </c>
      <c r="B592" t="s">
        <v>524</v>
      </c>
      <c r="C592" s="152">
        <v>461</v>
      </c>
      <c r="D592" s="152">
        <v>240</v>
      </c>
      <c r="E592" s="152">
        <v>701</v>
      </c>
      <c r="F592" s="152">
        <v>4962763.8656518804</v>
      </c>
      <c r="G592" s="152">
        <v>3099616.76274862</v>
      </c>
      <c r="H592" s="152">
        <v>8062380.6284004999</v>
      </c>
      <c r="I592" t="s">
        <v>742</v>
      </c>
      <c r="J592" t="s">
        <v>135</v>
      </c>
      <c r="K592">
        <v>807867</v>
      </c>
      <c r="L592" t="s">
        <v>99</v>
      </c>
      <c r="M592"/>
      <c r="N592"/>
      <c r="O592"/>
      <c r="P592"/>
      <c r="Q592" s="152"/>
      <c r="R592"/>
      <c r="S592"/>
      <c r="T592"/>
      <c r="U592"/>
      <c r="V592"/>
    </row>
    <row r="593" spans="1:22" x14ac:dyDescent="0.2">
      <c r="A593" t="s">
        <v>312</v>
      </c>
      <c r="B593" t="s">
        <v>933</v>
      </c>
      <c r="C593" s="152">
        <v>255</v>
      </c>
      <c r="D593" s="152">
        <v>444</v>
      </c>
      <c r="E593" s="152">
        <v>699</v>
      </c>
      <c r="F593" s="152">
        <v>4037780.3265615501</v>
      </c>
      <c r="G593" s="152">
        <v>9170066.9873277005</v>
      </c>
      <c r="H593" s="152">
        <v>13207847.3138893</v>
      </c>
      <c r="I593" t="s">
        <v>867</v>
      </c>
      <c r="J593" t="s">
        <v>135</v>
      </c>
      <c r="K593">
        <v>711945</v>
      </c>
      <c r="L593" t="s">
        <v>932</v>
      </c>
      <c r="M593"/>
      <c r="N593"/>
      <c r="O593"/>
      <c r="P593"/>
      <c r="Q593" s="152"/>
      <c r="R593"/>
      <c r="S593"/>
      <c r="T593"/>
      <c r="U593"/>
      <c r="V593"/>
    </row>
    <row r="594" spans="1:22" x14ac:dyDescent="0.2">
      <c r="A594" t="s">
        <v>268</v>
      </c>
      <c r="B594" t="s">
        <v>620</v>
      </c>
      <c r="C594" s="152">
        <v>282</v>
      </c>
      <c r="D594" s="152">
        <v>415</v>
      </c>
      <c r="E594" s="152">
        <v>697</v>
      </c>
      <c r="F594" s="152">
        <v>4717357.5644485699</v>
      </c>
      <c r="G594" s="152">
        <v>9251544.5450498108</v>
      </c>
      <c r="H594" s="152">
        <v>13968902.1094984</v>
      </c>
      <c r="I594" t="s">
        <v>742</v>
      </c>
      <c r="J594" t="s">
        <v>135</v>
      </c>
      <c r="K594">
        <v>318469</v>
      </c>
      <c r="L594" t="s">
        <v>618</v>
      </c>
      <c r="M594"/>
      <c r="N594"/>
      <c r="O594"/>
      <c r="P594"/>
      <c r="Q594" s="152"/>
      <c r="R594"/>
      <c r="S594"/>
      <c r="T594"/>
      <c r="U594"/>
      <c r="V594"/>
    </row>
    <row r="595" spans="1:22" x14ac:dyDescent="0.2">
      <c r="A595" t="s">
        <v>840</v>
      </c>
      <c r="B595" t="s">
        <v>841</v>
      </c>
      <c r="C595" s="152">
        <v>343</v>
      </c>
      <c r="D595" s="152">
        <v>346</v>
      </c>
      <c r="E595" s="152">
        <v>689</v>
      </c>
      <c r="F595" s="152">
        <v>7059055.4454078097</v>
      </c>
      <c r="G595" s="152">
        <v>9147205.5570927206</v>
      </c>
      <c r="H595" s="152">
        <v>16206261.002500501</v>
      </c>
      <c r="I595" t="s">
        <v>867</v>
      </c>
      <c r="J595" t="s">
        <v>135</v>
      </c>
      <c r="K595">
        <v>577833</v>
      </c>
      <c r="L595" t="s">
        <v>795</v>
      </c>
      <c r="M595"/>
      <c r="N595"/>
      <c r="O595"/>
      <c r="P595"/>
      <c r="Q595" s="152"/>
      <c r="R595"/>
      <c r="S595"/>
      <c r="T595"/>
      <c r="U595"/>
      <c r="V595"/>
    </row>
    <row r="596" spans="1:22" x14ac:dyDescent="0.2">
      <c r="A596" t="s">
        <v>338</v>
      </c>
      <c r="B596" t="s">
        <v>357</v>
      </c>
      <c r="C596" s="152">
        <v>351</v>
      </c>
      <c r="D596" s="152">
        <v>333</v>
      </c>
      <c r="E596" s="152">
        <v>684</v>
      </c>
      <c r="F596" s="152">
        <v>5556948.0376725197</v>
      </c>
      <c r="G596" s="152">
        <v>6571243.4321207497</v>
      </c>
      <c r="H596" s="152">
        <v>12128191.469793299</v>
      </c>
      <c r="I596" t="s">
        <v>742</v>
      </c>
      <c r="J596" t="s">
        <v>137</v>
      </c>
      <c r="K596">
        <v>657460</v>
      </c>
      <c r="L596" t="s">
        <v>880</v>
      </c>
      <c r="M596"/>
      <c r="N596"/>
      <c r="O596"/>
      <c r="P596"/>
      <c r="Q596" s="152"/>
      <c r="R596"/>
      <c r="S596"/>
      <c r="T596"/>
      <c r="U596"/>
      <c r="V596"/>
    </row>
    <row r="597" spans="1:22" x14ac:dyDescent="0.2">
      <c r="A597" t="s">
        <v>150</v>
      </c>
      <c r="B597" t="s">
        <v>707</v>
      </c>
      <c r="C597" s="152">
        <v>261</v>
      </c>
      <c r="D597" s="152">
        <v>420</v>
      </c>
      <c r="E597" s="152">
        <v>681</v>
      </c>
      <c r="F597" s="152">
        <v>4821076.7005578401</v>
      </c>
      <c r="G597" s="152">
        <v>9671254.8747353498</v>
      </c>
      <c r="H597" s="152">
        <v>14492331.5752932</v>
      </c>
      <c r="I597" t="s">
        <v>742</v>
      </c>
      <c r="J597" t="s">
        <v>135</v>
      </c>
      <c r="K597">
        <v>166173</v>
      </c>
      <c r="L597" t="s">
        <v>930</v>
      </c>
      <c r="M597"/>
      <c r="N597"/>
      <c r="O597"/>
      <c r="P597"/>
      <c r="Q597" s="152"/>
      <c r="R597"/>
      <c r="S597"/>
      <c r="T597"/>
      <c r="U597"/>
      <c r="V597"/>
    </row>
    <row r="598" spans="1:22" x14ac:dyDescent="0.2">
      <c r="A598" t="s">
        <v>338</v>
      </c>
      <c r="B598" t="s">
        <v>1138</v>
      </c>
      <c r="C598" s="152">
        <v>225</v>
      </c>
      <c r="D598" s="152">
        <v>455</v>
      </c>
      <c r="E598" s="152">
        <v>680</v>
      </c>
      <c r="F598" s="152">
        <v>19978870.515871201</v>
      </c>
      <c r="G598" s="152">
        <v>48811355.3568528</v>
      </c>
      <c r="H598" s="152">
        <v>68790225.872723997</v>
      </c>
      <c r="I598" t="s">
        <v>867</v>
      </c>
      <c r="J598" t="s">
        <v>137</v>
      </c>
      <c r="K598">
        <v>686972</v>
      </c>
      <c r="L598" t="s">
        <v>847</v>
      </c>
      <c r="M598"/>
      <c r="N598"/>
      <c r="O598"/>
      <c r="P598"/>
      <c r="Q598" s="152"/>
      <c r="R598"/>
      <c r="S598"/>
      <c r="T598"/>
      <c r="U598"/>
      <c r="V598"/>
    </row>
    <row r="599" spans="1:22" x14ac:dyDescent="0.2">
      <c r="A599" t="s">
        <v>254</v>
      </c>
      <c r="B599" t="s">
        <v>408</v>
      </c>
      <c r="C599" s="152">
        <v>289</v>
      </c>
      <c r="D599" s="152">
        <v>384</v>
      </c>
      <c r="E599" s="152">
        <v>673</v>
      </c>
      <c r="F599" s="152">
        <v>3972819.5797171802</v>
      </c>
      <c r="G599" s="152">
        <v>7510259.5838850597</v>
      </c>
      <c r="H599" s="152">
        <v>11483079.163602199</v>
      </c>
      <c r="I599" t="s">
        <v>867</v>
      </c>
      <c r="J599" t="s">
        <v>135</v>
      </c>
      <c r="K599">
        <v>377432</v>
      </c>
      <c r="L599" t="s">
        <v>907</v>
      </c>
      <c r="M599"/>
      <c r="N599"/>
      <c r="O599"/>
      <c r="P599"/>
      <c r="Q599" s="152"/>
      <c r="R599"/>
      <c r="S599"/>
      <c r="T599"/>
      <c r="U599"/>
      <c r="V599"/>
    </row>
    <row r="600" spans="1:22" x14ac:dyDescent="0.2">
      <c r="A600" t="s">
        <v>166</v>
      </c>
      <c r="B600" t="s">
        <v>220</v>
      </c>
      <c r="C600" s="152">
        <v>272</v>
      </c>
      <c r="D600" s="152">
        <v>399</v>
      </c>
      <c r="E600" s="152">
        <v>671</v>
      </c>
      <c r="F600" s="152">
        <v>5416868.7808308499</v>
      </c>
      <c r="G600" s="152">
        <v>9559025.5987888407</v>
      </c>
      <c r="H600" s="152">
        <v>14975894.379619701</v>
      </c>
      <c r="I600" t="s">
        <v>742</v>
      </c>
      <c r="J600" t="s">
        <v>135</v>
      </c>
      <c r="K600">
        <v>923383</v>
      </c>
      <c r="L600" t="s">
        <v>490</v>
      </c>
      <c r="M600"/>
      <c r="N600"/>
      <c r="O600"/>
      <c r="P600"/>
      <c r="Q600" s="152"/>
      <c r="R600"/>
      <c r="S600"/>
      <c r="T600"/>
      <c r="U600"/>
      <c r="V600"/>
    </row>
    <row r="601" spans="1:22" x14ac:dyDescent="0.2">
      <c r="A601" t="s">
        <v>254</v>
      </c>
      <c r="B601" t="s">
        <v>1017</v>
      </c>
      <c r="C601" s="152">
        <v>239</v>
      </c>
      <c r="D601" s="152">
        <v>430</v>
      </c>
      <c r="E601" s="152">
        <v>669</v>
      </c>
      <c r="F601" s="152">
        <v>4304318.6004520096</v>
      </c>
      <c r="G601" s="152">
        <v>10772071.6369916</v>
      </c>
      <c r="H601" s="152">
        <v>15076390.2374436</v>
      </c>
      <c r="I601" t="s">
        <v>742</v>
      </c>
      <c r="J601" t="s">
        <v>135</v>
      </c>
      <c r="K601">
        <v>159442</v>
      </c>
      <c r="L601" t="s">
        <v>874</v>
      </c>
      <c r="M601"/>
      <c r="N601"/>
      <c r="O601"/>
      <c r="P601"/>
      <c r="Q601" s="152"/>
      <c r="R601"/>
      <c r="S601"/>
      <c r="T601"/>
      <c r="U601"/>
      <c r="V601"/>
    </row>
    <row r="602" spans="1:22" x14ac:dyDescent="0.2">
      <c r="A602" t="s">
        <v>166</v>
      </c>
      <c r="B602" t="s">
        <v>404</v>
      </c>
      <c r="C602" s="152">
        <v>297</v>
      </c>
      <c r="D602" s="152">
        <v>364</v>
      </c>
      <c r="E602" s="152">
        <v>661</v>
      </c>
      <c r="F602" s="152">
        <v>5820221.6880040197</v>
      </c>
      <c r="G602" s="152">
        <v>8612940.4521748908</v>
      </c>
      <c r="H602" s="152">
        <v>14433162.1401789</v>
      </c>
      <c r="I602" t="s">
        <v>742</v>
      </c>
      <c r="J602" t="s">
        <v>135</v>
      </c>
      <c r="K602">
        <v>800664</v>
      </c>
      <c r="L602" t="s">
        <v>410</v>
      </c>
      <c r="M602"/>
      <c r="N602"/>
      <c r="O602"/>
      <c r="P602"/>
      <c r="Q602" s="152"/>
      <c r="R602"/>
      <c r="S602"/>
      <c r="T602"/>
      <c r="U602"/>
      <c r="V602"/>
    </row>
    <row r="603" spans="1:22" x14ac:dyDescent="0.2">
      <c r="A603" t="s">
        <v>166</v>
      </c>
      <c r="B603" t="s">
        <v>256</v>
      </c>
      <c r="C603" s="152">
        <v>303</v>
      </c>
      <c r="D603" s="152">
        <v>344</v>
      </c>
      <c r="E603" s="152">
        <v>647</v>
      </c>
      <c r="F603" s="152">
        <v>4776129.4152579503</v>
      </c>
      <c r="G603" s="152">
        <v>6141056.6486132601</v>
      </c>
      <c r="H603" s="152">
        <v>10917186.063871199</v>
      </c>
      <c r="I603" t="s">
        <v>742</v>
      </c>
      <c r="J603" t="s">
        <v>135</v>
      </c>
      <c r="K603">
        <v>118067</v>
      </c>
      <c r="L603" t="s">
        <v>99</v>
      </c>
      <c r="M603"/>
      <c r="N603"/>
      <c r="O603"/>
      <c r="P603"/>
      <c r="Q603" s="152"/>
      <c r="R603"/>
      <c r="S603"/>
      <c r="T603"/>
      <c r="U603"/>
      <c r="V603"/>
    </row>
    <row r="604" spans="1:22" x14ac:dyDescent="0.2">
      <c r="A604" t="s">
        <v>150</v>
      </c>
      <c r="B604" t="s">
        <v>865</v>
      </c>
      <c r="C604" s="152">
        <v>247</v>
      </c>
      <c r="D604" s="152">
        <v>381</v>
      </c>
      <c r="E604" s="152">
        <v>628</v>
      </c>
      <c r="F604" s="152">
        <v>4354271.8740881002</v>
      </c>
      <c r="G604" s="152">
        <v>8053673.4181494704</v>
      </c>
      <c r="H604" s="152">
        <v>12407945.2922376</v>
      </c>
      <c r="I604" t="s">
        <v>742</v>
      </c>
      <c r="J604" t="s">
        <v>135</v>
      </c>
      <c r="K604">
        <v>780007</v>
      </c>
      <c r="L604" t="s">
        <v>407</v>
      </c>
      <c r="M604"/>
      <c r="N604"/>
      <c r="O604"/>
      <c r="P604"/>
      <c r="Q604" s="152"/>
      <c r="R604"/>
      <c r="S604"/>
      <c r="T604"/>
      <c r="U604"/>
      <c r="V604"/>
    </row>
    <row r="605" spans="1:22" x14ac:dyDescent="0.2">
      <c r="A605" t="s">
        <v>416</v>
      </c>
      <c r="B605" t="s">
        <v>229</v>
      </c>
      <c r="C605" s="152">
        <v>210</v>
      </c>
      <c r="D605" s="152">
        <v>405</v>
      </c>
      <c r="E605" s="152">
        <v>615</v>
      </c>
      <c r="F605" s="152">
        <v>4221598.6723239804</v>
      </c>
      <c r="G605" s="152">
        <v>10793405.308929199</v>
      </c>
      <c r="H605" s="152">
        <v>15015003.981253101</v>
      </c>
      <c r="I605" t="s">
        <v>742</v>
      </c>
      <c r="J605" t="s">
        <v>135</v>
      </c>
      <c r="K605">
        <v>882126</v>
      </c>
      <c r="L605" t="s">
        <v>490</v>
      </c>
      <c r="M605"/>
      <c r="N605"/>
      <c r="O605"/>
      <c r="P605"/>
      <c r="Q605" s="152"/>
      <c r="R605"/>
      <c r="S605"/>
      <c r="T605"/>
      <c r="U605"/>
      <c r="V605"/>
    </row>
    <row r="606" spans="1:22" x14ac:dyDescent="0.2">
      <c r="A606" t="s">
        <v>166</v>
      </c>
      <c r="B606" t="s">
        <v>482</v>
      </c>
      <c r="C606" s="152">
        <v>241</v>
      </c>
      <c r="D606" s="152">
        <v>367</v>
      </c>
      <c r="E606" s="152">
        <v>608</v>
      </c>
      <c r="F606" s="152">
        <v>6043299.8049994996</v>
      </c>
      <c r="G606" s="152">
        <v>11849839.722996101</v>
      </c>
      <c r="H606" s="152">
        <v>17893139.527995601</v>
      </c>
      <c r="I606" t="s">
        <v>867</v>
      </c>
      <c r="J606" t="s">
        <v>135</v>
      </c>
      <c r="K606">
        <v>541235</v>
      </c>
      <c r="L606" t="s">
        <v>793</v>
      </c>
      <c r="M606"/>
      <c r="N606"/>
      <c r="O606"/>
      <c r="P606"/>
      <c r="Q606" s="152"/>
      <c r="R606"/>
      <c r="S606"/>
      <c r="T606"/>
      <c r="U606"/>
      <c r="V606"/>
    </row>
    <row r="607" spans="1:22" x14ac:dyDescent="0.2">
      <c r="A607" t="s">
        <v>416</v>
      </c>
      <c r="B607" t="s">
        <v>42</v>
      </c>
      <c r="C607" s="152">
        <v>226</v>
      </c>
      <c r="D607" s="152">
        <v>374</v>
      </c>
      <c r="E607" s="152">
        <v>600</v>
      </c>
      <c r="F607" s="152">
        <v>3942930.5450544301</v>
      </c>
      <c r="G607" s="152">
        <v>7965589.1903719101</v>
      </c>
      <c r="H607" s="152">
        <v>11908519.735426299</v>
      </c>
      <c r="I607" t="s">
        <v>742</v>
      </c>
      <c r="J607" t="s">
        <v>135</v>
      </c>
      <c r="K607">
        <v>246868</v>
      </c>
      <c r="L607" t="s">
        <v>504</v>
      </c>
      <c r="M607"/>
      <c r="N607"/>
      <c r="O607"/>
      <c r="P607"/>
      <c r="Q607" s="152"/>
      <c r="R607"/>
      <c r="S607"/>
      <c r="T607"/>
      <c r="U607"/>
      <c r="V607"/>
    </row>
    <row r="608" spans="1:22" x14ac:dyDescent="0.2">
      <c r="A608" t="s">
        <v>114</v>
      </c>
      <c r="B608" t="s">
        <v>127</v>
      </c>
      <c r="C608" s="152">
        <v>268</v>
      </c>
      <c r="D608" s="152">
        <v>331</v>
      </c>
      <c r="E608" s="152">
        <v>599</v>
      </c>
      <c r="F608" s="152">
        <v>4977475.5616140803</v>
      </c>
      <c r="G608" s="152">
        <v>7493801.3450417798</v>
      </c>
      <c r="H608" s="152">
        <v>12471276.9066559</v>
      </c>
      <c r="I608" t="s">
        <v>742</v>
      </c>
      <c r="J608" t="s">
        <v>135</v>
      </c>
      <c r="K608">
        <v>616797</v>
      </c>
      <c r="L608" t="s">
        <v>872</v>
      </c>
      <c r="M608"/>
      <c r="N608"/>
      <c r="O608"/>
      <c r="P608"/>
      <c r="Q608" s="152"/>
      <c r="R608"/>
      <c r="S608"/>
      <c r="T608"/>
      <c r="U608"/>
      <c r="V608"/>
    </row>
    <row r="609" spans="1:22" x14ac:dyDescent="0.2">
      <c r="A609" t="s">
        <v>578</v>
      </c>
      <c r="B609" t="s">
        <v>1001</v>
      </c>
      <c r="C609" s="152">
        <v>293</v>
      </c>
      <c r="D609" s="152">
        <v>294</v>
      </c>
      <c r="E609" s="152">
        <v>587</v>
      </c>
      <c r="F609" s="152">
        <v>9077662.7439669408</v>
      </c>
      <c r="G609" s="152">
        <v>11190242.009569401</v>
      </c>
      <c r="H609" s="152">
        <v>20267904.753536399</v>
      </c>
      <c r="I609" t="s">
        <v>742</v>
      </c>
      <c r="J609" t="s">
        <v>136</v>
      </c>
      <c r="K609">
        <v>815894</v>
      </c>
      <c r="L609" t="s">
        <v>878</v>
      </c>
      <c r="M609"/>
      <c r="N609"/>
      <c r="O609"/>
      <c r="P609"/>
      <c r="Q609" s="152"/>
      <c r="R609"/>
      <c r="S609"/>
      <c r="T609"/>
      <c r="U609"/>
      <c r="V609"/>
    </row>
    <row r="610" spans="1:22" x14ac:dyDescent="0.2">
      <c r="A610" t="s">
        <v>114</v>
      </c>
      <c r="B610" t="s">
        <v>160</v>
      </c>
      <c r="C610" s="152">
        <v>242</v>
      </c>
      <c r="D610" s="152">
        <v>336</v>
      </c>
      <c r="E610" s="152">
        <v>578</v>
      </c>
      <c r="F610" s="152">
        <v>3549076.4345813598</v>
      </c>
      <c r="G610" s="152">
        <v>6542972.1311362498</v>
      </c>
      <c r="H610" s="152">
        <v>10092048.5657176</v>
      </c>
      <c r="I610" t="s">
        <v>742</v>
      </c>
      <c r="J610" t="s">
        <v>135</v>
      </c>
      <c r="K610">
        <v>686626</v>
      </c>
      <c r="L610" t="s">
        <v>99</v>
      </c>
      <c r="M610"/>
      <c r="N610"/>
      <c r="O610"/>
      <c r="P610"/>
      <c r="Q610" s="152"/>
      <c r="R610"/>
      <c r="S610"/>
      <c r="T610"/>
      <c r="U610"/>
      <c r="V610"/>
    </row>
    <row r="611" spans="1:22" x14ac:dyDescent="0.2">
      <c r="A611" t="s">
        <v>268</v>
      </c>
      <c r="B611" t="s">
        <v>910</v>
      </c>
      <c r="C611" s="152">
        <v>283</v>
      </c>
      <c r="D611" s="152">
        <v>291</v>
      </c>
      <c r="E611" s="152">
        <v>574</v>
      </c>
      <c r="F611" s="152">
        <v>5456627.9912825199</v>
      </c>
      <c r="G611" s="152">
        <v>6956011.3965600803</v>
      </c>
      <c r="H611" s="152">
        <v>12412639.387842599</v>
      </c>
      <c r="I611" t="s">
        <v>742</v>
      </c>
      <c r="J611" t="s">
        <v>135</v>
      </c>
      <c r="K611">
        <v>133298</v>
      </c>
      <c r="L611" t="s">
        <v>112</v>
      </c>
      <c r="M611"/>
      <c r="N611"/>
      <c r="O611"/>
      <c r="P611"/>
      <c r="Q611" s="152"/>
      <c r="R611"/>
      <c r="S611"/>
      <c r="T611"/>
      <c r="U611"/>
      <c r="V611"/>
    </row>
    <row r="612" spans="1:22" x14ac:dyDescent="0.2">
      <c r="A612" t="s">
        <v>721</v>
      </c>
      <c r="B612" t="s">
        <v>1059</v>
      </c>
      <c r="C612" s="152">
        <v>263</v>
      </c>
      <c r="D612" s="152">
        <v>306</v>
      </c>
      <c r="E612" s="152">
        <v>569</v>
      </c>
      <c r="F612" s="152">
        <v>4990834.9223374501</v>
      </c>
      <c r="G612" s="152">
        <v>6892113.4722276004</v>
      </c>
      <c r="H612" s="152">
        <v>11882948.3945651</v>
      </c>
      <c r="I612" t="s">
        <v>742</v>
      </c>
      <c r="J612" t="s">
        <v>136</v>
      </c>
      <c r="K612">
        <v>880294</v>
      </c>
      <c r="L612" t="s">
        <v>387</v>
      </c>
      <c r="M612"/>
      <c r="N612"/>
      <c r="O612"/>
      <c r="P612"/>
      <c r="Q612" s="152"/>
      <c r="R612"/>
      <c r="S612"/>
      <c r="T612"/>
      <c r="U612"/>
      <c r="V612"/>
    </row>
    <row r="613" spans="1:22" x14ac:dyDescent="0.2">
      <c r="A613" t="s">
        <v>166</v>
      </c>
      <c r="B613" t="s">
        <v>91</v>
      </c>
      <c r="C613" s="152">
        <v>220</v>
      </c>
      <c r="D613" s="152">
        <v>343</v>
      </c>
      <c r="E613" s="152">
        <v>563</v>
      </c>
      <c r="F613" s="152">
        <v>5388729.0500220899</v>
      </c>
      <c r="G613" s="152">
        <v>10027361.703983899</v>
      </c>
      <c r="H613" s="152">
        <v>15416090.754006</v>
      </c>
      <c r="I613" t="s">
        <v>742</v>
      </c>
      <c r="J613" t="s">
        <v>135</v>
      </c>
      <c r="K613">
        <v>857094</v>
      </c>
      <c r="L613" t="s">
        <v>92</v>
      </c>
      <c r="M613"/>
      <c r="N613"/>
      <c r="O613"/>
      <c r="P613"/>
      <c r="Q613" s="152"/>
      <c r="R613"/>
      <c r="S613"/>
      <c r="T613"/>
      <c r="U613"/>
      <c r="V613"/>
    </row>
    <row r="614" spans="1:22" x14ac:dyDescent="0.2">
      <c r="A614" t="s">
        <v>150</v>
      </c>
      <c r="B614" t="s">
        <v>226</v>
      </c>
      <c r="C614" s="152">
        <v>240</v>
      </c>
      <c r="D614" s="152">
        <v>305</v>
      </c>
      <c r="E614" s="152">
        <v>545</v>
      </c>
      <c r="F614" s="152">
        <v>4055017.23799951</v>
      </c>
      <c r="G614" s="152">
        <v>6806897.4666225696</v>
      </c>
      <c r="H614" s="152">
        <v>10861914.704622099</v>
      </c>
      <c r="I614" t="s">
        <v>742</v>
      </c>
      <c r="J614" t="s">
        <v>135</v>
      </c>
      <c r="K614">
        <v>917955</v>
      </c>
      <c r="L614" t="s">
        <v>490</v>
      </c>
      <c r="M614"/>
      <c r="N614"/>
      <c r="O614"/>
      <c r="P614"/>
      <c r="Q614" s="152"/>
      <c r="R614"/>
      <c r="S614"/>
      <c r="T614"/>
      <c r="U614"/>
      <c r="V614"/>
    </row>
    <row r="615" spans="1:22" x14ac:dyDescent="0.2">
      <c r="A615" t="s">
        <v>150</v>
      </c>
      <c r="B615" t="s">
        <v>193</v>
      </c>
      <c r="C615" s="152">
        <v>202</v>
      </c>
      <c r="D615" s="152">
        <v>336</v>
      </c>
      <c r="E615" s="152">
        <v>538</v>
      </c>
      <c r="F615" s="152">
        <v>4000004.5391028202</v>
      </c>
      <c r="G615" s="152">
        <v>8223230.10730814</v>
      </c>
      <c r="H615" s="152">
        <v>12223234.646411</v>
      </c>
      <c r="I615" t="s">
        <v>742</v>
      </c>
      <c r="J615" t="s">
        <v>135</v>
      </c>
      <c r="K615">
        <v>452698</v>
      </c>
      <c r="L615" t="s">
        <v>63</v>
      </c>
      <c r="M615"/>
      <c r="N615"/>
      <c r="O615"/>
      <c r="P615"/>
      <c r="Q615" s="152"/>
      <c r="R615"/>
      <c r="S615"/>
      <c r="T615"/>
      <c r="U615"/>
      <c r="V615"/>
    </row>
    <row r="616" spans="1:22" x14ac:dyDescent="0.2">
      <c r="A616" t="s">
        <v>166</v>
      </c>
      <c r="B616" t="s">
        <v>666</v>
      </c>
      <c r="C616" s="152">
        <v>244</v>
      </c>
      <c r="D616" s="152">
        <v>290</v>
      </c>
      <c r="E616" s="152">
        <v>534</v>
      </c>
      <c r="F616" s="152">
        <v>3584594.5427767201</v>
      </c>
      <c r="G616" s="152">
        <v>5147231.7262265701</v>
      </c>
      <c r="H616" s="152">
        <v>8731826.2690032907</v>
      </c>
      <c r="I616" t="s">
        <v>742</v>
      </c>
      <c r="J616" t="s">
        <v>135</v>
      </c>
      <c r="K616">
        <v>549261</v>
      </c>
      <c r="L616" t="s">
        <v>874</v>
      </c>
      <c r="M616"/>
      <c r="N616"/>
      <c r="O616"/>
      <c r="P616"/>
      <c r="Q616" s="152"/>
      <c r="R616"/>
      <c r="S616"/>
      <c r="T616"/>
      <c r="U616"/>
      <c r="V616"/>
    </row>
    <row r="617" spans="1:22" x14ac:dyDescent="0.2">
      <c r="A617" t="s">
        <v>49</v>
      </c>
      <c r="B617" t="s">
        <v>1043</v>
      </c>
      <c r="C617" s="152">
        <v>232</v>
      </c>
      <c r="D617" s="152">
        <v>297</v>
      </c>
      <c r="E617" s="152">
        <v>529</v>
      </c>
      <c r="F617" s="152">
        <v>3378590.9559736801</v>
      </c>
      <c r="G617" s="152">
        <v>5280246.84047399</v>
      </c>
      <c r="H617" s="152">
        <v>8658837.7964476701</v>
      </c>
      <c r="I617" t="s">
        <v>742</v>
      </c>
      <c r="J617" t="s">
        <v>135</v>
      </c>
      <c r="K617">
        <v>155788</v>
      </c>
      <c r="L617" t="s">
        <v>407</v>
      </c>
      <c r="M617"/>
      <c r="N617"/>
      <c r="O617"/>
      <c r="P617"/>
      <c r="Q617" s="152"/>
      <c r="R617"/>
      <c r="S617"/>
      <c r="T617"/>
      <c r="U617"/>
      <c r="V617"/>
    </row>
    <row r="618" spans="1:22" x14ac:dyDescent="0.2">
      <c r="A618" t="s">
        <v>108</v>
      </c>
      <c r="B618" t="s">
        <v>863</v>
      </c>
      <c r="C618" s="152">
        <v>277</v>
      </c>
      <c r="D618" s="152">
        <v>252</v>
      </c>
      <c r="E618" s="152">
        <v>529</v>
      </c>
      <c r="F618" s="152">
        <v>3901885.7491322202</v>
      </c>
      <c r="G618" s="152">
        <v>4289087.7018335396</v>
      </c>
      <c r="H618" s="152">
        <v>8190973.4509657603</v>
      </c>
      <c r="I618" t="s">
        <v>742</v>
      </c>
      <c r="J618" t="s">
        <v>135</v>
      </c>
      <c r="K618">
        <v>515387</v>
      </c>
      <c r="L618" t="s">
        <v>112</v>
      </c>
      <c r="M618"/>
      <c r="N618"/>
      <c r="O618"/>
      <c r="P618"/>
      <c r="Q618" s="152"/>
      <c r="R618"/>
      <c r="S618"/>
      <c r="T618"/>
      <c r="U618"/>
      <c r="V618"/>
    </row>
    <row r="619" spans="1:22" x14ac:dyDescent="0.2">
      <c r="A619" t="s">
        <v>312</v>
      </c>
      <c r="B619" t="s">
        <v>221</v>
      </c>
      <c r="C619" s="152">
        <v>183</v>
      </c>
      <c r="D619" s="152">
        <v>340</v>
      </c>
      <c r="E619" s="152">
        <v>523</v>
      </c>
      <c r="F619" s="152">
        <v>2196560.6875841599</v>
      </c>
      <c r="G619" s="152">
        <v>5634943.0320364898</v>
      </c>
      <c r="H619" s="152">
        <v>7831503.7196206497</v>
      </c>
      <c r="I619" t="s">
        <v>742</v>
      </c>
      <c r="J619" t="s">
        <v>135</v>
      </c>
      <c r="K619">
        <v>887497</v>
      </c>
      <c r="L619" t="s">
        <v>490</v>
      </c>
      <c r="M619"/>
      <c r="N619"/>
      <c r="O619"/>
      <c r="P619"/>
      <c r="Q619" s="152"/>
      <c r="R619"/>
      <c r="S619"/>
      <c r="T619"/>
      <c r="U619"/>
      <c r="V619"/>
    </row>
    <row r="620" spans="1:22" x14ac:dyDescent="0.2">
      <c r="A620" t="s">
        <v>104</v>
      </c>
      <c r="B620" t="s">
        <v>105</v>
      </c>
      <c r="C620" s="152">
        <v>254</v>
      </c>
      <c r="D620" s="152">
        <v>268</v>
      </c>
      <c r="E620" s="152">
        <v>522</v>
      </c>
      <c r="F620" s="152">
        <v>4175833.9361264301</v>
      </c>
      <c r="G620" s="152">
        <v>5491778.2970998902</v>
      </c>
      <c r="H620" s="152">
        <v>9667612.2332263198</v>
      </c>
      <c r="I620" t="s">
        <v>742</v>
      </c>
      <c r="J620" t="s">
        <v>135</v>
      </c>
      <c r="K620">
        <v>452755</v>
      </c>
      <c r="L620" t="s">
        <v>520</v>
      </c>
      <c r="M620"/>
      <c r="N620"/>
      <c r="O620"/>
      <c r="P620"/>
      <c r="Q620" s="152"/>
      <c r="R620"/>
      <c r="S620"/>
      <c r="T620"/>
      <c r="U620"/>
      <c r="V620"/>
    </row>
    <row r="621" spans="1:22" x14ac:dyDescent="0.2">
      <c r="A621" t="s">
        <v>312</v>
      </c>
      <c r="B621" t="s">
        <v>287</v>
      </c>
      <c r="C621" s="152">
        <v>230</v>
      </c>
      <c r="D621" s="152">
        <v>291</v>
      </c>
      <c r="E621" s="152">
        <v>521</v>
      </c>
      <c r="F621" s="152">
        <v>3691531.98390688</v>
      </c>
      <c r="G621" s="152">
        <v>6057527.2116668504</v>
      </c>
      <c r="H621" s="152">
        <v>9749059.1955737304</v>
      </c>
      <c r="I621" t="s">
        <v>742</v>
      </c>
      <c r="J621" t="s">
        <v>135</v>
      </c>
      <c r="K621">
        <v>252353</v>
      </c>
      <c r="L621" t="s">
        <v>870</v>
      </c>
      <c r="M621"/>
      <c r="N621"/>
      <c r="O621"/>
      <c r="P621"/>
      <c r="Q621" s="152"/>
      <c r="R621"/>
      <c r="S621"/>
      <c r="T621"/>
      <c r="U621"/>
      <c r="V621"/>
    </row>
    <row r="622" spans="1:22" x14ac:dyDescent="0.2">
      <c r="A622" t="s">
        <v>781</v>
      </c>
      <c r="B622" t="s">
        <v>98</v>
      </c>
      <c r="C622" s="152">
        <v>214</v>
      </c>
      <c r="D622" s="152">
        <v>305</v>
      </c>
      <c r="E622" s="152">
        <v>519</v>
      </c>
      <c r="F622" s="152">
        <v>4769678.5635595201</v>
      </c>
      <c r="G622" s="152">
        <v>8439379.2315947097</v>
      </c>
      <c r="H622" s="152">
        <v>13209057.795154201</v>
      </c>
      <c r="I622" t="s">
        <v>867</v>
      </c>
      <c r="J622" t="s">
        <v>135</v>
      </c>
      <c r="K622">
        <v>119891</v>
      </c>
      <c r="L622" t="s">
        <v>728</v>
      </c>
      <c r="M622"/>
      <c r="N622"/>
      <c r="O622"/>
      <c r="P622"/>
      <c r="Q622" s="152"/>
      <c r="R622"/>
      <c r="S622"/>
      <c r="T622"/>
      <c r="U622"/>
      <c r="V622"/>
    </row>
    <row r="623" spans="1:22" x14ac:dyDescent="0.2">
      <c r="A623" t="s">
        <v>166</v>
      </c>
      <c r="B623" t="s">
        <v>1015</v>
      </c>
      <c r="C623" s="152">
        <v>254</v>
      </c>
      <c r="D623" s="152">
        <v>262</v>
      </c>
      <c r="E623" s="152">
        <v>516</v>
      </c>
      <c r="F623" s="152">
        <v>4602435.81582068</v>
      </c>
      <c r="G623" s="152">
        <v>5874325.6388096102</v>
      </c>
      <c r="H623" s="152">
        <v>10476761.4546303</v>
      </c>
      <c r="I623" t="s">
        <v>742</v>
      </c>
      <c r="J623" t="s">
        <v>135</v>
      </c>
      <c r="K623">
        <v>872440</v>
      </c>
      <c r="L623" t="s">
        <v>403</v>
      </c>
      <c r="M623"/>
      <c r="N623"/>
      <c r="O623"/>
      <c r="P623"/>
      <c r="Q623" s="152"/>
      <c r="R623"/>
      <c r="S623"/>
      <c r="T623"/>
      <c r="U623"/>
      <c r="V623"/>
    </row>
    <row r="624" spans="1:22" x14ac:dyDescent="0.2">
      <c r="A624" t="s">
        <v>329</v>
      </c>
      <c r="B624" t="s">
        <v>11</v>
      </c>
      <c r="C624" s="152">
        <v>244</v>
      </c>
      <c r="D624" s="152">
        <v>268</v>
      </c>
      <c r="E624" s="152">
        <v>512</v>
      </c>
      <c r="F624" s="152">
        <v>8288854.51123296</v>
      </c>
      <c r="G624" s="152">
        <v>10566596.360353099</v>
      </c>
      <c r="H624" s="152">
        <v>18855450.871586099</v>
      </c>
      <c r="I624" t="s">
        <v>867</v>
      </c>
      <c r="J624" t="s">
        <v>137</v>
      </c>
      <c r="K624">
        <v>963462</v>
      </c>
      <c r="L624" t="s">
        <v>502</v>
      </c>
      <c r="M624"/>
      <c r="N624"/>
      <c r="O624"/>
      <c r="P624"/>
      <c r="Q624" s="152"/>
      <c r="R624"/>
      <c r="S624"/>
      <c r="T624"/>
      <c r="U624"/>
      <c r="V624"/>
    </row>
    <row r="625" spans="1:22" x14ac:dyDescent="0.2">
      <c r="A625" t="s">
        <v>645</v>
      </c>
      <c r="B625" t="s">
        <v>430</v>
      </c>
      <c r="C625" s="152">
        <v>238</v>
      </c>
      <c r="D625" s="152">
        <v>269</v>
      </c>
      <c r="E625" s="152">
        <v>507</v>
      </c>
      <c r="F625" s="152">
        <v>6635400.1639554398</v>
      </c>
      <c r="G625" s="152">
        <v>9080954.0787462592</v>
      </c>
      <c r="H625" s="152">
        <v>15716354.2427017</v>
      </c>
      <c r="I625" t="s">
        <v>742</v>
      </c>
      <c r="J625" t="s">
        <v>136</v>
      </c>
      <c r="K625">
        <v>756866</v>
      </c>
      <c r="L625" t="s">
        <v>878</v>
      </c>
      <c r="M625"/>
      <c r="N625"/>
      <c r="O625"/>
      <c r="P625"/>
      <c r="Q625" s="152"/>
      <c r="R625"/>
      <c r="S625"/>
      <c r="T625"/>
      <c r="U625"/>
      <c r="V625"/>
    </row>
    <row r="626" spans="1:22" x14ac:dyDescent="0.2">
      <c r="A626" t="s">
        <v>96</v>
      </c>
      <c r="B626" t="s">
        <v>875</v>
      </c>
      <c r="C626" s="152">
        <v>227</v>
      </c>
      <c r="D626" s="152">
        <v>274</v>
      </c>
      <c r="E626" s="152">
        <v>501</v>
      </c>
      <c r="F626" s="152">
        <v>3172165.3496408402</v>
      </c>
      <c r="G626" s="152">
        <v>4691277.67617225</v>
      </c>
      <c r="H626" s="152">
        <v>7863443.0258130999</v>
      </c>
      <c r="I626" t="s">
        <v>742</v>
      </c>
      <c r="J626" t="s">
        <v>135</v>
      </c>
      <c r="K626">
        <v>916122</v>
      </c>
      <c r="L626" t="s">
        <v>874</v>
      </c>
      <c r="M626"/>
      <c r="N626"/>
      <c r="O626"/>
      <c r="P626"/>
      <c r="Q626" s="152"/>
      <c r="R626"/>
      <c r="S626"/>
      <c r="T626"/>
      <c r="U626"/>
      <c r="V626"/>
    </row>
    <row r="627" spans="1:22" x14ac:dyDescent="0.2">
      <c r="A627" t="s">
        <v>166</v>
      </c>
      <c r="B627" t="s">
        <v>743</v>
      </c>
      <c r="C627" s="152">
        <v>260</v>
      </c>
      <c r="D627" s="152">
        <v>240</v>
      </c>
      <c r="E627" s="152">
        <v>500</v>
      </c>
      <c r="F627" s="152">
        <v>4029084.3176840399</v>
      </c>
      <c r="G627" s="152">
        <v>4538553.4346913705</v>
      </c>
      <c r="H627" s="152">
        <v>8567637.7523753997</v>
      </c>
      <c r="I627" t="s">
        <v>742</v>
      </c>
      <c r="J627" t="s">
        <v>135</v>
      </c>
      <c r="K627">
        <v>882068</v>
      </c>
      <c r="L627" t="s">
        <v>411</v>
      </c>
      <c r="M627"/>
      <c r="N627"/>
      <c r="O627"/>
      <c r="P627"/>
      <c r="Q627" s="152"/>
      <c r="R627"/>
      <c r="S627"/>
      <c r="T627"/>
      <c r="U627"/>
      <c r="V627"/>
    </row>
    <row r="628" spans="1:22" x14ac:dyDescent="0.2">
      <c r="A628" t="s">
        <v>645</v>
      </c>
      <c r="B628" t="s">
        <v>929</v>
      </c>
      <c r="C628" s="152">
        <v>197</v>
      </c>
      <c r="D628" s="152">
        <v>301</v>
      </c>
      <c r="E628" s="152">
        <v>498</v>
      </c>
      <c r="F628" s="152">
        <v>5455805.3809203999</v>
      </c>
      <c r="G628" s="152">
        <v>10860100.2021331</v>
      </c>
      <c r="H628" s="152">
        <v>16315905.583053499</v>
      </c>
      <c r="I628" t="s">
        <v>867</v>
      </c>
      <c r="J628" t="s">
        <v>136</v>
      </c>
      <c r="K628">
        <v>617209</v>
      </c>
      <c r="L628" t="s">
        <v>795</v>
      </c>
      <c r="M628"/>
      <c r="N628"/>
      <c r="O628"/>
      <c r="P628"/>
      <c r="Q628" s="152"/>
      <c r="R628"/>
      <c r="S628"/>
      <c r="T628"/>
      <c r="U628"/>
      <c r="V628"/>
    </row>
    <row r="629" spans="1:22" x14ac:dyDescent="0.2">
      <c r="A629" t="s">
        <v>166</v>
      </c>
      <c r="B629" t="s">
        <v>519</v>
      </c>
      <c r="C629" s="152">
        <v>295</v>
      </c>
      <c r="D629" s="152">
        <v>198</v>
      </c>
      <c r="E629" s="152">
        <v>493</v>
      </c>
      <c r="F629" s="152">
        <v>5793451.1728427401</v>
      </c>
      <c r="G629" s="152">
        <v>4831834.7515710304</v>
      </c>
      <c r="H629" s="152">
        <v>10625285.9244138</v>
      </c>
      <c r="I629" t="s">
        <v>742</v>
      </c>
      <c r="J629" t="s">
        <v>135</v>
      </c>
      <c r="K629">
        <v>106492</v>
      </c>
      <c r="L629" t="s">
        <v>878</v>
      </c>
      <c r="M629"/>
      <c r="N629"/>
      <c r="O629"/>
      <c r="P629"/>
      <c r="Q629" s="152"/>
      <c r="R629"/>
      <c r="S629"/>
      <c r="T629"/>
      <c r="U629"/>
      <c r="V629"/>
    </row>
    <row r="630" spans="1:22" x14ac:dyDescent="0.2">
      <c r="A630" t="s">
        <v>183</v>
      </c>
      <c r="B630" t="s">
        <v>919</v>
      </c>
      <c r="C630" s="152">
        <v>187</v>
      </c>
      <c r="D630" s="152">
        <v>293</v>
      </c>
      <c r="E630" s="152">
        <v>480</v>
      </c>
      <c r="F630" s="152">
        <v>3369885.7216141601</v>
      </c>
      <c r="G630" s="152">
        <v>6091712.1854840396</v>
      </c>
      <c r="H630" s="152">
        <v>9461597.9070982002</v>
      </c>
      <c r="I630" t="s">
        <v>742</v>
      </c>
      <c r="J630" t="s">
        <v>135</v>
      </c>
      <c r="K630">
        <v>317990</v>
      </c>
      <c r="L630" t="s">
        <v>407</v>
      </c>
      <c r="M630"/>
      <c r="N630"/>
      <c r="O630"/>
      <c r="P630"/>
      <c r="Q630" s="152"/>
      <c r="R630"/>
      <c r="S630"/>
      <c r="T630"/>
      <c r="U630"/>
      <c r="V630"/>
    </row>
    <row r="631" spans="1:22" x14ac:dyDescent="0.2">
      <c r="A631" t="s">
        <v>417</v>
      </c>
      <c r="B631" t="s">
        <v>683</v>
      </c>
      <c r="C631" s="152">
        <v>193</v>
      </c>
      <c r="D631" s="152">
        <v>269</v>
      </c>
      <c r="E631" s="152">
        <v>462</v>
      </c>
      <c r="F631" s="152">
        <v>4534191.9411749002</v>
      </c>
      <c r="G631" s="152">
        <v>9728896.4853951596</v>
      </c>
      <c r="H631" s="152">
        <v>14263088.426570101</v>
      </c>
      <c r="I631" t="s">
        <v>742</v>
      </c>
      <c r="J631" t="s">
        <v>135</v>
      </c>
      <c r="K631">
        <v>622639</v>
      </c>
      <c r="L631" t="s">
        <v>1037</v>
      </c>
      <c r="M631"/>
      <c r="N631"/>
      <c r="O631"/>
      <c r="P631"/>
      <c r="Q631" s="152"/>
      <c r="R631"/>
      <c r="S631"/>
      <c r="T631"/>
      <c r="U631"/>
      <c r="V631"/>
    </row>
    <row r="632" spans="1:22" x14ac:dyDescent="0.2">
      <c r="A632" t="s">
        <v>781</v>
      </c>
      <c r="B632" t="s">
        <v>879</v>
      </c>
      <c r="C632" s="152">
        <v>219</v>
      </c>
      <c r="D632" s="152">
        <v>243</v>
      </c>
      <c r="E632" s="152">
        <v>462</v>
      </c>
      <c r="F632" s="152">
        <v>4869527.1599073904</v>
      </c>
      <c r="G632" s="152">
        <v>6817730.6058807103</v>
      </c>
      <c r="H632" s="152">
        <v>11687257.765788101</v>
      </c>
      <c r="I632" t="s">
        <v>867</v>
      </c>
      <c r="J632" t="s">
        <v>135</v>
      </c>
      <c r="K632">
        <v>739458</v>
      </c>
      <c r="L632" t="s">
        <v>784</v>
      </c>
      <c r="M632"/>
      <c r="N632"/>
      <c r="O632"/>
      <c r="P632"/>
      <c r="Q632" s="152"/>
      <c r="R632"/>
      <c r="S632"/>
      <c r="T632"/>
      <c r="U632"/>
      <c r="V632"/>
    </row>
    <row r="633" spans="1:22" x14ac:dyDescent="0.2">
      <c r="A633" t="s">
        <v>721</v>
      </c>
      <c r="B633" t="s">
        <v>723</v>
      </c>
      <c r="C633" s="152">
        <v>261</v>
      </c>
      <c r="D633" s="152">
        <v>198</v>
      </c>
      <c r="E633" s="152">
        <v>459</v>
      </c>
      <c r="F633" s="152">
        <v>3910342.1118842401</v>
      </c>
      <c r="G633" s="152">
        <v>4038255.4112731302</v>
      </c>
      <c r="H633" s="152">
        <v>7948597.5231573703</v>
      </c>
      <c r="I633" t="s">
        <v>742</v>
      </c>
      <c r="J633" t="s">
        <v>136</v>
      </c>
      <c r="K633">
        <v>621631</v>
      </c>
      <c r="L633" t="s">
        <v>880</v>
      </c>
      <c r="M633"/>
      <c r="N633"/>
      <c r="O633"/>
      <c r="P633"/>
      <c r="Q633" s="152"/>
      <c r="R633"/>
      <c r="S633"/>
      <c r="T633"/>
      <c r="U633"/>
      <c r="V633"/>
    </row>
    <row r="634" spans="1:22" x14ac:dyDescent="0.2">
      <c r="A634" t="s">
        <v>150</v>
      </c>
      <c r="B634" t="s">
        <v>864</v>
      </c>
      <c r="C634" s="152">
        <v>168</v>
      </c>
      <c r="D634" s="152">
        <v>286</v>
      </c>
      <c r="E634" s="152">
        <v>454</v>
      </c>
      <c r="F634" s="152">
        <v>2716449.94855452</v>
      </c>
      <c r="G634" s="152">
        <v>6390981.0825769501</v>
      </c>
      <c r="H634" s="152">
        <v>9107431.0311314799</v>
      </c>
      <c r="I634" t="s">
        <v>742</v>
      </c>
      <c r="J634" t="s">
        <v>135</v>
      </c>
      <c r="K634">
        <v>389650</v>
      </c>
      <c r="L634" t="s">
        <v>407</v>
      </c>
      <c r="M634"/>
      <c r="N634"/>
      <c r="O634"/>
      <c r="P634"/>
      <c r="Q634" s="152"/>
      <c r="R634"/>
      <c r="S634"/>
      <c r="T634"/>
      <c r="U634"/>
      <c r="V634"/>
    </row>
    <row r="635" spans="1:22" x14ac:dyDescent="0.2">
      <c r="A635" t="s">
        <v>328</v>
      </c>
      <c r="B635" t="s">
        <v>1003</v>
      </c>
      <c r="C635" s="152">
        <v>204</v>
      </c>
      <c r="D635" s="152">
        <v>244</v>
      </c>
      <c r="E635" s="152">
        <v>448</v>
      </c>
      <c r="F635" s="152">
        <v>4171357.9445976</v>
      </c>
      <c r="G635" s="152">
        <v>6436110.3194495998</v>
      </c>
      <c r="H635" s="152">
        <v>10607468.2640472</v>
      </c>
      <c r="I635" t="s">
        <v>742</v>
      </c>
      <c r="J635" t="s">
        <v>137</v>
      </c>
      <c r="K635">
        <v>887554</v>
      </c>
      <c r="L635" t="s">
        <v>878</v>
      </c>
      <c r="M635"/>
      <c r="N635"/>
      <c r="O635"/>
      <c r="P635"/>
      <c r="Q635" s="152"/>
      <c r="R635"/>
      <c r="S635"/>
      <c r="T635"/>
      <c r="U635"/>
      <c r="V635"/>
    </row>
    <row r="636" spans="1:22" x14ac:dyDescent="0.2">
      <c r="A636" t="s">
        <v>254</v>
      </c>
      <c r="B636" t="s">
        <v>374</v>
      </c>
      <c r="C636" s="152">
        <v>149</v>
      </c>
      <c r="D636" s="152">
        <v>283</v>
      </c>
      <c r="E636" s="152">
        <v>432</v>
      </c>
      <c r="F636" s="152">
        <v>1873497.9506877901</v>
      </c>
      <c r="G636" s="152">
        <v>5095504.1257540602</v>
      </c>
      <c r="H636" s="152">
        <v>6969002.0764418496</v>
      </c>
      <c r="I636" t="s">
        <v>742</v>
      </c>
      <c r="J636" t="s">
        <v>135</v>
      </c>
      <c r="K636">
        <v>910109</v>
      </c>
      <c r="L636" t="s">
        <v>490</v>
      </c>
      <c r="M636"/>
      <c r="N636"/>
      <c r="O636"/>
      <c r="P636"/>
      <c r="Q636" s="152"/>
      <c r="R636"/>
      <c r="S636"/>
      <c r="T636"/>
      <c r="U636"/>
      <c r="V636"/>
    </row>
    <row r="637" spans="1:22" x14ac:dyDescent="0.2">
      <c r="A637" t="s">
        <v>578</v>
      </c>
      <c r="B637" t="s">
        <v>580</v>
      </c>
      <c r="C637" s="152">
        <v>200</v>
      </c>
      <c r="D637" s="152">
        <v>209</v>
      </c>
      <c r="E637" s="152">
        <v>409</v>
      </c>
      <c r="F637" s="152">
        <v>5859020.2858387204</v>
      </c>
      <c r="G637" s="152">
        <v>8476152.5062323194</v>
      </c>
      <c r="H637" s="152">
        <v>14335172.792071</v>
      </c>
      <c r="I637" t="s">
        <v>867</v>
      </c>
      <c r="J637" t="s">
        <v>136</v>
      </c>
      <c r="K637">
        <v>134593</v>
      </c>
      <c r="L637" t="s">
        <v>815</v>
      </c>
      <c r="M637"/>
      <c r="N637"/>
      <c r="O637"/>
      <c r="P637"/>
      <c r="Q637" s="152"/>
      <c r="R637"/>
      <c r="S637"/>
      <c r="T637"/>
      <c r="U637"/>
      <c r="V637"/>
    </row>
    <row r="638" spans="1:22" x14ac:dyDescent="0.2">
      <c r="A638" t="s">
        <v>735</v>
      </c>
      <c r="B638" t="s">
        <v>823</v>
      </c>
      <c r="C638" s="152">
        <v>183</v>
      </c>
      <c r="D638" s="152">
        <v>222</v>
      </c>
      <c r="E638" s="152">
        <v>405</v>
      </c>
      <c r="F638" s="152">
        <v>4727825.1697979197</v>
      </c>
      <c r="G638" s="152">
        <v>7140689.40940296</v>
      </c>
      <c r="H638" s="152">
        <v>11868514.579200899</v>
      </c>
      <c r="I638" t="s">
        <v>867</v>
      </c>
      <c r="J638" t="s">
        <v>136</v>
      </c>
      <c r="K638">
        <v>396200</v>
      </c>
      <c r="L638" t="s">
        <v>425</v>
      </c>
      <c r="M638"/>
      <c r="N638"/>
      <c r="O638"/>
      <c r="P638"/>
      <c r="Q638" s="152"/>
      <c r="R638"/>
      <c r="S638"/>
      <c r="T638"/>
      <c r="U638"/>
      <c r="V638"/>
    </row>
    <row r="639" spans="1:22" x14ac:dyDescent="0.2">
      <c r="A639" t="s">
        <v>302</v>
      </c>
      <c r="B639" t="s">
        <v>305</v>
      </c>
      <c r="C639" s="152">
        <v>186</v>
      </c>
      <c r="D639" s="152">
        <v>213</v>
      </c>
      <c r="E639" s="152">
        <v>399</v>
      </c>
      <c r="F639" s="152">
        <v>3471803.5002052002</v>
      </c>
      <c r="G639" s="152">
        <v>4926008.53935376</v>
      </c>
      <c r="H639" s="152">
        <v>8397812.0395589601</v>
      </c>
      <c r="I639" t="s">
        <v>742</v>
      </c>
      <c r="J639" t="s">
        <v>135</v>
      </c>
      <c r="K639">
        <v>231753</v>
      </c>
      <c r="L639" t="s">
        <v>291</v>
      </c>
      <c r="M639"/>
      <c r="N639"/>
      <c r="O639"/>
      <c r="P639"/>
      <c r="Q639" s="152"/>
      <c r="R639"/>
      <c r="S639"/>
      <c r="T639"/>
      <c r="U639"/>
      <c r="V639"/>
    </row>
    <row r="640" spans="1:22" x14ac:dyDescent="0.2">
      <c r="A640" t="s">
        <v>254</v>
      </c>
      <c r="B640" t="s">
        <v>265</v>
      </c>
      <c r="C640" s="152">
        <v>152</v>
      </c>
      <c r="D640" s="152">
        <v>238</v>
      </c>
      <c r="E640" s="152">
        <v>390</v>
      </c>
      <c r="F640" s="152">
        <v>3036656.2352720601</v>
      </c>
      <c r="G640" s="152">
        <v>5766740.0675951503</v>
      </c>
      <c r="H640" s="152">
        <v>8803396.3028672095</v>
      </c>
      <c r="I640" t="s">
        <v>742</v>
      </c>
      <c r="J640" t="s">
        <v>135</v>
      </c>
      <c r="K640">
        <v>757575</v>
      </c>
      <c r="L640" t="s">
        <v>866</v>
      </c>
      <c r="M640"/>
      <c r="N640"/>
      <c r="O640"/>
      <c r="P640"/>
      <c r="Q640" s="152"/>
      <c r="R640"/>
      <c r="S640"/>
      <c r="T640"/>
      <c r="U640"/>
      <c r="V640"/>
    </row>
    <row r="641" spans="1:22" x14ac:dyDescent="0.2">
      <c r="A641" t="s">
        <v>183</v>
      </c>
      <c r="B641" t="s">
        <v>27</v>
      </c>
      <c r="C641" s="152">
        <v>164</v>
      </c>
      <c r="D641" s="152">
        <v>223</v>
      </c>
      <c r="E641" s="152">
        <v>387</v>
      </c>
      <c r="F641" s="152">
        <v>3123201.1388334199</v>
      </c>
      <c r="G641" s="152">
        <v>4876491.9112488599</v>
      </c>
      <c r="H641" s="152">
        <v>7999693.0500822803</v>
      </c>
      <c r="I641" t="s">
        <v>742</v>
      </c>
      <c r="J641" t="s">
        <v>135</v>
      </c>
      <c r="K641">
        <v>404236</v>
      </c>
      <c r="L641" t="s">
        <v>490</v>
      </c>
      <c r="M641"/>
      <c r="N641"/>
      <c r="O641"/>
      <c r="P641"/>
      <c r="Q641" s="152"/>
      <c r="R641"/>
      <c r="S641"/>
      <c r="T641"/>
      <c r="U641"/>
      <c r="V641"/>
    </row>
    <row r="642" spans="1:22" x14ac:dyDescent="0.2">
      <c r="A642" t="s">
        <v>418</v>
      </c>
      <c r="B642" t="s">
        <v>1130</v>
      </c>
      <c r="C642" s="152">
        <v>138</v>
      </c>
      <c r="D642" s="152">
        <v>242</v>
      </c>
      <c r="E642" s="152">
        <v>380</v>
      </c>
      <c r="F642" s="152">
        <v>2964848.2176607</v>
      </c>
      <c r="G642" s="152">
        <v>6452076.9731241902</v>
      </c>
      <c r="H642" s="152">
        <v>9416925.1907848902</v>
      </c>
      <c r="I642" t="s">
        <v>867</v>
      </c>
      <c r="J642" t="s">
        <v>135</v>
      </c>
      <c r="K642">
        <v>823039</v>
      </c>
      <c r="L642" t="s">
        <v>907</v>
      </c>
      <c r="M642"/>
      <c r="N642"/>
      <c r="O642"/>
      <c r="P642"/>
      <c r="Q642" s="152"/>
      <c r="R642"/>
      <c r="S642"/>
      <c r="T642"/>
      <c r="U642"/>
      <c r="V642"/>
    </row>
    <row r="643" spans="1:22" x14ac:dyDescent="0.2">
      <c r="A643" t="s">
        <v>312</v>
      </c>
      <c r="B643" t="s">
        <v>563</v>
      </c>
      <c r="C643" s="152">
        <v>161</v>
      </c>
      <c r="D643" s="152">
        <v>213</v>
      </c>
      <c r="E643" s="152">
        <v>374</v>
      </c>
      <c r="F643" s="152">
        <v>6421974.4610829297</v>
      </c>
      <c r="G643" s="152">
        <v>6754571.8744204696</v>
      </c>
      <c r="H643" s="152">
        <v>13176546.335503399</v>
      </c>
      <c r="I643" t="s">
        <v>742</v>
      </c>
      <c r="J643" t="s">
        <v>135</v>
      </c>
      <c r="K643">
        <v>639690</v>
      </c>
      <c r="L643" t="s">
        <v>67</v>
      </c>
      <c r="M643"/>
      <c r="N643"/>
      <c r="O643"/>
      <c r="P643"/>
      <c r="Q643" s="152"/>
      <c r="R643"/>
      <c r="S643"/>
      <c r="T643"/>
      <c r="U643"/>
      <c r="V643"/>
    </row>
    <row r="644" spans="1:22" x14ac:dyDescent="0.2">
      <c r="A644" t="s">
        <v>578</v>
      </c>
      <c r="B644" t="s">
        <v>623</v>
      </c>
      <c r="C644" s="152">
        <v>196</v>
      </c>
      <c r="D644" s="152">
        <v>174</v>
      </c>
      <c r="E644" s="152">
        <v>370</v>
      </c>
      <c r="F644" s="152">
        <v>5036663.9765778696</v>
      </c>
      <c r="G644" s="152">
        <v>5745671.0524341697</v>
      </c>
      <c r="H644" s="152">
        <v>10782335.029012</v>
      </c>
      <c r="I644" t="s">
        <v>867</v>
      </c>
      <c r="J644" t="s">
        <v>136</v>
      </c>
      <c r="K644">
        <v>687095</v>
      </c>
      <c r="L644" t="s">
        <v>810</v>
      </c>
      <c r="M644"/>
      <c r="N644"/>
      <c r="O644"/>
      <c r="P644"/>
      <c r="Q644" s="152"/>
      <c r="R644"/>
      <c r="S644"/>
      <c r="T644"/>
      <c r="U644"/>
      <c r="V644"/>
    </row>
    <row r="645" spans="1:22" x14ac:dyDescent="0.2">
      <c r="A645" t="s">
        <v>312</v>
      </c>
      <c r="B645" t="s">
        <v>321</v>
      </c>
      <c r="C645" s="152">
        <v>171</v>
      </c>
      <c r="D645" s="152">
        <v>196</v>
      </c>
      <c r="E645" s="152">
        <v>367</v>
      </c>
      <c r="F645" s="152">
        <v>2456397.22574603</v>
      </c>
      <c r="G645" s="152">
        <v>4027360.5770605602</v>
      </c>
      <c r="H645" s="152">
        <v>6483757.8028065898</v>
      </c>
      <c r="I645" t="s">
        <v>742</v>
      </c>
      <c r="J645" t="s">
        <v>135</v>
      </c>
      <c r="K645">
        <v>665315</v>
      </c>
      <c r="L645" t="s">
        <v>945</v>
      </c>
      <c r="M645"/>
      <c r="N645"/>
      <c r="O645"/>
      <c r="P645"/>
      <c r="Q645" s="152"/>
      <c r="R645"/>
      <c r="S645"/>
      <c r="T645"/>
      <c r="U645"/>
      <c r="V645"/>
    </row>
    <row r="646" spans="1:22" x14ac:dyDescent="0.2">
      <c r="A646" t="s">
        <v>338</v>
      </c>
      <c r="B646" t="s">
        <v>1009</v>
      </c>
      <c r="C646" s="152">
        <v>158</v>
      </c>
      <c r="D646" s="152">
        <v>208</v>
      </c>
      <c r="E646" s="152">
        <v>366</v>
      </c>
      <c r="F646" s="152">
        <v>3572073.34314215</v>
      </c>
      <c r="G646" s="152">
        <v>5212634.6657734299</v>
      </c>
      <c r="H646" s="152">
        <v>8784708.0089155808</v>
      </c>
      <c r="I646" t="s">
        <v>742</v>
      </c>
      <c r="J646" t="s">
        <v>137</v>
      </c>
      <c r="K646">
        <v>934893</v>
      </c>
      <c r="L646" t="s">
        <v>878</v>
      </c>
      <c r="M646"/>
      <c r="N646"/>
      <c r="O646"/>
      <c r="P646"/>
      <c r="Q646" s="152"/>
      <c r="R646"/>
      <c r="S646"/>
      <c r="T646"/>
      <c r="U646"/>
      <c r="V646"/>
    </row>
    <row r="647" spans="1:22" x14ac:dyDescent="0.2">
      <c r="A647" t="s">
        <v>417</v>
      </c>
      <c r="B647" t="s">
        <v>1105</v>
      </c>
      <c r="C647" s="152">
        <v>163</v>
      </c>
      <c r="D647" s="152">
        <v>196</v>
      </c>
      <c r="E647" s="152">
        <v>359</v>
      </c>
      <c r="F647" s="152">
        <v>5856052.40450525</v>
      </c>
      <c r="G647" s="152">
        <v>9051784.5429338999</v>
      </c>
      <c r="H647" s="152">
        <v>14907836.947439199</v>
      </c>
      <c r="I647" t="s">
        <v>867</v>
      </c>
      <c r="J647" t="s">
        <v>135</v>
      </c>
      <c r="K647">
        <v>741637</v>
      </c>
      <c r="L647" t="s">
        <v>1104</v>
      </c>
      <c r="M647"/>
      <c r="N647"/>
      <c r="O647"/>
      <c r="P647"/>
      <c r="Q647" s="152"/>
      <c r="R647"/>
      <c r="S647"/>
      <c r="T647"/>
      <c r="U647"/>
      <c r="V647"/>
    </row>
    <row r="648" spans="1:22" x14ac:dyDescent="0.2">
      <c r="A648" t="s">
        <v>416</v>
      </c>
      <c r="B648" t="s">
        <v>355</v>
      </c>
      <c r="C648" s="152">
        <v>129</v>
      </c>
      <c r="D648" s="152">
        <v>228</v>
      </c>
      <c r="E648" s="152">
        <v>357</v>
      </c>
      <c r="F648" s="152">
        <v>2742056.4581507999</v>
      </c>
      <c r="G648" s="152">
        <v>7324670.468909</v>
      </c>
      <c r="H648" s="152">
        <v>10066726.927059799</v>
      </c>
      <c r="I648" t="s">
        <v>867</v>
      </c>
      <c r="J648" t="s">
        <v>135</v>
      </c>
      <c r="K648">
        <v>660290</v>
      </c>
      <c r="L648" t="s">
        <v>37</v>
      </c>
      <c r="M648"/>
      <c r="N648"/>
      <c r="O648"/>
      <c r="P648"/>
      <c r="Q648" s="152"/>
      <c r="R648"/>
      <c r="S648"/>
      <c r="T648"/>
      <c r="U648"/>
      <c r="V648"/>
    </row>
    <row r="649" spans="1:22" x14ac:dyDescent="0.2">
      <c r="A649" t="s">
        <v>551</v>
      </c>
      <c r="B649" t="s">
        <v>908</v>
      </c>
      <c r="C649" s="152">
        <v>174</v>
      </c>
      <c r="D649" s="152">
        <v>181</v>
      </c>
      <c r="E649" s="152">
        <v>355</v>
      </c>
      <c r="F649" s="152">
        <v>3423638.9167474499</v>
      </c>
      <c r="G649" s="152">
        <v>4011704.8925371501</v>
      </c>
      <c r="H649" s="152">
        <v>7435343.8092846004</v>
      </c>
      <c r="I649" t="s">
        <v>742</v>
      </c>
      <c r="J649" t="s">
        <v>139</v>
      </c>
      <c r="K649">
        <v>537696</v>
      </c>
      <c r="L649" t="s">
        <v>909</v>
      </c>
      <c r="M649"/>
      <c r="N649"/>
      <c r="O649"/>
      <c r="P649"/>
      <c r="Q649" s="152"/>
      <c r="R649"/>
      <c r="S649"/>
      <c r="T649"/>
      <c r="U649"/>
      <c r="V649"/>
    </row>
    <row r="650" spans="1:22" x14ac:dyDescent="0.2">
      <c r="A650" t="s">
        <v>96</v>
      </c>
      <c r="B650" t="s">
        <v>97</v>
      </c>
      <c r="C650" s="152">
        <v>149</v>
      </c>
      <c r="D650" s="152">
        <v>206</v>
      </c>
      <c r="E650" s="152">
        <v>355</v>
      </c>
      <c r="F650" s="152">
        <v>1887606.7029593</v>
      </c>
      <c r="G650" s="152">
        <v>3181038.3077289099</v>
      </c>
      <c r="H650" s="152">
        <v>5068645.0106882099</v>
      </c>
      <c r="I650" t="s">
        <v>742</v>
      </c>
      <c r="J650" t="s">
        <v>135</v>
      </c>
      <c r="K650">
        <v>848770</v>
      </c>
      <c r="L650" t="s">
        <v>140</v>
      </c>
      <c r="M650"/>
      <c r="N650"/>
      <c r="O650"/>
      <c r="P650"/>
      <c r="Q650" s="152"/>
      <c r="R650"/>
      <c r="S650"/>
      <c r="T650"/>
      <c r="U650"/>
      <c r="V650"/>
    </row>
    <row r="651" spans="1:22" x14ac:dyDescent="0.2">
      <c r="A651" t="s">
        <v>166</v>
      </c>
      <c r="B651" t="s">
        <v>176</v>
      </c>
      <c r="C651" s="152">
        <v>170</v>
      </c>
      <c r="D651" s="152">
        <v>181</v>
      </c>
      <c r="E651" s="152">
        <v>351</v>
      </c>
      <c r="F651" s="152">
        <v>2864009.0324808802</v>
      </c>
      <c r="G651" s="152">
        <v>3761469.2641942599</v>
      </c>
      <c r="H651" s="152">
        <v>6625478.29667514</v>
      </c>
      <c r="I651" t="s">
        <v>742</v>
      </c>
      <c r="J651" t="s">
        <v>135</v>
      </c>
      <c r="K651">
        <v>175265</v>
      </c>
      <c r="L651" t="s">
        <v>410</v>
      </c>
      <c r="M651"/>
      <c r="N651"/>
      <c r="O651"/>
      <c r="P651"/>
      <c r="Q651" s="152"/>
      <c r="R651"/>
      <c r="S651"/>
      <c r="T651"/>
      <c r="U651"/>
      <c r="V651"/>
    </row>
    <row r="652" spans="1:22" x14ac:dyDescent="0.2">
      <c r="A652" t="s">
        <v>293</v>
      </c>
      <c r="B652" t="s">
        <v>876</v>
      </c>
      <c r="C652" s="152">
        <v>128</v>
      </c>
      <c r="D652" s="152">
        <v>215</v>
      </c>
      <c r="E652" s="152">
        <v>343</v>
      </c>
      <c r="F652" s="152">
        <v>2641101.2355311401</v>
      </c>
      <c r="G652" s="152">
        <v>4308176.3948168503</v>
      </c>
      <c r="H652" s="152">
        <v>6949277.6303479904</v>
      </c>
      <c r="I652" t="s">
        <v>742</v>
      </c>
      <c r="J652" t="s">
        <v>135</v>
      </c>
      <c r="K652">
        <v>446088</v>
      </c>
      <c r="L652" t="s">
        <v>874</v>
      </c>
      <c r="M652"/>
      <c r="N652"/>
      <c r="O652"/>
      <c r="P652"/>
      <c r="Q652" s="152"/>
      <c r="R652"/>
      <c r="S652"/>
      <c r="T652"/>
      <c r="U652"/>
      <c r="V652"/>
    </row>
    <row r="653" spans="1:22" x14ac:dyDescent="0.2">
      <c r="A653" t="s">
        <v>49</v>
      </c>
      <c r="B653" t="s">
        <v>672</v>
      </c>
      <c r="C653" s="152">
        <v>147</v>
      </c>
      <c r="D653" s="152">
        <v>190</v>
      </c>
      <c r="E653" s="152">
        <v>337</v>
      </c>
      <c r="F653" s="152">
        <v>2379294.30336572</v>
      </c>
      <c r="G653" s="152">
        <v>3966128.7325679599</v>
      </c>
      <c r="H653" s="152">
        <v>6345423.0359336799</v>
      </c>
      <c r="I653" t="s">
        <v>742</v>
      </c>
      <c r="J653" t="s">
        <v>135</v>
      </c>
      <c r="K653">
        <v>732727</v>
      </c>
      <c r="L653" t="s">
        <v>874</v>
      </c>
      <c r="M653"/>
      <c r="N653"/>
      <c r="O653"/>
      <c r="P653"/>
      <c r="Q653" s="152"/>
      <c r="R653"/>
      <c r="S653"/>
      <c r="T653"/>
      <c r="U653"/>
      <c r="V653"/>
    </row>
    <row r="654" spans="1:22" x14ac:dyDescent="0.2">
      <c r="A654" t="s">
        <v>312</v>
      </c>
      <c r="B654" t="s">
        <v>529</v>
      </c>
      <c r="C654" s="152">
        <v>87</v>
      </c>
      <c r="D654" s="152">
        <v>246</v>
      </c>
      <c r="E654" s="152">
        <v>333</v>
      </c>
      <c r="F654" s="152">
        <v>950619.13636772404</v>
      </c>
      <c r="G654" s="152">
        <v>3808835.07030153</v>
      </c>
      <c r="H654" s="152">
        <v>4759454.2066692598</v>
      </c>
      <c r="I654" t="s">
        <v>742</v>
      </c>
      <c r="J654" t="s">
        <v>135</v>
      </c>
      <c r="K654">
        <v>942094</v>
      </c>
      <c r="L654" t="s">
        <v>295</v>
      </c>
      <c r="M654"/>
      <c r="N654"/>
      <c r="O654"/>
      <c r="P654"/>
      <c r="Q654" s="152"/>
      <c r="R654"/>
      <c r="S654"/>
      <c r="T654"/>
      <c r="U654"/>
      <c r="V654"/>
    </row>
    <row r="655" spans="1:22" x14ac:dyDescent="0.2">
      <c r="A655" t="s">
        <v>312</v>
      </c>
      <c r="B655" t="s">
        <v>1002</v>
      </c>
      <c r="C655" s="152">
        <v>109</v>
      </c>
      <c r="D655" s="152">
        <v>218</v>
      </c>
      <c r="E655" s="152">
        <v>327</v>
      </c>
      <c r="F655" s="152">
        <v>2270073.9541643602</v>
      </c>
      <c r="G655" s="152">
        <v>5271470.2837305097</v>
      </c>
      <c r="H655" s="152">
        <v>7541544.2378948703</v>
      </c>
      <c r="I655" t="s">
        <v>742</v>
      </c>
      <c r="J655" t="s">
        <v>135</v>
      </c>
      <c r="K655">
        <v>698605</v>
      </c>
      <c r="L655" t="s">
        <v>831</v>
      </c>
      <c r="M655"/>
      <c r="N655"/>
      <c r="O655"/>
      <c r="P655"/>
      <c r="Q655" s="152"/>
      <c r="R655"/>
      <c r="S655"/>
      <c r="T655"/>
      <c r="U655"/>
      <c r="V655"/>
    </row>
    <row r="656" spans="1:22" x14ac:dyDescent="0.2">
      <c r="A656" t="s">
        <v>338</v>
      </c>
      <c r="B656" t="s">
        <v>853</v>
      </c>
      <c r="C656" s="152">
        <v>153</v>
      </c>
      <c r="D656" s="152">
        <v>165</v>
      </c>
      <c r="E656" s="152">
        <v>318</v>
      </c>
      <c r="F656" s="152">
        <v>11505484.466153899</v>
      </c>
      <c r="G656" s="152">
        <v>14722406.2006029</v>
      </c>
      <c r="H656" s="152">
        <v>26227890.666756701</v>
      </c>
      <c r="I656" t="s">
        <v>867</v>
      </c>
      <c r="J656" t="s">
        <v>137</v>
      </c>
      <c r="K656">
        <v>554634</v>
      </c>
      <c r="L656" t="s">
        <v>847</v>
      </c>
      <c r="M656"/>
      <c r="N656"/>
      <c r="O656"/>
      <c r="P656"/>
      <c r="Q656" s="152"/>
      <c r="R656"/>
      <c r="S656"/>
      <c r="T656"/>
      <c r="U656"/>
      <c r="V656"/>
    </row>
    <row r="657" spans="1:22" x14ac:dyDescent="0.2">
      <c r="A657" t="s">
        <v>338</v>
      </c>
      <c r="B657" t="s">
        <v>855</v>
      </c>
      <c r="C657" s="152">
        <v>161</v>
      </c>
      <c r="D657" s="152">
        <v>152</v>
      </c>
      <c r="E657" s="152">
        <v>313</v>
      </c>
      <c r="F657" s="152">
        <v>13651794.926736001</v>
      </c>
      <c r="G657" s="152">
        <v>15893074.035721</v>
      </c>
      <c r="H657" s="152">
        <v>29544868.962457001</v>
      </c>
      <c r="I657" t="s">
        <v>867</v>
      </c>
      <c r="J657" t="s">
        <v>137</v>
      </c>
      <c r="K657">
        <v>590463</v>
      </c>
      <c r="L657" t="s">
        <v>847</v>
      </c>
      <c r="M657"/>
      <c r="N657"/>
      <c r="O657"/>
      <c r="P657"/>
      <c r="Q657" s="152"/>
      <c r="R657"/>
      <c r="S657"/>
      <c r="T657"/>
      <c r="U657"/>
      <c r="V657"/>
    </row>
    <row r="658" spans="1:22" x14ac:dyDescent="0.2">
      <c r="A658" t="s">
        <v>166</v>
      </c>
      <c r="B658" t="s">
        <v>205</v>
      </c>
      <c r="C658" s="152">
        <v>141</v>
      </c>
      <c r="D658" s="152">
        <v>172</v>
      </c>
      <c r="E658" s="152">
        <v>313</v>
      </c>
      <c r="F658" s="152">
        <v>3437448.4823071999</v>
      </c>
      <c r="G658" s="152">
        <v>4421569.9225327596</v>
      </c>
      <c r="H658" s="152">
        <v>7859018.4048399599</v>
      </c>
      <c r="I658" t="s">
        <v>867</v>
      </c>
      <c r="J658" t="s">
        <v>135</v>
      </c>
      <c r="K658">
        <v>407064</v>
      </c>
      <c r="L658" t="s">
        <v>914</v>
      </c>
      <c r="M658"/>
      <c r="N658"/>
      <c r="O658"/>
      <c r="P658"/>
      <c r="Q658" s="152"/>
      <c r="R658"/>
      <c r="S658"/>
      <c r="T658"/>
      <c r="U658"/>
      <c r="V658"/>
    </row>
    <row r="659" spans="1:22" x14ac:dyDescent="0.2">
      <c r="A659" t="s">
        <v>735</v>
      </c>
      <c r="B659" t="s">
        <v>258</v>
      </c>
      <c r="C659" s="152">
        <v>153</v>
      </c>
      <c r="D659" s="152">
        <v>159</v>
      </c>
      <c r="E659" s="152">
        <v>312</v>
      </c>
      <c r="F659" s="152">
        <v>2889654.3477722201</v>
      </c>
      <c r="G659" s="152">
        <v>3799749.8688654001</v>
      </c>
      <c r="H659" s="152">
        <v>6689404.2166376198</v>
      </c>
      <c r="I659" t="s">
        <v>742</v>
      </c>
      <c r="J659" t="s">
        <v>136</v>
      </c>
      <c r="K659">
        <v>335463</v>
      </c>
      <c r="L659" t="s">
        <v>411</v>
      </c>
      <c r="M659"/>
      <c r="N659"/>
      <c r="O659"/>
      <c r="P659"/>
      <c r="Q659" s="152"/>
      <c r="R659"/>
      <c r="S659"/>
      <c r="T659"/>
      <c r="U659"/>
      <c r="V659"/>
    </row>
    <row r="660" spans="1:22" x14ac:dyDescent="0.2">
      <c r="A660" t="s">
        <v>49</v>
      </c>
      <c r="B660" t="s">
        <v>69</v>
      </c>
      <c r="C660" s="152">
        <v>114</v>
      </c>
      <c r="D660" s="152">
        <v>198</v>
      </c>
      <c r="E660" s="152">
        <v>312</v>
      </c>
      <c r="F660" s="152">
        <v>1610785.7675047601</v>
      </c>
      <c r="G660" s="152">
        <v>3466146.7026907601</v>
      </c>
      <c r="H660" s="152">
        <v>5076932.4701955197</v>
      </c>
      <c r="I660" t="s">
        <v>742</v>
      </c>
      <c r="J660" t="s">
        <v>135</v>
      </c>
      <c r="K660">
        <v>473470</v>
      </c>
      <c r="L660" t="s">
        <v>872</v>
      </c>
      <c r="M660"/>
      <c r="N660"/>
      <c r="O660"/>
      <c r="P660"/>
      <c r="Q660" s="152"/>
      <c r="R660"/>
      <c r="S660"/>
      <c r="T660"/>
      <c r="U660"/>
      <c r="V660"/>
    </row>
    <row r="661" spans="1:22" x14ac:dyDescent="0.2">
      <c r="A661" t="s">
        <v>781</v>
      </c>
      <c r="B661" t="s">
        <v>17</v>
      </c>
      <c r="C661" s="152">
        <v>72</v>
      </c>
      <c r="D661" s="152">
        <v>234</v>
      </c>
      <c r="E661" s="152">
        <v>306</v>
      </c>
      <c r="F661" s="152">
        <v>1876066.71083314</v>
      </c>
      <c r="G661" s="152">
        <v>7334038.5624179896</v>
      </c>
      <c r="H661" s="152">
        <v>9210105.2732511293</v>
      </c>
      <c r="I661" t="s">
        <v>867</v>
      </c>
      <c r="J661" t="s">
        <v>135</v>
      </c>
      <c r="K661">
        <v>476895</v>
      </c>
      <c r="L661" t="s">
        <v>18</v>
      </c>
      <c r="M661"/>
      <c r="N661"/>
      <c r="O661"/>
      <c r="P661"/>
      <c r="Q661" s="152"/>
      <c r="R661"/>
      <c r="S661"/>
      <c r="T661"/>
      <c r="U661"/>
      <c r="V661"/>
    </row>
    <row r="662" spans="1:22" x14ac:dyDescent="0.2">
      <c r="A662" t="s">
        <v>781</v>
      </c>
      <c r="B662" t="s">
        <v>213</v>
      </c>
      <c r="C662" s="152">
        <v>104</v>
      </c>
      <c r="D662" s="152">
        <v>199</v>
      </c>
      <c r="E662" s="152">
        <v>303</v>
      </c>
      <c r="F662" s="152">
        <v>2454413.7250723499</v>
      </c>
      <c r="G662" s="152">
        <v>6158183.7421739995</v>
      </c>
      <c r="H662" s="152">
        <v>8612597.4672463499</v>
      </c>
      <c r="I662" t="s">
        <v>867</v>
      </c>
      <c r="J662" t="s">
        <v>135</v>
      </c>
      <c r="K662">
        <v>636092</v>
      </c>
      <c r="L662" t="s">
        <v>207</v>
      </c>
      <c r="M662"/>
      <c r="N662"/>
      <c r="O662"/>
      <c r="P662"/>
      <c r="Q662" s="152"/>
      <c r="R662"/>
      <c r="S662"/>
      <c r="T662"/>
      <c r="U662"/>
      <c r="V662"/>
    </row>
    <row r="663" spans="1:22" x14ac:dyDescent="0.2">
      <c r="A663" t="s">
        <v>312</v>
      </c>
      <c r="B663" t="s">
        <v>365</v>
      </c>
      <c r="C663" s="152">
        <v>115</v>
      </c>
      <c r="D663" s="152">
        <v>188</v>
      </c>
      <c r="E663" s="152">
        <v>303</v>
      </c>
      <c r="F663" s="152">
        <v>2884973.8715537698</v>
      </c>
      <c r="G663" s="152">
        <v>4861927.1052661296</v>
      </c>
      <c r="H663" s="152">
        <v>7746900.9768198999</v>
      </c>
      <c r="I663" t="s">
        <v>742</v>
      </c>
      <c r="J663" t="s">
        <v>135</v>
      </c>
      <c r="K663">
        <v>233346</v>
      </c>
      <c r="L663" t="s">
        <v>930</v>
      </c>
      <c r="M663"/>
      <c r="N663"/>
      <c r="O663"/>
      <c r="P663"/>
      <c r="Q663" s="152"/>
      <c r="R663"/>
      <c r="S663"/>
      <c r="T663"/>
      <c r="U663"/>
      <c r="V663"/>
    </row>
    <row r="664" spans="1:22" x14ac:dyDescent="0.2">
      <c r="A664" t="s">
        <v>312</v>
      </c>
      <c r="B664" t="s">
        <v>320</v>
      </c>
      <c r="C664" s="152">
        <v>138</v>
      </c>
      <c r="D664" s="152">
        <v>163</v>
      </c>
      <c r="E664" s="152">
        <v>301</v>
      </c>
      <c r="F664" s="152">
        <v>2257995.5802350799</v>
      </c>
      <c r="G664" s="152">
        <v>3150346.2371971202</v>
      </c>
      <c r="H664" s="152">
        <v>5408341.8174321996</v>
      </c>
      <c r="I664" t="s">
        <v>742</v>
      </c>
      <c r="J664" t="s">
        <v>135</v>
      </c>
      <c r="K664">
        <v>202002</v>
      </c>
      <c r="L664" t="s">
        <v>46</v>
      </c>
      <c r="M664"/>
      <c r="N664"/>
      <c r="O664"/>
      <c r="P664"/>
      <c r="Q664" s="152"/>
      <c r="R664"/>
      <c r="S664"/>
      <c r="T664"/>
      <c r="U664"/>
      <c r="V664"/>
    </row>
    <row r="665" spans="1:22" x14ac:dyDescent="0.2">
      <c r="A665" t="s">
        <v>578</v>
      </c>
      <c r="B665" t="s">
        <v>644</v>
      </c>
      <c r="C665" s="152">
        <v>152</v>
      </c>
      <c r="D665" s="152">
        <v>146</v>
      </c>
      <c r="E665" s="152">
        <v>298</v>
      </c>
      <c r="F665" s="152">
        <v>6070350.6526831798</v>
      </c>
      <c r="G665" s="152">
        <v>7818491.6266785599</v>
      </c>
      <c r="H665" s="152">
        <v>13888842.279361701</v>
      </c>
      <c r="I665" t="s">
        <v>867</v>
      </c>
      <c r="J665" t="s">
        <v>136</v>
      </c>
      <c r="K665">
        <v>654988</v>
      </c>
      <c r="L665" t="s">
        <v>785</v>
      </c>
      <c r="M665"/>
      <c r="N665"/>
      <c r="O665"/>
      <c r="P665"/>
      <c r="Q665" s="152"/>
      <c r="R665"/>
      <c r="S665"/>
      <c r="T665"/>
      <c r="U665"/>
      <c r="V665"/>
    </row>
    <row r="666" spans="1:22" x14ac:dyDescent="0.2">
      <c r="A666" t="s">
        <v>96</v>
      </c>
      <c r="B666" t="s">
        <v>423</v>
      </c>
      <c r="C666" s="152">
        <v>136</v>
      </c>
      <c r="D666" s="152">
        <v>161</v>
      </c>
      <c r="E666" s="152">
        <v>297</v>
      </c>
      <c r="F666" s="152">
        <v>3006225.19036568</v>
      </c>
      <c r="G666" s="152">
        <v>3717891.81511052</v>
      </c>
      <c r="H666" s="152">
        <v>6724117.0054761898</v>
      </c>
      <c r="I666" t="s">
        <v>742</v>
      </c>
      <c r="J666" t="s">
        <v>135</v>
      </c>
      <c r="K666">
        <v>755090</v>
      </c>
      <c r="L666" t="s">
        <v>520</v>
      </c>
      <c r="M666"/>
      <c r="N666"/>
      <c r="O666"/>
      <c r="P666"/>
      <c r="Q666" s="152"/>
      <c r="R666"/>
      <c r="S666"/>
      <c r="T666"/>
      <c r="U666"/>
      <c r="V666"/>
    </row>
    <row r="667" spans="1:22" x14ac:dyDescent="0.2">
      <c r="A667" t="s">
        <v>312</v>
      </c>
      <c r="B667" t="s">
        <v>662</v>
      </c>
      <c r="C667" s="152">
        <v>99</v>
      </c>
      <c r="D667" s="152">
        <v>191</v>
      </c>
      <c r="E667" s="152">
        <v>290</v>
      </c>
      <c r="F667" s="152">
        <v>1199532.19032055</v>
      </c>
      <c r="G667" s="152">
        <v>3681838.9296384999</v>
      </c>
      <c r="H667" s="152">
        <v>4881371.1199590499</v>
      </c>
      <c r="I667" t="s">
        <v>742</v>
      </c>
      <c r="J667" t="s">
        <v>135</v>
      </c>
      <c r="K667">
        <v>410258</v>
      </c>
      <c r="L667" t="s">
        <v>874</v>
      </c>
      <c r="M667"/>
      <c r="N667"/>
      <c r="O667"/>
      <c r="P667"/>
      <c r="Q667" s="152"/>
      <c r="R667"/>
      <c r="S667"/>
      <c r="T667"/>
      <c r="U667"/>
      <c r="V667"/>
    </row>
    <row r="668" spans="1:22" x14ac:dyDescent="0.2">
      <c r="A668" t="s">
        <v>735</v>
      </c>
      <c r="B668" t="s">
        <v>846</v>
      </c>
      <c r="C668" s="152">
        <v>125</v>
      </c>
      <c r="D668" s="152">
        <v>158</v>
      </c>
      <c r="E668" s="152">
        <v>283</v>
      </c>
      <c r="F668" s="152">
        <v>3457090.3955418002</v>
      </c>
      <c r="G668" s="152">
        <v>5028943.2286833599</v>
      </c>
      <c r="H668" s="152">
        <v>8486033.6242251601</v>
      </c>
      <c r="I668" t="s">
        <v>742</v>
      </c>
      <c r="J668" t="s">
        <v>136</v>
      </c>
      <c r="K668">
        <v>408898</v>
      </c>
      <c r="L668" t="s">
        <v>801</v>
      </c>
      <c r="M668"/>
      <c r="N668"/>
      <c r="O668"/>
      <c r="P668"/>
      <c r="Q668" s="152"/>
      <c r="R668"/>
      <c r="S668"/>
      <c r="T668"/>
      <c r="U668"/>
      <c r="V668"/>
    </row>
    <row r="669" spans="1:22" x14ac:dyDescent="0.2">
      <c r="A669" t="s">
        <v>721</v>
      </c>
      <c r="B669" t="s">
        <v>726</v>
      </c>
      <c r="C669" s="152">
        <v>113</v>
      </c>
      <c r="D669" s="152">
        <v>167</v>
      </c>
      <c r="E669" s="152">
        <v>280</v>
      </c>
      <c r="F669" s="152">
        <v>1436029.61518144</v>
      </c>
      <c r="G669" s="152">
        <v>3033705.3921951801</v>
      </c>
      <c r="H669" s="152">
        <v>4469735.0073766196</v>
      </c>
      <c r="I669" t="s">
        <v>742</v>
      </c>
      <c r="J669" t="s">
        <v>136</v>
      </c>
      <c r="K669">
        <v>288001</v>
      </c>
      <c r="L669" t="s">
        <v>140</v>
      </c>
      <c r="M669"/>
      <c r="N669"/>
      <c r="O669"/>
      <c r="P669"/>
      <c r="Q669" s="152"/>
      <c r="R669"/>
      <c r="S669"/>
      <c r="T669"/>
      <c r="U669"/>
      <c r="V669"/>
    </row>
    <row r="670" spans="1:22" x14ac:dyDescent="0.2">
      <c r="A670" t="s">
        <v>721</v>
      </c>
      <c r="B670" t="s">
        <v>34</v>
      </c>
      <c r="C670" s="152">
        <v>144</v>
      </c>
      <c r="D670" s="152">
        <v>133</v>
      </c>
      <c r="E670" s="152">
        <v>277</v>
      </c>
      <c r="F670" s="152">
        <v>1993509.37433694</v>
      </c>
      <c r="G670" s="152">
        <v>2409581.83215664</v>
      </c>
      <c r="H670" s="152">
        <v>4403091.2064935695</v>
      </c>
      <c r="I670" t="s">
        <v>742</v>
      </c>
      <c r="J670" t="s">
        <v>136</v>
      </c>
      <c r="K670">
        <v>966598</v>
      </c>
      <c r="L670" t="s">
        <v>407</v>
      </c>
      <c r="M670"/>
      <c r="N670"/>
      <c r="O670"/>
      <c r="P670"/>
      <c r="Q670" s="152"/>
      <c r="R670"/>
      <c r="S670"/>
      <c r="T670"/>
      <c r="U670"/>
      <c r="V670"/>
    </row>
    <row r="671" spans="1:22" x14ac:dyDescent="0.2">
      <c r="A671" t="s">
        <v>721</v>
      </c>
      <c r="B671" t="s">
        <v>1039</v>
      </c>
      <c r="C671" s="152">
        <v>114</v>
      </c>
      <c r="D671" s="152">
        <v>162</v>
      </c>
      <c r="E671" s="152">
        <v>276</v>
      </c>
      <c r="F671" s="152">
        <v>2394474.33194286</v>
      </c>
      <c r="G671" s="152">
        <v>3944285.7931695702</v>
      </c>
      <c r="H671" s="152">
        <v>6338760.1251124302</v>
      </c>
      <c r="I671" t="s">
        <v>742</v>
      </c>
      <c r="J671" t="s">
        <v>136</v>
      </c>
      <c r="K671">
        <v>930768</v>
      </c>
      <c r="L671" t="s">
        <v>407</v>
      </c>
      <c r="M671"/>
      <c r="N671"/>
      <c r="O671"/>
      <c r="P671"/>
      <c r="Q671" s="152"/>
      <c r="R671"/>
      <c r="S671"/>
      <c r="T671"/>
      <c r="U671"/>
      <c r="V671"/>
    </row>
    <row r="672" spans="1:22" x14ac:dyDescent="0.2">
      <c r="A672" t="s">
        <v>49</v>
      </c>
      <c r="B672" t="s">
        <v>70</v>
      </c>
      <c r="C672" s="152">
        <v>109</v>
      </c>
      <c r="D672" s="152">
        <v>154</v>
      </c>
      <c r="E672" s="152">
        <v>263</v>
      </c>
      <c r="F672" s="152">
        <v>1408217.0039895901</v>
      </c>
      <c r="G672" s="152">
        <v>2346658.86438125</v>
      </c>
      <c r="H672" s="152">
        <v>3754875.8683708399</v>
      </c>
      <c r="I672" t="s">
        <v>742</v>
      </c>
      <c r="J672" t="s">
        <v>135</v>
      </c>
      <c r="K672">
        <v>222661</v>
      </c>
      <c r="L672" t="s">
        <v>872</v>
      </c>
      <c r="M672"/>
      <c r="N672"/>
      <c r="O672"/>
      <c r="P672"/>
      <c r="Q672" s="152"/>
      <c r="R672"/>
      <c r="S672"/>
      <c r="T672"/>
      <c r="U672"/>
      <c r="V672"/>
    </row>
    <row r="673" spans="1:22" x14ac:dyDescent="0.2">
      <c r="A673" t="s">
        <v>735</v>
      </c>
      <c r="B673" t="s">
        <v>736</v>
      </c>
      <c r="C673" s="152">
        <v>101</v>
      </c>
      <c r="D673" s="152">
        <v>155</v>
      </c>
      <c r="E673" s="152">
        <v>256</v>
      </c>
      <c r="F673" s="152">
        <v>1538158.6395781201</v>
      </c>
      <c r="G673" s="152">
        <v>3595299.7841048902</v>
      </c>
      <c r="H673" s="152">
        <v>5133458.42368301</v>
      </c>
      <c r="I673" t="s">
        <v>742</v>
      </c>
      <c r="J673" t="s">
        <v>136</v>
      </c>
      <c r="K673">
        <v>808634</v>
      </c>
      <c r="L673" t="s">
        <v>945</v>
      </c>
      <c r="M673"/>
      <c r="N673"/>
      <c r="O673"/>
      <c r="P673"/>
      <c r="Q673" s="152"/>
      <c r="R673"/>
      <c r="S673"/>
      <c r="T673"/>
      <c r="U673"/>
      <c r="V673"/>
    </row>
    <row r="674" spans="1:22" x14ac:dyDescent="0.2">
      <c r="A674" t="s">
        <v>166</v>
      </c>
      <c r="B674" t="s">
        <v>1087</v>
      </c>
      <c r="C674" s="152">
        <v>142</v>
      </c>
      <c r="D674" s="152">
        <v>110</v>
      </c>
      <c r="E674" s="152">
        <v>252</v>
      </c>
      <c r="F674" s="152">
        <v>3501744.0630744998</v>
      </c>
      <c r="G674" s="152">
        <v>2973176.9258685</v>
      </c>
      <c r="H674" s="152">
        <v>6474920.9889430003</v>
      </c>
      <c r="I674" t="s">
        <v>867</v>
      </c>
      <c r="J674" t="s">
        <v>135</v>
      </c>
      <c r="K674">
        <v>936781</v>
      </c>
      <c r="L674" t="s">
        <v>877</v>
      </c>
      <c r="M674"/>
      <c r="N674"/>
      <c r="O674"/>
      <c r="P674"/>
      <c r="Q674" s="152"/>
      <c r="R674"/>
      <c r="S674"/>
      <c r="T674"/>
      <c r="U674"/>
      <c r="V674"/>
    </row>
    <row r="675" spans="1:22" x14ac:dyDescent="0.2">
      <c r="A675" t="s">
        <v>104</v>
      </c>
      <c r="B675" t="s">
        <v>917</v>
      </c>
      <c r="C675" s="152">
        <v>84</v>
      </c>
      <c r="D675" s="152">
        <v>162</v>
      </c>
      <c r="E675" s="152">
        <v>246</v>
      </c>
      <c r="F675" s="152">
        <v>1611708.73441553</v>
      </c>
      <c r="G675" s="152">
        <v>3965332.93649713</v>
      </c>
      <c r="H675" s="152">
        <v>5577041.6709126597</v>
      </c>
      <c r="I675" t="s">
        <v>742</v>
      </c>
      <c r="J675" t="s">
        <v>135</v>
      </c>
      <c r="K675">
        <v>116293</v>
      </c>
      <c r="L675" t="s">
        <v>99</v>
      </c>
      <c r="M675"/>
      <c r="N675"/>
      <c r="O675"/>
      <c r="P675"/>
      <c r="Q675" s="152"/>
      <c r="R675"/>
      <c r="S675"/>
      <c r="T675"/>
      <c r="U675"/>
      <c r="V675"/>
    </row>
    <row r="676" spans="1:22" x14ac:dyDescent="0.2">
      <c r="A676" t="s">
        <v>254</v>
      </c>
      <c r="B676" t="s">
        <v>260</v>
      </c>
      <c r="C676" s="152">
        <v>93</v>
      </c>
      <c r="D676" s="152">
        <v>153</v>
      </c>
      <c r="E676" s="152">
        <v>246</v>
      </c>
      <c r="F676" s="152">
        <v>1319421.2923020599</v>
      </c>
      <c r="G676" s="152">
        <v>2702784.8386657201</v>
      </c>
      <c r="H676" s="152">
        <v>4022206.13096778</v>
      </c>
      <c r="I676" t="s">
        <v>742</v>
      </c>
      <c r="J676" t="s">
        <v>135</v>
      </c>
      <c r="K676">
        <v>365981</v>
      </c>
      <c r="L676" t="s">
        <v>872</v>
      </c>
      <c r="M676"/>
      <c r="N676"/>
      <c r="O676"/>
      <c r="P676"/>
      <c r="Q676" s="152"/>
      <c r="R676"/>
      <c r="S676"/>
      <c r="T676"/>
      <c r="U676"/>
      <c r="V676"/>
    </row>
    <row r="677" spans="1:22" x14ac:dyDescent="0.2">
      <c r="A677" t="s">
        <v>166</v>
      </c>
      <c r="B677" t="s">
        <v>615</v>
      </c>
      <c r="C677" s="152">
        <v>111</v>
      </c>
      <c r="D677" s="152">
        <v>130</v>
      </c>
      <c r="E677" s="152">
        <v>241</v>
      </c>
      <c r="F677" s="152">
        <v>3509448.5796977598</v>
      </c>
      <c r="G677" s="152">
        <v>4589149.5170393595</v>
      </c>
      <c r="H677" s="152">
        <v>8098598.0967371203</v>
      </c>
      <c r="I677" t="s">
        <v>867</v>
      </c>
      <c r="J677" t="s">
        <v>135</v>
      </c>
      <c r="K677">
        <v>324541</v>
      </c>
      <c r="L677" t="s">
        <v>425</v>
      </c>
      <c r="M677"/>
      <c r="N677"/>
      <c r="O677"/>
      <c r="P677"/>
      <c r="Q677" s="152"/>
      <c r="R677"/>
      <c r="S677"/>
      <c r="T677"/>
      <c r="U677"/>
      <c r="V677"/>
    </row>
    <row r="678" spans="1:22" x14ac:dyDescent="0.2">
      <c r="A678" t="s">
        <v>735</v>
      </c>
      <c r="B678" t="s">
        <v>518</v>
      </c>
      <c r="C678" s="152">
        <v>112</v>
      </c>
      <c r="D678" s="152">
        <v>120</v>
      </c>
      <c r="E678" s="152">
        <v>232</v>
      </c>
      <c r="F678" s="152">
        <v>2723870.66920048</v>
      </c>
      <c r="G678" s="152">
        <v>3456943.58707488</v>
      </c>
      <c r="H678" s="152">
        <v>6180814.2562753595</v>
      </c>
      <c r="I678" t="s">
        <v>742</v>
      </c>
      <c r="J678" t="s">
        <v>136</v>
      </c>
      <c r="K678">
        <v>515148</v>
      </c>
      <c r="L678" t="s">
        <v>411</v>
      </c>
      <c r="M678"/>
      <c r="N678"/>
      <c r="O678"/>
      <c r="P678"/>
      <c r="Q678" s="152"/>
      <c r="R678"/>
      <c r="S678"/>
      <c r="T678"/>
      <c r="U678"/>
      <c r="V678"/>
    </row>
    <row r="679" spans="1:22" x14ac:dyDescent="0.2">
      <c r="A679" t="s">
        <v>166</v>
      </c>
      <c r="B679" t="s">
        <v>495</v>
      </c>
      <c r="C679" s="152">
        <v>107</v>
      </c>
      <c r="D679" s="152">
        <v>125</v>
      </c>
      <c r="E679" s="152">
        <v>232</v>
      </c>
      <c r="F679" s="152">
        <v>2545946.3118636701</v>
      </c>
      <c r="G679" s="152">
        <v>3163784.40286094</v>
      </c>
      <c r="H679" s="152">
        <v>5709730.7147246096</v>
      </c>
      <c r="I679" t="s">
        <v>742</v>
      </c>
      <c r="J679" t="s">
        <v>135</v>
      </c>
      <c r="K679">
        <v>320358</v>
      </c>
      <c r="L679" t="s">
        <v>65</v>
      </c>
      <c r="M679"/>
      <c r="N679"/>
      <c r="O679"/>
      <c r="P679"/>
      <c r="Q679" s="152"/>
      <c r="R679"/>
      <c r="S679"/>
      <c r="T679"/>
      <c r="U679"/>
      <c r="V679"/>
    </row>
    <row r="680" spans="1:22" x14ac:dyDescent="0.2">
      <c r="A680" t="s">
        <v>234</v>
      </c>
      <c r="B680" t="s">
        <v>684</v>
      </c>
      <c r="C680" s="152">
        <v>83</v>
      </c>
      <c r="D680" s="152">
        <v>147</v>
      </c>
      <c r="E680" s="152">
        <v>230</v>
      </c>
      <c r="F680" s="152">
        <v>1499318.09398847</v>
      </c>
      <c r="G680" s="152">
        <v>3167537.4223234402</v>
      </c>
      <c r="H680" s="152">
        <v>4666855.5163119202</v>
      </c>
      <c r="I680" t="s">
        <v>742</v>
      </c>
      <c r="J680" t="s">
        <v>135</v>
      </c>
      <c r="K680">
        <v>789032</v>
      </c>
      <c r="L680" t="s">
        <v>685</v>
      </c>
      <c r="M680"/>
      <c r="N680"/>
      <c r="O680"/>
      <c r="P680"/>
      <c r="Q680" s="152"/>
      <c r="R680"/>
      <c r="S680"/>
      <c r="T680"/>
      <c r="U680"/>
      <c r="V680"/>
    </row>
    <row r="681" spans="1:22" x14ac:dyDescent="0.2">
      <c r="A681" t="s">
        <v>166</v>
      </c>
      <c r="B681" t="s">
        <v>700</v>
      </c>
      <c r="C681" s="152">
        <v>124</v>
      </c>
      <c r="D681" s="152">
        <v>104</v>
      </c>
      <c r="E681" s="152">
        <v>228</v>
      </c>
      <c r="F681" s="152">
        <v>2103227.9506385801</v>
      </c>
      <c r="G681" s="152">
        <v>1908266.19994722</v>
      </c>
      <c r="H681" s="152">
        <v>4011494.1505857999</v>
      </c>
      <c r="I681" t="s">
        <v>742</v>
      </c>
      <c r="J681" t="s">
        <v>135</v>
      </c>
      <c r="K681">
        <v>555466</v>
      </c>
      <c r="L681" t="s">
        <v>504</v>
      </c>
      <c r="M681"/>
      <c r="N681"/>
      <c r="O681"/>
      <c r="P681"/>
      <c r="Q681" s="152"/>
      <c r="R681"/>
      <c r="S681"/>
      <c r="T681"/>
      <c r="U681"/>
      <c r="V681"/>
    </row>
    <row r="682" spans="1:22" x14ac:dyDescent="0.2">
      <c r="A682" t="s">
        <v>166</v>
      </c>
      <c r="B682" t="s">
        <v>8</v>
      </c>
      <c r="C682" s="152">
        <v>129</v>
      </c>
      <c r="D682" s="152">
        <v>98</v>
      </c>
      <c r="E682" s="152">
        <v>227</v>
      </c>
      <c r="F682" s="152">
        <v>2825776.2985244798</v>
      </c>
      <c r="G682" s="152">
        <v>2503904.5006987201</v>
      </c>
      <c r="H682" s="152">
        <v>5329680.7992232004</v>
      </c>
      <c r="I682" t="s">
        <v>867</v>
      </c>
      <c r="J682" t="s">
        <v>135</v>
      </c>
      <c r="K682">
        <v>613729</v>
      </c>
      <c r="L682" t="s">
        <v>502</v>
      </c>
      <c r="M682"/>
      <c r="N682"/>
      <c r="O682"/>
      <c r="P682"/>
      <c r="Q682" s="152"/>
      <c r="R682"/>
      <c r="S682"/>
      <c r="T682"/>
      <c r="U682"/>
      <c r="V682"/>
    </row>
    <row r="683" spans="1:22" x14ac:dyDescent="0.2">
      <c r="A683" t="s">
        <v>234</v>
      </c>
      <c r="B683" t="s">
        <v>1011</v>
      </c>
      <c r="C683" s="152">
        <v>62</v>
      </c>
      <c r="D683" s="152">
        <v>163</v>
      </c>
      <c r="E683" s="152">
        <v>225</v>
      </c>
      <c r="F683" s="152">
        <v>1037692.0539404301</v>
      </c>
      <c r="G683" s="152">
        <v>3656288.74739405</v>
      </c>
      <c r="H683" s="152">
        <v>4693980.8013344798</v>
      </c>
      <c r="I683" t="s">
        <v>742</v>
      </c>
      <c r="J683" t="s">
        <v>135</v>
      </c>
      <c r="K683">
        <v>772038</v>
      </c>
      <c r="L683" t="s">
        <v>1012</v>
      </c>
      <c r="M683"/>
      <c r="N683"/>
      <c r="O683"/>
      <c r="P683"/>
      <c r="Q683" s="152"/>
      <c r="R683"/>
      <c r="S683"/>
      <c r="T683"/>
      <c r="U683"/>
      <c r="V683"/>
    </row>
    <row r="684" spans="1:22" x14ac:dyDescent="0.2">
      <c r="A684" t="s">
        <v>234</v>
      </c>
      <c r="B684" t="s">
        <v>1010</v>
      </c>
      <c r="C684" s="152">
        <v>81</v>
      </c>
      <c r="D684" s="152">
        <v>132</v>
      </c>
      <c r="E684" s="152">
        <v>213</v>
      </c>
      <c r="F684" s="152">
        <v>1720874.4853689601</v>
      </c>
      <c r="G684" s="152">
        <v>3830909.1505628801</v>
      </c>
      <c r="H684" s="152">
        <v>5551783.6359318402</v>
      </c>
      <c r="I684" t="s">
        <v>867</v>
      </c>
      <c r="J684" t="s">
        <v>135</v>
      </c>
      <c r="K684">
        <v>257667</v>
      </c>
      <c r="L684" t="s">
        <v>932</v>
      </c>
      <c r="M684"/>
      <c r="N684"/>
      <c r="O684"/>
      <c r="P684"/>
      <c r="Q684" s="152"/>
      <c r="R684"/>
      <c r="S684"/>
      <c r="T684"/>
      <c r="U684"/>
      <c r="V684"/>
    </row>
    <row r="685" spans="1:22" x14ac:dyDescent="0.2">
      <c r="A685" t="s">
        <v>49</v>
      </c>
      <c r="B685" t="s">
        <v>59</v>
      </c>
      <c r="C685" s="152">
        <v>105</v>
      </c>
      <c r="D685" s="152">
        <v>108</v>
      </c>
      <c r="E685" s="152">
        <v>213</v>
      </c>
      <c r="F685" s="152">
        <v>1236675.4159289999</v>
      </c>
      <c r="G685" s="152">
        <v>1639597.24374733</v>
      </c>
      <c r="H685" s="152">
        <v>2876272.6596763302</v>
      </c>
      <c r="I685" t="s">
        <v>742</v>
      </c>
      <c r="J685" t="s">
        <v>135</v>
      </c>
      <c r="K685">
        <v>899773</v>
      </c>
      <c r="L685" t="s">
        <v>140</v>
      </c>
      <c r="M685"/>
      <c r="N685"/>
      <c r="O685"/>
      <c r="P685"/>
      <c r="Q685" s="152"/>
      <c r="R685"/>
      <c r="S685"/>
      <c r="T685"/>
      <c r="U685"/>
      <c r="V685"/>
    </row>
    <row r="686" spans="1:22" x14ac:dyDescent="0.2">
      <c r="A686" t="s">
        <v>721</v>
      </c>
      <c r="B686" t="s">
        <v>1118</v>
      </c>
      <c r="C686" s="152">
        <v>92</v>
      </c>
      <c r="D686" s="152">
        <v>111</v>
      </c>
      <c r="E686" s="152">
        <v>203</v>
      </c>
      <c r="F686" s="152">
        <v>2050395.8312891701</v>
      </c>
      <c r="G686" s="152">
        <v>3092201.0798472902</v>
      </c>
      <c r="H686" s="152">
        <v>5142596.9111364596</v>
      </c>
      <c r="I686" t="s">
        <v>742</v>
      </c>
      <c r="J686" t="s">
        <v>136</v>
      </c>
      <c r="K686">
        <v>551093</v>
      </c>
      <c r="L686" t="s">
        <v>866</v>
      </c>
      <c r="M686"/>
      <c r="N686"/>
      <c r="O686"/>
      <c r="P686"/>
      <c r="Q686" s="152"/>
      <c r="R686"/>
      <c r="S686"/>
      <c r="T686"/>
      <c r="U686"/>
      <c r="V686"/>
    </row>
    <row r="687" spans="1:22" x14ac:dyDescent="0.2">
      <c r="A687" t="s">
        <v>49</v>
      </c>
      <c r="B687" t="s">
        <v>68</v>
      </c>
      <c r="C687" s="152">
        <v>87</v>
      </c>
      <c r="D687" s="152">
        <v>109</v>
      </c>
      <c r="E687" s="152">
        <v>196</v>
      </c>
      <c r="F687" s="152">
        <v>1785545.04072167</v>
      </c>
      <c r="G687" s="152">
        <v>2497242.8623095001</v>
      </c>
      <c r="H687" s="152">
        <v>4282787.9030311601</v>
      </c>
      <c r="I687" t="s">
        <v>742</v>
      </c>
      <c r="J687" t="s">
        <v>135</v>
      </c>
      <c r="K687">
        <v>309492</v>
      </c>
      <c r="L687" t="s">
        <v>67</v>
      </c>
      <c r="M687"/>
      <c r="N687"/>
      <c r="O687"/>
      <c r="P687"/>
      <c r="Q687" s="152"/>
      <c r="R687"/>
      <c r="S687"/>
      <c r="T687"/>
      <c r="U687"/>
      <c r="V687"/>
    </row>
    <row r="688" spans="1:22" x14ac:dyDescent="0.2">
      <c r="A688" t="s">
        <v>49</v>
      </c>
      <c r="B688" t="s">
        <v>854</v>
      </c>
      <c r="C688" s="152">
        <v>69</v>
      </c>
      <c r="D688" s="152">
        <v>123</v>
      </c>
      <c r="E688" s="152">
        <v>192</v>
      </c>
      <c r="F688" s="152">
        <v>1064714.0632386501</v>
      </c>
      <c r="G688" s="152">
        <v>2752705.2338450602</v>
      </c>
      <c r="H688" s="152">
        <v>3817419.2970837099</v>
      </c>
      <c r="I688" t="s">
        <v>742</v>
      </c>
      <c r="J688" t="s">
        <v>135</v>
      </c>
      <c r="K688">
        <v>773861</v>
      </c>
      <c r="L688" t="s">
        <v>140</v>
      </c>
      <c r="M688"/>
      <c r="N688"/>
      <c r="O688"/>
      <c r="P688"/>
      <c r="Q688" s="152"/>
      <c r="R688"/>
      <c r="S688"/>
      <c r="T688"/>
      <c r="U688"/>
      <c r="V688"/>
    </row>
    <row r="689" spans="1:22" x14ac:dyDescent="0.2">
      <c r="A689" t="s">
        <v>49</v>
      </c>
      <c r="B689" t="s">
        <v>670</v>
      </c>
      <c r="C689" s="152">
        <v>89</v>
      </c>
      <c r="D689" s="152">
        <v>101</v>
      </c>
      <c r="E689" s="152">
        <v>190</v>
      </c>
      <c r="F689" s="152">
        <v>1830898.8080873201</v>
      </c>
      <c r="G689" s="152">
        <v>2600339.2533241799</v>
      </c>
      <c r="H689" s="152">
        <v>4431238.0614115</v>
      </c>
      <c r="I689" t="s">
        <v>742</v>
      </c>
      <c r="J689" t="s">
        <v>135</v>
      </c>
      <c r="K689">
        <v>696898</v>
      </c>
      <c r="L689" t="s">
        <v>874</v>
      </c>
      <c r="M689"/>
      <c r="N689"/>
      <c r="O689"/>
      <c r="P689"/>
      <c r="Q689" s="152"/>
      <c r="R689"/>
      <c r="S689"/>
      <c r="T689"/>
      <c r="U689"/>
      <c r="V689"/>
    </row>
    <row r="690" spans="1:22" x14ac:dyDescent="0.2">
      <c r="A690" t="s">
        <v>312</v>
      </c>
      <c r="B690" t="s">
        <v>1099</v>
      </c>
      <c r="C690" s="152">
        <v>82</v>
      </c>
      <c r="D690" s="152">
        <v>100</v>
      </c>
      <c r="E690" s="152">
        <v>182</v>
      </c>
      <c r="F690" s="152">
        <v>2341378.2416438698</v>
      </c>
      <c r="G690" s="152">
        <v>3531051.3181435801</v>
      </c>
      <c r="H690" s="152">
        <v>5872429.5597874504</v>
      </c>
      <c r="I690" t="s">
        <v>867</v>
      </c>
      <c r="J690" t="s">
        <v>135</v>
      </c>
      <c r="K690">
        <v>320176</v>
      </c>
      <c r="L690" t="s">
        <v>974</v>
      </c>
      <c r="M690"/>
      <c r="N690"/>
      <c r="O690"/>
      <c r="P690"/>
      <c r="Q690" s="152"/>
      <c r="R690"/>
      <c r="S690"/>
      <c r="T690"/>
      <c r="U690"/>
      <c r="V690"/>
    </row>
    <row r="691" spans="1:22" x14ac:dyDescent="0.2">
      <c r="A691" t="s">
        <v>183</v>
      </c>
      <c r="B691" t="s">
        <v>1021</v>
      </c>
      <c r="C691" s="152">
        <v>54</v>
      </c>
      <c r="D691" s="152">
        <v>127</v>
      </c>
      <c r="E691" s="152">
        <v>181</v>
      </c>
      <c r="F691" s="152">
        <v>968939.27879579505</v>
      </c>
      <c r="G691" s="152">
        <v>2724043.7020657798</v>
      </c>
      <c r="H691" s="152">
        <v>3692982.98086158</v>
      </c>
      <c r="I691" t="s">
        <v>742</v>
      </c>
      <c r="J691" t="s">
        <v>135</v>
      </c>
      <c r="K691">
        <v>541292</v>
      </c>
      <c r="L691" t="s">
        <v>1022</v>
      </c>
      <c r="M691"/>
      <c r="N691"/>
      <c r="O691"/>
      <c r="P691"/>
      <c r="Q691" s="152"/>
      <c r="R691"/>
      <c r="S691"/>
      <c r="T691"/>
      <c r="U691"/>
      <c r="V691"/>
    </row>
    <row r="692" spans="1:22" x14ac:dyDescent="0.2">
      <c r="A692" t="s">
        <v>96</v>
      </c>
      <c r="B692" t="s">
        <v>101</v>
      </c>
      <c r="C692" s="152">
        <v>75</v>
      </c>
      <c r="D692" s="152">
        <v>103</v>
      </c>
      <c r="E692" s="152">
        <v>178</v>
      </c>
      <c r="F692" s="152">
        <v>998162.46999806096</v>
      </c>
      <c r="G692" s="152">
        <v>1628307.66239697</v>
      </c>
      <c r="H692" s="152">
        <v>2626470.13239503</v>
      </c>
      <c r="I692" t="s">
        <v>742</v>
      </c>
      <c r="J692" t="s">
        <v>135</v>
      </c>
      <c r="K692">
        <v>151001</v>
      </c>
      <c r="L692" t="s">
        <v>872</v>
      </c>
      <c r="M692"/>
      <c r="N692"/>
      <c r="O692"/>
      <c r="P692"/>
      <c r="Q692" s="152"/>
      <c r="R692"/>
      <c r="S692"/>
      <c r="T692"/>
      <c r="U692"/>
      <c r="V692"/>
    </row>
    <row r="693" spans="1:22" x14ac:dyDescent="0.2">
      <c r="A693" t="s">
        <v>183</v>
      </c>
      <c r="B693" t="s">
        <v>915</v>
      </c>
      <c r="C693" s="152">
        <v>66</v>
      </c>
      <c r="D693" s="152">
        <v>110</v>
      </c>
      <c r="E693" s="152">
        <v>176</v>
      </c>
      <c r="F693" s="152">
        <v>836093.44053349399</v>
      </c>
      <c r="G693" s="152">
        <v>1705643.27038701</v>
      </c>
      <c r="H693" s="152">
        <v>2541736.7109205099</v>
      </c>
      <c r="I693" t="s">
        <v>742</v>
      </c>
      <c r="J693" t="s">
        <v>135</v>
      </c>
      <c r="K693">
        <v>980466</v>
      </c>
      <c r="L693" t="s">
        <v>99</v>
      </c>
      <c r="M693"/>
      <c r="N693"/>
      <c r="O693"/>
      <c r="P693"/>
      <c r="Q693" s="152"/>
      <c r="R693"/>
      <c r="S693"/>
      <c r="T693"/>
      <c r="U693"/>
      <c r="V693"/>
    </row>
    <row r="694" spans="1:22" x14ac:dyDescent="0.2">
      <c r="A694" t="s">
        <v>837</v>
      </c>
      <c r="B694" t="s">
        <v>709</v>
      </c>
      <c r="C694" s="152">
        <v>64</v>
      </c>
      <c r="D694" s="152">
        <v>108</v>
      </c>
      <c r="E694" s="152">
        <v>172</v>
      </c>
      <c r="F694" s="152">
        <v>2053212.1989009001</v>
      </c>
      <c r="G694" s="152">
        <v>3533115.39106515</v>
      </c>
      <c r="H694" s="152">
        <v>5586327.5899660503</v>
      </c>
      <c r="I694" t="s">
        <v>867</v>
      </c>
      <c r="J694" t="s">
        <v>135</v>
      </c>
      <c r="K694">
        <v>524231</v>
      </c>
      <c r="L694" t="s">
        <v>932</v>
      </c>
      <c r="M694"/>
      <c r="N694"/>
      <c r="O694"/>
      <c r="P694"/>
      <c r="Q694" s="152"/>
      <c r="R694"/>
      <c r="S694"/>
      <c r="T694"/>
      <c r="U694"/>
      <c r="V694"/>
    </row>
    <row r="695" spans="1:22" x14ac:dyDescent="0.2">
      <c r="A695" t="s">
        <v>338</v>
      </c>
      <c r="B695" t="s">
        <v>1096</v>
      </c>
      <c r="C695" s="152">
        <v>93</v>
      </c>
      <c r="D695" s="152">
        <v>68</v>
      </c>
      <c r="E695" s="152">
        <v>161</v>
      </c>
      <c r="F695" s="152">
        <v>1390485.7992161899</v>
      </c>
      <c r="G695" s="152">
        <v>1134003.6263916499</v>
      </c>
      <c r="H695" s="152">
        <v>2524489.4256078401</v>
      </c>
      <c r="I695" t="s">
        <v>742</v>
      </c>
      <c r="J695" t="s">
        <v>137</v>
      </c>
      <c r="K695">
        <v>647669</v>
      </c>
      <c r="L695" t="s">
        <v>65</v>
      </c>
      <c r="M695"/>
      <c r="N695"/>
      <c r="O695"/>
      <c r="P695"/>
      <c r="Q695" s="152"/>
      <c r="R695"/>
      <c r="S695"/>
      <c r="T695"/>
      <c r="U695"/>
      <c r="V695"/>
    </row>
    <row r="696" spans="1:22" x14ac:dyDescent="0.2">
      <c r="A696" t="s">
        <v>416</v>
      </c>
      <c r="B696" t="s">
        <v>852</v>
      </c>
      <c r="C696" s="152">
        <v>46</v>
      </c>
      <c r="D696" s="152">
        <v>113</v>
      </c>
      <c r="E696" s="152">
        <v>159</v>
      </c>
      <c r="F696" s="152">
        <v>1164301.1771915201</v>
      </c>
      <c r="G696" s="152">
        <v>3136378.7184155602</v>
      </c>
      <c r="H696" s="152">
        <v>4300679.8956070803</v>
      </c>
      <c r="I696" t="s">
        <v>742</v>
      </c>
      <c r="J696" t="s">
        <v>135</v>
      </c>
      <c r="K696">
        <v>666370</v>
      </c>
      <c r="L696" t="s">
        <v>140</v>
      </c>
      <c r="M696"/>
      <c r="N696"/>
      <c r="O696"/>
      <c r="P696"/>
      <c r="Q696" s="152"/>
      <c r="R696"/>
      <c r="S696"/>
      <c r="T696"/>
      <c r="U696"/>
      <c r="V696"/>
    </row>
    <row r="697" spans="1:22" x14ac:dyDescent="0.2">
      <c r="A697" t="s">
        <v>254</v>
      </c>
      <c r="B697" t="s">
        <v>710</v>
      </c>
      <c r="C697" s="152">
        <v>57</v>
      </c>
      <c r="D697" s="152">
        <v>101</v>
      </c>
      <c r="E697" s="152">
        <v>158</v>
      </c>
      <c r="F697" s="152">
        <v>655171.99027073802</v>
      </c>
      <c r="G697" s="152">
        <v>1550861.8847838901</v>
      </c>
      <c r="H697" s="152">
        <v>2206033.87505463</v>
      </c>
      <c r="I697" t="s">
        <v>742</v>
      </c>
      <c r="J697" t="s">
        <v>135</v>
      </c>
      <c r="K697">
        <v>282699</v>
      </c>
      <c r="L697" t="s">
        <v>504</v>
      </c>
      <c r="M697"/>
      <c r="N697"/>
      <c r="O697"/>
      <c r="P697"/>
      <c r="Q697" s="152"/>
      <c r="R697"/>
      <c r="S697"/>
      <c r="T697"/>
      <c r="U697"/>
      <c r="V697"/>
    </row>
    <row r="698" spans="1:22" x14ac:dyDescent="0.2">
      <c r="A698" t="s">
        <v>312</v>
      </c>
      <c r="B698" t="s">
        <v>999</v>
      </c>
      <c r="C698" s="152">
        <v>35</v>
      </c>
      <c r="D698" s="152">
        <v>118</v>
      </c>
      <c r="E698" s="152">
        <v>153</v>
      </c>
      <c r="F698" s="152">
        <v>770153.41832425201</v>
      </c>
      <c r="G698" s="152">
        <v>2934501.04992085</v>
      </c>
      <c r="H698" s="152">
        <v>3704654.4682451002</v>
      </c>
      <c r="I698" t="s">
        <v>742</v>
      </c>
      <c r="J698" t="s">
        <v>135</v>
      </c>
      <c r="K698">
        <v>724690</v>
      </c>
      <c r="L698" t="s">
        <v>410</v>
      </c>
      <c r="M698"/>
      <c r="N698"/>
      <c r="O698"/>
      <c r="P698"/>
      <c r="Q698" s="152"/>
      <c r="R698"/>
      <c r="S698"/>
      <c r="T698"/>
      <c r="U698"/>
      <c r="V698"/>
    </row>
    <row r="699" spans="1:22" x14ac:dyDescent="0.2">
      <c r="A699" t="s">
        <v>234</v>
      </c>
      <c r="B699" t="s">
        <v>238</v>
      </c>
      <c r="C699" s="152">
        <v>51</v>
      </c>
      <c r="D699" s="152">
        <v>97</v>
      </c>
      <c r="E699" s="152">
        <v>148</v>
      </c>
      <c r="F699" s="152">
        <v>758309.00015546498</v>
      </c>
      <c r="G699" s="152">
        <v>1915239.3379501801</v>
      </c>
      <c r="H699" s="152">
        <v>2673548.3381056502</v>
      </c>
      <c r="I699" t="s">
        <v>742</v>
      </c>
      <c r="J699" t="s">
        <v>135</v>
      </c>
      <c r="K699">
        <v>999292</v>
      </c>
      <c r="L699" t="s">
        <v>520</v>
      </c>
      <c r="M699"/>
      <c r="N699"/>
      <c r="O699"/>
      <c r="P699"/>
      <c r="Q699" s="152"/>
      <c r="R699"/>
      <c r="S699"/>
      <c r="T699"/>
      <c r="U699"/>
      <c r="V699"/>
    </row>
    <row r="700" spans="1:22" x14ac:dyDescent="0.2">
      <c r="A700" t="s">
        <v>735</v>
      </c>
      <c r="B700" t="s">
        <v>886</v>
      </c>
      <c r="C700" s="152">
        <v>73</v>
      </c>
      <c r="D700" s="152">
        <v>74</v>
      </c>
      <c r="E700" s="152">
        <v>147</v>
      </c>
      <c r="F700" s="152">
        <v>1261721.3500691799</v>
      </c>
      <c r="G700" s="152">
        <v>1622697.62235136</v>
      </c>
      <c r="H700" s="152">
        <v>2884418.9724205402</v>
      </c>
      <c r="I700" t="s">
        <v>742</v>
      </c>
      <c r="J700" t="s">
        <v>136</v>
      </c>
      <c r="K700">
        <v>945162</v>
      </c>
      <c r="L700" t="s">
        <v>882</v>
      </c>
      <c r="M700"/>
      <c r="N700"/>
      <c r="O700"/>
      <c r="P700"/>
      <c r="Q700" s="152"/>
      <c r="R700"/>
      <c r="S700"/>
      <c r="T700"/>
      <c r="U700"/>
      <c r="V700"/>
    </row>
    <row r="701" spans="1:22" x14ac:dyDescent="0.2">
      <c r="A701" t="s">
        <v>338</v>
      </c>
      <c r="B701" t="s">
        <v>290</v>
      </c>
      <c r="C701" s="152">
        <v>57</v>
      </c>
      <c r="D701" s="152">
        <v>88</v>
      </c>
      <c r="E701" s="152">
        <v>145</v>
      </c>
      <c r="F701" s="152">
        <v>818167.43661033001</v>
      </c>
      <c r="G701" s="152">
        <v>1830620.6193021501</v>
      </c>
      <c r="H701" s="152">
        <v>2648788.0559124802</v>
      </c>
      <c r="I701" t="s">
        <v>742</v>
      </c>
      <c r="J701" t="s">
        <v>137</v>
      </c>
      <c r="K701">
        <v>999359</v>
      </c>
      <c r="L701" t="s">
        <v>870</v>
      </c>
      <c r="M701"/>
      <c r="N701"/>
      <c r="O701"/>
      <c r="P701"/>
      <c r="Q701" s="152"/>
      <c r="R701"/>
      <c r="S701"/>
      <c r="T701"/>
      <c r="U701"/>
      <c r="V701"/>
    </row>
    <row r="702" spans="1:22" x14ac:dyDescent="0.2">
      <c r="A702" t="s">
        <v>150</v>
      </c>
      <c r="B702" t="s">
        <v>513</v>
      </c>
      <c r="C702" s="152">
        <v>62</v>
      </c>
      <c r="D702" s="152">
        <v>83</v>
      </c>
      <c r="E702" s="152">
        <v>145</v>
      </c>
      <c r="F702" s="152">
        <v>911679.37949431594</v>
      </c>
      <c r="G702" s="152">
        <v>1559716.6120086799</v>
      </c>
      <c r="H702" s="152">
        <v>2471395.9915029998</v>
      </c>
      <c r="I702" t="s">
        <v>742</v>
      </c>
      <c r="J702" t="s">
        <v>135</v>
      </c>
      <c r="K702">
        <v>997460</v>
      </c>
      <c r="L702" t="s">
        <v>112</v>
      </c>
      <c r="M702"/>
      <c r="N702"/>
      <c r="O702"/>
      <c r="P702"/>
      <c r="Q702" s="152"/>
      <c r="R702"/>
      <c r="S702"/>
      <c r="T702"/>
      <c r="U702"/>
      <c r="V702"/>
    </row>
    <row r="703" spans="1:22" x14ac:dyDescent="0.2">
      <c r="A703" t="s">
        <v>150</v>
      </c>
      <c r="B703" t="s">
        <v>803</v>
      </c>
      <c r="C703" s="152">
        <v>61</v>
      </c>
      <c r="D703" s="152">
        <v>83</v>
      </c>
      <c r="E703" s="152">
        <v>144</v>
      </c>
      <c r="F703" s="152">
        <v>1195474.4236727699</v>
      </c>
      <c r="G703" s="152">
        <v>2164676.8494642</v>
      </c>
      <c r="H703" s="152">
        <v>3360151.2731369799</v>
      </c>
      <c r="I703" t="s">
        <v>742</v>
      </c>
      <c r="J703" t="s">
        <v>135</v>
      </c>
      <c r="K703">
        <v>683490</v>
      </c>
      <c r="L703" t="s">
        <v>65</v>
      </c>
      <c r="M703"/>
      <c r="N703"/>
      <c r="O703"/>
      <c r="P703"/>
      <c r="Q703" s="152"/>
      <c r="R703"/>
      <c r="S703"/>
      <c r="T703"/>
      <c r="U703"/>
      <c r="V703"/>
    </row>
    <row r="704" spans="1:22" x14ac:dyDescent="0.2">
      <c r="A704" t="s">
        <v>166</v>
      </c>
      <c r="B704" t="s">
        <v>619</v>
      </c>
      <c r="C704" s="152">
        <v>53</v>
      </c>
      <c r="D704" s="152">
        <v>85</v>
      </c>
      <c r="E704" s="152">
        <v>138</v>
      </c>
      <c r="F704" s="152">
        <v>1247142.25966003</v>
      </c>
      <c r="G704" s="152">
        <v>1950198.12823346</v>
      </c>
      <c r="H704" s="152">
        <v>3197340.38789349</v>
      </c>
      <c r="I704" t="s">
        <v>742</v>
      </c>
      <c r="J704" t="s">
        <v>135</v>
      </c>
      <c r="K704">
        <v>282632</v>
      </c>
      <c r="L704" t="s">
        <v>618</v>
      </c>
      <c r="M704"/>
      <c r="N704"/>
      <c r="O704"/>
      <c r="P704"/>
      <c r="Q704" s="152"/>
      <c r="R704"/>
      <c r="S704"/>
      <c r="T704"/>
      <c r="U704"/>
      <c r="V704"/>
    </row>
    <row r="705" spans="1:22" x14ac:dyDescent="0.2">
      <c r="A705" t="s">
        <v>104</v>
      </c>
      <c r="B705" t="s">
        <v>187</v>
      </c>
      <c r="C705" s="152">
        <v>50</v>
      </c>
      <c r="D705" s="152">
        <v>87</v>
      </c>
      <c r="E705" s="152">
        <v>137</v>
      </c>
      <c r="F705" s="152">
        <v>1022758.8969944899</v>
      </c>
      <c r="G705" s="152">
        <v>2464757.42301813</v>
      </c>
      <c r="H705" s="152">
        <v>3487516.3200126202</v>
      </c>
      <c r="I705" t="s">
        <v>742</v>
      </c>
      <c r="J705" t="s">
        <v>135</v>
      </c>
      <c r="K705">
        <v>152652</v>
      </c>
      <c r="L705" t="s">
        <v>882</v>
      </c>
      <c r="M705"/>
      <c r="N705"/>
      <c r="O705"/>
      <c r="P705"/>
      <c r="Q705" s="152"/>
      <c r="R705"/>
      <c r="S705"/>
      <c r="T705"/>
      <c r="U705"/>
      <c r="V705"/>
    </row>
    <row r="706" spans="1:22" x14ac:dyDescent="0.2">
      <c r="A706" t="s">
        <v>312</v>
      </c>
      <c r="B706" t="s">
        <v>885</v>
      </c>
      <c r="C706" s="152">
        <v>56</v>
      </c>
      <c r="D706" s="152">
        <v>79</v>
      </c>
      <c r="E706" s="152">
        <v>135</v>
      </c>
      <c r="F706" s="152">
        <v>673268.88888265903</v>
      </c>
      <c r="G706" s="152">
        <v>1502278.5202378</v>
      </c>
      <c r="H706" s="152">
        <v>2175547.40912046</v>
      </c>
      <c r="I706" t="s">
        <v>742</v>
      </c>
      <c r="J706" t="s">
        <v>135</v>
      </c>
      <c r="K706">
        <v>439299</v>
      </c>
      <c r="L706" t="s">
        <v>882</v>
      </c>
      <c r="M706"/>
      <c r="N706"/>
      <c r="O706"/>
      <c r="P706"/>
      <c r="Q706" s="152"/>
      <c r="R706"/>
      <c r="S706"/>
      <c r="T706"/>
      <c r="U706"/>
      <c r="V706"/>
    </row>
    <row r="707" spans="1:22" x14ac:dyDescent="0.2">
      <c r="A707" t="s">
        <v>104</v>
      </c>
      <c r="B707" t="s">
        <v>862</v>
      </c>
      <c r="C707" s="152">
        <v>49</v>
      </c>
      <c r="D707" s="152">
        <v>82</v>
      </c>
      <c r="E707" s="152">
        <v>131</v>
      </c>
      <c r="F707" s="152">
        <v>587693.50367453904</v>
      </c>
      <c r="G707" s="152">
        <v>1433209.81665403</v>
      </c>
      <c r="H707" s="152">
        <v>2020903.32032857</v>
      </c>
      <c r="I707" t="s">
        <v>742</v>
      </c>
      <c r="J707" t="s">
        <v>135</v>
      </c>
      <c r="K707">
        <v>333757</v>
      </c>
      <c r="L707" t="s">
        <v>407</v>
      </c>
      <c r="M707"/>
      <c r="N707"/>
      <c r="O707"/>
      <c r="P707"/>
      <c r="Q707" s="152"/>
      <c r="R707"/>
      <c r="S707"/>
      <c r="T707"/>
      <c r="U707"/>
      <c r="V707"/>
    </row>
    <row r="708" spans="1:22" x14ac:dyDescent="0.2">
      <c r="A708" t="s">
        <v>312</v>
      </c>
      <c r="B708" t="s">
        <v>227</v>
      </c>
      <c r="C708" s="152">
        <v>43</v>
      </c>
      <c r="D708" s="152">
        <v>85</v>
      </c>
      <c r="E708" s="152">
        <v>128</v>
      </c>
      <c r="F708" s="152">
        <v>733898.11068305199</v>
      </c>
      <c r="G708" s="152">
        <v>1969410.8314799999</v>
      </c>
      <c r="H708" s="152">
        <v>2703308.9421630502</v>
      </c>
      <c r="I708" t="s">
        <v>742</v>
      </c>
      <c r="J708" t="s">
        <v>135</v>
      </c>
      <c r="K708">
        <v>968891</v>
      </c>
      <c r="L708" t="s">
        <v>490</v>
      </c>
      <c r="M708"/>
      <c r="N708"/>
      <c r="O708"/>
      <c r="P708"/>
      <c r="Q708" s="152"/>
      <c r="R708"/>
      <c r="S708"/>
      <c r="T708"/>
      <c r="U708"/>
      <c r="V708"/>
    </row>
    <row r="709" spans="1:22" x14ac:dyDescent="0.2">
      <c r="A709" t="s">
        <v>183</v>
      </c>
      <c r="B709" t="s">
        <v>190</v>
      </c>
      <c r="C709" s="152">
        <v>50</v>
      </c>
      <c r="D709" s="152">
        <v>77</v>
      </c>
      <c r="E709" s="152">
        <v>127</v>
      </c>
      <c r="F709" s="152">
        <v>819826.79370076698</v>
      </c>
      <c r="G709" s="152">
        <v>1675110.1344780601</v>
      </c>
      <c r="H709" s="152">
        <v>2494936.9281788198</v>
      </c>
      <c r="I709" t="s">
        <v>742</v>
      </c>
      <c r="J709" t="s">
        <v>135</v>
      </c>
      <c r="K709">
        <v>828111</v>
      </c>
      <c r="L709" t="s">
        <v>140</v>
      </c>
      <c r="M709"/>
      <c r="N709"/>
      <c r="O709"/>
      <c r="P709"/>
      <c r="Q709" s="152"/>
      <c r="R709"/>
      <c r="S709"/>
      <c r="T709"/>
      <c r="U709"/>
      <c r="V709"/>
    </row>
    <row r="710" spans="1:22" x14ac:dyDescent="0.2">
      <c r="A710" t="s">
        <v>49</v>
      </c>
      <c r="B710" t="s">
        <v>71</v>
      </c>
      <c r="C710" s="152">
        <v>53</v>
      </c>
      <c r="D710" s="152">
        <v>74</v>
      </c>
      <c r="E710" s="152">
        <v>127</v>
      </c>
      <c r="F710" s="152">
        <v>812680.10993204697</v>
      </c>
      <c r="G710" s="152">
        <v>1448839.0650424501</v>
      </c>
      <c r="H710" s="152">
        <v>2261519.1749745002</v>
      </c>
      <c r="I710" t="s">
        <v>742</v>
      </c>
      <c r="J710" t="s">
        <v>135</v>
      </c>
      <c r="K710">
        <v>367698</v>
      </c>
      <c r="L710" t="s">
        <v>866</v>
      </c>
      <c r="M710"/>
      <c r="N710"/>
      <c r="O710"/>
      <c r="P710"/>
      <c r="Q710" s="152"/>
      <c r="R710"/>
      <c r="S710"/>
      <c r="T710"/>
      <c r="U710"/>
      <c r="V710"/>
    </row>
    <row r="711" spans="1:22" x14ac:dyDescent="0.2">
      <c r="A711" t="s">
        <v>183</v>
      </c>
      <c r="B711" t="s">
        <v>687</v>
      </c>
      <c r="C711" s="152">
        <v>29</v>
      </c>
      <c r="D711" s="152">
        <v>97</v>
      </c>
      <c r="E711" s="152">
        <v>126</v>
      </c>
      <c r="F711" s="152">
        <v>815814.65609535703</v>
      </c>
      <c r="G711" s="152">
        <v>2793260.4407410901</v>
      </c>
      <c r="H711" s="152">
        <v>3609075.0968364398</v>
      </c>
      <c r="I711" t="s">
        <v>742</v>
      </c>
      <c r="J711" t="s">
        <v>135</v>
      </c>
      <c r="K711">
        <v>645713</v>
      </c>
      <c r="L711" t="s">
        <v>685</v>
      </c>
      <c r="M711"/>
      <c r="N711"/>
      <c r="O711"/>
      <c r="P711"/>
      <c r="Q711" s="152"/>
      <c r="R711"/>
      <c r="S711"/>
      <c r="T711"/>
      <c r="U711"/>
      <c r="V711"/>
    </row>
    <row r="712" spans="1:22" x14ac:dyDescent="0.2">
      <c r="A712" t="s">
        <v>721</v>
      </c>
      <c r="B712" t="s">
        <v>884</v>
      </c>
      <c r="C712" s="152">
        <v>48</v>
      </c>
      <c r="D712" s="152">
        <v>77</v>
      </c>
      <c r="E712" s="152">
        <v>125</v>
      </c>
      <c r="F712" s="152">
        <v>1208477.21428459</v>
      </c>
      <c r="G712" s="152">
        <v>2523157.5150138801</v>
      </c>
      <c r="H712" s="152">
        <v>3731634.7292984701</v>
      </c>
      <c r="I712" t="s">
        <v>742</v>
      </c>
      <c r="J712" t="s">
        <v>136</v>
      </c>
      <c r="K712">
        <v>873505</v>
      </c>
      <c r="L712" t="s">
        <v>882</v>
      </c>
      <c r="M712"/>
      <c r="N712"/>
      <c r="O712"/>
      <c r="P712"/>
      <c r="Q712" s="152"/>
      <c r="R712"/>
      <c r="S712"/>
      <c r="T712"/>
      <c r="U712"/>
      <c r="V712"/>
    </row>
    <row r="713" spans="1:22" x14ac:dyDescent="0.2">
      <c r="A713" t="s">
        <v>254</v>
      </c>
      <c r="B713" t="s">
        <v>658</v>
      </c>
      <c r="C713" s="152">
        <v>49</v>
      </c>
      <c r="D713" s="152">
        <v>75</v>
      </c>
      <c r="E713" s="152">
        <v>124</v>
      </c>
      <c r="F713" s="152">
        <v>841494.11061314004</v>
      </c>
      <c r="G713" s="152">
        <v>1910440.4671022899</v>
      </c>
      <c r="H713" s="152">
        <v>2751934.5777154299</v>
      </c>
      <c r="I713" t="s">
        <v>742</v>
      </c>
      <c r="J713" t="s">
        <v>135</v>
      </c>
      <c r="K713">
        <v>299693</v>
      </c>
      <c r="L713" t="s">
        <v>874</v>
      </c>
      <c r="M713"/>
      <c r="N713"/>
      <c r="O713"/>
      <c r="P713"/>
      <c r="Q713" s="152"/>
      <c r="R713"/>
      <c r="S713"/>
      <c r="T713"/>
      <c r="U713"/>
      <c r="V713"/>
    </row>
    <row r="714" spans="1:22" x14ac:dyDescent="0.2">
      <c r="A714" t="s">
        <v>721</v>
      </c>
      <c r="B714" t="s">
        <v>871</v>
      </c>
      <c r="C714" s="152">
        <v>49</v>
      </c>
      <c r="D714" s="152">
        <v>75</v>
      </c>
      <c r="E714" s="152">
        <v>124</v>
      </c>
      <c r="F714" s="152">
        <v>954503.19299006194</v>
      </c>
      <c r="G714" s="152">
        <v>1647183.7503426599</v>
      </c>
      <c r="H714" s="152">
        <v>2601686.9433327201</v>
      </c>
      <c r="I714" t="s">
        <v>742</v>
      </c>
      <c r="J714" t="s">
        <v>136</v>
      </c>
      <c r="K714">
        <v>543892</v>
      </c>
      <c r="L714" t="s">
        <v>870</v>
      </c>
      <c r="M714"/>
      <c r="N714"/>
      <c r="O714"/>
      <c r="P714"/>
      <c r="Q714" s="152"/>
      <c r="R714"/>
      <c r="S714"/>
      <c r="T714"/>
      <c r="U714"/>
      <c r="V714"/>
    </row>
    <row r="715" spans="1:22" x14ac:dyDescent="0.2">
      <c r="A715" t="s">
        <v>254</v>
      </c>
      <c r="B715" t="s">
        <v>654</v>
      </c>
      <c r="C715" s="152">
        <v>37</v>
      </c>
      <c r="D715" s="152">
        <v>83</v>
      </c>
      <c r="E715" s="152">
        <v>120</v>
      </c>
      <c r="F715" s="152">
        <v>882413.96266171895</v>
      </c>
      <c r="G715" s="152">
        <v>1855746.9961412</v>
      </c>
      <c r="H715" s="152">
        <v>2738160.9588029198</v>
      </c>
      <c r="I715" t="s">
        <v>742</v>
      </c>
      <c r="J715" t="s">
        <v>135</v>
      </c>
      <c r="K715">
        <v>123612</v>
      </c>
      <c r="L715" t="s">
        <v>874</v>
      </c>
      <c r="M715"/>
      <c r="N715"/>
      <c r="O715"/>
      <c r="P715"/>
      <c r="Q715" s="152"/>
      <c r="R715"/>
      <c r="S715"/>
      <c r="T715"/>
      <c r="U715"/>
      <c r="V715"/>
    </row>
    <row r="716" spans="1:22" x14ac:dyDescent="0.2">
      <c r="A716" t="s">
        <v>183</v>
      </c>
      <c r="B716" t="s">
        <v>1126</v>
      </c>
      <c r="C716" s="152">
        <v>42</v>
      </c>
      <c r="D716" s="152">
        <v>74</v>
      </c>
      <c r="E716" s="152">
        <v>116</v>
      </c>
      <c r="F716" s="152">
        <v>634264.46764924505</v>
      </c>
      <c r="G716" s="152">
        <v>1356643.56635616</v>
      </c>
      <c r="H716" s="152">
        <v>1990908.03400541</v>
      </c>
      <c r="I716" t="s">
        <v>867</v>
      </c>
      <c r="J716" t="s">
        <v>135</v>
      </c>
      <c r="K716">
        <v>459891</v>
      </c>
      <c r="L716" t="s">
        <v>914</v>
      </c>
      <c r="M716"/>
      <c r="N716"/>
      <c r="O716"/>
      <c r="P716"/>
      <c r="Q716" s="152"/>
      <c r="R716"/>
      <c r="S716"/>
      <c r="T716"/>
      <c r="U716"/>
      <c r="V716"/>
    </row>
    <row r="717" spans="1:22" x14ac:dyDescent="0.2">
      <c r="A717" t="s">
        <v>293</v>
      </c>
      <c r="B717" t="s">
        <v>294</v>
      </c>
      <c r="C717" s="152">
        <v>41</v>
      </c>
      <c r="D717" s="152">
        <v>74</v>
      </c>
      <c r="E717" s="152">
        <v>115</v>
      </c>
      <c r="F717" s="152">
        <v>725326.63667165104</v>
      </c>
      <c r="G717" s="152">
        <v>1598531.2843568099</v>
      </c>
      <c r="H717" s="152">
        <v>2323857.9210284599</v>
      </c>
      <c r="I717" t="s">
        <v>742</v>
      </c>
      <c r="J717" t="s">
        <v>135</v>
      </c>
      <c r="K717">
        <v>360495</v>
      </c>
      <c r="L717" t="s">
        <v>520</v>
      </c>
      <c r="M717"/>
      <c r="N717"/>
      <c r="O717"/>
      <c r="P717"/>
      <c r="Q717" s="152"/>
      <c r="R717"/>
      <c r="S717"/>
      <c r="T717"/>
      <c r="U717"/>
      <c r="V717"/>
    </row>
    <row r="718" spans="1:22" x14ac:dyDescent="0.2">
      <c r="A718" t="s">
        <v>166</v>
      </c>
      <c r="B718" t="s">
        <v>982</v>
      </c>
      <c r="C718" s="152">
        <v>56</v>
      </c>
      <c r="D718" s="152">
        <v>58</v>
      </c>
      <c r="E718" s="152">
        <v>114</v>
      </c>
      <c r="F718" s="152">
        <v>817506.196178535</v>
      </c>
      <c r="G718" s="152">
        <v>980074.10219447396</v>
      </c>
      <c r="H718" s="152">
        <v>1797580.29837301</v>
      </c>
      <c r="I718" t="s">
        <v>742</v>
      </c>
      <c r="J718" t="s">
        <v>135</v>
      </c>
      <c r="K718">
        <v>989491</v>
      </c>
      <c r="L718" t="s">
        <v>520</v>
      </c>
      <c r="M718"/>
      <c r="N718"/>
      <c r="O718"/>
      <c r="P718"/>
      <c r="Q718" s="152"/>
      <c r="R718"/>
      <c r="S718"/>
      <c r="T718"/>
      <c r="U718"/>
      <c r="V718"/>
    </row>
    <row r="719" spans="1:22" x14ac:dyDescent="0.2">
      <c r="A719" t="s">
        <v>104</v>
      </c>
      <c r="B719" t="s">
        <v>216</v>
      </c>
      <c r="C719" s="152">
        <v>47</v>
      </c>
      <c r="D719" s="152">
        <v>65</v>
      </c>
      <c r="E719" s="152">
        <v>112</v>
      </c>
      <c r="F719" s="152">
        <v>772264.35073972098</v>
      </c>
      <c r="G719" s="152">
        <v>1267016.4097577799</v>
      </c>
      <c r="H719" s="152">
        <v>2039280.7604975</v>
      </c>
      <c r="I719" t="s">
        <v>742</v>
      </c>
      <c r="J719" t="s">
        <v>135</v>
      </c>
      <c r="K719">
        <v>951954</v>
      </c>
      <c r="L719" t="s">
        <v>874</v>
      </c>
      <c r="M719"/>
      <c r="N719"/>
      <c r="O719"/>
      <c r="P719"/>
      <c r="Q719" s="152"/>
      <c r="R719"/>
      <c r="S719"/>
      <c r="T719"/>
      <c r="U719"/>
      <c r="V719"/>
    </row>
    <row r="720" spans="1:22" x14ac:dyDescent="0.2">
      <c r="A720" t="s">
        <v>312</v>
      </c>
      <c r="B720" t="s">
        <v>214</v>
      </c>
      <c r="C720" s="152">
        <v>45</v>
      </c>
      <c r="D720" s="152">
        <v>65</v>
      </c>
      <c r="E720" s="152">
        <v>110</v>
      </c>
      <c r="F720" s="152">
        <v>792082.57562953699</v>
      </c>
      <c r="G720" s="152">
        <v>1198003.30522937</v>
      </c>
      <c r="H720" s="152">
        <v>1990085.88085891</v>
      </c>
      <c r="I720" t="s">
        <v>742</v>
      </c>
      <c r="J720" t="s">
        <v>135</v>
      </c>
      <c r="K720">
        <v>432153</v>
      </c>
      <c r="L720" t="s">
        <v>520</v>
      </c>
      <c r="M720"/>
      <c r="N720"/>
      <c r="O720"/>
      <c r="P720"/>
      <c r="Q720" s="152"/>
      <c r="R720"/>
      <c r="S720"/>
      <c r="T720"/>
      <c r="U720"/>
      <c r="V720"/>
    </row>
    <row r="721" spans="1:22" x14ac:dyDescent="0.2">
      <c r="A721" t="s">
        <v>49</v>
      </c>
      <c r="B721" t="s">
        <v>353</v>
      </c>
      <c r="C721" s="152">
        <v>35</v>
      </c>
      <c r="D721" s="152">
        <v>71</v>
      </c>
      <c r="E721" s="152">
        <v>106</v>
      </c>
      <c r="F721" s="152">
        <v>700069.725747574</v>
      </c>
      <c r="G721" s="152">
        <v>1630498.6718830999</v>
      </c>
      <c r="H721" s="152">
        <v>2330568.3976306799</v>
      </c>
      <c r="I721" t="s">
        <v>742</v>
      </c>
      <c r="J721" t="s">
        <v>135</v>
      </c>
      <c r="K721">
        <v>238832</v>
      </c>
      <c r="L721" t="s">
        <v>340</v>
      </c>
      <c r="M721"/>
      <c r="N721"/>
      <c r="O721"/>
      <c r="P721"/>
      <c r="Q721" s="152"/>
      <c r="R721"/>
      <c r="S721"/>
      <c r="T721"/>
      <c r="U721"/>
      <c r="V721"/>
    </row>
    <row r="722" spans="1:22" x14ac:dyDescent="0.2">
      <c r="A722" t="s">
        <v>166</v>
      </c>
      <c r="B722" t="s">
        <v>848</v>
      </c>
      <c r="C722" s="152">
        <v>42</v>
      </c>
      <c r="D722" s="152">
        <v>62</v>
      </c>
      <c r="E722" s="152">
        <v>104</v>
      </c>
      <c r="F722" s="152">
        <v>979230.19016140001</v>
      </c>
      <c r="G722" s="152">
        <v>1470372.0460395999</v>
      </c>
      <c r="H722" s="152">
        <v>2449602.2362009999</v>
      </c>
      <c r="I722" t="s">
        <v>742</v>
      </c>
      <c r="J722" t="s">
        <v>135</v>
      </c>
      <c r="K722">
        <v>432096</v>
      </c>
      <c r="L722" t="s">
        <v>801</v>
      </c>
      <c r="M722"/>
      <c r="N722"/>
      <c r="O722"/>
      <c r="P722"/>
      <c r="Q722" s="152"/>
      <c r="R722"/>
      <c r="S722"/>
      <c r="T722"/>
      <c r="U722"/>
      <c r="V722"/>
    </row>
    <row r="723" spans="1:22" x14ac:dyDescent="0.2">
      <c r="A723" t="s">
        <v>861</v>
      </c>
      <c r="B723" t="s">
        <v>351</v>
      </c>
      <c r="C723" s="152">
        <v>45</v>
      </c>
      <c r="D723" s="152">
        <v>57</v>
      </c>
      <c r="E723" s="152">
        <v>102</v>
      </c>
      <c r="F723" s="152">
        <v>1487221.32590033</v>
      </c>
      <c r="G723" s="152">
        <v>2162650.6494939299</v>
      </c>
      <c r="H723" s="152">
        <v>3649871.9753942699</v>
      </c>
      <c r="I723" t="s">
        <v>742</v>
      </c>
      <c r="J723" t="s">
        <v>135</v>
      </c>
      <c r="K723">
        <v>167171</v>
      </c>
      <c r="L723" t="s">
        <v>340</v>
      </c>
      <c r="M723"/>
      <c r="N723"/>
      <c r="O723"/>
      <c r="P723"/>
      <c r="Q723" s="152"/>
      <c r="R723"/>
      <c r="S723"/>
      <c r="T723"/>
      <c r="U723"/>
      <c r="V723"/>
    </row>
    <row r="724" spans="1:22" x14ac:dyDescent="0.2">
      <c r="A724" t="s">
        <v>166</v>
      </c>
      <c r="B724" t="s">
        <v>1145</v>
      </c>
      <c r="C724" s="152">
        <v>49</v>
      </c>
      <c r="D724" s="152">
        <v>53</v>
      </c>
      <c r="E724" s="152">
        <v>102</v>
      </c>
      <c r="F724" s="152">
        <v>1148419.2498776901</v>
      </c>
      <c r="G724" s="152">
        <v>1863109.46351341</v>
      </c>
      <c r="H724" s="152">
        <v>3011528.7133911001</v>
      </c>
      <c r="I724" t="s">
        <v>867</v>
      </c>
      <c r="J724" t="s">
        <v>135</v>
      </c>
      <c r="K724">
        <v>229682</v>
      </c>
      <c r="L724" t="s">
        <v>927</v>
      </c>
      <c r="M724"/>
      <c r="N724"/>
      <c r="O724"/>
      <c r="P724"/>
      <c r="Q724" s="152"/>
      <c r="R724"/>
      <c r="S724"/>
      <c r="T724"/>
      <c r="U724"/>
      <c r="V724"/>
    </row>
    <row r="725" spans="1:22" x14ac:dyDescent="0.2">
      <c r="A725" t="s">
        <v>735</v>
      </c>
      <c r="B725" t="s">
        <v>960</v>
      </c>
      <c r="C725" s="152">
        <v>31</v>
      </c>
      <c r="D725" s="152">
        <v>69</v>
      </c>
      <c r="E725" s="152">
        <v>100</v>
      </c>
      <c r="F725" s="152">
        <v>906011.15002790396</v>
      </c>
      <c r="G725" s="152">
        <v>1718894.810241</v>
      </c>
      <c r="H725" s="152">
        <v>2624905.9602688998</v>
      </c>
      <c r="I725" t="s">
        <v>742</v>
      </c>
      <c r="J725" t="s">
        <v>136</v>
      </c>
      <c r="K725">
        <v>507236</v>
      </c>
      <c r="L725" t="s">
        <v>961</v>
      </c>
      <c r="M725"/>
      <c r="N725"/>
      <c r="O725"/>
      <c r="P725"/>
      <c r="Q725" s="152"/>
      <c r="R725"/>
      <c r="S725"/>
      <c r="T725"/>
      <c r="U725"/>
      <c r="V725"/>
    </row>
    <row r="726" spans="1:22" x14ac:dyDescent="0.2">
      <c r="A726" t="s">
        <v>183</v>
      </c>
      <c r="B726" t="s">
        <v>363</v>
      </c>
      <c r="C726" s="152">
        <v>26</v>
      </c>
      <c r="D726" s="152">
        <v>72</v>
      </c>
      <c r="E726" s="152">
        <v>98</v>
      </c>
      <c r="F726" s="152">
        <v>500047.60041640501</v>
      </c>
      <c r="G726" s="152">
        <v>1614522.3804297501</v>
      </c>
      <c r="H726" s="152">
        <v>2114569.9808461498</v>
      </c>
      <c r="I726" t="s">
        <v>742</v>
      </c>
      <c r="J726" t="s">
        <v>135</v>
      </c>
      <c r="K726">
        <v>161687</v>
      </c>
      <c r="L726" t="s">
        <v>930</v>
      </c>
      <c r="M726"/>
      <c r="N726"/>
      <c r="O726"/>
      <c r="P726"/>
      <c r="Q726" s="152"/>
      <c r="R726"/>
      <c r="S726"/>
      <c r="T726"/>
      <c r="U726"/>
      <c r="V726"/>
    </row>
    <row r="727" spans="1:22" x14ac:dyDescent="0.2">
      <c r="A727" t="s">
        <v>104</v>
      </c>
      <c r="B727" t="s">
        <v>804</v>
      </c>
      <c r="C727" s="152">
        <v>42</v>
      </c>
      <c r="D727" s="152">
        <v>56</v>
      </c>
      <c r="E727" s="152">
        <v>98</v>
      </c>
      <c r="F727" s="152">
        <v>644664.43286437797</v>
      </c>
      <c r="G727" s="152">
        <v>1084466.86186331</v>
      </c>
      <c r="H727" s="152">
        <v>1729131.29472768</v>
      </c>
      <c r="I727" t="s">
        <v>742</v>
      </c>
      <c r="J727" t="s">
        <v>135</v>
      </c>
      <c r="K727">
        <v>920371</v>
      </c>
      <c r="L727" t="s">
        <v>945</v>
      </c>
      <c r="M727"/>
      <c r="N727"/>
      <c r="O727"/>
      <c r="P727"/>
      <c r="Q727" s="152"/>
      <c r="R727"/>
      <c r="S727"/>
      <c r="T727"/>
      <c r="U727"/>
      <c r="V727"/>
    </row>
    <row r="728" spans="1:22" x14ac:dyDescent="0.2">
      <c r="A728" t="s">
        <v>49</v>
      </c>
      <c r="B728" t="s">
        <v>78</v>
      </c>
      <c r="C728" s="152">
        <v>38</v>
      </c>
      <c r="D728" s="152">
        <v>59</v>
      </c>
      <c r="E728" s="152">
        <v>97</v>
      </c>
      <c r="F728" s="152">
        <v>632201.41150736902</v>
      </c>
      <c r="G728" s="152">
        <v>991300.19038256898</v>
      </c>
      <c r="H728" s="152">
        <v>1623501.60188994</v>
      </c>
      <c r="I728" t="s">
        <v>742</v>
      </c>
      <c r="J728" t="s">
        <v>135</v>
      </c>
      <c r="K728">
        <v>651380</v>
      </c>
      <c r="L728" t="s">
        <v>870</v>
      </c>
      <c r="M728"/>
      <c r="N728"/>
      <c r="O728"/>
      <c r="P728"/>
      <c r="Q728" s="152"/>
      <c r="R728"/>
      <c r="S728"/>
      <c r="T728"/>
      <c r="U728"/>
      <c r="V728"/>
    </row>
    <row r="729" spans="1:22" x14ac:dyDescent="0.2">
      <c r="A729" t="s">
        <v>328</v>
      </c>
      <c r="B729" t="s">
        <v>631</v>
      </c>
      <c r="C729" s="152">
        <v>34</v>
      </c>
      <c r="D729" s="152">
        <v>62</v>
      </c>
      <c r="E729" s="152">
        <v>96</v>
      </c>
      <c r="F729" s="152">
        <v>857453.67173866997</v>
      </c>
      <c r="G729" s="152">
        <v>2349623.4404818001</v>
      </c>
      <c r="H729" s="152">
        <v>3207077.1122204699</v>
      </c>
      <c r="I729" t="s">
        <v>867</v>
      </c>
      <c r="J729" t="s">
        <v>137</v>
      </c>
      <c r="K729">
        <v>626291</v>
      </c>
      <c r="L729" t="s">
        <v>847</v>
      </c>
      <c r="M729"/>
      <c r="N729"/>
      <c r="O729"/>
      <c r="P729"/>
      <c r="Q729" s="152"/>
      <c r="R729"/>
      <c r="S729"/>
      <c r="T729"/>
      <c r="U729"/>
      <c r="V729"/>
    </row>
    <row r="730" spans="1:22" x14ac:dyDescent="0.2">
      <c r="A730" t="s">
        <v>721</v>
      </c>
      <c r="B730" t="s">
        <v>431</v>
      </c>
      <c r="C730" s="152">
        <v>53</v>
      </c>
      <c r="D730" s="152">
        <v>39</v>
      </c>
      <c r="E730" s="152">
        <v>92</v>
      </c>
      <c r="F730" s="152">
        <v>933603.90529888996</v>
      </c>
      <c r="G730" s="152">
        <v>955012.01403588103</v>
      </c>
      <c r="H730" s="152">
        <v>1888615.9193347699</v>
      </c>
      <c r="I730" t="s">
        <v>742</v>
      </c>
      <c r="J730" t="s">
        <v>136</v>
      </c>
      <c r="K730">
        <v>203000</v>
      </c>
      <c r="L730" t="s">
        <v>340</v>
      </c>
      <c r="M730"/>
      <c r="N730"/>
      <c r="O730"/>
      <c r="P730"/>
      <c r="Q730" s="152"/>
      <c r="R730"/>
      <c r="S730"/>
      <c r="T730"/>
      <c r="U730"/>
      <c r="V730"/>
    </row>
    <row r="731" spans="1:22" x14ac:dyDescent="0.2">
      <c r="A731" t="s">
        <v>268</v>
      </c>
      <c r="B731" t="s">
        <v>1103</v>
      </c>
      <c r="C731" s="152">
        <v>32</v>
      </c>
      <c r="D731" s="152">
        <v>59</v>
      </c>
      <c r="E731" s="152">
        <v>91</v>
      </c>
      <c r="F731" s="152">
        <v>525351.23981249996</v>
      </c>
      <c r="G731" s="152">
        <v>1941399.2887500001</v>
      </c>
      <c r="H731" s="152">
        <v>2466750.5285625001</v>
      </c>
      <c r="I731" t="s">
        <v>867</v>
      </c>
      <c r="J731" t="s">
        <v>135</v>
      </c>
      <c r="K731">
        <v>705806</v>
      </c>
      <c r="L731" t="s">
        <v>1104</v>
      </c>
      <c r="M731"/>
      <c r="N731"/>
      <c r="O731"/>
      <c r="P731"/>
      <c r="Q731" s="152"/>
      <c r="R731"/>
      <c r="S731"/>
      <c r="T731"/>
      <c r="U731"/>
      <c r="V731"/>
    </row>
    <row r="732" spans="1:22" x14ac:dyDescent="0.2">
      <c r="A732" t="s">
        <v>735</v>
      </c>
      <c r="B732" t="s">
        <v>448</v>
      </c>
      <c r="C732" s="152">
        <v>37</v>
      </c>
      <c r="D732" s="152">
        <v>52</v>
      </c>
      <c r="E732" s="152">
        <v>89</v>
      </c>
      <c r="F732" s="152">
        <v>836211.46070693003</v>
      </c>
      <c r="G732" s="152">
        <v>1348679.55654458</v>
      </c>
      <c r="H732" s="152">
        <v>2184891.0172515102</v>
      </c>
      <c r="I732" t="s">
        <v>742</v>
      </c>
      <c r="J732" t="s">
        <v>136</v>
      </c>
      <c r="K732">
        <v>550970</v>
      </c>
      <c r="L732" t="s">
        <v>411</v>
      </c>
      <c r="M732"/>
      <c r="N732"/>
      <c r="O732"/>
      <c r="P732"/>
      <c r="Q732" s="152"/>
      <c r="R732"/>
      <c r="S732"/>
      <c r="T732"/>
      <c r="U732"/>
      <c r="V732"/>
    </row>
    <row r="733" spans="1:22" x14ac:dyDescent="0.2">
      <c r="A733" t="s">
        <v>312</v>
      </c>
      <c r="B733" t="s">
        <v>521</v>
      </c>
      <c r="C733" s="152">
        <v>31</v>
      </c>
      <c r="D733" s="152">
        <v>57</v>
      </c>
      <c r="E733" s="152">
        <v>88</v>
      </c>
      <c r="F733" s="152">
        <v>770992.98815412004</v>
      </c>
      <c r="G733" s="152">
        <v>1437700.8509204399</v>
      </c>
      <c r="H733" s="152">
        <v>2208693.83907456</v>
      </c>
      <c r="I733" t="s">
        <v>867</v>
      </c>
      <c r="J733" t="s">
        <v>135</v>
      </c>
      <c r="K733">
        <v>456236</v>
      </c>
      <c r="L733" t="s">
        <v>932</v>
      </c>
      <c r="M733"/>
      <c r="N733"/>
      <c r="O733"/>
      <c r="P733"/>
      <c r="Q733" s="152"/>
      <c r="R733"/>
      <c r="S733"/>
      <c r="T733"/>
      <c r="U733"/>
      <c r="V733"/>
    </row>
    <row r="734" spans="1:22" x14ac:dyDescent="0.2">
      <c r="A734" t="s">
        <v>268</v>
      </c>
      <c r="B734" t="s">
        <v>825</v>
      </c>
      <c r="C734" s="152">
        <v>35</v>
      </c>
      <c r="D734" s="152">
        <v>51</v>
      </c>
      <c r="E734" s="152">
        <v>86</v>
      </c>
      <c r="F734" s="152">
        <v>587937.68069564097</v>
      </c>
      <c r="G734" s="152">
        <v>1436653.9327356999</v>
      </c>
      <c r="H734" s="152">
        <v>2024591.6134313401</v>
      </c>
      <c r="I734" t="s">
        <v>742</v>
      </c>
      <c r="J734" t="s">
        <v>135</v>
      </c>
      <c r="K734">
        <v>515262</v>
      </c>
      <c r="L734" t="s">
        <v>866</v>
      </c>
      <c r="M734"/>
      <c r="N734"/>
      <c r="O734"/>
      <c r="P734"/>
      <c r="Q734" s="152"/>
      <c r="R734"/>
      <c r="S734"/>
      <c r="T734"/>
      <c r="U734"/>
      <c r="V734"/>
    </row>
    <row r="735" spans="1:22" x14ac:dyDescent="0.2">
      <c r="A735" t="s">
        <v>183</v>
      </c>
      <c r="B735" t="s">
        <v>851</v>
      </c>
      <c r="C735" s="152">
        <v>22</v>
      </c>
      <c r="D735" s="152">
        <v>62</v>
      </c>
      <c r="E735" s="152">
        <v>84</v>
      </c>
      <c r="F735" s="152">
        <v>404871.53138691501</v>
      </c>
      <c r="G735" s="152">
        <v>1541519.2713425499</v>
      </c>
      <c r="H735" s="152">
        <v>1946390.8027294599</v>
      </c>
      <c r="I735" t="s">
        <v>742</v>
      </c>
      <c r="J735" t="s">
        <v>135</v>
      </c>
      <c r="K735">
        <v>630541</v>
      </c>
      <c r="L735" t="s">
        <v>140</v>
      </c>
      <c r="M735"/>
      <c r="N735"/>
      <c r="O735"/>
      <c r="P735"/>
      <c r="Q735" s="152"/>
      <c r="R735"/>
      <c r="S735"/>
      <c r="T735"/>
      <c r="U735"/>
      <c r="V735"/>
    </row>
    <row r="736" spans="1:22" x14ac:dyDescent="0.2">
      <c r="A736" t="s">
        <v>781</v>
      </c>
      <c r="B736" t="s">
        <v>515</v>
      </c>
      <c r="C736" s="152">
        <v>32</v>
      </c>
      <c r="D736" s="152">
        <v>50</v>
      </c>
      <c r="E736" s="152">
        <v>82</v>
      </c>
      <c r="F736" s="152">
        <v>926912.18577930005</v>
      </c>
      <c r="G736" s="152">
        <v>1193959.08049234</v>
      </c>
      <c r="H736" s="152">
        <v>2120871.2662716401</v>
      </c>
      <c r="I736" t="s">
        <v>742</v>
      </c>
      <c r="J736" t="s">
        <v>135</v>
      </c>
      <c r="K736">
        <v>792697</v>
      </c>
      <c r="L736" t="s">
        <v>878</v>
      </c>
      <c r="M736"/>
      <c r="N736"/>
      <c r="O736"/>
      <c r="P736"/>
      <c r="Q736" s="152"/>
      <c r="R736"/>
      <c r="S736"/>
      <c r="T736"/>
      <c r="U736"/>
      <c r="V736"/>
    </row>
    <row r="737" spans="1:22" x14ac:dyDescent="0.2">
      <c r="A737" t="s">
        <v>166</v>
      </c>
      <c r="B737" t="s">
        <v>680</v>
      </c>
      <c r="C737" s="152">
        <v>32</v>
      </c>
      <c r="D737" s="152">
        <v>48</v>
      </c>
      <c r="E737" s="152">
        <v>80</v>
      </c>
      <c r="F737" s="152">
        <v>1612504.25384666</v>
      </c>
      <c r="G737" s="152">
        <v>3065743.7838699501</v>
      </c>
      <c r="H737" s="152">
        <v>4678248.0377166104</v>
      </c>
      <c r="I737" t="s">
        <v>867</v>
      </c>
      <c r="J737" t="s">
        <v>135</v>
      </c>
      <c r="K737">
        <v>806034</v>
      </c>
      <c r="L737" t="s">
        <v>681</v>
      </c>
      <c r="M737"/>
      <c r="N737"/>
      <c r="O737"/>
      <c r="P737"/>
      <c r="Q737" s="152"/>
      <c r="R737"/>
      <c r="S737"/>
      <c r="T737"/>
      <c r="U737"/>
      <c r="V737"/>
    </row>
    <row r="738" spans="1:22" x14ac:dyDescent="0.2">
      <c r="A738" t="s">
        <v>234</v>
      </c>
      <c r="B738" t="s">
        <v>1036</v>
      </c>
      <c r="C738" s="152">
        <v>24</v>
      </c>
      <c r="D738" s="152">
        <v>56</v>
      </c>
      <c r="E738" s="152">
        <v>80</v>
      </c>
      <c r="F738" s="152">
        <v>366261.53520673403</v>
      </c>
      <c r="G738" s="152">
        <v>1346065.8955641901</v>
      </c>
      <c r="H738" s="152">
        <v>1712327.4307709199</v>
      </c>
      <c r="I738" t="s">
        <v>742</v>
      </c>
      <c r="J738" t="s">
        <v>135</v>
      </c>
      <c r="K738">
        <v>357897</v>
      </c>
      <c r="L738" t="s">
        <v>1037</v>
      </c>
      <c r="M738"/>
      <c r="N738"/>
      <c r="O738"/>
      <c r="P738"/>
      <c r="Q738" s="152"/>
      <c r="R738"/>
      <c r="S738"/>
      <c r="T738"/>
      <c r="U738"/>
      <c r="V738"/>
    </row>
    <row r="739" spans="1:22" x14ac:dyDescent="0.2">
      <c r="A739" t="s">
        <v>234</v>
      </c>
      <c r="B739" t="s">
        <v>682</v>
      </c>
      <c r="C739" s="152">
        <v>26</v>
      </c>
      <c r="D739" s="152">
        <v>52</v>
      </c>
      <c r="E739" s="152">
        <v>78</v>
      </c>
      <c r="F739" s="152">
        <v>358620.00453382102</v>
      </c>
      <c r="G739" s="152">
        <v>985613.66310775501</v>
      </c>
      <c r="H739" s="152">
        <v>1344233.6676415801</v>
      </c>
      <c r="I739" t="s">
        <v>742</v>
      </c>
      <c r="J739" t="s">
        <v>135</v>
      </c>
      <c r="K739">
        <v>586800</v>
      </c>
      <c r="L739" t="s">
        <v>1037</v>
      </c>
      <c r="M739"/>
      <c r="N739"/>
      <c r="O739"/>
      <c r="P739"/>
      <c r="Q739" s="152"/>
      <c r="R739"/>
      <c r="S739"/>
      <c r="T739"/>
      <c r="U739"/>
      <c r="V739"/>
    </row>
    <row r="740" spans="1:22" x14ac:dyDescent="0.2">
      <c r="A740" t="s">
        <v>312</v>
      </c>
      <c r="B740" t="s">
        <v>406</v>
      </c>
      <c r="C740" s="152">
        <v>32</v>
      </c>
      <c r="D740" s="152">
        <v>45</v>
      </c>
      <c r="E740" s="152">
        <v>77</v>
      </c>
      <c r="F740" s="152">
        <v>582320.64254069503</v>
      </c>
      <c r="G740" s="152">
        <v>1042323.39154287</v>
      </c>
      <c r="H740" s="152">
        <v>1624644.0340835699</v>
      </c>
      <c r="I740" t="s">
        <v>742</v>
      </c>
      <c r="J740" t="s">
        <v>135</v>
      </c>
      <c r="K740">
        <v>836494</v>
      </c>
      <c r="L740" t="s">
        <v>410</v>
      </c>
      <c r="M740"/>
      <c r="N740"/>
      <c r="O740"/>
      <c r="P740"/>
      <c r="Q740" s="152"/>
      <c r="R740"/>
      <c r="S740"/>
      <c r="T740"/>
      <c r="U740"/>
      <c r="V740"/>
    </row>
    <row r="741" spans="1:22" x14ac:dyDescent="0.2">
      <c r="A741" t="s">
        <v>166</v>
      </c>
      <c r="B741" t="s">
        <v>1026</v>
      </c>
      <c r="C741" s="152">
        <v>31</v>
      </c>
      <c r="D741" s="152">
        <v>43</v>
      </c>
      <c r="E741" s="152">
        <v>74</v>
      </c>
      <c r="F741" s="152">
        <v>895918.16604626004</v>
      </c>
      <c r="G741" s="152">
        <v>1645548.1100618001</v>
      </c>
      <c r="H741" s="152">
        <v>2541466.27610806</v>
      </c>
      <c r="I741" t="s">
        <v>867</v>
      </c>
      <c r="J741" t="s">
        <v>135</v>
      </c>
      <c r="K741">
        <v>191494</v>
      </c>
      <c r="L741" t="s">
        <v>37</v>
      </c>
      <c r="M741"/>
      <c r="N741"/>
      <c r="O741"/>
      <c r="P741"/>
      <c r="Q741" s="152"/>
      <c r="R741"/>
      <c r="S741"/>
      <c r="T741"/>
      <c r="U741"/>
      <c r="V741"/>
    </row>
    <row r="742" spans="1:22" x14ac:dyDescent="0.2">
      <c r="A742" t="s">
        <v>312</v>
      </c>
      <c r="B742" t="s">
        <v>25</v>
      </c>
      <c r="C742" s="152">
        <v>22</v>
      </c>
      <c r="D742" s="152">
        <v>51</v>
      </c>
      <c r="E742" s="152">
        <v>73</v>
      </c>
      <c r="F742" s="152">
        <v>436910.31307689199</v>
      </c>
      <c r="G742" s="152">
        <v>1439423.6693529701</v>
      </c>
      <c r="H742" s="152">
        <v>1876333.9824298599</v>
      </c>
      <c r="I742" t="s">
        <v>742</v>
      </c>
      <c r="J742" t="s">
        <v>135</v>
      </c>
      <c r="K742">
        <v>755033</v>
      </c>
      <c r="L742" t="s">
        <v>490</v>
      </c>
      <c r="M742"/>
      <c r="N742"/>
      <c r="O742"/>
      <c r="P742"/>
      <c r="Q742" s="152"/>
      <c r="R742"/>
      <c r="S742"/>
      <c r="T742"/>
      <c r="U742"/>
      <c r="V742"/>
    </row>
    <row r="743" spans="1:22" x14ac:dyDescent="0.2">
      <c r="A743" t="s">
        <v>721</v>
      </c>
      <c r="B743" t="s">
        <v>211</v>
      </c>
      <c r="C743" s="152">
        <v>38</v>
      </c>
      <c r="D743" s="152">
        <v>32</v>
      </c>
      <c r="E743" s="152">
        <v>70</v>
      </c>
      <c r="F743" s="152">
        <v>637535.41837614297</v>
      </c>
      <c r="G743" s="152">
        <v>548662.50678540999</v>
      </c>
      <c r="H743" s="152">
        <v>1186197.9251615501</v>
      </c>
      <c r="I743" t="s">
        <v>742</v>
      </c>
      <c r="J743" t="s">
        <v>136</v>
      </c>
      <c r="K743">
        <v>280925</v>
      </c>
      <c r="L743" t="s">
        <v>490</v>
      </c>
      <c r="M743"/>
      <c r="N743"/>
      <c r="O743"/>
      <c r="P743"/>
      <c r="Q743" s="152"/>
      <c r="R743"/>
      <c r="S743"/>
      <c r="T743"/>
      <c r="U743"/>
      <c r="V743"/>
    </row>
    <row r="744" spans="1:22" x14ac:dyDescent="0.2">
      <c r="A744" t="s">
        <v>338</v>
      </c>
      <c r="B744" t="s">
        <v>1151</v>
      </c>
      <c r="C744" s="152">
        <v>26</v>
      </c>
      <c r="D744" s="152">
        <v>36</v>
      </c>
      <c r="E744" s="152">
        <v>62</v>
      </c>
      <c r="F744" s="152">
        <v>2472439.8772563599</v>
      </c>
      <c r="G744" s="152">
        <v>3694670.0387366</v>
      </c>
      <c r="H744" s="152">
        <v>6167109.9159929603</v>
      </c>
      <c r="I744" t="s">
        <v>742</v>
      </c>
      <c r="J744" t="s">
        <v>137</v>
      </c>
      <c r="K744">
        <v>910455</v>
      </c>
      <c r="L744" t="s">
        <v>1152</v>
      </c>
      <c r="M744"/>
      <c r="N744"/>
      <c r="O744"/>
      <c r="P744"/>
      <c r="Q744" s="152"/>
      <c r="R744"/>
      <c r="S744"/>
      <c r="T744"/>
      <c r="U744"/>
      <c r="V744"/>
    </row>
    <row r="745" spans="1:22" x14ac:dyDescent="0.2">
      <c r="A745" t="s">
        <v>166</v>
      </c>
      <c r="B745" t="s">
        <v>168</v>
      </c>
      <c r="C745" s="152">
        <v>34</v>
      </c>
      <c r="D745" s="152">
        <v>27</v>
      </c>
      <c r="E745" s="152">
        <v>61</v>
      </c>
      <c r="F745" s="152">
        <v>391845.14436359599</v>
      </c>
      <c r="G745" s="152">
        <v>350456.74610194098</v>
      </c>
      <c r="H745" s="152">
        <v>742301.89046553697</v>
      </c>
      <c r="I745" t="s">
        <v>742</v>
      </c>
      <c r="J745" t="s">
        <v>135</v>
      </c>
      <c r="K745">
        <v>526897</v>
      </c>
      <c r="L745" t="s">
        <v>140</v>
      </c>
      <c r="M745"/>
      <c r="N745"/>
      <c r="O745"/>
      <c r="P745"/>
      <c r="Q745" s="152"/>
      <c r="R745"/>
      <c r="S745"/>
      <c r="T745"/>
      <c r="U745"/>
      <c r="V745"/>
    </row>
    <row r="746" spans="1:22" x14ac:dyDescent="0.2">
      <c r="A746" t="s">
        <v>166</v>
      </c>
      <c r="B746" t="s">
        <v>525</v>
      </c>
      <c r="C746" s="152">
        <v>20</v>
      </c>
      <c r="D746" s="152">
        <v>39</v>
      </c>
      <c r="E746" s="152">
        <v>59</v>
      </c>
      <c r="F746" s="152">
        <v>318398.23867605597</v>
      </c>
      <c r="G746" s="152">
        <v>946600.71349634603</v>
      </c>
      <c r="H746" s="152">
        <v>1264998.9521724</v>
      </c>
      <c r="I746" t="s">
        <v>742</v>
      </c>
      <c r="J746" t="s">
        <v>135</v>
      </c>
      <c r="K746">
        <v>299636</v>
      </c>
      <c r="L746" t="s">
        <v>411</v>
      </c>
      <c r="M746"/>
      <c r="N746"/>
      <c r="O746"/>
      <c r="P746"/>
      <c r="Q746" s="152"/>
      <c r="R746"/>
      <c r="S746"/>
      <c r="T746"/>
      <c r="U746"/>
      <c r="V746"/>
    </row>
    <row r="747" spans="1:22" x14ac:dyDescent="0.2">
      <c r="A747" t="s">
        <v>234</v>
      </c>
      <c r="B747" t="s">
        <v>1072</v>
      </c>
      <c r="C747" s="152">
        <v>18</v>
      </c>
      <c r="D747" s="152">
        <v>39</v>
      </c>
      <c r="E747" s="152">
        <v>57</v>
      </c>
      <c r="F747" s="152">
        <v>368156.052311468</v>
      </c>
      <c r="G747" s="152">
        <v>965835.49084646895</v>
      </c>
      <c r="H747" s="152">
        <v>1333991.54315794</v>
      </c>
      <c r="I747" t="s">
        <v>742</v>
      </c>
      <c r="J747" t="s">
        <v>135</v>
      </c>
      <c r="K747">
        <v>717371</v>
      </c>
      <c r="L747" t="s">
        <v>685</v>
      </c>
      <c r="M747"/>
      <c r="N747"/>
      <c r="O747"/>
      <c r="P747"/>
      <c r="Q747" s="152"/>
      <c r="R747"/>
      <c r="S747"/>
      <c r="T747"/>
      <c r="U747"/>
      <c r="V747"/>
    </row>
    <row r="748" spans="1:22" x14ac:dyDescent="0.2">
      <c r="A748" t="s">
        <v>735</v>
      </c>
      <c r="B748" t="s">
        <v>212</v>
      </c>
      <c r="C748" s="152">
        <v>21</v>
      </c>
      <c r="D748" s="152">
        <v>35</v>
      </c>
      <c r="E748" s="152">
        <v>56</v>
      </c>
      <c r="F748" s="152">
        <v>231321.976877443</v>
      </c>
      <c r="G748" s="152">
        <v>912702.77272930602</v>
      </c>
      <c r="H748" s="152">
        <v>1144024.74960675</v>
      </c>
      <c r="I748" t="s">
        <v>742</v>
      </c>
      <c r="J748" t="s">
        <v>136</v>
      </c>
      <c r="K748">
        <v>352583</v>
      </c>
      <c r="L748" t="s">
        <v>490</v>
      </c>
      <c r="M748"/>
      <c r="N748"/>
      <c r="O748"/>
      <c r="P748"/>
      <c r="Q748" s="152"/>
      <c r="R748"/>
      <c r="S748"/>
      <c r="T748"/>
      <c r="U748"/>
      <c r="V748"/>
    </row>
    <row r="749" spans="1:22" x14ac:dyDescent="0.2">
      <c r="A749" t="s">
        <v>49</v>
      </c>
      <c r="B749" t="s">
        <v>832</v>
      </c>
      <c r="C749" s="152">
        <v>27</v>
      </c>
      <c r="D749" s="152">
        <v>27</v>
      </c>
      <c r="E749" s="152">
        <v>54</v>
      </c>
      <c r="F749" s="152">
        <v>506928.68036932399</v>
      </c>
      <c r="G749" s="152">
        <v>672212.57536434697</v>
      </c>
      <c r="H749" s="152">
        <v>1179141.25573367</v>
      </c>
      <c r="I749" t="s">
        <v>742</v>
      </c>
      <c r="J749" t="s">
        <v>135</v>
      </c>
      <c r="K749">
        <v>865063</v>
      </c>
      <c r="L749" t="s">
        <v>866</v>
      </c>
      <c r="M749"/>
      <c r="N749"/>
      <c r="O749"/>
      <c r="P749"/>
      <c r="Q749" s="152"/>
      <c r="R749"/>
      <c r="S749"/>
      <c r="T749"/>
      <c r="U749"/>
      <c r="V749"/>
    </row>
    <row r="750" spans="1:22" x14ac:dyDescent="0.2">
      <c r="A750" t="s">
        <v>114</v>
      </c>
      <c r="B750" t="s">
        <v>888</v>
      </c>
      <c r="C750" s="152">
        <v>21</v>
      </c>
      <c r="D750" s="152">
        <v>31</v>
      </c>
      <c r="E750" s="152">
        <v>52</v>
      </c>
      <c r="F750" s="152">
        <v>307416.34154914698</v>
      </c>
      <c r="G750" s="152">
        <v>516552.91798945097</v>
      </c>
      <c r="H750" s="152">
        <v>823969.25953859801</v>
      </c>
      <c r="I750" t="s">
        <v>742</v>
      </c>
      <c r="J750" t="s">
        <v>135</v>
      </c>
      <c r="K750">
        <v>980995</v>
      </c>
      <c r="L750" t="s">
        <v>882</v>
      </c>
      <c r="M750"/>
      <c r="N750"/>
      <c r="O750"/>
      <c r="P750"/>
      <c r="Q750" s="152"/>
      <c r="R750"/>
      <c r="S750"/>
      <c r="T750"/>
      <c r="U750"/>
      <c r="V750"/>
    </row>
    <row r="751" spans="1:22" x14ac:dyDescent="0.2">
      <c r="A751" t="s">
        <v>338</v>
      </c>
      <c r="B751" t="s">
        <v>354</v>
      </c>
      <c r="C751" s="152">
        <v>23</v>
      </c>
      <c r="D751" s="152">
        <v>27</v>
      </c>
      <c r="E751" s="152">
        <v>50</v>
      </c>
      <c r="F751" s="152">
        <v>386587.195429568</v>
      </c>
      <c r="G751" s="152">
        <v>556262.74028586701</v>
      </c>
      <c r="H751" s="152">
        <v>942849.93571543496</v>
      </c>
      <c r="I751" t="s">
        <v>742</v>
      </c>
      <c r="J751" t="s">
        <v>137</v>
      </c>
      <c r="K751">
        <v>131342</v>
      </c>
      <c r="L751" t="s">
        <v>340</v>
      </c>
      <c r="M751"/>
      <c r="N751"/>
      <c r="O751"/>
      <c r="P751"/>
      <c r="Q751" s="152"/>
      <c r="R751"/>
      <c r="S751"/>
      <c r="T751"/>
      <c r="U751"/>
      <c r="V751"/>
    </row>
    <row r="752" spans="1:22" x14ac:dyDescent="0.2">
      <c r="A752" t="s">
        <v>150</v>
      </c>
      <c r="B752" t="s">
        <v>485</v>
      </c>
      <c r="C752" s="152">
        <v>14</v>
      </c>
      <c r="D752" s="152">
        <v>33</v>
      </c>
      <c r="E752" s="152">
        <v>47</v>
      </c>
      <c r="F752" s="152">
        <v>281603.211291413</v>
      </c>
      <c r="G752" s="152">
        <v>1243223.4717572101</v>
      </c>
      <c r="H752" s="152">
        <v>1524826.6830486199</v>
      </c>
      <c r="I752" t="s">
        <v>867</v>
      </c>
      <c r="J752" t="s">
        <v>135</v>
      </c>
      <c r="K752">
        <v>357830</v>
      </c>
      <c r="L752" t="s">
        <v>18</v>
      </c>
      <c r="M752"/>
      <c r="N752"/>
      <c r="O752"/>
      <c r="P752"/>
      <c r="Q752" s="152"/>
      <c r="R752"/>
      <c r="S752"/>
      <c r="T752"/>
      <c r="U752"/>
      <c r="V752"/>
    </row>
    <row r="753" spans="1:22" x14ac:dyDescent="0.2">
      <c r="A753" t="s">
        <v>150</v>
      </c>
      <c r="B753" t="s">
        <v>523</v>
      </c>
      <c r="C753" s="152">
        <v>15</v>
      </c>
      <c r="D753" s="152">
        <v>28</v>
      </c>
      <c r="E753" s="152">
        <v>43</v>
      </c>
      <c r="F753" s="152">
        <v>291954.36646250199</v>
      </c>
      <c r="G753" s="152">
        <v>644646.06878257904</v>
      </c>
      <c r="H753" s="152">
        <v>936600.43524508097</v>
      </c>
      <c r="I753" t="s">
        <v>742</v>
      </c>
      <c r="J753" t="s">
        <v>135</v>
      </c>
      <c r="K753">
        <v>403469</v>
      </c>
      <c r="L753" t="s">
        <v>882</v>
      </c>
      <c r="M753"/>
      <c r="N753"/>
      <c r="O753"/>
      <c r="P753"/>
      <c r="Q753" s="152"/>
      <c r="R753"/>
      <c r="S753"/>
      <c r="T753"/>
      <c r="U753"/>
      <c r="V753"/>
    </row>
    <row r="754" spans="1:22" x14ac:dyDescent="0.2">
      <c r="A754" t="s">
        <v>234</v>
      </c>
      <c r="B754" t="s">
        <v>689</v>
      </c>
      <c r="C754" s="152">
        <v>16</v>
      </c>
      <c r="D754" s="152">
        <v>25</v>
      </c>
      <c r="E754" s="152">
        <v>41</v>
      </c>
      <c r="F754" s="152">
        <v>214495.39760008501</v>
      </c>
      <c r="G754" s="152">
        <v>451112.51869918802</v>
      </c>
      <c r="H754" s="152">
        <v>665607.91629927303</v>
      </c>
      <c r="I754" t="s">
        <v>742</v>
      </c>
      <c r="J754" t="s">
        <v>135</v>
      </c>
      <c r="K754">
        <v>753202</v>
      </c>
      <c r="L754" t="s">
        <v>685</v>
      </c>
      <c r="M754"/>
      <c r="N754"/>
      <c r="O754"/>
      <c r="P754"/>
      <c r="Q754" s="152"/>
      <c r="R754"/>
      <c r="S754"/>
      <c r="T754"/>
      <c r="U754"/>
      <c r="V754"/>
    </row>
    <row r="755" spans="1:22" x14ac:dyDescent="0.2">
      <c r="A755" t="s">
        <v>254</v>
      </c>
      <c r="B755" t="s">
        <v>219</v>
      </c>
      <c r="C755" s="152">
        <v>15</v>
      </c>
      <c r="D755" s="152">
        <v>26</v>
      </c>
      <c r="E755" s="152">
        <v>41</v>
      </c>
      <c r="F755" s="152">
        <v>139461.905702699</v>
      </c>
      <c r="G755" s="152">
        <v>403480.91437015298</v>
      </c>
      <c r="H755" s="152">
        <v>542942.82007285196</v>
      </c>
      <c r="I755" t="s">
        <v>742</v>
      </c>
      <c r="J755" t="s">
        <v>135</v>
      </c>
      <c r="K755">
        <v>866897</v>
      </c>
      <c r="L755" t="s">
        <v>490</v>
      </c>
      <c r="M755"/>
      <c r="N755"/>
      <c r="O755"/>
      <c r="P755"/>
      <c r="Q755" s="152"/>
      <c r="R755"/>
      <c r="S755"/>
      <c r="T755"/>
      <c r="U755"/>
      <c r="V755"/>
    </row>
    <row r="756" spans="1:22" x14ac:dyDescent="0.2">
      <c r="A756" t="s">
        <v>49</v>
      </c>
      <c r="B756" t="s">
        <v>215</v>
      </c>
      <c r="C756" s="152">
        <v>20</v>
      </c>
      <c r="D756" s="152">
        <v>17</v>
      </c>
      <c r="E756" s="152">
        <v>37</v>
      </c>
      <c r="F756" s="152">
        <v>232834.479723536</v>
      </c>
      <c r="G756" s="152">
        <v>245621.52983399501</v>
      </c>
      <c r="H756" s="152">
        <v>478456.00955753098</v>
      </c>
      <c r="I756" t="s">
        <v>742</v>
      </c>
      <c r="J756" t="s">
        <v>135</v>
      </c>
      <c r="K756">
        <v>810465</v>
      </c>
      <c r="L756" t="s">
        <v>490</v>
      </c>
      <c r="M756"/>
      <c r="N756"/>
      <c r="O756"/>
      <c r="P756"/>
      <c r="Q756" s="152"/>
      <c r="R756"/>
      <c r="S756"/>
      <c r="T756"/>
      <c r="U756"/>
      <c r="V756"/>
    </row>
    <row r="757" spans="1:22" x14ac:dyDescent="0.2">
      <c r="A757" t="s">
        <v>96</v>
      </c>
      <c r="B757" t="s">
        <v>289</v>
      </c>
      <c r="C757" s="152">
        <v>16</v>
      </c>
      <c r="D757" s="152">
        <v>18</v>
      </c>
      <c r="E757" s="152">
        <v>34</v>
      </c>
      <c r="F757" s="152">
        <v>295928.30278191599</v>
      </c>
      <c r="G757" s="152">
        <v>284896.18933416501</v>
      </c>
      <c r="H757" s="152">
        <v>580824.49211608095</v>
      </c>
      <c r="I757" t="s">
        <v>742</v>
      </c>
      <c r="J757" t="s">
        <v>135</v>
      </c>
      <c r="K757">
        <v>579722</v>
      </c>
      <c r="L757" t="s">
        <v>870</v>
      </c>
      <c r="M757"/>
      <c r="N757"/>
      <c r="O757"/>
      <c r="P757"/>
      <c r="Q757" s="152"/>
      <c r="R757"/>
      <c r="S757"/>
      <c r="T757"/>
      <c r="U757"/>
      <c r="V757"/>
    </row>
    <row r="758" spans="1:22" x14ac:dyDescent="0.2">
      <c r="A758" t="s">
        <v>166</v>
      </c>
      <c r="B758" t="s">
        <v>246</v>
      </c>
      <c r="C758" s="152">
        <v>13</v>
      </c>
      <c r="D758" s="152">
        <v>20</v>
      </c>
      <c r="E758" s="152">
        <v>33</v>
      </c>
      <c r="F758" s="152">
        <v>367358.33396534302</v>
      </c>
      <c r="G758" s="152">
        <v>562402.761237239</v>
      </c>
      <c r="H758" s="152">
        <v>929761.095202583</v>
      </c>
      <c r="I758" t="s">
        <v>742</v>
      </c>
      <c r="J758" t="s">
        <v>135</v>
      </c>
      <c r="K758">
        <v>405290</v>
      </c>
      <c r="L758" t="s">
        <v>899</v>
      </c>
      <c r="M758"/>
      <c r="N758"/>
      <c r="O758"/>
      <c r="P758"/>
      <c r="Q758" s="152"/>
      <c r="R758"/>
      <c r="S758"/>
      <c r="T758"/>
      <c r="U758"/>
      <c r="V758"/>
    </row>
    <row r="759" spans="1:22" x14ac:dyDescent="0.2">
      <c r="A759" t="s">
        <v>312</v>
      </c>
      <c r="B759" t="s">
        <v>93</v>
      </c>
      <c r="C759" s="152">
        <v>12</v>
      </c>
      <c r="D759" s="152">
        <v>21</v>
      </c>
      <c r="E759" s="152">
        <v>33</v>
      </c>
      <c r="F759" s="152">
        <v>206734.277651924</v>
      </c>
      <c r="G759" s="152">
        <v>452389.24326024699</v>
      </c>
      <c r="H759" s="152">
        <v>659123.52091217099</v>
      </c>
      <c r="I759" t="s">
        <v>742</v>
      </c>
      <c r="J759" t="s">
        <v>135</v>
      </c>
      <c r="K759">
        <v>785436</v>
      </c>
      <c r="L759" t="s">
        <v>92</v>
      </c>
      <c r="M759"/>
      <c r="N759"/>
      <c r="O759"/>
      <c r="P759"/>
      <c r="Q759" s="152"/>
      <c r="R759"/>
      <c r="S759"/>
      <c r="T759"/>
      <c r="U759"/>
      <c r="V759"/>
    </row>
    <row r="760" spans="1:22" x14ac:dyDescent="0.2">
      <c r="A760" t="s">
        <v>183</v>
      </c>
      <c r="B760" t="s">
        <v>887</v>
      </c>
      <c r="C760" s="152">
        <v>9</v>
      </c>
      <c r="D760" s="152">
        <v>24</v>
      </c>
      <c r="E760" s="152">
        <v>33</v>
      </c>
      <c r="F760" s="152">
        <v>120032.423293446</v>
      </c>
      <c r="G760" s="152">
        <v>538938.77682082704</v>
      </c>
      <c r="H760" s="152">
        <v>658971.200114273</v>
      </c>
      <c r="I760" t="s">
        <v>742</v>
      </c>
      <c r="J760" t="s">
        <v>135</v>
      </c>
      <c r="K760">
        <v>295972</v>
      </c>
      <c r="L760" t="s">
        <v>882</v>
      </c>
      <c r="M760"/>
      <c r="N760"/>
      <c r="O760"/>
      <c r="P760"/>
      <c r="Q760" s="152"/>
      <c r="R760"/>
      <c r="S760"/>
      <c r="T760"/>
      <c r="U760"/>
      <c r="V760"/>
    </row>
    <row r="761" spans="1:22" x14ac:dyDescent="0.2">
      <c r="A761" t="s">
        <v>735</v>
      </c>
      <c r="B761" t="s">
        <v>968</v>
      </c>
      <c r="C761" s="152">
        <v>12</v>
      </c>
      <c r="D761" s="152">
        <v>20</v>
      </c>
      <c r="E761" s="152">
        <v>32</v>
      </c>
      <c r="F761" s="152">
        <v>321756.10576608003</v>
      </c>
      <c r="G761" s="152">
        <v>608955.80858272</v>
      </c>
      <c r="H761" s="152">
        <v>930711.91434879997</v>
      </c>
      <c r="I761" t="s">
        <v>742</v>
      </c>
      <c r="J761" t="s">
        <v>136</v>
      </c>
      <c r="K761">
        <v>690636</v>
      </c>
      <c r="L761" t="s">
        <v>411</v>
      </c>
      <c r="M761"/>
      <c r="N761"/>
      <c r="O761"/>
      <c r="P761"/>
      <c r="Q761" s="152"/>
      <c r="R761"/>
      <c r="S761"/>
      <c r="T761"/>
      <c r="U761"/>
      <c r="V761"/>
    </row>
    <row r="762" spans="1:22" x14ac:dyDescent="0.2">
      <c r="A762" t="s">
        <v>268</v>
      </c>
      <c r="B762" t="s">
        <v>544</v>
      </c>
      <c r="C762" s="152">
        <v>9</v>
      </c>
      <c r="D762" s="152">
        <v>23</v>
      </c>
      <c r="E762" s="152">
        <v>32</v>
      </c>
      <c r="F762" s="152">
        <v>160868.06907567201</v>
      </c>
      <c r="G762" s="152">
        <v>707572.19859087002</v>
      </c>
      <c r="H762" s="152">
        <v>868440.26766654302</v>
      </c>
      <c r="I762" t="s">
        <v>742</v>
      </c>
      <c r="J762" t="s">
        <v>135</v>
      </c>
      <c r="K762">
        <v>121608</v>
      </c>
      <c r="L762" t="s">
        <v>540</v>
      </c>
      <c r="M762"/>
      <c r="N762"/>
      <c r="O762"/>
      <c r="P762"/>
      <c r="Q762" s="152"/>
      <c r="R762"/>
      <c r="S762"/>
      <c r="T762"/>
      <c r="U762"/>
      <c r="V762"/>
    </row>
    <row r="763" spans="1:22" x14ac:dyDescent="0.2">
      <c r="A763" t="s">
        <v>721</v>
      </c>
      <c r="B763" t="s">
        <v>1038</v>
      </c>
      <c r="C763" s="152">
        <v>14</v>
      </c>
      <c r="D763" s="152">
        <v>17</v>
      </c>
      <c r="E763" s="152">
        <v>31</v>
      </c>
      <c r="F763" s="152">
        <v>292814.42200743698</v>
      </c>
      <c r="G763" s="152">
        <v>470370.90988290199</v>
      </c>
      <c r="H763" s="152">
        <v>763185.33189033903</v>
      </c>
      <c r="I763" t="s">
        <v>742</v>
      </c>
      <c r="J763" t="s">
        <v>136</v>
      </c>
      <c r="K763">
        <v>838268</v>
      </c>
      <c r="L763" t="s">
        <v>407</v>
      </c>
      <c r="M763"/>
      <c r="N763"/>
      <c r="O763"/>
      <c r="P763"/>
      <c r="Q763" s="152"/>
      <c r="R763"/>
      <c r="S763"/>
      <c r="T763"/>
      <c r="U763"/>
      <c r="V763"/>
    </row>
    <row r="764" spans="1:22" x14ac:dyDescent="0.2">
      <c r="A764" t="s">
        <v>254</v>
      </c>
      <c r="B764" t="s">
        <v>185</v>
      </c>
      <c r="C764" s="152">
        <v>9</v>
      </c>
      <c r="D764" s="152">
        <v>21</v>
      </c>
      <c r="E764" s="152">
        <v>30</v>
      </c>
      <c r="F764" s="152">
        <v>108181.536758752</v>
      </c>
      <c r="G764" s="152">
        <v>746491.45801342302</v>
      </c>
      <c r="H764" s="152">
        <v>854672.99477217498</v>
      </c>
      <c r="I764" t="s">
        <v>742</v>
      </c>
      <c r="J764" t="s">
        <v>135</v>
      </c>
      <c r="K764">
        <v>367631</v>
      </c>
      <c r="L764" t="s">
        <v>882</v>
      </c>
      <c r="M764"/>
      <c r="N764"/>
      <c r="O764"/>
      <c r="P764"/>
      <c r="Q764" s="152"/>
      <c r="R764"/>
      <c r="S764"/>
      <c r="T764"/>
      <c r="U764"/>
      <c r="V764"/>
    </row>
    <row r="765" spans="1:22" x14ac:dyDescent="0.2">
      <c r="A765" t="s">
        <v>645</v>
      </c>
      <c r="B765" t="s">
        <v>1144</v>
      </c>
      <c r="C765" s="152">
        <v>18</v>
      </c>
      <c r="D765" s="152">
        <v>12</v>
      </c>
      <c r="E765" s="152">
        <v>30</v>
      </c>
      <c r="F765" s="152">
        <v>398583.64671253</v>
      </c>
      <c r="G765" s="152">
        <v>378685.08528162999</v>
      </c>
      <c r="H765" s="152">
        <v>777268.73199415999</v>
      </c>
      <c r="I765" t="s">
        <v>867</v>
      </c>
      <c r="J765" t="s">
        <v>136</v>
      </c>
      <c r="K765">
        <v>265512</v>
      </c>
      <c r="L765" t="s">
        <v>927</v>
      </c>
      <c r="M765"/>
      <c r="N765"/>
      <c r="O765"/>
      <c r="P765"/>
      <c r="Q765" s="152"/>
      <c r="R765"/>
      <c r="S765"/>
      <c r="T765"/>
      <c r="U765"/>
      <c r="V765"/>
    </row>
    <row r="766" spans="1:22" x14ac:dyDescent="0.2">
      <c r="A766" t="s">
        <v>735</v>
      </c>
      <c r="B766" t="s">
        <v>966</v>
      </c>
      <c r="C766" s="152">
        <v>8</v>
      </c>
      <c r="D766" s="152">
        <v>21</v>
      </c>
      <c r="E766" s="152">
        <v>29</v>
      </c>
      <c r="F766" s="152">
        <v>125098.13504713999</v>
      </c>
      <c r="G766" s="152">
        <v>888502.35132904002</v>
      </c>
      <c r="H766" s="152">
        <v>1013600.48637618</v>
      </c>
      <c r="I766" t="s">
        <v>742</v>
      </c>
      <c r="J766" t="s">
        <v>136</v>
      </c>
      <c r="K766">
        <v>323832</v>
      </c>
      <c r="L766" t="s">
        <v>140</v>
      </c>
      <c r="M766"/>
      <c r="N766"/>
      <c r="O766"/>
      <c r="P766"/>
      <c r="Q766" s="152"/>
      <c r="R766"/>
      <c r="S766"/>
      <c r="T766"/>
      <c r="U766"/>
      <c r="V766"/>
    </row>
    <row r="767" spans="1:22" x14ac:dyDescent="0.2">
      <c r="A767" t="s">
        <v>338</v>
      </c>
      <c r="B767" t="s">
        <v>74</v>
      </c>
      <c r="C767" s="152">
        <v>16</v>
      </c>
      <c r="D767" s="152">
        <v>13</v>
      </c>
      <c r="E767" s="152">
        <v>29</v>
      </c>
      <c r="F767" s="152">
        <v>258025.28121786501</v>
      </c>
      <c r="G767" s="152">
        <v>238238.695177997</v>
      </c>
      <c r="H767" s="152">
        <v>496263.976395862</v>
      </c>
      <c r="I767" t="s">
        <v>742</v>
      </c>
      <c r="J767" t="s">
        <v>137</v>
      </c>
      <c r="K767">
        <v>271064</v>
      </c>
      <c r="L767" t="s">
        <v>411</v>
      </c>
      <c r="M767"/>
      <c r="N767"/>
      <c r="O767"/>
      <c r="P767"/>
      <c r="Q767" s="152"/>
      <c r="R767"/>
      <c r="S767"/>
      <c r="T767"/>
      <c r="U767"/>
      <c r="V767"/>
    </row>
    <row r="768" spans="1:22" x14ac:dyDescent="0.2">
      <c r="A768" t="s">
        <v>166</v>
      </c>
      <c r="B768" t="s">
        <v>232</v>
      </c>
      <c r="C768" s="152">
        <v>10</v>
      </c>
      <c r="D768" s="152">
        <v>17</v>
      </c>
      <c r="E768" s="152">
        <v>27</v>
      </c>
      <c r="F768" s="152">
        <v>225649.78870601999</v>
      </c>
      <c r="G768" s="152">
        <v>303862.794762348</v>
      </c>
      <c r="H768" s="152">
        <v>529512.58346836804</v>
      </c>
      <c r="I768" t="s">
        <v>742</v>
      </c>
      <c r="J768" t="s">
        <v>135</v>
      </c>
      <c r="K768">
        <v>690693</v>
      </c>
      <c r="L768" t="s">
        <v>490</v>
      </c>
      <c r="M768"/>
      <c r="N768"/>
      <c r="O768"/>
      <c r="P768"/>
      <c r="Q768" s="152"/>
      <c r="R768"/>
      <c r="S768"/>
      <c r="T768"/>
      <c r="U768"/>
      <c r="V768"/>
    </row>
    <row r="769" spans="1:22" x14ac:dyDescent="0.2">
      <c r="A769" t="s">
        <v>338</v>
      </c>
      <c r="B769" t="s">
        <v>711</v>
      </c>
      <c r="C769" s="152">
        <v>15</v>
      </c>
      <c r="D769" s="152">
        <v>11</v>
      </c>
      <c r="E769" s="152">
        <v>26</v>
      </c>
      <c r="F769" s="152">
        <v>223958.78611293301</v>
      </c>
      <c r="G769" s="152">
        <v>160653.937612104</v>
      </c>
      <c r="H769" s="152">
        <v>384612.72372503701</v>
      </c>
      <c r="I769" t="s">
        <v>742</v>
      </c>
      <c r="J769" t="s">
        <v>137</v>
      </c>
      <c r="K769">
        <v>323899</v>
      </c>
      <c r="L769" t="s">
        <v>65</v>
      </c>
      <c r="M769"/>
      <c r="N769"/>
      <c r="O769"/>
      <c r="P769"/>
      <c r="Q769" s="152"/>
      <c r="R769"/>
      <c r="S769"/>
      <c r="T769"/>
      <c r="U769"/>
      <c r="V769"/>
    </row>
    <row r="770" spans="1:22" x14ac:dyDescent="0.2">
      <c r="A770" t="s">
        <v>166</v>
      </c>
      <c r="B770" t="s">
        <v>849</v>
      </c>
      <c r="C770" s="152">
        <v>8</v>
      </c>
      <c r="D770" s="152">
        <v>16</v>
      </c>
      <c r="E770" s="152">
        <v>24</v>
      </c>
      <c r="F770" s="152">
        <v>203668.874112174</v>
      </c>
      <c r="G770" s="152">
        <v>319148.43563229003</v>
      </c>
      <c r="H770" s="152">
        <v>522817.30974446499</v>
      </c>
      <c r="I770" t="s">
        <v>742</v>
      </c>
      <c r="J770" t="s">
        <v>135</v>
      </c>
      <c r="K770">
        <v>523050</v>
      </c>
      <c r="L770" t="s">
        <v>140</v>
      </c>
      <c r="M770"/>
      <c r="N770"/>
      <c r="O770"/>
      <c r="P770"/>
      <c r="Q770" s="152"/>
      <c r="R770"/>
      <c r="S770"/>
      <c r="T770"/>
      <c r="U770"/>
      <c r="V770"/>
    </row>
    <row r="771" spans="1:22" x14ac:dyDescent="0.2">
      <c r="A771" t="s">
        <v>338</v>
      </c>
      <c r="B771" t="s">
        <v>73</v>
      </c>
      <c r="C771" s="152">
        <v>9</v>
      </c>
      <c r="D771" s="152">
        <v>13</v>
      </c>
      <c r="E771" s="152">
        <v>22</v>
      </c>
      <c r="F771" s="152">
        <v>195476.07475421001</v>
      </c>
      <c r="G771" s="152">
        <v>220983.93696895399</v>
      </c>
      <c r="H771" s="152">
        <v>416460.011723164</v>
      </c>
      <c r="I771" t="s">
        <v>742</v>
      </c>
      <c r="J771" t="s">
        <v>137</v>
      </c>
      <c r="K771">
        <v>235234</v>
      </c>
      <c r="L771" t="s">
        <v>411</v>
      </c>
      <c r="M771"/>
      <c r="N771"/>
      <c r="O771"/>
      <c r="P771"/>
      <c r="Q771" s="152"/>
      <c r="R771"/>
      <c r="S771"/>
      <c r="T771"/>
      <c r="U771"/>
      <c r="V771"/>
    </row>
    <row r="772" spans="1:22" x14ac:dyDescent="0.2">
      <c r="A772" t="s">
        <v>150</v>
      </c>
      <c r="B772" t="s">
        <v>274</v>
      </c>
      <c r="C772" s="152">
        <v>4</v>
      </c>
      <c r="D772" s="152">
        <v>17</v>
      </c>
      <c r="E772" s="152">
        <v>21</v>
      </c>
      <c r="F772" s="152">
        <v>74180.513467303696</v>
      </c>
      <c r="G772" s="152">
        <v>754190.46305983397</v>
      </c>
      <c r="H772" s="152">
        <v>828370.97652713698</v>
      </c>
      <c r="I772" t="s">
        <v>742</v>
      </c>
      <c r="J772" t="s">
        <v>135</v>
      </c>
      <c r="K772">
        <v>255893</v>
      </c>
      <c r="L772" t="s">
        <v>882</v>
      </c>
      <c r="M772"/>
      <c r="N772"/>
      <c r="O772"/>
      <c r="P772"/>
      <c r="Q772" s="152"/>
      <c r="R772"/>
      <c r="S772"/>
      <c r="T772"/>
      <c r="U772"/>
      <c r="V772"/>
    </row>
    <row r="773" spans="1:22" x14ac:dyDescent="0.2">
      <c r="A773" t="s">
        <v>417</v>
      </c>
      <c r="B773" t="s">
        <v>632</v>
      </c>
      <c r="C773" s="152">
        <v>6</v>
      </c>
      <c r="D773" s="152">
        <v>13</v>
      </c>
      <c r="E773" s="152">
        <v>19</v>
      </c>
      <c r="F773" s="152">
        <v>307949.22622565198</v>
      </c>
      <c r="G773" s="152">
        <v>951914.36080506397</v>
      </c>
      <c r="H773" s="152">
        <v>1259863.58703072</v>
      </c>
      <c r="I773" t="s">
        <v>742</v>
      </c>
      <c r="J773" t="s">
        <v>135</v>
      </c>
      <c r="K773">
        <v>174433</v>
      </c>
      <c r="L773" t="s">
        <v>450</v>
      </c>
      <c r="M773"/>
      <c r="N773"/>
      <c r="O773"/>
      <c r="P773"/>
      <c r="Q773" s="152"/>
      <c r="R773"/>
      <c r="S773"/>
      <c r="T773"/>
      <c r="U773"/>
      <c r="V773"/>
    </row>
    <row r="774" spans="1:22" x14ac:dyDescent="0.2">
      <c r="A774" t="s">
        <v>49</v>
      </c>
      <c r="B774" t="s">
        <v>259</v>
      </c>
      <c r="C774" s="152">
        <v>6</v>
      </c>
      <c r="D774" s="152">
        <v>12</v>
      </c>
      <c r="E774" s="152">
        <v>18</v>
      </c>
      <c r="F774" s="152">
        <v>159089.181338561</v>
      </c>
      <c r="G774" s="152">
        <v>564937.81164551503</v>
      </c>
      <c r="H774" s="152">
        <v>724026.99298407696</v>
      </c>
      <c r="I774" t="s">
        <v>742</v>
      </c>
      <c r="J774" t="s">
        <v>135</v>
      </c>
      <c r="K774">
        <v>371294</v>
      </c>
      <c r="L774" t="s">
        <v>411</v>
      </c>
      <c r="M774"/>
      <c r="N774"/>
      <c r="O774"/>
      <c r="P774"/>
      <c r="Q774" s="152"/>
      <c r="R774"/>
      <c r="S774"/>
      <c r="T774"/>
      <c r="U774"/>
      <c r="V774"/>
    </row>
    <row r="775" spans="1:22" x14ac:dyDescent="0.2">
      <c r="A775" t="s">
        <v>183</v>
      </c>
      <c r="B775" t="s">
        <v>1132</v>
      </c>
      <c r="C775" s="152">
        <v>3</v>
      </c>
      <c r="D775" s="152">
        <v>15</v>
      </c>
      <c r="E775" s="152">
        <v>18</v>
      </c>
      <c r="F775" s="152">
        <v>108457.6627327</v>
      </c>
      <c r="G775" s="152">
        <v>489251.38000479998</v>
      </c>
      <c r="H775" s="152">
        <v>597709.04273750004</v>
      </c>
      <c r="I775" t="s">
        <v>742</v>
      </c>
      <c r="J775" t="s">
        <v>135</v>
      </c>
      <c r="K775">
        <v>798710</v>
      </c>
      <c r="L775" t="s">
        <v>450</v>
      </c>
      <c r="M775"/>
      <c r="N775"/>
      <c r="O775"/>
      <c r="P775"/>
      <c r="Q775" s="152"/>
      <c r="R775"/>
      <c r="S775"/>
      <c r="T775"/>
      <c r="U775"/>
      <c r="V775"/>
    </row>
    <row r="776" spans="1:22" x14ac:dyDescent="0.2">
      <c r="A776" t="s">
        <v>49</v>
      </c>
      <c r="B776" t="s">
        <v>186</v>
      </c>
      <c r="C776" s="152">
        <v>9</v>
      </c>
      <c r="D776" s="152">
        <v>9</v>
      </c>
      <c r="E776" s="152">
        <v>18</v>
      </c>
      <c r="F776" s="152">
        <v>113274.535850682</v>
      </c>
      <c r="G776" s="152">
        <v>190216.48454782</v>
      </c>
      <c r="H776" s="152">
        <v>303491.02039850102</v>
      </c>
      <c r="I776" t="s">
        <v>742</v>
      </c>
      <c r="J776" t="s">
        <v>135</v>
      </c>
      <c r="K776">
        <v>188482</v>
      </c>
      <c r="L776" t="s">
        <v>882</v>
      </c>
      <c r="M776"/>
      <c r="N776"/>
      <c r="O776"/>
      <c r="P776"/>
      <c r="Q776" s="152"/>
      <c r="R776"/>
      <c r="S776"/>
      <c r="T776"/>
      <c r="U776"/>
      <c r="V776"/>
    </row>
    <row r="777" spans="1:22" x14ac:dyDescent="0.2">
      <c r="A777" t="s">
        <v>268</v>
      </c>
      <c r="B777" t="s">
        <v>539</v>
      </c>
      <c r="C777" s="152">
        <v>9</v>
      </c>
      <c r="D777" s="152">
        <v>8</v>
      </c>
      <c r="E777" s="152">
        <v>17</v>
      </c>
      <c r="F777" s="152">
        <v>198743.73064044799</v>
      </c>
      <c r="G777" s="152">
        <v>339928.91974740103</v>
      </c>
      <c r="H777" s="152">
        <v>538672.65038784896</v>
      </c>
      <c r="I777" t="s">
        <v>742</v>
      </c>
      <c r="J777" t="s">
        <v>135</v>
      </c>
      <c r="K777">
        <v>157438</v>
      </c>
      <c r="L777" t="s">
        <v>540</v>
      </c>
      <c r="M777"/>
      <c r="N777"/>
      <c r="O777"/>
      <c r="P777"/>
      <c r="Q777" s="152"/>
      <c r="R777"/>
      <c r="S777"/>
      <c r="T777"/>
      <c r="U777"/>
      <c r="V777"/>
    </row>
    <row r="778" spans="1:22" x14ac:dyDescent="0.2">
      <c r="A778" t="s">
        <v>328</v>
      </c>
      <c r="B778" t="s">
        <v>356</v>
      </c>
      <c r="C778" s="152">
        <v>4</v>
      </c>
      <c r="D778" s="152">
        <v>10</v>
      </c>
      <c r="E778" s="152">
        <v>14</v>
      </c>
      <c r="F778" s="152">
        <v>75570.095062697306</v>
      </c>
      <c r="G778" s="152">
        <v>153003.145427952</v>
      </c>
      <c r="H778" s="152">
        <v>228573.24049065</v>
      </c>
      <c r="I778" t="s">
        <v>867</v>
      </c>
      <c r="J778" t="s">
        <v>137</v>
      </c>
      <c r="K778">
        <v>422238</v>
      </c>
      <c r="L778" t="s">
        <v>1068</v>
      </c>
      <c r="M778"/>
      <c r="N778"/>
      <c r="O778"/>
      <c r="P778"/>
      <c r="Q778" s="152"/>
      <c r="R778"/>
      <c r="S778"/>
      <c r="T778"/>
      <c r="U778"/>
      <c r="V778"/>
    </row>
    <row r="779" spans="1:22" x14ac:dyDescent="0.2">
      <c r="A779" t="s">
        <v>166</v>
      </c>
      <c r="B779" t="s">
        <v>79</v>
      </c>
      <c r="C779" s="152">
        <v>9</v>
      </c>
      <c r="D779" s="152">
        <v>4</v>
      </c>
      <c r="E779" s="152">
        <v>13</v>
      </c>
      <c r="F779" s="152">
        <v>236485.14301245901</v>
      </c>
      <c r="G779" s="152">
        <v>78731.716485722602</v>
      </c>
      <c r="H779" s="152">
        <v>315216.85949818202</v>
      </c>
      <c r="I779" t="s">
        <v>742</v>
      </c>
      <c r="J779" t="s">
        <v>135</v>
      </c>
      <c r="K779">
        <v>216408</v>
      </c>
      <c r="L779" t="s">
        <v>65</v>
      </c>
      <c r="M779"/>
      <c r="N779"/>
      <c r="O779"/>
      <c r="P779"/>
      <c r="Q779" s="152"/>
      <c r="R779"/>
      <c r="S779"/>
      <c r="T779"/>
      <c r="U779"/>
      <c r="V779"/>
    </row>
    <row r="780" spans="1:22" x14ac:dyDescent="0.2">
      <c r="A780" t="s">
        <v>166</v>
      </c>
      <c r="B780" t="s">
        <v>72</v>
      </c>
      <c r="C780" s="152">
        <v>11</v>
      </c>
      <c r="D780" s="152">
        <v>2</v>
      </c>
      <c r="E780" s="152">
        <v>13</v>
      </c>
      <c r="F780" s="152">
        <v>139559.67704404501</v>
      </c>
      <c r="G780" s="152">
        <v>22017.5765624696</v>
      </c>
      <c r="H780" s="152">
        <v>161577.25360651501</v>
      </c>
      <c r="I780" t="s">
        <v>742</v>
      </c>
      <c r="J780" t="s">
        <v>135</v>
      </c>
      <c r="K780">
        <v>199406</v>
      </c>
      <c r="L780" t="s">
        <v>411</v>
      </c>
      <c r="M780"/>
      <c r="N780"/>
      <c r="O780"/>
      <c r="P780"/>
      <c r="Q780" s="152"/>
      <c r="R780"/>
      <c r="S780"/>
      <c r="T780"/>
      <c r="U780"/>
      <c r="V780"/>
    </row>
    <row r="781" spans="1:22" x14ac:dyDescent="0.2">
      <c r="A781" t="s">
        <v>735</v>
      </c>
      <c r="B781" t="s">
        <v>964</v>
      </c>
      <c r="C781" s="152">
        <v>2</v>
      </c>
      <c r="D781" s="152">
        <v>10</v>
      </c>
      <c r="E781" s="152">
        <v>12</v>
      </c>
      <c r="F781" s="152">
        <v>31411.512358208001</v>
      </c>
      <c r="G781" s="152">
        <v>283766.141144211</v>
      </c>
      <c r="H781" s="152">
        <v>315177.65350241901</v>
      </c>
      <c r="I781" t="s">
        <v>742</v>
      </c>
      <c r="J781" t="s">
        <v>136</v>
      </c>
      <c r="K781">
        <v>140434</v>
      </c>
      <c r="L781" t="s">
        <v>140</v>
      </c>
      <c r="M781"/>
      <c r="N781"/>
      <c r="O781"/>
      <c r="P781"/>
      <c r="Q781" s="152"/>
      <c r="R781"/>
      <c r="S781"/>
      <c r="T781"/>
      <c r="U781"/>
      <c r="V781"/>
    </row>
    <row r="782" spans="1:22" x14ac:dyDescent="0.2">
      <c r="A782" t="s">
        <v>417</v>
      </c>
      <c r="B782" t="s">
        <v>541</v>
      </c>
      <c r="C782" s="152">
        <v>2</v>
      </c>
      <c r="D782" s="152">
        <v>10</v>
      </c>
      <c r="E782" s="152">
        <v>12</v>
      </c>
      <c r="F782" s="152">
        <v>71973.820994706999</v>
      </c>
      <c r="G782" s="152">
        <v>173359.80703663101</v>
      </c>
      <c r="H782" s="152">
        <v>245333.62803133801</v>
      </c>
      <c r="I782" t="s">
        <v>742</v>
      </c>
      <c r="J782" t="s">
        <v>135</v>
      </c>
      <c r="K782">
        <v>985770</v>
      </c>
      <c r="L782" t="s">
        <v>540</v>
      </c>
      <c r="M782"/>
      <c r="N782"/>
      <c r="O782"/>
      <c r="P782"/>
      <c r="Q782" s="152"/>
      <c r="R782"/>
      <c r="S782"/>
      <c r="T782"/>
      <c r="U782"/>
      <c r="V782"/>
    </row>
    <row r="783" spans="1:22" x14ac:dyDescent="0.2">
      <c r="A783" t="s">
        <v>312</v>
      </c>
      <c r="B783" t="s">
        <v>850</v>
      </c>
      <c r="C783" s="152">
        <v>4</v>
      </c>
      <c r="D783" s="152">
        <v>6</v>
      </c>
      <c r="E783" s="152">
        <v>10</v>
      </c>
      <c r="F783" s="152">
        <v>53258.200223067099</v>
      </c>
      <c r="G783" s="152">
        <v>202084.34402831399</v>
      </c>
      <c r="H783" s="152">
        <v>255342.54425138101</v>
      </c>
      <c r="I783" t="s">
        <v>742</v>
      </c>
      <c r="J783" t="s">
        <v>135</v>
      </c>
      <c r="K783">
        <v>558882</v>
      </c>
      <c r="L783" t="s">
        <v>140</v>
      </c>
      <c r="M783"/>
      <c r="N783"/>
      <c r="O783"/>
      <c r="P783"/>
      <c r="Q783" s="152"/>
      <c r="R783"/>
      <c r="S783"/>
      <c r="T783"/>
      <c r="U783"/>
      <c r="V783"/>
    </row>
    <row r="784" spans="1:22" x14ac:dyDescent="0.2">
      <c r="A784" t="s">
        <v>338</v>
      </c>
      <c r="B784" t="s">
        <v>1081</v>
      </c>
      <c r="C784" s="152">
        <v>4</v>
      </c>
      <c r="D784" s="152">
        <v>6</v>
      </c>
      <c r="E784" s="152">
        <v>10</v>
      </c>
      <c r="F784" s="152">
        <v>48399.623076514399</v>
      </c>
      <c r="G784" s="152">
        <v>79434.028718975402</v>
      </c>
      <c r="H784" s="152">
        <v>127833.65179549</v>
      </c>
      <c r="I784" t="s">
        <v>867</v>
      </c>
      <c r="J784" t="s">
        <v>137</v>
      </c>
      <c r="K784">
        <v>853374</v>
      </c>
      <c r="L784" t="s">
        <v>1068</v>
      </c>
      <c r="M784"/>
      <c r="N784"/>
      <c r="O784"/>
      <c r="P784"/>
      <c r="Q784" s="152"/>
      <c r="R784"/>
      <c r="S784"/>
      <c r="T784"/>
      <c r="U784"/>
      <c r="V784"/>
    </row>
    <row r="785" spans="1:22" x14ac:dyDescent="0.2">
      <c r="A785" t="s">
        <v>312</v>
      </c>
      <c r="B785" t="s">
        <v>446</v>
      </c>
      <c r="C785" s="152">
        <v>6</v>
      </c>
      <c r="D785" s="152">
        <v>4</v>
      </c>
      <c r="E785" s="152">
        <v>10</v>
      </c>
      <c r="F785" s="152">
        <v>92393.614916229795</v>
      </c>
      <c r="G785" s="152">
        <v>23213.0529554799</v>
      </c>
      <c r="H785" s="152">
        <v>115606.66787171</v>
      </c>
      <c r="I785" t="s">
        <v>742</v>
      </c>
      <c r="J785" t="s">
        <v>135</v>
      </c>
      <c r="K785">
        <v>289835</v>
      </c>
      <c r="L785" t="s">
        <v>340</v>
      </c>
      <c r="M785"/>
      <c r="N785"/>
      <c r="O785"/>
      <c r="P785"/>
      <c r="Q785" s="152"/>
      <c r="R785"/>
      <c r="S785"/>
      <c r="T785"/>
      <c r="U785"/>
      <c r="V785"/>
    </row>
    <row r="786" spans="1:22" x14ac:dyDescent="0.2">
      <c r="A786" t="s">
        <v>166</v>
      </c>
      <c r="B786" t="s">
        <v>977</v>
      </c>
      <c r="C786" s="152">
        <v>6</v>
      </c>
      <c r="D786" s="152">
        <v>3</v>
      </c>
      <c r="E786" s="152">
        <v>9</v>
      </c>
      <c r="F786" s="152">
        <v>171182.56119215599</v>
      </c>
      <c r="G786" s="152">
        <v>62386.914531101203</v>
      </c>
      <c r="H786" s="152">
        <v>233569.475723257</v>
      </c>
      <c r="I786" t="s">
        <v>742</v>
      </c>
      <c r="J786" t="s">
        <v>135</v>
      </c>
      <c r="K786">
        <v>306837</v>
      </c>
      <c r="L786" t="s">
        <v>340</v>
      </c>
      <c r="M786"/>
      <c r="N786"/>
      <c r="O786"/>
      <c r="P786"/>
      <c r="Q786" s="152"/>
      <c r="R786"/>
      <c r="S786"/>
      <c r="T786"/>
      <c r="U786"/>
      <c r="V786"/>
    </row>
    <row r="787" spans="1:22" x14ac:dyDescent="0.2">
      <c r="A787" t="s">
        <v>49</v>
      </c>
      <c r="B787" t="s">
        <v>248</v>
      </c>
      <c r="C787" s="152">
        <v>2</v>
      </c>
      <c r="D787" s="152">
        <v>6</v>
      </c>
      <c r="E787" s="152">
        <v>8</v>
      </c>
      <c r="F787" s="152">
        <v>82906.804396398205</v>
      </c>
      <c r="G787" s="152">
        <v>162197.271896914</v>
      </c>
      <c r="H787" s="152">
        <v>245104.07629331201</v>
      </c>
      <c r="I787" t="s">
        <v>742</v>
      </c>
      <c r="J787" t="s">
        <v>135</v>
      </c>
      <c r="K787">
        <v>902668</v>
      </c>
      <c r="L787" t="s">
        <v>899</v>
      </c>
      <c r="M787"/>
      <c r="N787"/>
      <c r="O787"/>
      <c r="P787"/>
      <c r="Q787" s="152"/>
      <c r="R787"/>
      <c r="S787"/>
      <c r="T787"/>
      <c r="U787"/>
      <c r="V787"/>
    </row>
    <row r="788" spans="1:22" x14ac:dyDescent="0.2">
      <c r="A788" t="s">
        <v>114</v>
      </c>
      <c r="B788" t="s">
        <v>1147</v>
      </c>
      <c r="C788" s="152">
        <v>3</v>
      </c>
      <c r="D788" s="152">
        <v>4</v>
      </c>
      <c r="E788" s="152">
        <v>7</v>
      </c>
      <c r="F788" s="152">
        <v>51328.709651405603</v>
      </c>
      <c r="G788" s="152">
        <v>311454.62203698</v>
      </c>
      <c r="H788" s="152">
        <v>362783.33168838499</v>
      </c>
      <c r="I788" t="s">
        <v>742</v>
      </c>
      <c r="J788" t="s">
        <v>135</v>
      </c>
      <c r="K788">
        <v>448910</v>
      </c>
      <c r="L788" t="s">
        <v>504</v>
      </c>
      <c r="M788"/>
      <c r="N788"/>
      <c r="O788"/>
      <c r="P788"/>
      <c r="Q788" s="152"/>
      <c r="R788"/>
      <c r="S788"/>
      <c r="T788"/>
      <c r="U788"/>
      <c r="V788"/>
    </row>
    <row r="789" spans="1:22" x14ac:dyDescent="0.2">
      <c r="A789" t="s">
        <v>49</v>
      </c>
      <c r="B789" t="s">
        <v>483</v>
      </c>
      <c r="C789" s="152">
        <v>3</v>
      </c>
      <c r="D789" s="152">
        <v>4</v>
      </c>
      <c r="E789" s="152">
        <v>7</v>
      </c>
      <c r="F789" s="152">
        <v>66271.606802188995</v>
      </c>
      <c r="G789" s="152">
        <v>141297.23458263301</v>
      </c>
      <c r="H789" s="152">
        <v>207568.84138482201</v>
      </c>
      <c r="I789" t="s">
        <v>742</v>
      </c>
      <c r="J789" t="s">
        <v>135</v>
      </c>
      <c r="K789">
        <v>724633</v>
      </c>
      <c r="L789" t="s">
        <v>46</v>
      </c>
      <c r="M789"/>
      <c r="N789"/>
      <c r="O789"/>
      <c r="P789"/>
      <c r="Q789" s="152"/>
      <c r="R789"/>
      <c r="S789"/>
      <c r="T789"/>
      <c r="U789"/>
      <c r="V789"/>
    </row>
    <row r="790" spans="1:22" x14ac:dyDescent="0.2">
      <c r="A790" t="s">
        <v>268</v>
      </c>
      <c r="B790" t="s">
        <v>442</v>
      </c>
      <c r="C790" s="152">
        <v>2</v>
      </c>
      <c r="D790" s="152">
        <v>5</v>
      </c>
      <c r="E790" s="152">
        <v>7</v>
      </c>
      <c r="F790" s="152">
        <v>38143.949372854899</v>
      </c>
      <c r="G790" s="152">
        <v>166298.67478935001</v>
      </c>
      <c r="H790" s="152">
        <v>204442.624162205</v>
      </c>
      <c r="I790" t="s">
        <v>742</v>
      </c>
      <c r="J790" t="s">
        <v>135</v>
      </c>
      <c r="K790">
        <v>809699</v>
      </c>
      <c r="L790" t="s">
        <v>140</v>
      </c>
      <c r="M790"/>
      <c r="N790"/>
      <c r="O790"/>
      <c r="P790"/>
      <c r="Q790" s="152"/>
      <c r="R790"/>
      <c r="S790"/>
      <c r="T790"/>
      <c r="U790"/>
      <c r="V790"/>
    </row>
    <row r="791" spans="1:22" x14ac:dyDescent="0.2">
      <c r="A791" t="s">
        <v>183</v>
      </c>
      <c r="B791" t="s">
        <v>688</v>
      </c>
      <c r="C791" s="152">
        <v>1</v>
      </c>
      <c r="D791" s="152">
        <v>6</v>
      </c>
      <c r="E791" s="152">
        <v>7</v>
      </c>
      <c r="F791" s="152">
        <v>1527.46280047545</v>
      </c>
      <c r="G791" s="152">
        <v>128952.53693854201</v>
      </c>
      <c r="H791" s="152">
        <v>130479.999739017</v>
      </c>
      <c r="I791" t="s">
        <v>742</v>
      </c>
      <c r="J791" t="s">
        <v>135</v>
      </c>
      <c r="K791">
        <v>681544</v>
      </c>
      <c r="L791" t="s">
        <v>685</v>
      </c>
      <c r="M791"/>
      <c r="N791"/>
      <c r="O791"/>
      <c r="P791"/>
      <c r="Q791" s="152"/>
      <c r="R791"/>
      <c r="S791"/>
      <c r="T791"/>
      <c r="U791"/>
      <c r="V791"/>
    </row>
    <row r="792" spans="1:22" x14ac:dyDescent="0.2">
      <c r="A792" t="s">
        <v>166</v>
      </c>
      <c r="B792" t="s">
        <v>1148</v>
      </c>
      <c r="C792" s="152">
        <v>4</v>
      </c>
      <c r="D792" s="152">
        <v>2</v>
      </c>
      <c r="E792" s="152">
        <v>6</v>
      </c>
      <c r="F792" s="152">
        <v>77917.866385655696</v>
      </c>
      <c r="G792" s="152">
        <v>56208.009884457897</v>
      </c>
      <c r="H792" s="152">
        <v>134125.87627011401</v>
      </c>
      <c r="I792" t="s">
        <v>742</v>
      </c>
      <c r="J792" t="s">
        <v>135</v>
      </c>
      <c r="K792">
        <v>594713</v>
      </c>
      <c r="L792" t="s">
        <v>140</v>
      </c>
      <c r="M792"/>
      <c r="N792"/>
      <c r="O792"/>
      <c r="P792"/>
      <c r="Q792" s="152"/>
      <c r="S792"/>
      <c r="T792"/>
      <c r="U792"/>
      <c r="V792"/>
    </row>
    <row r="793" spans="1:22" x14ac:dyDescent="0.2">
      <c r="A793" t="s">
        <v>166</v>
      </c>
      <c r="B793" t="s">
        <v>889</v>
      </c>
      <c r="C793" s="152">
        <v>4</v>
      </c>
      <c r="D793" s="152">
        <v>2</v>
      </c>
      <c r="E793" s="152">
        <v>6</v>
      </c>
      <c r="F793" s="152">
        <v>96320.963739720799</v>
      </c>
      <c r="G793" s="152">
        <v>21205.640239017201</v>
      </c>
      <c r="H793" s="152">
        <v>117526.603978738</v>
      </c>
      <c r="I793" t="s">
        <v>742</v>
      </c>
      <c r="J793" t="s">
        <v>135</v>
      </c>
      <c r="K793">
        <v>224311</v>
      </c>
      <c r="L793" t="s">
        <v>882</v>
      </c>
      <c r="M793"/>
      <c r="N793"/>
      <c r="O793"/>
      <c r="P793"/>
      <c r="Q793" s="152"/>
    </row>
    <row r="794" spans="1:22" x14ac:dyDescent="0.2">
      <c r="A794" t="s">
        <v>234</v>
      </c>
      <c r="B794" t="s">
        <v>545</v>
      </c>
      <c r="C794" s="152">
        <v>2</v>
      </c>
      <c r="D794" s="152">
        <v>2</v>
      </c>
      <c r="E794" s="152">
        <v>4</v>
      </c>
      <c r="F794" s="152">
        <v>68668.538845342802</v>
      </c>
      <c r="G794" s="152">
        <v>84859.301771068407</v>
      </c>
      <c r="H794" s="152">
        <v>153527.84061641101</v>
      </c>
      <c r="I794" t="s">
        <v>742</v>
      </c>
      <c r="J794" t="s">
        <v>135</v>
      </c>
      <c r="K794">
        <v>949941</v>
      </c>
      <c r="L794" t="s">
        <v>540</v>
      </c>
      <c r="M794"/>
      <c r="N794"/>
      <c r="O794"/>
      <c r="P794"/>
      <c r="Q794" s="152"/>
    </row>
    <row r="795" spans="1:22" x14ac:dyDescent="0.2">
      <c r="A795" t="s">
        <v>234</v>
      </c>
      <c r="B795" t="s">
        <v>542</v>
      </c>
      <c r="C795" s="152">
        <v>2</v>
      </c>
      <c r="D795" s="152">
        <v>2</v>
      </c>
      <c r="E795" s="152">
        <v>4</v>
      </c>
      <c r="F795" s="152">
        <v>45302.487914439102</v>
      </c>
      <c r="G795" s="152">
        <v>64402.130598562602</v>
      </c>
      <c r="H795" s="152">
        <v>109704.618513002</v>
      </c>
      <c r="I795" t="s">
        <v>742</v>
      </c>
      <c r="J795" t="s">
        <v>135</v>
      </c>
      <c r="K795">
        <v>490235</v>
      </c>
      <c r="L795" t="s">
        <v>543</v>
      </c>
      <c r="M795"/>
      <c r="N795"/>
      <c r="O795"/>
      <c r="P795"/>
      <c r="Q795" s="152"/>
    </row>
    <row r="796" spans="1:22" x14ac:dyDescent="0.2">
      <c r="A796" t="s">
        <v>166</v>
      </c>
      <c r="B796" t="s">
        <v>1101</v>
      </c>
      <c r="C796" s="152">
        <v>2</v>
      </c>
      <c r="D796" s="152">
        <v>2</v>
      </c>
      <c r="E796" s="152">
        <v>4</v>
      </c>
      <c r="F796" s="152">
        <v>26351.15123838</v>
      </c>
      <c r="G796" s="152">
        <v>25493.765514539999</v>
      </c>
      <c r="H796" s="152">
        <v>51844.916752919999</v>
      </c>
      <c r="I796" t="s">
        <v>867</v>
      </c>
      <c r="J796" t="s">
        <v>135</v>
      </c>
      <c r="K796">
        <v>208439</v>
      </c>
      <c r="L796" t="s">
        <v>847</v>
      </c>
      <c r="M796"/>
      <c r="N796"/>
      <c r="O796"/>
      <c r="P796"/>
      <c r="Q796" s="152"/>
    </row>
    <row r="797" spans="1:22" x14ac:dyDescent="0.2">
      <c r="A797" t="s">
        <v>735</v>
      </c>
      <c r="B797" t="s">
        <v>1062</v>
      </c>
      <c r="C797" s="152">
        <v>0</v>
      </c>
      <c r="D797" s="152">
        <v>1</v>
      </c>
      <c r="E797" s="152">
        <v>1</v>
      </c>
      <c r="F797" s="152">
        <v>0</v>
      </c>
      <c r="G797" s="152">
        <v>20823.123003839999</v>
      </c>
      <c r="H797" s="152">
        <v>20823.123003839999</v>
      </c>
      <c r="I797" t="s">
        <v>742</v>
      </c>
      <c r="J797" t="s">
        <v>136</v>
      </c>
      <c r="K797">
        <v>191437</v>
      </c>
      <c r="L797" t="s">
        <v>450</v>
      </c>
      <c r="M797"/>
      <c r="N797"/>
      <c r="O797"/>
      <c r="P797"/>
      <c r="Q797" s="152"/>
    </row>
    <row r="798" spans="1:22" x14ac:dyDescent="0.2">
      <c r="A798" t="s">
        <v>166</v>
      </c>
      <c r="B798" t="s">
        <v>455</v>
      </c>
      <c r="C798" s="152">
        <v>1</v>
      </c>
      <c r="D798" s="152">
        <v>0</v>
      </c>
      <c r="E798" s="152">
        <v>1</v>
      </c>
      <c r="F798" s="152">
        <v>3429.8133334835302</v>
      </c>
      <c r="G798" s="152">
        <v>0</v>
      </c>
      <c r="H798" s="152">
        <v>3429.8133334835302</v>
      </c>
      <c r="I798" t="s">
        <v>742</v>
      </c>
      <c r="J798" t="s">
        <v>135</v>
      </c>
      <c r="K798">
        <v>306894</v>
      </c>
      <c r="L798" t="s">
        <v>411</v>
      </c>
      <c r="M798"/>
      <c r="N798"/>
      <c r="O798"/>
      <c r="P798"/>
      <c r="Q798" s="152"/>
    </row>
    <row r="799" spans="1:22" x14ac:dyDescent="0.2">
      <c r="A799" s="225"/>
      <c r="B799" s="152"/>
      <c r="C799" s="152"/>
      <c r="D799" s="152"/>
      <c r="E799" s="152"/>
      <c r="F799" s="152"/>
      <c r="G799" s="152"/>
      <c r="H799"/>
      <c r="I799"/>
      <c r="J799"/>
      <c r="K799"/>
      <c r="L799"/>
      <c r="M799"/>
      <c r="N799" s="20"/>
      <c r="O799"/>
      <c r="P799"/>
      <c r="Q799" s="152"/>
    </row>
    <row r="800" spans="1:22" x14ac:dyDescent="0.2">
      <c r="A800" s="225"/>
      <c r="B800" s="152"/>
      <c r="C800" s="152"/>
      <c r="D800" s="152"/>
      <c r="E800" s="152"/>
      <c r="F800" s="152"/>
      <c r="G800" s="152"/>
      <c r="H800"/>
      <c r="I800"/>
      <c r="J800"/>
      <c r="K800"/>
      <c r="L800"/>
      <c r="M800"/>
      <c r="N800" s="20"/>
      <c r="O800"/>
      <c r="P800"/>
      <c r="Q800" s="152"/>
    </row>
    <row r="801" spans="1:18" x14ac:dyDescent="0.2">
      <c r="A801" s="225"/>
      <c r="B801" s="152"/>
      <c r="C801" s="152"/>
      <c r="D801" s="152"/>
      <c r="E801" s="152"/>
      <c r="F801" s="152"/>
      <c r="G801" s="152"/>
      <c r="H801"/>
      <c r="I801"/>
      <c r="J801"/>
      <c r="K801"/>
      <c r="L801"/>
      <c r="M801"/>
      <c r="N801" s="20"/>
      <c r="O801" s="18"/>
      <c r="P801" s="152"/>
      <c r="Q801" s="152"/>
    </row>
    <row r="802" spans="1:18" x14ac:dyDescent="0.2">
      <c r="A802" s="225"/>
      <c r="B802" s="152"/>
      <c r="C802" s="152"/>
      <c r="D802" s="152"/>
      <c r="E802" s="152"/>
      <c r="F802" s="152"/>
      <c r="G802" s="152"/>
      <c r="H802"/>
      <c r="I802"/>
      <c r="J802"/>
      <c r="K802"/>
      <c r="L802"/>
      <c r="M802"/>
      <c r="N802" s="20"/>
      <c r="O802" s="18"/>
      <c r="P802" s="152"/>
      <c r="Q802" s="152"/>
    </row>
    <row r="803" spans="1:18" x14ac:dyDescent="0.2">
      <c r="A803" s="225"/>
      <c r="B803" s="152"/>
      <c r="C803" s="152"/>
      <c r="D803" s="152"/>
      <c r="E803" s="152"/>
      <c r="F803" s="152"/>
      <c r="G803" s="152"/>
      <c r="H803"/>
      <c r="I803"/>
      <c r="J803"/>
      <c r="K803"/>
      <c r="L803"/>
      <c r="M803"/>
      <c r="N803" s="20"/>
      <c r="O803" s="18"/>
      <c r="P803" s="152"/>
      <c r="Q803" s="152"/>
    </row>
    <row r="804" spans="1:18" x14ac:dyDescent="0.2">
      <c r="A804" s="225"/>
      <c r="B804" s="152"/>
      <c r="C804" s="152"/>
      <c r="D804" s="152"/>
      <c r="E804" s="152"/>
      <c r="F804" s="152"/>
      <c r="G804" s="152"/>
      <c r="H804"/>
      <c r="I804"/>
      <c r="J804"/>
      <c r="K804"/>
      <c r="L804"/>
      <c r="M804"/>
      <c r="N804" s="20"/>
      <c r="O804" s="18"/>
      <c r="P804" s="152"/>
      <c r="Q804" s="152"/>
    </row>
    <row r="805" spans="1:18" x14ac:dyDescent="0.2">
      <c r="A805" s="225"/>
      <c r="B805" s="152"/>
      <c r="C805" s="152"/>
      <c r="D805" s="152"/>
      <c r="E805" s="152"/>
      <c r="F805" s="152"/>
      <c r="G805" s="152"/>
      <c r="H805"/>
      <c r="I805"/>
      <c r="J805"/>
      <c r="K805"/>
      <c r="L805"/>
      <c r="M805"/>
      <c r="N805" s="20"/>
      <c r="O805" s="18"/>
      <c r="P805" s="152"/>
      <c r="Q805" s="152"/>
    </row>
    <row r="806" spans="1:18" x14ac:dyDescent="0.2">
      <c r="A806" s="225"/>
      <c r="B806" s="152"/>
      <c r="C806" s="152"/>
      <c r="D806" s="152"/>
      <c r="E806" s="152"/>
      <c r="F806" s="152"/>
      <c r="G806" s="152"/>
      <c r="H806"/>
      <c r="I806"/>
      <c r="J806"/>
      <c r="K806"/>
      <c r="L806"/>
      <c r="M806"/>
      <c r="N806" s="20"/>
      <c r="O806" s="18"/>
      <c r="P806" s="152"/>
      <c r="Q806" s="152"/>
    </row>
    <row r="807" spans="1:18" x14ac:dyDescent="0.2">
      <c r="A807" s="225"/>
      <c r="B807" s="152"/>
      <c r="C807" s="152"/>
      <c r="D807" s="152"/>
      <c r="E807" s="152"/>
      <c r="F807" s="152"/>
      <c r="G807" s="152"/>
      <c r="H807"/>
      <c r="I807"/>
      <c r="J807"/>
      <c r="K807"/>
      <c r="L807"/>
      <c r="M807"/>
      <c r="N807" s="20"/>
      <c r="O807" s="18"/>
      <c r="P807" s="152"/>
      <c r="Q807" s="152"/>
    </row>
    <row r="808" spans="1:18" x14ac:dyDescent="0.2">
      <c r="A808" s="225"/>
      <c r="B808" s="152"/>
      <c r="C808" s="152"/>
      <c r="D808" s="152"/>
      <c r="E808" s="152"/>
      <c r="F808" s="152"/>
      <c r="G808" s="152"/>
      <c r="H808"/>
      <c r="I808"/>
      <c r="J808"/>
      <c r="K808"/>
      <c r="L808"/>
      <c r="M808"/>
      <c r="N808" s="20"/>
      <c r="O808" s="18"/>
      <c r="P808" s="152"/>
      <c r="Q808" s="152"/>
    </row>
    <row r="809" spans="1:18" x14ac:dyDescent="0.2">
      <c r="A809" s="225"/>
      <c r="B809" s="152"/>
      <c r="C809" s="152"/>
      <c r="D809" s="152"/>
      <c r="E809" s="152"/>
      <c r="F809" s="152"/>
      <c r="G809" s="152"/>
      <c r="H809"/>
      <c r="I809"/>
      <c r="J809"/>
      <c r="K809"/>
      <c r="L809"/>
      <c r="M809"/>
      <c r="N809" s="20"/>
      <c r="O809" s="18"/>
      <c r="P809" s="152"/>
      <c r="Q809" s="152"/>
    </row>
    <row r="810" spans="1:18" x14ac:dyDescent="0.2">
      <c r="A810" s="225"/>
      <c r="B810" s="152"/>
      <c r="C810" s="152"/>
      <c r="D810" s="152"/>
      <c r="E810" s="152"/>
      <c r="F810" s="152"/>
      <c r="G810" s="152"/>
      <c r="H810"/>
      <c r="I810"/>
      <c r="J810"/>
      <c r="K810"/>
      <c r="L810"/>
      <c r="M810"/>
      <c r="N810" s="20"/>
      <c r="O810" s="18"/>
      <c r="P810" s="152"/>
      <c r="Q810" s="152"/>
    </row>
    <row r="811" spans="1:18" x14ac:dyDescent="0.2">
      <c r="A811" s="225"/>
      <c r="B811" s="152"/>
      <c r="C811" s="152"/>
      <c r="D811" s="152"/>
      <c r="E811" s="152"/>
      <c r="F811" s="152"/>
      <c r="G811" s="152"/>
      <c r="H811"/>
      <c r="I811"/>
      <c r="J811"/>
      <c r="K811"/>
      <c r="L811"/>
      <c r="M811"/>
      <c r="N811" s="20"/>
      <c r="O811" s="23"/>
      <c r="P811" s="152"/>
      <c r="Q811" s="152"/>
      <c r="R811" s="23"/>
    </row>
    <row r="812" spans="1:18" x14ac:dyDescent="0.2">
      <c r="A812" s="225"/>
      <c r="B812" s="152"/>
      <c r="C812" s="152"/>
      <c r="D812" s="152"/>
      <c r="E812" s="152"/>
      <c r="F812" s="152"/>
      <c r="G812" s="152"/>
      <c r="H812"/>
      <c r="I812"/>
      <c r="J812"/>
      <c r="K812"/>
      <c r="L812"/>
      <c r="M812"/>
      <c r="N812" s="20"/>
      <c r="O812" s="23"/>
      <c r="P812" s="152"/>
      <c r="Q812" s="152"/>
      <c r="R812" s="23"/>
    </row>
    <row r="813" spans="1:18" x14ac:dyDescent="0.2">
      <c r="A813" s="225"/>
      <c r="B813" s="152"/>
      <c r="C813" s="152"/>
      <c r="D813" s="152"/>
      <c r="E813" s="152"/>
      <c r="F813" s="152"/>
      <c r="G813" s="152"/>
      <c r="H813"/>
      <c r="I813"/>
      <c r="J813"/>
      <c r="K813"/>
      <c r="L813"/>
      <c r="M813"/>
      <c r="N813" s="20"/>
      <c r="O813" s="23"/>
      <c r="P813" s="152"/>
      <c r="Q813" s="152"/>
      <c r="R813" s="23"/>
    </row>
    <row r="814" spans="1:18" x14ac:dyDescent="0.2">
      <c r="A814" s="225"/>
      <c r="B814" s="152"/>
      <c r="C814" s="152"/>
      <c r="D814" s="152"/>
      <c r="E814" s="152"/>
      <c r="F814" s="152"/>
      <c r="G814" s="152"/>
      <c r="H814"/>
      <c r="I814"/>
      <c r="J814"/>
      <c r="K814"/>
      <c r="L814"/>
      <c r="M814"/>
      <c r="N814" s="20"/>
      <c r="O814" s="23"/>
      <c r="P814" s="152"/>
      <c r="Q814" s="152"/>
      <c r="R814" s="23"/>
    </row>
    <row r="815" spans="1:18" x14ac:dyDescent="0.2">
      <c r="A815" s="225"/>
      <c r="B815" s="152"/>
      <c r="C815" s="152"/>
      <c r="D815" s="152"/>
      <c r="E815" s="152"/>
      <c r="F815" s="152"/>
      <c r="G815" s="152"/>
      <c r="H815"/>
      <c r="I815"/>
      <c r="J815"/>
      <c r="K815"/>
      <c r="L815"/>
      <c r="M815"/>
      <c r="N815" s="20"/>
      <c r="O815" s="23"/>
      <c r="P815" s="152"/>
      <c r="Q815" s="152"/>
      <c r="R815" s="23"/>
    </row>
    <row r="816" spans="1:18" x14ac:dyDescent="0.2">
      <c r="A816" s="225"/>
      <c r="B816" s="152"/>
      <c r="C816" s="152"/>
      <c r="D816" s="152"/>
      <c r="E816" s="152"/>
      <c r="F816" s="152"/>
      <c r="G816" s="152"/>
      <c r="H816"/>
      <c r="I816"/>
      <c r="J816"/>
      <c r="K816"/>
      <c r="L816"/>
      <c r="M816"/>
      <c r="N816" s="20"/>
      <c r="O816" s="23"/>
      <c r="P816" s="152"/>
      <c r="Q816" s="152"/>
      <c r="R816" s="23"/>
    </row>
    <row r="817" spans="1:18" x14ac:dyDescent="0.2">
      <c r="A817" s="225"/>
      <c r="B817" s="152"/>
      <c r="C817" s="152"/>
      <c r="D817" s="152"/>
      <c r="E817" s="152"/>
      <c r="F817" s="152"/>
      <c r="G817" s="152"/>
      <c r="H817"/>
      <c r="I817"/>
      <c r="J817"/>
      <c r="K817"/>
      <c r="L817"/>
      <c r="M817"/>
      <c r="N817" s="20"/>
      <c r="O817" s="23"/>
      <c r="P817" s="152"/>
      <c r="Q817" s="152"/>
      <c r="R817" s="23"/>
    </row>
    <row r="818" spans="1:18" x14ac:dyDescent="0.2">
      <c r="A818" s="225"/>
      <c r="B818" s="152"/>
      <c r="C818" s="152"/>
      <c r="D818" s="152"/>
      <c r="E818" s="152"/>
      <c r="F818" s="152"/>
      <c r="G818" s="152"/>
      <c r="H818"/>
      <c r="I818"/>
      <c r="J818"/>
      <c r="K818"/>
      <c r="L818" s="16"/>
      <c r="N818" s="20"/>
      <c r="O818" s="23"/>
      <c r="P818" s="152"/>
      <c r="Q818" s="152"/>
      <c r="R818" s="23"/>
    </row>
    <row r="819" spans="1:18" x14ac:dyDescent="0.2">
      <c r="A819" s="225"/>
      <c r="B819" s="152"/>
      <c r="C819" s="152"/>
      <c r="D819" s="152"/>
      <c r="E819" s="152"/>
      <c r="F819" s="152"/>
      <c r="G819" s="152"/>
      <c r="H819"/>
      <c r="I819"/>
      <c r="J819"/>
      <c r="K819"/>
      <c r="L819" s="16"/>
      <c r="N819" s="20"/>
      <c r="O819" s="23"/>
      <c r="P819" s="152"/>
      <c r="Q819" s="152"/>
      <c r="R819" s="23"/>
    </row>
    <row r="820" spans="1:18" x14ac:dyDescent="0.2">
      <c r="A820" s="225"/>
      <c r="B820" s="152"/>
      <c r="C820" s="152"/>
      <c r="D820" s="152"/>
      <c r="E820" s="152"/>
      <c r="F820" s="152"/>
      <c r="G820" s="152"/>
      <c r="H820"/>
      <c r="I820"/>
      <c r="J820"/>
      <c r="K820"/>
      <c r="L820" s="16"/>
      <c r="N820" s="20"/>
      <c r="O820" s="23"/>
      <c r="P820" s="152"/>
      <c r="Q820" s="152"/>
      <c r="R820" s="23"/>
    </row>
    <row r="821" spans="1:18" x14ac:dyDescent="0.2">
      <c r="A821" s="225"/>
      <c r="B821" s="152"/>
      <c r="C821" s="152"/>
      <c r="D821" s="152"/>
      <c r="E821" s="152"/>
      <c r="F821" s="152"/>
      <c r="G821" s="152"/>
      <c r="H821"/>
      <c r="I821"/>
      <c r="J821"/>
      <c r="K821"/>
      <c r="L821" s="16"/>
      <c r="N821" s="20"/>
      <c r="O821" s="23"/>
      <c r="P821" s="152"/>
      <c r="Q821" s="152"/>
      <c r="R821" s="23"/>
    </row>
    <row r="822" spans="1:18" x14ac:dyDescent="0.2">
      <c r="A822" s="225"/>
      <c r="B822" s="152"/>
      <c r="C822" s="152"/>
      <c r="D822" s="152"/>
      <c r="E822" s="152"/>
      <c r="F822" s="152"/>
      <c r="G822" s="152"/>
      <c r="H822"/>
      <c r="I822"/>
      <c r="J822"/>
      <c r="K822"/>
      <c r="L822" s="16"/>
      <c r="N822" s="20"/>
      <c r="O822" s="23"/>
      <c r="P822" s="152"/>
      <c r="Q822" s="152"/>
      <c r="R822" s="23"/>
    </row>
    <row r="823" spans="1:18" x14ac:dyDescent="0.2">
      <c r="A823" s="225"/>
      <c r="B823" s="152"/>
      <c r="C823" s="152"/>
      <c r="D823" s="152"/>
      <c r="E823" s="152"/>
      <c r="F823" s="152"/>
      <c r="G823" s="152"/>
      <c r="H823"/>
      <c r="I823"/>
      <c r="J823"/>
      <c r="K823"/>
      <c r="L823" s="16"/>
      <c r="N823" s="20"/>
      <c r="O823" s="23"/>
      <c r="P823" s="152"/>
      <c r="Q823" s="152"/>
      <c r="R823" s="23"/>
    </row>
    <row r="824" spans="1:18" x14ac:dyDescent="0.2">
      <c r="A824" s="225"/>
      <c r="B824" s="152"/>
      <c r="C824" s="152"/>
      <c r="D824" s="152"/>
      <c r="E824" s="152"/>
      <c r="F824" s="152"/>
      <c r="G824" s="152"/>
      <c r="H824"/>
      <c r="I824"/>
      <c r="J824"/>
      <c r="K824"/>
      <c r="L824" s="16"/>
      <c r="N824" s="20"/>
      <c r="O824" s="23"/>
      <c r="P824" s="152"/>
      <c r="Q824" s="152"/>
      <c r="R824" s="23"/>
    </row>
    <row r="825" spans="1:18" x14ac:dyDescent="0.2">
      <c r="A825" s="225"/>
      <c r="B825" s="152"/>
      <c r="C825" s="152"/>
      <c r="D825" s="152"/>
      <c r="E825" s="152"/>
      <c r="F825" s="152"/>
      <c r="G825" s="152"/>
      <c r="H825"/>
      <c r="I825"/>
      <c r="J825"/>
      <c r="K825"/>
      <c r="L825" s="16"/>
      <c r="N825" s="20"/>
      <c r="O825" s="23"/>
      <c r="P825" s="152"/>
      <c r="Q825" s="152"/>
      <c r="R825" s="23"/>
    </row>
    <row r="826" spans="1:18" x14ac:dyDescent="0.2">
      <c r="A826" s="225"/>
      <c r="B826" s="152"/>
      <c r="C826" s="152"/>
      <c r="D826" s="152"/>
      <c r="E826" s="152"/>
      <c r="F826" s="152"/>
      <c r="G826" s="152"/>
      <c r="H826"/>
      <c r="I826"/>
      <c r="J826"/>
      <c r="K826"/>
      <c r="L826" s="16"/>
      <c r="N826" s="20"/>
      <c r="O826" s="23"/>
      <c r="P826" s="152"/>
      <c r="Q826" s="25"/>
      <c r="R826" s="23"/>
    </row>
    <row r="827" spans="1:18" x14ac:dyDescent="0.2">
      <c r="A827" s="225"/>
      <c r="B827" s="152"/>
      <c r="C827" s="152"/>
      <c r="D827" s="152"/>
      <c r="E827" s="152"/>
      <c r="F827" s="152"/>
      <c r="G827" s="152"/>
      <c r="H827"/>
      <c r="I827"/>
      <c r="J827"/>
      <c r="K827"/>
      <c r="L827" s="16"/>
      <c r="N827" s="20"/>
      <c r="O827" s="23"/>
      <c r="P827" s="152"/>
      <c r="Q827" s="25"/>
      <c r="R827" s="23"/>
    </row>
    <row r="828" spans="1:18" x14ac:dyDescent="0.2">
      <c r="A828" s="225"/>
      <c r="B828" s="152"/>
      <c r="C828" s="152"/>
      <c r="D828" s="152"/>
      <c r="E828" s="152"/>
      <c r="F828" s="152"/>
      <c r="G828" s="152"/>
      <c r="H828"/>
      <c r="I828"/>
      <c r="J828"/>
      <c r="K828"/>
      <c r="L828" s="16"/>
      <c r="N828" s="20"/>
      <c r="O828" s="23"/>
      <c r="P828" s="152"/>
      <c r="Q828" s="25"/>
      <c r="R828" s="23"/>
    </row>
    <row r="829" spans="1:18" x14ac:dyDescent="0.2">
      <c r="A829" s="225"/>
      <c r="B829" s="152"/>
      <c r="C829" s="152"/>
      <c r="D829" s="152"/>
      <c r="E829" s="152"/>
      <c r="F829" s="152"/>
      <c r="G829" s="152"/>
      <c r="H829"/>
      <c r="I829"/>
      <c r="J829"/>
      <c r="K829"/>
      <c r="L829" s="16"/>
      <c r="N829" s="20"/>
      <c r="O829" s="23"/>
      <c r="P829" s="152"/>
      <c r="Q829" s="25"/>
      <c r="R829" s="23"/>
    </row>
    <row r="830" spans="1:18" x14ac:dyDescent="0.2">
      <c r="A830" s="225"/>
      <c r="B830" s="152"/>
      <c r="C830" s="152"/>
      <c r="D830" s="152"/>
      <c r="E830" s="152"/>
      <c r="F830" s="152"/>
      <c r="G830" s="152"/>
      <c r="H830"/>
      <c r="I830"/>
      <c r="J830"/>
      <c r="K830"/>
      <c r="L830" s="16"/>
      <c r="N830" s="20"/>
      <c r="O830" s="23"/>
      <c r="P830" s="152"/>
      <c r="Q830" s="25"/>
      <c r="R830" s="23"/>
    </row>
    <row r="831" spans="1:18" x14ac:dyDescent="0.2">
      <c r="A831" s="225"/>
      <c r="B831" s="152"/>
      <c r="C831" s="152"/>
      <c r="D831" s="152"/>
      <c r="E831" s="152"/>
      <c r="F831" s="152"/>
      <c r="G831" s="152"/>
      <c r="H831"/>
      <c r="I831"/>
      <c r="J831"/>
      <c r="K831"/>
      <c r="L831" s="16"/>
      <c r="N831" s="20"/>
      <c r="O831" s="23"/>
      <c r="P831" s="152"/>
      <c r="Q831" s="25"/>
      <c r="R831" s="23"/>
    </row>
    <row r="832" spans="1:18" x14ac:dyDescent="0.2">
      <c r="A832" s="225"/>
      <c r="B832" s="152"/>
      <c r="C832" s="152"/>
      <c r="D832" s="152"/>
      <c r="E832" s="152"/>
      <c r="F832" s="152"/>
      <c r="G832" s="152"/>
      <c r="H832"/>
      <c r="I832"/>
      <c r="J832"/>
      <c r="K832"/>
      <c r="L832" s="16"/>
      <c r="N832" s="20"/>
      <c r="O832" s="23"/>
      <c r="P832" s="152"/>
      <c r="Q832" s="25"/>
      <c r="R832" s="23"/>
    </row>
    <row r="833" spans="1:18" x14ac:dyDescent="0.2">
      <c r="A833" s="225"/>
      <c r="B833" s="152"/>
      <c r="C833" s="152"/>
      <c r="D833" s="152"/>
      <c r="E833" s="152"/>
      <c r="F833" s="152"/>
      <c r="G833" s="152"/>
      <c r="H833"/>
      <c r="I833"/>
      <c r="J833"/>
      <c r="K833"/>
      <c r="L833" s="16"/>
      <c r="N833" s="20"/>
      <c r="O833" s="23"/>
      <c r="P833" s="152"/>
      <c r="Q833" s="25"/>
      <c r="R833" s="23"/>
    </row>
    <row r="834" spans="1:18" x14ac:dyDescent="0.2">
      <c r="A834" s="225"/>
      <c r="B834" s="152"/>
      <c r="C834" s="152"/>
      <c r="D834" s="152"/>
      <c r="E834" s="152"/>
      <c r="F834" s="152"/>
      <c r="G834" s="152"/>
      <c r="H834"/>
      <c r="I834"/>
      <c r="J834"/>
      <c r="K834"/>
      <c r="L834" s="16"/>
      <c r="N834" s="20"/>
      <c r="O834" s="23"/>
      <c r="P834" s="152"/>
      <c r="Q834" s="25"/>
      <c r="R834" s="23"/>
    </row>
    <row r="835" spans="1:18" x14ac:dyDescent="0.2">
      <c r="A835" s="225"/>
      <c r="B835" s="152"/>
      <c r="C835" s="152"/>
      <c r="D835" s="152"/>
      <c r="E835" s="152"/>
      <c r="F835" s="152"/>
      <c r="G835" s="152"/>
      <c r="H835"/>
      <c r="I835"/>
      <c r="J835"/>
      <c r="K835"/>
      <c r="L835" s="16"/>
      <c r="N835" s="20"/>
      <c r="O835" s="23"/>
      <c r="P835" s="152"/>
      <c r="Q835" s="25"/>
      <c r="R835" s="23"/>
    </row>
    <row r="836" spans="1:18" x14ac:dyDescent="0.2">
      <c r="A836" s="225"/>
      <c r="B836" s="152"/>
      <c r="C836" s="152"/>
      <c r="D836" s="152"/>
      <c r="E836" s="152"/>
      <c r="F836" s="152"/>
      <c r="G836" s="152"/>
      <c r="H836"/>
      <c r="I836"/>
      <c r="J836"/>
      <c r="K836"/>
      <c r="L836" s="16"/>
      <c r="N836" s="20"/>
      <c r="O836" s="23"/>
      <c r="P836" s="152"/>
      <c r="Q836" s="25"/>
      <c r="R836" s="23"/>
    </row>
    <row r="837" spans="1:18" x14ac:dyDescent="0.2">
      <c r="A837" s="225"/>
      <c r="B837" s="152"/>
      <c r="C837" s="152"/>
      <c r="D837" s="152"/>
      <c r="E837" s="152"/>
      <c r="F837" s="152"/>
      <c r="G837" s="152"/>
      <c r="H837"/>
      <c r="I837"/>
      <c r="J837"/>
      <c r="K837"/>
      <c r="L837" s="16"/>
      <c r="N837" s="20"/>
      <c r="O837" s="23"/>
      <c r="P837" s="152"/>
      <c r="Q837" s="25"/>
      <c r="R837" s="23"/>
    </row>
    <row r="838" spans="1:18" x14ac:dyDescent="0.2">
      <c r="A838" s="225"/>
      <c r="B838" s="152"/>
      <c r="C838" s="152"/>
      <c r="D838" s="152"/>
      <c r="E838" s="152"/>
      <c r="F838" s="152"/>
      <c r="G838" s="152"/>
      <c r="H838"/>
      <c r="I838"/>
      <c r="J838"/>
      <c r="K838"/>
      <c r="L838" s="16"/>
      <c r="N838" s="20"/>
      <c r="O838" s="23"/>
      <c r="P838" s="152"/>
      <c r="Q838" s="25"/>
      <c r="R838" s="23"/>
    </row>
    <row r="839" spans="1:18" x14ac:dyDescent="0.2">
      <c r="A839" s="225"/>
      <c r="B839" s="152"/>
      <c r="C839" s="152"/>
      <c r="D839" s="152"/>
      <c r="E839" s="152"/>
      <c r="F839" s="152"/>
      <c r="G839" s="152"/>
      <c r="H839"/>
      <c r="I839"/>
      <c r="J839"/>
      <c r="K839"/>
      <c r="L839" s="16"/>
      <c r="N839" s="20"/>
      <c r="O839" s="23"/>
      <c r="P839" s="152"/>
      <c r="Q839" s="25"/>
      <c r="R839" s="23"/>
    </row>
    <row r="840" spans="1:18" x14ac:dyDescent="0.2">
      <c r="A840" s="225"/>
      <c r="B840" s="152"/>
      <c r="C840" s="152"/>
      <c r="D840" s="152"/>
      <c r="E840" s="152"/>
      <c r="F840" s="152"/>
      <c r="G840" s="152"/>
      <c r="H840"/>
      <c r="I840"/>
      <c r="J840"/>
      <c r="K840"/>
      <c r="L840" s="16"/>
      <c r="N840" s="20"/>
      <c r="O840" s="23"/>
      <c r="P840" s="152"/>
      <c r="Q840" s="25"/>
      <c r="R840" s="23"/>
    </row>
    <row r="841" spans="1:18" x14ac:dyDescent="0.2">
      <c r="A841" s="225"/>
      <c r="B841" s="152"/>
      <c r="C841" s="152"/>
      <c r="D841" s="152"/>
      <c r="E841" s="152"/>
      <c r="F841" s="152"/>
      <c r="G841" s="152"/>
      <c r="H841"/>
      <c r="I841"/>
      <c r="J841"/>
      <c r="K841"/>
      <c r="L841" s="16"/>
      <c r="N841" s="20"/>
      <c r="O841" s="23"/>
      <c r="P841" s="152"/>
      <c r="Q841" s="25"/>
      <c r="R841" s="23"/>
    </row>
    <row r="842" spans="1:18" x14ac:dyDescent="0.2">
      <c r="A842" s="225"/>
      <c r="B842" s="152"/>
      <c r="C842" s="152"/>
      <c r="D842" s="152"/>
      <c r="E842" s="152"/>
      <c r="F842" s="152"/>
      <c r="G842" s="152"/>
      <c r="H842"/>
      <c r="I842"/>
      <c r="J842"/>
      <c r="K842"/>
      <c r="L842" s="16"/>
      <c r="N842" s="20"/>
      <c r="O842" s="23"/>
      <c r="P842" s="152"/>
      <c r="Q842" s="25"/>
      <c r="R842" s="23"/>
    </row>
    <row r="843" spans="1:18" x14ac:dyDescent="0.2">
      <c r="A843" s="225"/>
      <c r="B843" s="152"/>
      <c r="C843" s="152"/>
      <c r="D843" s="152"/>
      <c r="E843" s="152"/>
      <c r="F843" s="152"/>
      <c r="G843" s="152"/>
      <c r="H843"/>
      <c r="I843"/>
      <c r="J843"/>
      <c r="K843"/>
      <c r="L843" s="16"/>
      <c r="N843" s="20"/>
      <c r="O843" s="23"/>
      <c r="P843" s="152"/>
      <c r="Q843" s="25"/>
      <c r="R843" s="23"/>
    </row>
    <row r="844" spans="1:18" x14ac:dyDescent="0.2">
      <c r="A844" s="225"/>
      <c r="B844" s="152"/>
      <c r="C844" s="152"/>
      <c r="D844" s="152"/>
      <c r="E844" s="152"/>
      <c r="F844" s="152"/>
      <c r="G844" s="152"/>
      <c r="H844"/>
      <c r="I844"/>
      <c r="J844"/>
      <c r="K844"/>
      <c r="L844" s="16"/>
      <c r="N844" s="20"/>
      <c r="O844" s="23"/>
      <c r="P844" s="152"/>
      <c r="Q844" s="25"/>
      <c r="R844" s="23"/>
    </row>
    <row r="845" spans="1:18" x14ac:dyDescent="0.2">
      <c r="A845" s="225"/>
      <c r="B845" s="152"/>
      <c r="C845" s="152"/>
      <c r="D845" s="152"/>
      <c r="E845" s="152"/>
      <c r="F845" s="152"/>
      <c r="G845" s="152"/>
      <c r="H845"/>
      <c r="I845"/>
      <c r="J845"/>
      <c r="K845"/>
      <c r="L845" s="16"/>
      <c r="N845" s="20"/>
      <c r="O845" s="23"/>
      <c r="P845" s="152"/>
      <c r="Q845" s="25"/>
      <c r="R845" s="23"/>
    </row>
    <row r="846" spans="1:18" x14ac:dyDescent="0.2">
      <c r="A846" s="225"/>
      <c r="B846" s="152"/>
      <c r="C846" s="152"/>
      <c r="D846" s="152"/>
      <c r="E846" s="152"/>
      <c r="F846" s="152"/>
      <c r="G846" s="152"/>
      <c r="H846"/>
      <c r="I846"/>
      <c r="J846"/>
      <c r="K846"/>
      <c r="L846" s="16"/>
      <c r="N846" s="20"/>
      <c r="O846" s="23"/>
      <c r="P846" s="152"/>
      <c r="Q846" s="25"/>
      <c r="R846" s="23"/>
    </row>
    <row r="847" spans="1:18" x14ac:dyDescent="0.2">
      <c r="A847" s="225"/>
      <c r="B847" s="152"/>
      <c r="C847" s="152"/>
      <c r="D847" s="152"/>
      <c r="E847" s="152"/>
      <c r="F847" s="152"/>
      <c r="G847" s="152"/>
      <c r="H847"/>
      <c r="I847"/>
      <c r="J847"/>
      <c r="K847"/>
      <c r="L847" s="16"/>
      <c r="N847" s="20"/>
      <c r="O847" s="23"/>
      <c r="P847" s="152"/>
      <c r="Q847" s="25"/>
      <c r="R847" s="23"/>
    </row>
    <row r="848" spans="1:18" x14ac:dyDescent="0.2">
      <c r="A848" s="225"/>
      <c r="B848" s="152"/>
      <c r="C848" s="152"/>
      <c r="D848" s="152"/>
      <c r="E848" s="152"/>
      <c r="F848" s="152"/>
      <c r="G848" s="152"/>
      <c r="H848"/>
      <c r="I848"/>
      <c r="J848"/>
      <c r="K848"/>
      <c r="L848" s="16"/>
      <c r="N848" s="20"/>
      <c r="O848" s="23"/>
      <c r="P848" s="152"/>
      <c r="Q848" s="25"/>
      <c r="R848" s="23"/>
    </row>
    <row r="849" spans="1:18" x14ac:dyDescent="0.2">
      <c r="A849" s="225"/>
      <c r="B849" s="152"/>
      <c r="C849" s="152"/>
      <c r="D849" s="152"/>
      <c r="E849" s="152"/>
      <c r="F849" s="152"/>
      <c r="G849" s="152"/>
      <c r="H849"/>
      <c r="I849"/>
      <c r="J849"/>
      <c r="K849"/>
      <c r="L849" s="16"/>
      <c r="N849" s="20"/>
      <c r="O849" s="23"/>
      <c r="P849" s="152"/>
      <c r="Q849" s="25"/>
      <c r="R849" s="23"/>
    </row>
    <row r="850" spans="1:18" x14ac:dyDescent="0.2">
      <c r="A850" s="225"/>
      <c r="B850" s="152"/>
      <c r="C850" s="152"/>
      <c r="D850" s="152"/>
      <c r="E850" s="152"/>
      <c r="F850" s="152"/>
      <c r="G850" s="152"/>
      <c r="H850"/>
      <c r="I850"/>
      <c r="J850"/>
      <c r="K850"/>
      <c r="L850" s="16"/>
      <c r="N850" s="20"/>
      <c r="O850" s="23"/>
      <c r="P850" s="152"/>
      <c r="Q850" s="25"/>
      <c r="R850" s="23"/>
    </row>
    <row r="851" spans="1:18" x14ac:dyDescent="0.2">
      <c r="A851" s="225"/>
      <c r="B851" s="152"/>
      <c r="C851" s="152"/>
      <c r="D851" s="152"/>
      <c r="E851" s="152"/>
      <c r="F851" s="152"/>
      <c r="G851" s="152"/>
      <c r="H851"/>
      <c r="I851"/>
      <c r="J851"/>
      <c r="K851"/>
      <c r="L851" s="16"/>
      <c r="N851" s="20"/>
      <c r="O851" s="23"/>
      <c r="P851" s="152"/>
      <c r="Q851" s="25"/>
      <c r="R851" s="23"/>
    </row>
    <row r="852" spans="1:18" x14ac:dyDescent="0.2">
      <c r="A852" s="225"/>
      <c r="B852" s="152"/>
      <c r="C852" s="152"/>
      <c r="D852" s="152"/>
      <c r="E852" s="152"/>
      <c r="F852" s="152"/>
      <c r="G852" s="152"/>
      <c r="H852"/>
      <c r="I852"/>
      <c r="J852"/>
      <c r="K852"/>
      <c r="L852" s="16"/>
      <c r="N852" s="20"/>
      <c r="O852" s="23"/>
      <c r="P852" s="152"/>
      <c r="Q852" s="25"/>
      <c r="R852" s="23"/>
    </row>
    <row r="853" spans="1:18" x14ac:dyDescent="0.2">
      <c r="A853" s="225"/>
      <c r="B853" s="152"/>
      <c r="C853" s="152"/>
      <c r="D853" s="152"/>
      <c r="E853" s="152"/>
      <c r="F853" s="152"/>
      <c r="G853" s="152"/>
      <c r="H853"/>
      <c r="I853"/>
      <c r="J853"/>
      <c r="K853"/>
      <c r="L853" s="16"/>
      <c r="N853" s="20"/>
      <c r="O853" s="23"/>
      <c r="P853" s="152"/>
      <c r="Q853" s="25"/>
      <c r="R853" s="23"/>
    </row>
    <row r="854" spans="1:18" x14ac:dyDescent="0.2">
      <c r="A854" s="225"/>
      <c r="B854" s="152"/>
      <c r="C854" s="152"/>
      <c r="D854" s="152"/>
      <c r="E854" s="152"/>
      <c r="F854" s="152"/>
      <c r="G854" s="152"/>
      <c r="H854"/>
      <c r="I854"/>
      <c r="J854"/>
      <c r="K854"/>
      <c r="L854" s="16"/>
      <c r="N854" s="20"/>
      <c r="O854" s="23"/>
      <c r="P854" s="152"/>
      <c r="Q854" s="25"/>
      <c r="R854" s="23"/>
    </row>
    <row r="855" spans="1:18" x14ac:dyDescent="0.2">
      <c r="A855" s="225"/>
      <c r="B855" s="152"/>
      <c r="C855" s="152"/>
      <c r="D855" s="152"/>
      <c r="E855" s="152"/>
      <c r="F855" s="152"/>
      <c r="G855" s="152"/>
      <c r="H855"/>
      <c r="I855"/>
      <c r="J855"/>
      <c r="K855"/>
      <c r="L855" s="16"/>
      <c r="N855" s="20"/>
      <c r="O855" s="23"/>
      <c r="P855" s="152"/>
      <c r="Q855" s="25"/>
      <c r="R855" s="23"/>
    </row>
    <row r="856" spans="1:18" x14ac:dyDescent="0.2">
      <c r="A856" s="225"/>
      <c r="B856" s="152"/>
      <c r="C856" s="152"/>
      <c r="D856" s="152"/>
      <c r="E856" s="152"/>
      <c r="F856" s="152"/>
      <c r="G856" s="152"/>
      <c r="H856"/>
      <c r="I856"/>
      <c r="J856"/>
      <c r="K856"/>
      <c r="L856" s="16"/>
      <c r="N856" s="20"/>
      <c r="O856" s="23"/>
      <c r="P856" s="152"/>
      <c r="Q856" s="25"/>
      <c r="R856" s="23"/>
    </row>
    <row r="857" spans="1:18" x14ac:dyDescent="0.2">
      <c r="A857" s="225"/>
      <c r="B857" s="152"/>
      <c r="C857" s="152"/>
      <c r="D857" s="152"/>
      <c r="E857" s="152"/>
      <c r="F857" s="152"/>
      <c r="G857" s="152"/>
      <c r="H857"/>
      <c r="I857"/>
      <c r="J857"/>
      <c r="K857"/>
      <c r="L857" s="16"/>
      <c r="N857" s="20"/>
      <c r="O857" s="23"/>
      <c r="P857" s="152"/>
      <c r="Q857" s="25"/>
      <c r="R857" s="23"/>
    </row>
    <row r="858" spans="1:18" x14ac:dyDescent="0.2">
      <c r="A858" s="225"/>
      <c r="B858" s="152"/>
      <c r="C858" s="152"/>
      <c r="D858" s="152"/>
      <c r="E858" s="152"/>
      <c r="F858" s="152"/>
      <c r="G858" s="152"/>
      <c r="H858"/>
      <c r="I858"/>
      <c r="J858"/>
      <c r="K858"/>
      <c r="L858" s="16"/>
      <c r="N858" s="20"/>
      <c r="O858" s="23"/>
      <c r="P858" s="152"/>
      <c r="Q858" s="25"/>
      <c r="R858" s="23"/>
    </row>
    <row r="859" spans="1:18" x14ac:dyDescent="0.2">
      <c r="A859" s="225"/>
      <c r="B859" s="152"/>
      <c r="C859" s="152"/>
      <c r="D859" s="152"/>
      <c r="E859" s="152"/>
      <c r="F859" s="152"/>
      <c r="G859" s="152"/>
      <c r="H859"/>
      <c r="I859"/>
      <c r="J859"/>
      <c r="K859"/>
      <c r="L859" s="16"/>
      <c r="N859" s="20"/>
      <c r="O859" s="23"/>
      <c r="P859" s="152"/>
      <c r="Q859" s="25"/>
      <c r="R859" s="23"/>
    </row>
    <row r="860" spans="1:18" x14ac:dyDescent="0.2">
      <c r="A860" s="225"/>
      <c r="B860" s="152"/>
      <c r="C860" s="152"/>
      <c r="D860" s="152"/>
      <c r="E860" s="152"/>
      <c r="F860" s="152"/>
      <c r="G860" s="152"/>
      <c r="H860"/>
      <c r="I860"/>
      <c r="J860"/>
      <c r="K860"/>
      <c r="L860" s="16"/>
      <c r="N860" s="20"/>
      <c r="O860" s="23"/>
      <c r="P860" s="152"/>
      <c r="Q860" s="25"/>
      <c r="R860" s="23"/>
    </row>
    <row r="861" spans="1:18" x14ac:dyDescent="0.2">
      <c r="A861" s="225"/>
      <c r="B861" s="152"/>
      <c r="C861" s="152"/>
      <c r="D861" s="152"/>
      <c r="E861" s="152"/>
      <c r="F861" s="152"/>
      <c r="G861" s="152"/>
      <c r="H861"/>
      <c r="I861"/>
      <c r="J861"/>
      <c r="K861"/>
      <c r="L861" s="16"/>
      <c r="N861" s="20"/>
      <c r="O861" s="23"/>
      <c r="P861" s="152"/>
      <c r="Q861" s="25"/>
      <c r="R861" s="23"/>
    </row>
    <row r="862" spans="1:18" x14ac:dyDescent="0.2">
      <c r="A862" s="225"/>
      <c r="B862" s="152"/>
      <c r="C862" s="152"/>
      <c r="D862" s="152"/>
      <c r="E862" s="152"/>
      <c r="F862" s="152"/>
      <c r="G862" s="152"/>
      <c r="H862"/>
      <c r="I862"/>
      <c r="J862"/>
      <c r="K862"/>
      <c r="L862" s="16"/>
      <c r="N862" s="20"/>
      <c r="O862" s="23"/>
      <c r="P862" s="152"/>
      <c r="Q862" s="25"/>
      <c r="R862" s="23"/>
    </row>
    <row r="863" spans="1:18" x14ac:dyDescent="0.2">
      <c r="A863" s="225"/>
      <c r="B863" s="152"/>
      <c r="C863" s="152"/>
      <c r="D863" s="152"/>
      <c r="E863" s="152"/>
      <c r="F863" s="152"/>
      <c r="G863" s="152"/>
      <c r="H863"/>
      <c r="I863"/>
      <c r="J863"/>
      <c r="K863"/>
      <c r="L863" s="16"/>
      <c r="N863" s="20"/>
      <c r="O863" s="23"/>
      <c r="P863" s="152"/>
      <c r="Q863" s="25"/>
      <c r="R863" s="23"/>
    </row>
    <row r="864" spans="1:18" x14ac:dyDescent="0.2">
      <c r="A864" s="225"/>
      <c r="B864" s="152"/>
      <c r="C864" s="152"/>
      <c r="D864" s="152"/>
      <c r="E864" s="152"/>
      <c r="F864" s="152"/>
      <c r="G864" s="152"/>
      <c r="H864"/>
      <c r="I864"/>
      <c r="J864"/>
      <c r="K864"/>
      <c r="L864" s="16"/>
      <c r="N864" s="20"/>
      <c r="O864" s="23"/>
      <c r="P864" s="23"/>
      <c r="Q864" s="25"/>
      <c r="R864" s="23"/>
    </row>
    <row r="865" spans="1:18" x14ac:dyDescent="0.2">
      <c r="A865" s="225"/>
      <c r="B865" s="152"/>
      <c r="C865" s="152"/>
      <c r="D865" s="152"/>
      <c r="E865" s="152"/>
      <c r="F865" s="152"/>
      <c r="G865" s="152"/>
      <c r="H865"/>
      <c r="I865"/>
      <c r="J865"/>
      <c r="K865"/>
      <c r="L865" s="16"/>
      <c r="N865" s="20"/>
      <c r="O865" s="23"/>
      <c r="P865" s="23"/>
      <c r="Q865" s="25"/>
      <c r="R865" s="23"/>
    </row>
    <row r="866" spans="1:18" x14ac:dyDescent="0.2">
      <c r="A866" s="225"/>
      <c r="B866" s="152"/>
      <c r="C866" s="152"/>
      <c r="D866" s="152"/>
      <c r="E866" s="152"/>
      <c r="F866" s="152"/>
      <c r="G866" s="152"/>
      <c r="H866"/>
      <c r="I866"/>
      <c r="J866"/>
      <c r="K866"/>
      <c r="L866" s="16"/>
      <c r="N866" s="20"/>
      <c r="O866" s="23"/>
      <c r="P866" s="23"/>
      <c r="Q866" s="25"/>
      <c r="R866" s="23"/>
    </row>
    <row r="867" spans="1:18" x14ac:dyDescent="0.2">
      <c r="A867" s="225"/>
      <c r="B867" s="152"/>
      <c r="C867" s="152"/>
      <c r="D867" s="152"/>
      <c r="E867" s="152"/>
      <c r="F867" s="152"/>
      <c r="G867" s="152"/>
      <c r="H867"/>
      <c r="I867"/>
      <c r="J867"/>
      <c r="K867"/>
      <c r="L867" s="16"/>
      <c r="N867" s="20"/>
      <c r="O867" s="23"/>
      <c r="P867" s="23"/>
      <c r="Q867" s="25"/>
      <c r="R867" s="23"/>
    </row>
    <row r="868" spans="1:18" x14ac:dyDescent="0.2">
      <c r="A868" s="225"/>
      <c r="B868" s="152"/>
      <c r="C868" s="152"/>
      <c r="D868" s="152"/>
      <c r="E868" s="152"/>
      <c r="F868" s="152"/>
      <c r="G868" s="152"/>
      <c r="H868"/>
      <c r="I868"/>
      <c r="J868"/>
      <c r="K868"/>
      <c r="L868" s="16"/>
      <c r="N868" s="20"/>
      <c r="O868" s="23"/>
      <c r="P868" s="23"/>
      <c r="Q868" s="25"/>
      <c r="R868" s="23"/>
    </row>
    <row r="869" spans="1:18" x14ac:dyDescent="0.2">
      <c r="A869" s="225"/>
      <c r="B869" s="152"/>
      <c r="C869" s="152"/>
      <c r="D869" s="152"/>
      <c r="E869" s="152"/>
      <c r="F869" s="152"/>
      <c r="G869" s="152"/>
      <c r="H869"/>
      <c r="I869"/>
      <c r="J869"/>
      <c r="K869"/>
      <c r="L869" s="16"/>
      <c r="N869" s="20"/>
      <c r="O869" s="23"/>
      <c r="P869" s="23"/>
      <c r="Q869" s="25"/>
      <c r="R869" s="23"/>
    </row>
    <row r="870" spans="1:18" x14ac:dyDescent="0.2">
      <c r="A870" s="225"/>
      <c r="B870" s="152"/>
      <c r="C870" s="152"/>
      <c r="D870" s="152"/>
      <c r="E870" s="152"/>
      <c r="F870" s="152"/>
      <c r="G870" s="152"/>
      <c r="H870"/>
      <c r="I870"/>
      <c r="J870"/>
      <c r="K870"/>
      <c r="L870" s="16"/>
      <c r="N870" s="20"/>
      <c r="O870" s="23"/>
      <c r="P870" s="23"/>
      <c r="Q870" s="25"/>
      <c r="R870" s="23"/>
    </row>
    <row r="871" spans="1:18" x14ac:dyDescent="0.2">
      <c r="A871" s="225"/>
      <c r="B871" s="152"/>
      <c r="C871" s="152"/>
      <c r="D871" s="152"/>
      <c r="E871" s="152"/>
      <c r="F871" s="152"/>
      <c r="G871" s="152"/>
      <c r="H871"/>
      <c r="I871"/>
      <c r="J871"/>
      <c r="K871"/>
      <c r="L871" s="16"/>
      <c r="N871" s="20"/>
      <c r="O871" s="23"/>
      <c r="P871" s="23"/>
      <c r="Q871" s="25"/>
      <c r="R871" s="23"/>
    </row>
    <row r="872" spans="1:18" x14ac:dyDescent="0.2">
      <c r="A872" s="225"/>
      <c r="B872" s="152"/>
      <c r="C872" s="152"/>
      <c r="D872" s="152"/>
      <c r="E872" s="152"/>
      <c r="F872" s="152"/>
      <c r="G872" s="152"/>
      <c r="H872"/>
      <c r="I872"/>
      <c r="J872"/>
      <c r="K872"/>
      <c r="L872" s="16"/>
      <c r="N872" s="20"/>
      <c r="O872" s="23"/>
      <c r="P872" s="23"/>
      <c r="Q872" s="25"/>
      <c r="R872" s="23"/>
    </row>
    <row r="873" spans="1:18" x14ac:dyDescent="0.2">
      <c r="A873" s="225"/>
      <c r="B873" s="152"/>
      <c r="C873" s="152"/>
      <c r="D873" s="152"/>
      <c r="E873" s="152"/>
      <c r="F873" s="152"/>
      <c r="G873" s="152"/>
      <c r="H873"/>
      <c r="I873"/>
      <c r="J873"/>
      <c r="K873"/>
      <c r="L873" s="16"/>
      <c r="N873" s="20"/>
      <c r="O873" s="23"/>
      <c r="P873" s="23"/>
      <c r="Q873" s="25"/>
      <c r="R873" s="23"/>
    </row>
    <row r="874" spans="1:18" x14ac:dyDescent="0.2">
      <c r="A874" s="225"/>
      <c r="B874" s="152"/>
      <c r="C874" s="152"/>
      <c r="D874" s="152"/>
      <c r="E874" s="152"/>
      <c r="F874" s="152"/>
      <c r="G874" s="152"/>
      <c r="H874"/>
      <c r="I874"/>
      <c r="J874"/>
      <c r="K874"/>
      <c r="L874" s="16"/>
      <c r="N874" s="20"/>
      <c r="O874" s="23"/>
      <c r="P874" s="23"/>
      <c r="Q874" s="25"/>
      <c r="R874" s="23"/>
    </row>
    <row r="875" spans="1:18" x14ac:dyDescent="0.2">
      <c r="A875" s="225"/>
      <c r="B875" s="152"/>
      <c r="C875" s="152"/>
      <c r="D875" s="152"/>
      <c r="E875" s="152"/>
      <c r="F875" s="152"/>
      <c r="G875" s="152"/>
      <c r="H875"/>
      <c r="I875"/>
      <c r="J875"/>
      <c r="K875"/>
      <c r="L875" s="16"/>
      <c r="N875" s="20"/>
      <c r="O875" s="23"/>
      <c r="P875" s="23"/>
      <c r="Q875" s="25"/>
      <c r="R875" s="23"/>
    </row>
    <row r="876" spans="1:18" x14ac:dyDescent="0.2">
      <c r="A876" s="225"/>
      <c r="B876" s="152"/>
      <c r="C876" s="152"/>
      <c r="D876" s="152"/>
      <c r="E876" s="152"/>
      <c r="F876" s="152"/>
      <c r="G876" s="152"/>
      <c r="H876"/>
      <c r="I876"/>
      <c r="J876"/>
      <c r="K876"/>
      <c r="L876" s="16"/>
      <c r="N876" s="20"/>
      <c r="O876" s="23"/>
      <c r="P876" s="23"/>
      <c r="Q876" s="25"/>
      <c r="R876" s="23"/>
    </row>
    <row r="877" spans="1:18" x14ac:dyDescent="0.2">
      <c r="A877" s="225"/>
      <c r="B877" s="152"/>
      <c r="C877" s="152"/>
      <c r="D877" s="152"/>
      <c r="E877" s="152"/>
      <c r="F877" s="152"/>
      <c r="G877" s="152"/>
      <c r="H877"/>
      <c r="I877"/>
      <c r="J877"/>
      <c r="K877"/>
      <c r="L877" s="16"/>
      <c r="N877" s="20"/>
      <c r="O877" s="23"/>
      <c r="P877" s="23"/>
      <c r="Q877" s="25"/>
      <c r="R877" s="23"/>
    </row>
    <row r="878" spans="1:18" x14ac:dyDescent="0.2">
      <c r="A878" s="225"/>
      <c r="B878" s="152"/>
      <c r="C878" s="152"/>
      <c r="D878" s="152"/>
      <c r="E878" s="152"/>
      <c r="F878" s="152"/>
      <c r="G878" s="152"/>
      <c r="H878"/>
      <c r="I878"/>
      <c r="J878"/>
      <c r="K878"/>
      <c r="L878" s="16"/>
      <c r="N878" s="20"/>
      <c r="O878" s="23"/>
      <c r="P878" s="23"/>
      <c r="Q878" s="25"/>
      <c r="R878" s="23"/>
    </row>
    <row r="879" spans="1:18" x14ac:dyDescent="0.2">
      <c r="A879" s="225"/>
      <c r="B879" s="152"/>
      <c r="C879" s="152"/>
      <c r="D879" s="152"/>
      <c r="E879" s="152"/>
      <c r="F879" s="152"/>
      <c r="G879" s="152"/>
      <c r="H879"/>
      <c r="I879"/>
      <c r="J879"/>
      <c r="K879"/>
      <c r="L879" s="16"/>
      <c r="N879" s="20"/>
      <c r="O879" s="23"/>
      <c r="P879" s="23"/>
      <c r="Q879" s="25"/>
      <c r="R879" s="23"/>
    </row>
    <row r="880" spans="1:18" x14ac:dyDescent="0.2">
      <c r="A880" s="225"/>
      <c r="B880" s="152"/>
      <c r="C880" s="152"/>
      <c r="D880" s="152"/>
      <c r="E880" s="152"/>
      <c r="F880" s="152"/>
      <c r="G880" s="152"/>
      <c r="H880"/>
      <c r="I880"/>
      <c r="J880"/>
      <c r="K880"/>
      <c r="L880" s="16"/>
      <c r="N880" s="20"/>
      <c r="O880" s="23"/>
      <c r="P880" s="23"/>
      <c r="Q880" s="25"/>
      <c r="R880" s="23"/>
    </row>
    <row r="881" spans="1:18" x14ac:dyDescent="0.2">
      <c r="A881" s="225"/>
      <c r="B881" s="152"/>
      <c r="C881" s="152"/>
      <c r="D881" s="152"/>
      <c r="E881" s="152"/>
      <c r="F881" s="152"/>
      <c r="G881" s="152"/>
      <c r="H881"/>
      <c r="I881"/>
      <c r="J881"/>
      <c r="K881"/>
      <c r="L881" s="16"/>
      <c r="N881" s="20"/>
      <c r="O881" s="23"/>
      <c r="P881" s="23"/>
      <c r="Q881" s="25"/>
      <c r="R881" s="23"/>
    </row>
    <row r="882" spans="1:18" x14ac:dyDescent="0.2">
      <c r="A882" s="225"/>
      <c r="B882" s="152"/>
      <c r="C882" s="152"/>
      <c r="D882" s="152"/>
      <c r="E882" s="152"/>
      <c r="F882" s="152"/>
      <c r="G882" s="152"/>
      <c r="H882"/>
      <c r="I882"/>
      <c r="J882"/>
      <c r="K882"/>
      <c r="L882" s="16"/>
      <c r="N882" s="20"/>
      <c r="O882" s="23"/>
      <c r="P882" s="23"/>
      <c r="Q882" s="25"/>
      <c r="R882" s="23"/>
    </row>
    <row r="883" spans="1:18" x14ac:dyDescent="0.2">
      <c r="A883" s="225"/>
      <c r="B883" s="152"/>
      <c r="C883" s="152"/>
      <c r="D883" s="152"/>
      <c r="E883" s="152"/>
      <c r="F883" s="152"/>
      <c r="G883" s="152"/>
      <c r="H883"/>
      <c r="I883"/>
      <c r="J883"/>
      <c r="K883"/>
      <c r="L883" s="16"/>
      <c r="N883" s="20"/>
      <c r="O883" s="23"/>
      <c r="P883" s="23"/>
      <c r="Q883" s="25"/>
      <c r="R883" s="23"/>
    </row>
    <row r="884" spans="1:18" x14ac:dyDescent="0.2">
      <c r="A884" s="225"/>
      <c r="B884" s="152"/>
      <c r="C884" s="152"/>
      <c r="D884" s="152"/>
      <c r="E884" s="152"/>
      <c r="F884" s="152"/>
      <c r="G884" s="152"/>
      <c r="H884"/>
      <c r="I884"/>
      <c r="J884"/>
      <c r="K884"/>
      <c r="L884" s="16"/>
      <c r="N884" s="20"/>
      <c r="O884" s="23"/>
      <c r="P884" s="23"/>
      <c r="Q884" s="25"/>
      <c r="R884" s="23"/>
    </row>
    <row r="885" spans="1:18" x14ac:dyDescent="0.2">
      <c r="A885" s="225"/>
      <c r="B885" s="152"/>
      <c r="C885" s="152"/>
      <c r="D885" s="152"/>
      <c r="E885" s="152"/>
      <c r="F885" s="152"/>
      <c r="G885" s="152"/>
      <c r="H885"/>
      <c r="I885"/>
      <c r="J885"/>
      <c r="K885"/>
      <c r="L885" s="16"/>
      <c r="N885" s="20"/>
      <c r="O885" s="23"/>
      <c r="P885" s="23"/>
      <c r="Q885" s="25"/>
      <c r="R885" s="23"/>
    </row>
    <row r="886" spans="1:18" x14ac:dyDescent="0.2">
      <c r="A886" s="225"/>
      <c r="B886" s="152"/>
      <c r="C886" s="152"/>
      <c r="D886" s="152"/>
      <c r="E886" s="152"/>
      <c r="F886" s="152"/>
      <c r="G886" s="152"/>
      <c r="H886"/>
      <c r="I886"/>
      <c r="J886"/>
      <c r="K886"/>
      <c r="L886" s="16"/>
      <c r="N886" s="20"/>
      <c r="O886" s="23"/>
      <c r="P886" s="23"/>
      <c r="Q886" s="25"/>
      <c r="R886" s="23"/>
    </row>
    <row r="887" spans="1:18" x14ac:dyDescent="0.2">
      <c r="A887" s="225"/>
      <c r="B887" s="152"/>
      <c r="C887" s="152"/>
      <c r="D887" s="152"/>
      <c r="E887" s="152"/>
      <c r="F887" s="152"/>
      <c r="G887" s="152"/>
      <c r="H887"/>
      <c r="I887"/>
      <c r="J887"/>
      <c r="K887"/>
      <c r="L887" s="16"/>
      <c r="N887" s="20"/>
      <c r="O887" s="23"/>
      <c r="P887" s="23"/>
      <c r="Q887" s="25"/>
      <c r="R887" s="23"/>
    </row>
    <row r="888" spans="1:18" x14ac:dyDescent="0.2">
      <c r="A888" s="225"/>
      <c r="B888" s="152"/>
      <c r="C888" s="152"/>
      <c r="D888" s="152"/>
      <c r="E888" s="152"/>
      <c r="F888" s="152"/>
      <c r="G888" s="152"/>
      <c r="H888"/>
      <c r="I888"/>
      <c r="J888"/>
      <c r="K888"/>
      <c r="L888" s="16"/>
      <c r="N888" s="20"/>
      <c r="O888" s="23"/>
      <c r="P888" s="23"/>
      <c r="Q888" s="25"/>
      <c r="R888" s="23"/>
    </row>
    <row r="889" spans="1:18" x14ac:dyDescent="0.2">
      <c r="A889" s="225"/>
      <c r="B889" s="152"/>
      <c r="C889" s="152"/>
      <c r="D889" s="152"/>
      <c r="E889" s="152"/>
      <c r="F889" s="152"/>
      <c r="G889" s="152"/>
      <c r="H889"/>
      <c r="I889"/>
      <c r="J889"/>
      <c r="K889"/>
      <c r="L889" s="16"/>
      <c r="N889" s="20"/>
      <c r="O889" s="23"/>
      <c r="P889" s="23"/>
      <c r="Q889" s="25"/>
      <c r="R889" s="23"/>
    </row>
    <row r="890" spans="1:18" x14ac:dyDescent="0.2">
      <c r="A890" s="225"/>
      <c r="B890" s="152"/>
      <c r="C890" s="152"/>
      <c r="D890" s="152"/>
      <c r="E890" s="152"/>
      <c r="F890" s="152"/>
      <c r="G890" s="152"/>
      <c r="H890"/>
      <c r="I890"/>
      <c r="J890"/>
      <c r="K890"/>
      <c r="L890" s="16"/>
      <c r="N890" s="20"/>
      <c r="O890" s="23"/>
      <c r="P890" s="23"/>
      <c r="Q890" s="25"/>
      <c r="R890" s="23"/>
    </row>
    <row r="891" spans="1:18" x14ac:dyDescent="0.2">
      <c r="A891" s="225"/>
      <c r="B891" s="152"/>
      <c r="C891" s="152"/>
      <c r="D891" s="152"/>
      <c r="E891" s="152"/>
      <c r="F891" s="152"/>
      <c r="G891" s="152"/>
      <c r="H891"/>
      <c r="I891"/>
      <c r="J891"/>
      <c r="K891"/>
      <c r="L891" s="16"/>
      <c r="N891" s="20"/>
      <c r="O891" s="23"/>
      <c r="P891" s="23"/>
      <c r="Q891" s="25"/>
      <c r="R891" s="23"/>
    </row>
    <row r="892" spans="1:18" x14ac:dyDescent="0.2">
      <c r="A892" s="225"/>
      <c r="B892" s="152"/>
      <c r="C892" s="152"/>
      <c r="D892" s="152"/>
      <c r="E892" s="152"/>
      <c r="F892" s="152"/>
      <c r="G892" s="152"/>
      <c r="H892"/>
      <c r="I892"/>
      <c r="J892"/>
      <c r="K892"/>
      <c r="L892" s="16"/>
      <c r="N892" s="20"/>
      <c r="O892" s="23"/>
      <c r="P892" s="23"/>
      <c r="Q892" s="25"/>
      <c r="R892" s="23"/>
    </row>
    <row r="893" spans="1:18" x14ac:dyDescent="0.2">
      <c r="A893" s="225"/>
      <c r="B893" s="152"/>
      <c r="C893" s="152"/>
      <c r="D893" s="152"/>
      <c r="E893" s="152"/>
      <c r="F893" s="152"/>
      <c r="G893" s="152"/>
      <c r="H893"/>
      <c r="I893"/>
      <c r="J893"/>
      <c r="K893"/>
      <c r="L893" s="16"/>
      <c r="N893" s="20"/>
      <c r="O893" s="23"/>
      <c r="P893" s="23"/>
      <c r="Q893" s="25"/>
      <c r="R893" s="23"/>
    </row>
    <row r="894" spans="1:18" x14ac:dyDescent="0.2">
      <c r="A894" s="225"/>
      <c r="B894" s="152"/>
      <c r="C894" s="152"/>
      <c r="D894" s="152"/>
      <c r="E894" s="152"/>
      <c r="F894" s="152"/>
      <c r="G894" s="152"/>
      <c r="H894"/>
      <c r="I894"/>
      <c r="J894"/>
      <c r="K894"/>
      <c r="L894" s="16"/>
      <c r="N894" s="20"/>
      <c r="O894" s="23"/>
      <c r="P894" s="23"/>
      <c r="Q894" s="25"/>
      <c r="R894" s="23"/>
    </row>
    <row r="895" spans="1:18" x14ac:dyDescent="0.2">
      <c r="A895" s="225"/>
      <c r="B895" s="152"/>
      <c r="C895" s="152"/>
      <c r="D895" s="152"/>
      <c r="E895" s="152"/>
      <c r="F895" s="152"/>
      <c r="G895" s="152"/>
      <c r="H895"/>
      <c r="I895"/>
      <c r="J895"/>
      <c r="K895"/>
      <c r="L895" s="16"/>
      <c r="N895" s="20"/>
      <c r="O895" s="23"/>
      <c r="P895" s="23"/>
      <c r="Q895" s="25"/>
      <c r="R895" s="23"/>
    </row>
    <row r="896" spans="1:18" x14ac:dyDescent="0.2">
      <c r="A896" s="225"/>
      <c r="B896" s="152"/>
      <c r="C896" s="152"/>
      <c r="D896" s="152"/>
      <c r="E896" s="152"/>
      <c r="F896" s="152"/>
      <c r="G896" s="152"/>
      <c r="H896"/>
      <c r="I896"/>
      <c r="J896"/>
      <c r="K896"/>
      <c r="L896" s="16"/>
      <c r="N896" s="20"/>
      <c r="O896" s="23"/>
      <c r="P896" s="23"/>
      <c r="Q896" s="25"/>
      <c r="R896" s="23"/>
    </row>
    <row r="897" spans="1:18" x14ac:dyDescent="0.2">
      <c r="A897" s="225"/>
      <c r="B897" s="152"/>
      <c r="C897" s="152"/>
      <c r="D897" s="152"/>
      <c r="E897" s="152"/>
      <c r="F897" s="152"/>
      <c r="G897" s="152"/>
      <c r="H897"/>
      <c r="I897"/>
      <c r="J897"/>
      <c r="K897"/>
      <c r="L897" s="16"/>
      <c r="N897" s="20"/>
      <c r="O897" s="23"/>
      <c r="P897" s="23"/>
      <c r="Q897" s="25"/>
      <c r="R897" s="23"/>
    </row>
    <row r="898" spans="1:18" x14ac:dyDescent="0.2">
      <c r="A898" s="225"/>
      <c r="B898" s="152"/>
      <c r="C898" s="152"/>
      <c r="D898" s="152"/>
      <c r="E898" s="152"/>
      <c r="F898" s="152"/>
      <c r="G898" s="152"/>
      <c r="H898"/>
      <c r="I898"/>
      <c r="J898"/>
      <c r="K898"/>
      <c r="L898" s="16"/>
      <c r="N898" s="20"/>
      <c r="O898" s="23"/>
      <c r="P898" s="23"/>
      <c r="Q898" s="25"/>
      <c r="R898" s="23"/>
    </row>
    <row r="899" spans="1:18" x14ac:dyDescent="0.2">
      <c r="A899" s="225"/>
      <c r="B899" s="152"/>
      <c r="C899" s="152"/>
      <c r="D899" s="152"/>
      <c r="E899" s="152"/>
      <c r="F899" s="152"/>
      <c r="G899" s="152"/>
      <c r="H899"/>
      <c r="I899"/>
      <c r="J899"/>
      <c r="K899"/>
      <c r="L899" s="16"/>
      <c r="N899" s="20"/>
      <c r="O899" s="23"/>
      <c r="P899" s="23"/>
      <c r="Q899" s="25"/>
      <c r="R899" s="23"/>
    </row>
    <row r="900" spans="1:18" x14ac:dyDescent="0.2">
      <c r="A900" s="225"/>
      <c r="B900" s="152"/>
      <c r="C900" s="152"/>
      <c r="D900" s="152"/>
      <c r="E900" s="152"/>
      <c r="F900" s="152"/>
      <c r="G900" s="152"/>
      <c r="H900"/>
      <c r="I900"/>
      <c r="J900"/>
      <c r="K900"/>
      <c r="L900" s="16"/>
      <c r="N900" s="20"/>
      <c r="O900" s="23"/>
      <c r="P900" s="23"/>
      <c r="Q900" s="25"/>
      <c r="R900" s="23"/>
    </row>
    <row r="901" spans="1:18" x14ac:dyDescent="0.2">
      <c r="A901" s="225"/>
      <c r="B901" s="152"/>
      <c r="C901" s="152"/>
      <c r="D901" s="152"/>
      <c r="E901" s="152"/>
      <c r="F901" s="152"/>
      <c r="G901" s="152"/>
      <c r="H901"/>
      <c r="I901"/>
      <c r="J901"/>
      <c r="K901"/>
      <c r="L901" s="16"/>
      <c r="N901" s="20"/>
      <c r="O901" s="23"/>
      <c r="P901" s="23"/>
      <c r="Q901" s="25"/>
      <c r="R901" s="23"/>
    </row>
    <row r="902" spans="1:18" x14ac:dyDescent="0.2">
      <c r="A902" s="225"/>
      <c r="B902" s="152"/>
      <c r="C902" s="152"/>
      <c r="D902" s="152"/>
      <c r="E902" s="152"/>
      <c r="F902" s="152"/>
      <c r="G902" s="152"/>
      <c r="H902"/>
      <c r="I902"/>
      <c r="J902"/>
      <c r="K902"/>
      <c r="L902" s="16"/>
      <c r="N902" s="20"/>
      <c r="O902" s="23"/>
      <c r="P902" s="23"/>
      <c r="Q902" s="25"/>
      <c r="R902" s="23"/>
    </row>
    <row r="903" spans="1:18" x14ac:dyDescent="0.2">
      <c r="A903" s="225"/>
      <c r="B903" s="152"/>
      <c r="C903" s="152"/>
      <c r="D903" s="152"/>
      <c r="E903" s="152"/>
      <c r="F903" s="152"/>
      <c r="G903" s="152"/>
      <c r="H903"/>
      <c r="I903"/>
      <c r="J903"/>
      <c r="K903"/>
      <c r="L903" s="16"/>
      <c r="N903" s="20"/>
      <c r="O903" s="23"/>
      <c r="P903" s="23"/>
      <c r="Q903" s="25"/>
      <c r="R903" s="23"/>
    </row>
    <row r="904" spans="1:18" x14ac:dyDescent="0.2">
      <c r="A904" s="225"/>
      <c r="B904" s="152"/>
      <c r="C904" s="152"/>
      <c r="D904" s="152"/>
      <c r="E904" s="152"/>
      <c r="F904" s="152"/>
      <c r="G904" s="152"/>
      <c r="H904"/>
      <c r="I904"/>
      <c r="J904"/>
      <c r="K904"/>
      <c r="L904" s="16"/>
      <c r="N904" s="20"/>
      <c r="O904" s="23"/>
      <c r="P904" s="23"/>
      <c r="Q904" s="25"/>
      <c r="R904" s="23"/>
    </row>
    <row r="905" spans="1:18" x14ac:dyDescent="0.2">
      <c r="A905" s="225"/>
      <c r="B905" s="152"/>
      <c r="C905" s="152"/>
      <c r="D905" s="152"/>
      <c r="E905" s="152"/>
      <c r="F905" s="152"/>
      <c r="G905" s="152"/>
      <c r="H905"/>
      <c r="I905"/>
      <c r="J905"/>
      <c r="K905"/>
      <c r="L905" s="16"/>
      <c r="N905" s="20"/>
      <c r="O905" s="23"/>
      <c r="P905" s="23"/>
      <c r="Q905" s="25"/>
      <c r="R905" s="23"/>
    </row>
    <row r="906" spans="1:18" x14ac:dyDescent="0.2">
      <c r="A906" s="225"/>
      <c r="B906" s="152"/>
      <c r="C906" s="152"/>
      <c r="D906" s="152"/>
      <c r="E906" s="152"/>
      <c r="F906" s="152"/>
      <c r="G906" s="152"/>
      <c r="H906" s="152"/>
      <c r="I906"/>
      <c r="J906"/>
      <c r="K906"/>
      <c r="L906"/>
      <c r="N906" s="20"/>
      <c r="O906" s="23"/>
      <c r="P906" s="23"/>
      <c r="Q906" s="25"/>
      <c r="R906" s="23"/>
    </row>
    <row r="907" spans="1:18" x14ac:dyDescent="0.2">
      <c r="A907" s="225"/>
      <c r="B907" s="152"/>
      <c r="C907" s="152"/>
      <c r="D907" s="152"/>
      <c r="E907" s="152"/>
      <c r="F907" s="152"/>
      <c r="G907" s="152"/>
      <c r="H907" s="152"/>
      <c r="I907"/>
      <c r="J907"/>
      <c r="K907"/>
      <c r="L907"/>
      <c r="N907" s="20"/>
      <c r="O907" s="23"/>
      <c r="P907" s="23"/>
      <c r="Q907" s="25"/>
      <c r="R907" s="23"/>
    </row>
    <row r="908" spans="1:18" x14ac:dyDescent="0.2">
      <c r="A908" s="225"/>
      <c r="B908" s="152"/>
      <c r="C908" s="152"/>
      <c r="D908" s="152"/>
      <c r="E908" s="152"/>
      <c r="F908" s="152"/>
      <c r="G908" s="152"/>
      <c r="H908" s="152"/>
      <c r="I908"/>
      <c r="J908"/>
      <c r="K908"/>
      <c r="L908"/>
      <c r="N908" s="20"/>
      <c r="O908" s="23"/>
      <c r="P908" s="23"/>
      <c r="Q908" s="25"/>
      <c r="R908" s="23"/>
    </row>
    <row r="909" spans="1:18" x14ac:dyDescent="0.2">
      <c r="A909" s="225"/>
      <c r="B909" s="152"/>
      <c r="C909" s="152"/>
      <c r="D909" s="152"/>
      <c r="E909" s="152"/>
      <c r="F909" s="152"/>
      <c r="G909" s="152"/>
      <c r="H909" s="152"/>
      <c r="I909"/>
      <c r="J909"/>
      <c r="K909"/>
      <c r="L909"/>
      <c r="N909" s="20"/>
      <c r="O909" s="23"/>
      <c r="P909" s="23"/>
      <c r="Q909" s="25"/>
      <c r="R909" s="23"/>
    </row>
    <row r="910" spans="1:18" x14ac:dyDescent="0.2">
      <c r="A910" s="225"/>
      <c r="B910" s="152"/>
      <c r="C910" s="152"/>
      <c r="D910" s="152"/>
      <c r="E910" s="152"/>
      <c r="F910" s="152"/>
      <c r="G910" s="152"/>
      <c r="H910" s="152"/>
      <c r="I910"/>
      <c r="J910"/>
      <c r="K910"/>
      <c r="L910"/>
      <c r="N910" s="20"/>
      <c r="O910" s="23"/>
      <c r="P910" s="23"/>
      <c r="Q910" s="25"/>
      <c r="R910" s="23"/>
    </row>
    <row r="911" spans="1:18" x14ac:dyDescent="0.2">
      <c r="A911" s="225"/>
      <c r="B911" s="152"/>
      <c r="C911" s="152"/>
      <c r="D911" s="152"/>
      <c r="E911" s="152"/>
      <c r="F911" s="152"/>
      <c r="G911" s="152"/>
      <c r="H911" s="152"/>
      <c r="I911"/>
      <c r="J911"/>
      <c r="K911"/>
      <c r="L911"/>
      <c r="N911" s="20"/>
      <c r="O911" s="23"/>
      <c r="P911" s="23"/>
      <c r="Q911" s="25"/>
      <c r="R911" s="23"/>
    </row>
    <row r="912" spans="1:18" x14ac:dyDescent="0.2">
      <c r="A912" s="225"/>
      <c r="B912" s="152"/>
      <c r="C912" s="152"/>
      <c r="D912" s="152"/>
      <c r="E912" s="152"/>
      <c r="F912" s="152"/>
      <c r="G912" s="152"/>
      <c r="H912" s="152"/>
      <c r="I912"/>
      <c r="J912"/>
      <c r="K912"/>
      <c r="L912"/>
      <c r="N912" s="20"/>
      <c r="O912" s="23"/>
      <c r="P912" s="23"/>
      <c r="Q912" s="25"/>
      <c r="R912" s="23"/>
    </row>
    <row r="913" spans="1:19" x14ac:dyDescent="0.2">
      <c r="A913" s="225"/>
      <c r="B913" s="152"/>
      <c r="C913" s="152"/>
      <c r="D913" s="152"/>
      <c r="E913" s="152"/>
      <c r="F913" s="152"/>
      <c r="G913" s="152"/>
      <c r="H913" s="152"/>
      <c r="I913"/>
      <c r="J913"/>
      <c r="K913"/>
      <c r="L913"/>
      <c r="N913" s="20"/>
      <c r="O913" s="23"/>
      <c r="P913" s="23"/>
      <c r="Q913" s="25"/>
      <c r="R913" s="23"/>
    </row>
    <row r="914" spans="1:19" x14ac:dyDescent="0.2">
      <c r="A914" s="225"/>
      <c r="B914" s="152"/>
      <c r="C914" s="152"/>
      <c r="D914" s="152"/>
      <c r="E914" s="152"/>
      <c r="F914" s="152"/>
      <c r="G914" s="152"/>
      <c r="H914" s="152"/>
      <c r="I914"/>
      <c r="J914"/>
      <c r="K914"/>
      <c r="L914"/>
      <c r="N914" s="20"/>
      <c r="O914" s="18"/>
      <c r="P914" s="23"/>
      <c r="Q914" s="23"/>
      <c r="R914" s="25"/>
      <c r="S914" s="23"/>
    </row>
    <row r="915" spans="1:19" x14ac:dyDescent="0.2">
      <c r="A915" s="225"/>
      <c r="B915" s="152"/>
      <c r="C915" s="152"/>
      <c r="D915" s="152"/>
      <c r="E915" s="152"/>
      <c r="F915" s="152"/>
      <c r="G915" s="152"/>
      <c r="H915" s="152"/>
      <c r="I915"/>
      <c r="J915"/>
      <c r="K915"/>
      <c r="L915"/>
      <c r="N915" s="20"/>
      <c r="O915" s="18"/>
      <c r="P915" s="23"/>
      <c r="Q915" s="23"/>
      <c r="R915" s="25"/>
      <c r="S915" s="23"/>
    </row>
    <row r="916" spans="1:19" x14ac:dyDescent="0.2">
      <c r="A916" s="225"/>
      <c r="B916" s="152"/>
      <c r="C916" s="152"/>
      <c r="D916" s="152"/>
      <c r="E916" s="152"/>
      <c r="F916" s="152"/>
      <c r="G916" s="152"/>
      <c r="H916" s="152"/>
      <c r="I916"/>
      <c r="J916"/>
      <c r="K916"/>
      <c r="L916"/>
      <c r="N916" s="20"/>
      <c r="O916" s="18"/>
      <c r="P916" s="23"/>
      <c r="Q916" s="23"/>
      <c r="R916" s="25"/>
      <c r="S916" s="23"/>
    </row>
    <row r="917" spans="1:19" x14ac:dyDescent="0.2">
      <c r="A917" s="225"/>
      <c r="B917" s="152"/>
      <c r="C917" s="152"/>
      <c r="D917" s="152"/>
      <c r="E917" s="152"/>
      <c r="F917" s="152"/>
      <c r="G917" s="152"/>
      <c r="H917" s="152"/>
      <c r="I917"/>
      <c r="J917"/>
      <c r="K917"/>
      <c r="L917"/>
      <c r="N917" s="20"/>
      <c r="O917" s="18"/>
      <c r="P917" s="23"/>
      <c r="Q917" s="23"/>
      <c r="R917" s="25"/>
      <c r="S917" s="23"/>
    </row>
    <row r="918" spans="1:19" x14ac:dyDescent="0.2">
      <c r="A918" s="225"/>
      <c r="B918" s="152"/>
      <c r="C918" s="152"/>
      <c r="D918" s="152"/>
      <c r="E918" s="152"/>
      <c r="F918" s="152"/>
      <c r="G918" s="152"/>
      <c r="H918" s="152"/>
      <c r="I918"/>
      <c r="J918"/>
      <c r="K918"/>
      <c r="L918"/>
      <c r="N918" s="20"/>
      <c r="O918" s="18"/>
      <c r="P918" s="23"/>
      <c r="Q918" s="23"/>
      <c r="R918" s="25"/>
      <c r="S918" s="23"/>
    </row>
    <row r="919" spans="1:19" x14ac:dyDescent="0.2">
      <c r="A919" s="225"/>
      <c r="B919" s="152"/>
      <c r="C919" s="152"/>
      <c r="D919" s="152"/>
      <c r="E919" s="152"/>
      <c r="F919" s="152"/>
      <c r="G919" s="152"/>
      <c r="H919" s="152"/>
      <c r="I919"/>
      <c r="J919"/>
      <c r="K919"/>
      <c r="L919"/>
      <c r="N919" s="20"/>
      <c r="O919" s="18"/>
      <c r="P919" s="23"/>
      <c r="Q919" s="23"/>
      <c r="R919" s="25"/>
      <c r="S919" s="23"/>
    </row>
    <row r="920" spans="1:19" x14ac:dyDescent="0.2">
      <c r="A920" s="225"/>
      <c r="B920" s="152"/>
      <c r="C920" s="152"/>
      <c r="D920" s="152"/>
      <c r="E920" s="152"/>
      <c r="F920" s="152"/>
      <c r="G920" s="152"/>
      <c r="H920" s="152"/>
      <c r="I920"/>
      <c r="J920"/>
      <c r="K920"/>
      <c r="L920"/>
      <c r="N920" s="20"/>
      <c r="O920" s="18"/>
      <c r="P920" s="23"/>
      <c r="Q920" s="23"/>
      <c r="R920" s="25"/>
      <c r="S920" s="23"/>
    </row>
    <row r="921" spans="1:19" x14ac:dyDescent="0.2">
      <c r="A921" s="225"/>
      <c r="B921" s="152"/>
      <c r="C921" s="152"/>
      <c r="D921" s="152"/>
      <c r="E921" s="152"/>
      <c r="F921" s="152"/>
      <c r="G921" s="152"/>
      <c r="H921" s="152"/>
      <c r="I921"/>
      <c r="J921"/>
      <c r="K921"/>
      <c r="L921"/>
      <c r="N921" s="20"/>
      <c r="O921" s="18"/>
      <c r="P921" s="23"/>
      <c r="Q921" s="23"/>
      <c r="R921" s="25"/>
      <c r="S921" s="23"/>
    </row>
    <row r="922" spans="1:19" x14ac:dyDescent="0.2">
      <c r="A922" s="225"/>
      <c r="B922" s="152"/>
      <c r="C922" s="152"/>
      <c r="D922" s="152"/>
      <c r="E922" s="152"/>
      <c r="F922" s="152"/>
      <c r="G922" s="152"/>
      <c r="H922" s="152"/>
      <c r="I922"/>
      <c r="J922"/>
      <c r="K922"/>
      <c r="L922"/>
      <c r="N922" s="20"/>
      <c r="O922" s="18"/>
      <c r="P922" s="23"/>
      <c r="Q922" s="23"/>
      <c r="R922" s="25"/>
      <c r="S922" s="23"/>
    </row>
    <row r="923" spans="1:19" x14ac:dyDescent="0.2">
      <c r="A923" s="225"/>
      <c r="B923" s="152"/>
      <c r="C923" s="152"/>
      <c r="D923" s="152"/>
      <c r="E923" s="152"/>
      <c r="F923" s="152"/>
      <c r="G923" s="152"/>
      <c r="H923" s="152"/>
      <c r="I923"/>
      <c r="J923"/>
      <c r="K923"/>
      <c r="L923"/>
      <c r="N923" s="20"/>
      <c r="O923" s="18"/>
      <c r="P923" s="23"/>
      <c r="Q923" s="23"/>
      <c r="R923" s="25"/>
      <c r="S923" s="23"/>
    </row>
    <row r="924" spans="1:19" x14ac:dyDescent="0.2">
      <c r="A924" s="225"/>
      <c r="B924" s="152"/>
      <c r="C924" s="152"/>
      <c r="D924" s="152"/>
      <c r="E924" s="152"/>
      <c r="F924" s="152"/>
      <c r="G924" s="152"/>
      <c r="H924" s="152"/>
      <c r="I924"/>
      <c r="J924"/>
      <c r="K924"/>
      <c r="L924"/>
      <c r="N924" s="20"/>
      <c r="O924" s="18"/>
      <c r="P924" s="23"/>
      <c r="Q924" s="23"/>
      <c r="R924" s="25"/>
      <c r="S924" s="23"/>
    </row>
    <row r="925" spans="1:19" x14ac:dyDescent="0.2">
      <c r="A925" s="225"/>
      <c r="B925" s="152"/>
      <c r="C925" s="152"/>
      <c r="D925" s="152"/>
      <c r="E925" s="152"/>
      <c r="F925" s="152"/>
      <c r="G925" s="152"/>
      <c r="H925" s="152"/>
      <c r="I925"/>
      <c r="J925"/>
      <c r="K925"/>
      <c r="L925"/>
      <c r="N925" s="20"/>
      <c r="O925" s="18"/>
    </row>
    <row r="926" spans="1:19" x14ac:dyDescent="0.2">
      <c r="A926" s="225"/>
      <c r="B926" s="152"/>
      <c r="C926" s="152"/>
      <c r="D926" s="152"/>
      <c r="E926" s="152"/>
      <c r="F926" s="152"/>
      <c r="G926" s="152"/>
      <c r="H926" s="152"/>
      <c r="I926"/>
      <c r="J926"/>
      <c r="K926"/>
      <c r="L926"/>
      <c r="N926" s="20"/>
      <c r="O926" s="18"/>
    </row>
    <row r="927" spans="1:19" x14ac:dyDescent="0.2">
      <c r="A927" s="225"/>
      <c r="B927" s="152"/>
      <c r="C927" s="152"/>
      <c r="D927" s="152"/>
      <c r="E927" s="152"/>
      <c r="F927" s="152"/>
      <c r="G927" s="152"/>
      <c r="H927" s="152"/>
      <c r="I927"/>
      <c r="J927"/>
      <c r="K927"/>
      <c r="L927"/>
      <c r="N927" s="20"/>
      <c r="O927" s="18"/>
    </row>
    <row r="928" spans="1:19" x14ac:dyDescent="0.2">
      <c r="A928" s="225"/>
      <c r="B928" s="152"/>
      <c r="C928" s="152"/>
      <c r="D928" s="152"/>
      <c r="E928" s="152"/>
      <c r="F928" s="152"/>
      <c r="G928" s="152"/>
      <c r="H928" s="152"/>
      <c r="I928"/>
      <c r="J928"/>
      <c r="K928"/>
      <c r="L928"/>
      <c r="N928" s="20"/>
      <c r="O928" s="18"/>
    </row>
    <row r="929" spans="1:15" x14ac:dyDescent="0.2">
      <c r="A929" s="225"/>
      <c r="B929" s="152"/>
      <c r="C929" s="152"/>
      <c r="D929" s="152"/>
      <c r="E929" s="152"/>
      <c r="F929" s="152"/>
      <c r="G929" s="152"/>
      <c r="H929" s="152"/>
      <c r="I929"/>
      <c r="J929"/>
      <c r="K929"/>
      <c r="L929"/>
      <c r="N929" s="20"/>
      <c r="O929" s="18"/>
    </row>
    <row r="930" spans="1:15" x14ac:dyDescent="0.2">
      <c r="A930" s="225"/>
      <c r="B930" s="152"/>
      <c r="C930" s="152"/>
      <c r="D930" s="152"/>
      <c r="E930" s="152"/>
      <c r="F930" s="152"/>
      <c r="G930" s="152"/>
      <c r="H930" s="152"/>
      <c r="I930"/>
      <c r="J930"/>
      <c r="K930"/>
      <c r="L930"/>
      <c r="N930" s="20"/>
      <c r="O930" s="18"/>
    </row>
    <row r="931" spans="1:15" x14ac:dyDescent="0.2">
      <c r="A931" s="225"/>
      <c r="B931" s="152"/>
      <c r="C931" s="152"/>
      <c r="D931" s="152"/>
      <c r="E931" s="152"/>
      <c r="F931" s="152"/>
      <c r="G931" s="152"/>
      <c r="H931" s="152"/>
      <c r="I931"/>
      <c r="J931"/>
      <c r="K931"/>
      <c r="L931"/>
      <c r="N931" s="20"/>
      <c r="O931" s="18"/>
    </row>
    <row r="932" spans="1:15" x14ac:dyDescent="0.2">
      <c r="A932" s="225"/>
      <c r="B932" s="152"/>
      <c r="C932" s="152"/>
      <c r="D932" s="152"/>
      <c r="E932" s="152"/>
      <c r="F932" s="152"/>
      <c r="G932" s="152"/>
      <c r="H932" s="152"/>
      <c r="I932"/>
      <c r="J932"/>
      <c r="K932"/>
      <c r="L932"/>
      <c r="N932" s="20"/>
      <c r="O932" s="18"/>
    </row>
    <row r="933" spans="1:15" x14ac:dyDescent="0.2">
      <c r="A933" s="225"/>
      <c r="B933" s="152"/>
      <c r="C933" s="152"/>
      <c r="D933" s="152"/>
      <c r="E933" s="152"/>
      <c r="F933" s="152"/>
      <c r="G933" s="152"/>
      <c r="H933" s="152"/>
      <c r="I933"/>
      <c r="J933"/>
      <c r="K933"/>
      <c r="L933"/>
      <c r="N933" s="20"/>
      <c r="O933" s="18"/>
    </row>
    <row r="934" spans="1:15" x14ac:dyDescent="0.2">
      <c r="A934" s="225"/>
      <c r="B934" s="152"/>
      <c r="C934" s="152"/>
      <c r="D934" s="152"/>
      <c r="E934" s="152"/>
      <c r="F934" s="152"/>
      <c r="G934" s="152"/>
      <c r="H934" s="152"/>
      <c r="I934"/>
      <c r="J934"/>
      <c r="K934"/>
      <c r="L934"/>
      <c r="N934" s="20"/>
      <c r="O934" s="18"/>
    </row>
    <row r="935" spans="1:15" x14ac:dyDescent="0.2">
      <c r="A935" s="225"/>
      <c r="B935" s="152"/>
      <c r="C935" s="152"/>
      <c r="D935" s="152"/>
      <c r="E935" s="152"/>
      <c r="F935" s="152"/>
      <c r="G935" s="152"/>
      <c r="H935" s="152"/>
      <c r="I935"/>
      <c r="J935"/>
      <c r="K935"/>
      <c r="L935"/>
      <c r="N935" s="20"/>
      <c r="O935" s="18"/>
    </row>
    <row r="936" spans="1:15" x14ac:dyDescent="0.2">
      <c r="A936" s="225"/>
      <c r="B936" s="152"/>
      <c r="C936" s="152"/>
      <c r="D936" s="152"/>
      <c r="E936" s="152"/>
      <c r="F936" s="152"/>
      <c r="G936" s="152"/>
      <c r="H936" s="152"/>
      <c r="I936"/>
      <c r="J936"/>
      <c r="K936"/>
      <c r="L936"/>
      <c r="N936" s="20"/>
      <c r="O936" s="18"/>
    </row>
    <row r="937" spans="1:15" x14ac:dyDescent="0.2">
      <c r="A937" s="225"/>
      <c r="B937" s="152"/>
      <c r="C937" s="152"/>
      <c r="D937" s="152"/>
      <c r="E937" s="152"/>
      <c r="F937" s="152"/>
      <c r="G937" s="152"/>
      <c r="H937" s="152"/>
      <c r="I937"/>
      <c r="J937"/>
      <c r="K937"/>
      <c r="L937"/>
      <c r="N937" s="20"/>
      <c r="O937" s="18"/>
    </row>
    <row r="938" spans="1:15" x14ac:dyDescent="0.2">
      <c r="A938" s="225"/>
      <c r="B938" s="152"/>
      <c r="C938" s="152"/>
      <c r="D938" s="152"/>
      <c r="E938" s="152"/>
      <c r="F938" s="152"/>
      <c r="G938" s="152"/>
      <c r="H938" s="152"/>
      <c r="I938"/>
      <c r="J938"/>
      <c r="K938"/>
      <c r="L938"/>
      <c r="N938" s="20"/>
      <c r="O938" s="18"/>
    </row>
    <row r="939" spans="1:15" x14ac:dyDescent="0.2">
      <c r="A939" s="225"/>
      <c r="B939" s="152"/>
      <c r="C939" s="152"/>
      <c r="D939" s="152"/>
      <c r="E939" s="152"/>
      <c r="F939" s="152"/>
      <c r="G939" s="152"/>
      <c r="H939" s="152"/>
      <c r="I939"/>
      <c r="J939"/>
      <c r="K939"/>
      <c r="L939"/>
      <c r="N939" s="20"/>
      <c r="O939" s="18"/>
    </row>
    <row r="940" spans="1:15" x14ac:dyDescent="0.2">
      <c r="A940" s="225"/>
      <c r="B940" s="152"/>
      <c r="C940" s="152"/>
      <c r="D940" s="152"/>
      <c r="E940" s="152"/>
      <c r="F940" s="152"/>
      <c r="G940" s="152"/>
      <c r="H940" s="152"/>
      <c r="I940"/>
      <c r="J940"/>
      <c r="K940"/>
      <c r="L940"/>
      <c r="N940" s="20"/>
      <c r="O940" s="18"/>
    </row>
    <row r="941" spans="1:15" x14ac:dyDescent="0.2">
      <c r="A941" s="225"/>
      <c r="B941" s="152"/>
      <c r="C941" s="152"/>
      <c r="D941" s="152"/>
      <c r="E941" s="152"/>
      <c r="F941" s="152"/>
      <c r="G941" s="152"/>
      <c r="H941" s="152"/>
      <c r="I941"/>
      <c r="J941"/>
      <c r="K941"/>
      <c r="L941"/>
      <c r="N941" s="20"/>
      <c r="O941" s="18"/>
    </row>
    <row r="942" spans="1:15" x14ac:dyDescent="0.2">
      <c r="A942" s="225"/>
      <c r="B942" s="152"/>
      <c r="C942" s="152"/>
      <c r="D942" s="152"/>
      <c r="E942" s="152"/>
      <c r="F942" s="152"/>
      <c r="G942" s="152"/>
      <c r="H942" s="152"/>
      <c r="I942"/>
      <c r="J942"/>
      <c r="K942"/>
      <c r="L942"/>
      <c r="N942" s="20"/>
      <c r="O942" s="18"/>
    </row>
    <row r="943" spans="1:15" x14ac:dyDescent="0.2">
      <c r="A943" s="225"/>
      <c r="B943" s="152"/>
      <c r="C943" s="152"/>
      <c r="D943" s="152"/>
      <c r="E943" s="152"/>
      <c r="F943" s="152"/>
      <c r="G943" s="152"/>
      <c r="H943" s="152"/>
      <c r="I943" s="152"/>
      <c r="J943" s="152"/>
      <c r="K943"/>
      <c r="L943"/>
      <c r="M943"/>
      <c r="N943"/>
      <c r="O943" s="18"/>
    </row>
    <row r="944" spans="1:15" x14ac:dyDescent="0.2">
      <c r="A944" s="225"/>
      <c r="B944" s="152"/>
      <c r="C944" s="152"/>
      <c r="D944" s="152"/>
      <c r="E944" s="152"/>
      <c r="F944" s="152"/>
      <c r="G944" s="152"/>
      <c r="H944" s="152"/>
      <c r="I944" s="152"/>
      <c r="J944" s="152"/>
      <c r="K944"/>
      <c r="L944"/>
      <c r="M944"/>
      <c r="N944"/>
      <c r="O944" s="18"/>
    </row>
    <row r="945" spans="1:15" x14ac:dyDescent="0.2">
      <c r="A945" s="225"/>
      <c r="B945" s="152"/>
      <c r="C945" s="152"/>
      <c r="D945" s="152"/>
      <c r="E945" s="152"/>
      <c r="F945" s="152"/>
      <c r="G945" s="152"/>
      <c r="H945" s="152"/>
      <c r="I945" s="152"/>
      <c r="J945" s="152"/>
      <c r="K945"/>
      <c r="L945"/>
      <c r="M945"/>
      <c r="N945"/>
      <c r="O945" s="18"/>
    </row>
    <row r="946" spans="1:15" x14ac:dyDescent="0.2">
      <c r="A946" s="225"/>
      <c r="B946"/>
      <c r="C946" s="152"/>
      <c r="D946" s="152"/>
      <c r="E946" s="152"/>
      <c r="F946" s="152"/>
      <c r="G946" s="152"/>
      <c r="H946" s="152"/>
      <c r="I946" s="152"/>
      <c r="J946" s="152"/>
      <c r="K946" s="152"/>
      <c r="L946"/>
      <c r="M946"/>
      <c r="N946"/>
      <c r="O946"/>
    </row>
    <row r="947" spans="1:15" x14ac:dyDescent="0.2">
      <c r="A947" s="225"/>
      <c r="B947"/>
      <c r="C947" s="152"/>
      <c r="D947" s="152"/>
      <c r="E947" s="152"/>
      <c r="F947" s="152"/>
      <c r="G947" s="152"/>
      <c r="H947" s="152"/>
      <c r="I947" s="152"/>
      <c r="J947" s="152"/>
      <c r="K947" s="152"/>
      <c r="L947"/>
      <c r="M947"/>
      <c r="N947"/>
      <c r="O947"/>
    </row>
    <row r="948" spans="1:15" x14ac:dyDescent="0.2">
      <c r="A948" s="225"/>
      <c r="B948"/>
      <c r="C948" s="152"/>
      <c r="D948" s="152"/>
      <c r="E948" s="152"/>
      <c r="F948" s="152"/>
      <c r="G948" s="152"/>
      <c r="H948" s="152"/>
      <c r="I948" s="152"/>
      <c r="J948" s="152"/>
      <c r="K948" s="152"/>
      <c r="L948"/>
      <c r="M948"/>
      <c r="N948"/>
      <c r="O948"/>
    </row>
    <row r="949" spans="1:15" x14ac:dyDescent="0.2">
      <c r="A949" s="225"/>
      <c r="B949"/>
      <c r="C949" s="152"/>
      <c r="D949" s="152"/>
      <c r="E949" s="152"/>
      <c r="F949" s="152"/>
      <c r="G949" s="152"/>
      <c r="H949" s="152"/>
      <c r="I949" s="152"/>
      <c r="J949" s="152"/>
      <c r="K949" s="152"/>
      <c r="L949"/>
      <c r="M949"/>
      <c r="N949"/>
      <c r="O949"/>
    </row>
    <row r="950" spans="1:15" x14ac:dyDescent="0.2">
      <c r="A950" s="225"/>
      <c r="B950"/>
      <c r="C950" s="152"/>
      <c r="D950" s="152"/>
      <c r="E950" s="152"/>
      <c r="F950" s="152"/>
      <c r="G950" s="152"/>
      <c r="H950" s="152"/>
      <c r="I950" s="152"/>
      <c r="J950" s="152"/>
      <c r="K950" s="152"/>
      <c r="L950"/>
      <c r="M950"/>
      <c r="N950"/>
      <c r="O950"/>
    </row>
    <row r="951" spans="1:15" x14ac:dyDescent="0.2">
      <c r="A951" s="225"/>
      <c r="B951"/>
      <c r="C951" s="152"/>
      <c r="D951" s="152"/>
      <c r="E951" s="152"/>
      <c r="F951" s="152"/>
      <c r="G951" s="152"/>
      <c r="H951" s="152"/>
      <c r="I951" s="152"/>
      <c r="J951" s="152"/>
      <c r="K951" s="152"/>
      <c r="L951"/>
      <c r="M951"/>
      <c r="N951"/>
      <c r="O951"/>
    </row>
    <row r="952" spans="1:15" x14ac:dyDescent="0.2">
      <c r="A952" s="225"/>
      <c r="B952"/>
      <c r="C952" s="152"/>
      <c r="D952" s="152"/>
      <c r="E952" s="152"/>
      <c r="F952" s="152"/>
      <c r="G952" s="152"/>
      <c r="H952" s="152"/>
      <c r="I952" s="152"/>
      <c r="J952" s="152"/>
      <c r="K952" s="152"/>
      <c r="L952"/>
      <c r="M952"/>
      <c r="N952"/>
      <c r="O952"/>
    </row>
    <row r="953" spans="1:15" x14ac:dyDescent="0.2">
      <c r="A953" s="225"/>
      <c r="B953"/>
      <c r="C953" s="152"/>
      <c r="D953" s="152"/>
      <c r="E953" s="152"/>
      <c r="F953" s="152"/>
      <c r="G953" s="152"/>
      <c r="H953" s="152"/>
      <c r="I953" s="152"/>
      <c r="J953" s="152"/>
      <c r="K953" s="152"/>
      <c r="L953"/>
      <c r="M953"/>
      <c r="N953"/>
      <c r="O953"/>
    </row>
    <row r="954" spans="1:15" x14ac:dyDescent="0.2">
      <c r="A954" s="225"/>
      <c r="B954"/>
      <c r="C954" s="152"/>
      <c r="D954" s="152"/>
      <c r="E954" s="152"/>
      <c r="F954" s="152"/>
      <c r="G954" s="152"/>
      <c r="H954" s="152"/>
      <c r="I954" s="152"/>
      <c r="J954" s="152"/>
      <c r="K954" s="152"/>
      <c r="L954"/>
      <c r="M954"/>
      <c r="N954"/>
      <c r="O954"/>
    </row>
    <row r="955" spans="1:15" x14ac:dyDescent="0.2">
      <c r="A955" s="225"/>
      <c r="B955"/>
      <c r="C955" s="152"/>
      <c r="D955" s="152"/>
      <c r="E955" s="152"/>
      <c r="F955" s="152"/>
      <c r="G955" s="152"/>
      <c r="H955" s="152"/>
      <c r="I955" s="152"/>
      <c r="J955" s="152"/>
      <c r="K955" s="152"/>
      <c r="L955"/>
      <c r="M955"/>
      <c r="N955"/>
      <c r="O955"/>
    </row>
    <row r="956" spans="1:15" x14ac:dyDescent="0.2">
      <c r="A956" s="225"/>
      <c r="B956"/>
      <c r="C956" s="152"/>
      <c r="D956" s="152"/>
      <c r="E956" s="152"/>
      <c r="F956" s="152"/>
      <c r="G956" s="152"/>
      <c r="H956" s="152"/>
      <c r="I956" s="152"/>
      <c r="J956" s="152"/>
      <c r="K956" s="152"/>
      <c r="L956"/>
      <c r="M956"/>
      <c r="N956"/>
      <c r="O956"/>
    </row>
    <row r="957" spans="1:15" x14ac:dyDescent="0.2">
      <c r="A957" s="225"/>
      <c r="B957"/>
      <c r="C957" s="152"/>
      <c r="D957" s="152"/>
      <c r="E957" s="152"/>
      <c r="F957" s="152"/>
      <c r="G957" s="152"/>
      <c r="H957" s="152"/>
      <c r="I957" s="152"/>
      <c r="J957" s="152"/>
      <c r="K957" s="152"/>
      <c r="L957"/>
      <c r="M957"/>
      <c r="N957"/>
      <c r="O957"/>
    </row>
    <row r="958" spans="1:15" x14ac:dyDescent="0.2">
      <c r="A958" s="240"/>
      <c r="B958" s="19"/>
      <c r="C958" s="22"/>
      <c r="D958" s="22"/>
      <c r="E958" s="22"/>
      <c r="H958" s="22"/>
      <c r="I958" s="22"/>
      <c r="J958" s="22"/>
      <c r="L958" s="20"/>
      <c r="M958" s="19"/>
      <c r="N958" s="19"/>
      <c r="O958" s="19"/>
    </row>
    <row r="959" spans="1:15" x14ac:dyDescent="0.2">
      <c r="A959" s="240"/>
      <c r="B959" s="19"/>
      <c r="C959" s="22"/>
      <c r="D959" s="22"/>
      <c r="E959" s="22"/>
      <c r="H959" s="22"/>
      <c r="I959" s="22"/>
      <c r="J959" s="22"/>
      <c r="L959" s="20"/>
      <c r="M959" s="19"/>
      <c r="N959" s="19"/>
      <c r="O959" s="19"/>
    </row>
    <row r="960" spans="1:15" x14ac:dyDescent="0.2">
      <c r="A960" s="240"/>
      <c r="B960" s="19"/>
      <c r="C960" s="22"/>
      <c r="D960" s="22"/>
      <c r="E960" s="22"/>
      <c r="H960" s="22"/>
      <c r="I960" s="22"/>
      <c r="J960" s="22"/>
      <c r="L960" s="20"/>
      <c r="M960" s="19"/>
      <c r="N960" s="19"/>
      <c r="O960" s="19"/>
    </row>
    <row r="961" spans="1:15" x14ac:dyDescent="0.2">
      <c r="A961" s="240"/>
      <c r="B961" s="19"/>
      <c r="C961" s="22"/>
      <c r="D961" s="22"/>
      <c r="E961" s="22"/>
      <c r="H961" s="22"/>
      <c r="I961" s="22"/>
      <c r="J961" s="22"/>
      <c r="L961" s="20"/>
      <c r="M961" s="19"/>
      <c r="N961" s="19"/>
      <c r="O961" s="19"/>
    </row>
    <row r="962" spans="1:15" x14ac:dyDescent="0.2">
      <c r="A962" s="240"/>
      <c r="B962" s="19"/>
      <c r="C962" s="22"/>
      <c r="D962" s="22"/>
      <c r="E962" s="22"/>
      <c r="H962" s="22"/>
      <c r="I962" s="22"/>
      <c r="J962" s="22"/>
      <c r="L962" s="20"/>
      <c r="M962" s="19"/>
      <c r="N962" s="19"/>
      <c r="O962" s="19"/>
    </row>
    <row r="963" spans="1:15" x14ac:dyDescent="0.2">
      <c r="A963" s="240"/>
      <c r="B963" s="19"/>
      <c r="C963" s="22"/>
      <c r="D963" s="22"/>
      <c r="E963" s="22"/>
      <c r="H963" s="22"/>
      <c r="I963" s="22"/>
      <c r="J963" s="22"/>
      <c r="L963" s="20"/>
      <c r="M963" s="19"/>
      <c r="N963" s="19"/>
      <c r="O963" s="19"/>
    </row>
    <row r="964" spans="1:15" x14ac:dyDescent="0.2">
      <c r="A964" s="240"/>
      <c r="B964" s="19"/>
      <c r="C964" s="22"/>
      <c r="D964" s="22"/>
      <c r="E964" s="22"/>
      <c r="H964" s="22"/>
      <c r="I964" s="22"/>
      <c r="J964" s="22"/>
      <c r="L964" s="20"/>
      <c r="M964" s="19"/>
      <c r="N964" s="19"/>
      <c r="O964" s="19"/>
    </row>
    <row r="965" spans="1:15" x14ac:dyDescent="0.2">
      <c r="A965" s="240"/>
      <c r="B965" s="19"/>
      <c r="C965" s="22"/>
      <c r="D965" s="22"/>
      <c r="E965" s="22"/>
      <c r="H965" s="22"/>
      <c r="I965" s="22"/>
      <c r="J965" s="22"/>
      <c r="L965" s="20"/>
      <c r="M965" s="19"/>
      <c r="N965" s="19"/>
      <c r="O965" s="19"/>
    </row>
    <row r="966" spans="1:15" x14ac:dyDescent="0.2">
      <c r="A966" s="240"/>
      <c r="B966" s="19"/>
      <c r="C966" s="22"/>
      <c r="D966" s="22"/>
      <c r="E966" s="22"/>
      <c r="H966" s="22"/>
      <c r="I966" s="22"/>
      <c r="J966" s="22"/>
      <c r="L966" s="20"/>
      <c r="M966" s="19"/>
      <c r="N966" s="19"/>
      <c r="O966" s="19"/>
    </row>
    <row r="967" spans="1:15" x14ac:dyDescent="0.2">
      <c r="A967" s="240"/>
      <c r="B967" s="19"/>
      <c r="C967" s="22"/>
      <c r="D967" s="22"/>
      <c r="E967" s="22"/>
      <c r="H967" s="22"/>
      <c r="I967" s="22"/>
      <c r="J967" s="22"/>
      <c r="L967" s="20"/>
      <c r="M967" s="19"/>
      <c r="N967" s="19"/>
      <c r="O967" s="19"/>
    </row>
    <row r="968" spans="1:15" x14ac:dyDescent="0.2">
      <c r="A968" s="240"/>
      <c r="B968" s="19"/>
      <c r="C968" s="22"/>
      <c r="D968" s="22"/>
      <c r="E968" s="22"/>
      <c r="H968" s="22"/>
      <c r="I968" s="22"/>
      <c r="J968" s="22"/>
      <c r="L968" s="20"/>
      <c r="M968" s="19"/>
      <c r="N968" s="19"/>
      <c r="O968" s="19"/>
    </row>
    <row r="969" spans="1:15" x14ac:dyDescent="0.2">
      <c r="A969" s="240"/>
      <c r="B969" s="19"/>
      <c r="C969" s="22"/>
      <c r="D969" s="22"/>
      <c r="E969" s="22"/>
      <c r="H969" s="22"/>
      <c r="I969" s="22"/>
      <c r="J969" s="22"/>
      <c r="L969" s="20"/>
      <c r="M969" s="19"/>
      <c r="N969" s="19"/>
      <c r="O969" s="19"/>
    </row>
    <row r="970" spans="1:15" x14ac:dyDescent="0.2">
      <c r="A970" s="240"/>
      <c r="B970" s="19"/>
      <c r="C970" s="22"/>
      <c r="D970" s="22"/>
      <c r="E970" s="22"/>
      <c r="H970" s="22"/>
      <c r="I970" s="22"/>
      <c r="J970" s="22"/>
      <c r="L970" s="20"/>
      <c r="M970" s="19"/>
      <c r="N970" s="19"/>
      <c r="O970" s="19"/>
    </row>
    <row r="971" spans="1:15" x14ac:dyDescent="0.2">
      <c r="A971" s="240"/>
      <c r="B971" s="19"/>
      <c r="C971" s="22"/>
      <c r="D971" s="22"/>
      <c r="E971" s="22"/>
      <c r="H971" s="22"/>
      <c r="I971" s="22"/>
      <c r="J971" s="22"/>
      <c r="L971" s="20"/>
      <c r="M971" s="19"/>
      <c r="N971" s="19"/>
      <c r="O971" s="19"/>
    </row>
    <row r="972" spans="1:15" x14ac:dyDescent="0.2">
      <c r="A972" s="240"/>
      <c r="B972" s="19"/>
      <c r="C972" s="22"/>
      <c r="D972" s="22"/>
      <c r="E972" s="22"/>
      <c r="H972" s="22"/>
      <c r="I972" s="22"/>
      <c r="J972" s="22"/>
      <c r="L972" s="20"/>
      <c r="M972" s="19"/>
      <c r="N972" s="19"/>
      <c r="O972" s="19"/>
    </row>
    <row r="973" spans="1:15" x14ac:dyDescent="0.2">
      <c r="A973" s="240"/>
      <c r="B973" s="19"/>
      <c r="C973" s="22"/>
      <c r="D973" s="22"/>
      <c r="E973" s="22"/>
      <c r="H973" s="22"/>
      <c r="I973" s="22"/>
      <c r="J973" s="22"/>
      <c r="L973" s="20"/>
      <c r="M973" s="19"/>
      <c r="N973" s="19"/>
      <c r="O973" s="19"/>
    </row>
    <row r="974" spans="1:15" x14ac:dyDescent="0.2">
      <c r="A974" s="240"/>
      <c r="B974" s="19"/>
      <c r="C974" s="22"/>
      <c r="D974" s="22"/>
      <c r="E974" s="22"/>
      <c r="H974" s="22"/>
      <c r="I974" s="22"/>
      <c r="J974" s="22"/>
      <c r="L974" s="20"/>
      <c r="M974" s="19"/>
      <c r="N974" s="19"/>
      <c r="O974" s="19"/>
    </row>
    <row r="975" spans="1:15" x14ac:dyDescent="0.2">
      <c r="A975" s="240"/>
      <c r="B975" s="19"/>
      <c r="C975" s="22"/>
      <c r="D975" s="22"/>
      <c r="E975" s="22"/>
      <c r="H975" s="22"/>
      <c r="I975" s="22"/>
      <c r="J975" s="22"/>
      <c r="L975" s="20"/>
      <c r="M975" s="19"/>
      <c r="N975" s="19"/>
      <c r="O975" s="19"/>
    </row>
    <row r="976" spans="1:15" x14ac:dyDescent="0.2">
      <c r="A976" s="240"/>
      <c r="B976" s="19"/>
      <c r="C976" s="22"/>
      <c r="D976" s="22"/>
      <c r="E976" s="22"/>
      <c r="H976" s="22"/>
      <c r="I976" s="22"/>
      <c r="J976" s="22"/>
      <c r="L976" s="20"/>
      <c r="M976" s="19"/>
      <c r="N976" s="19"/>
      <c r="O976" s="19"/>
    </row>
    <row r="977" spans="1:15" x14ac:dyDescent="0.2">
      <c r="A977" s="240"/>
      <c r="B977" s="19"/>
      <c r="C977" s="22"/>
      <c r="D977" s="22"/>
      <c r="E977" s="22"/>
      <c r="H977" s="22"/>
      <c r="I977" s="22"/>
      <c r="J977" s="22"/>
      <c r="L977" s="20"/>
      <c r="M977" s="19"/>
      <c r="N977" s="19"/>
      <c r="O977" s="19"/>
    </row>
    <row r="978" spans="1:15" x14ac:dyDescent="0.2">
      <c r="A978" s="240"/>
      <c r="B978" s="19"/>
      <c r="C978" s="22"/>
      <c r="D978" s="22"/>
      <c r="E978" s="22"/>
      <c r="H978" s="22"/>
      <c r="I978" s="22"/>
      <c r="J978" s="22"/>
      <c r="L978" s="20"/>
      <c r="M978" s="19"/>
      <c r="N978" s="19"/>
      <c r="O978" s="19"/>
    </row>
    <row r="979" spans="1:15" x14ac:dyDescent="0.2">
      <c r="A979" s="240"/>
      <c r="B979" s="19"/>
      <c r="C979" s="22"/>
      <c r="D979" s="22"/>
      <c r="E979" s="22"/>
      <c r="H979" s="22"/>
      <c r="I979" s="22"/>
      <c r="J979" s="22"/>
      <c r="L979" s="20"/>
      <c r="M979" s="19"/>
      <c r="N979" s="19"/>
      <c r="O979" s="19"/>
    </row>
    <row r="980" spans="1:15" x14ac:dyDescent="0.2">
      <c r="A980" s="240"/>
      <c r="B980" s="19"/>
      <c r="C980" s="22"/>
      <c r="D980" s="22"/>
      <c r="E980" s="22"/>
      <c r="H980" s="22"/>
      <c r="I980" s="22"/>
      <c r="J980" s="22"/>
      <c r="L980" s="20"/>
      <c r="M980" s="19"/>
      <c r="N980" s="19"/>
      <c r="O980" s="19"/>
    </row>
    <row r="981" spans="1:15" x14ac:dyDescent="0.2">
      <c r="A981" s="240"/>
      <c r="B981" s="19"/>
      <c r="C981" s="22"/>
      <c r="D981" s="22"/>
      <c r="E981" s="22"/>
      <c r="H981" s="22"/>
      <c r="I981" s="22"/>
      <c r="J981" s="22"/>
      <c r="L981" s="20"/>
      <c r="M981" s="19"/>
      <c r="N981" s="19"/>
      <c r="O981" s="19"/>
    </row>
    <row r="982" spans="1:15" x14ac:dyDescent="0.2">
      <c r="A982" s="240"/>
      <c r="B982" s="19"/>
      <c r="C982" s="22"/>
      <c r="D982" s="22"/>
      <c r="E982" s="22"/>
      <c r="H982" s="22"/>
      <c r="I982" s="22"/>
      <c r="J982" s="22"/>
      <c r="L982" s="20"/>
      <c r="M982" s="19"/>
      <c r="N982" s="19"/>
      <c r="O982" s="19"/>
    </row>
    <row r="983" spans="1:15" x14ac:dyDescent="0.2">
      <c r="A983" s="240"/>
      <c r="B983" s="19"/>
      <c r="C983" s="22"/>
      <c r="D983" s="22"/>
      <c r="E983" s="22"/>
      <c r="H983" s="22"/>
      <c r="I983" s="22"/>
      <c r="J983" s="22"/>
      <c r="L983" s="20"/>
      <c r="M983" s="19"/>
      <c r="N983" s="19"/>
      <c r="O983" s="19"/>
    </row>
    <row r="984" spans="1:15" x14ac:dyDescent="0.2">
      <c r="A984" s="240"/>
      <c r="B984" s="19"/>
      <c r="C984" s="22"/>
      <c r="D984" s="22"/>
      <c r="E984" s="22"/>
      <c r="H984" s="22"/>
      <c r="I984" s="22"/>
      <c r="J984" s="22"/>
      <c r="L984" s="20"/>
      <c r="M984" s="19"/>
      <c r="N984" s="19"/>
      <c r="O984" s="19"/>
    </row>
    <row r="985" spans="1:15" x14ac:dyDescent="0.2">
      <c r="A985" s="240"/>
      <c r="B985" s="19"/>
      <c r="C985" s="22"/>
      <c r="D985" s="22"/>
      <c r="E985" s="22"/>
      <c r="H985" s="22"/>
      <c r="I985" s="22"/>
      <c r="J985" s="22"/>
      <c r="L985" s="20"/>
      <c r="M985" s="19"/>
      <c r="N985" s="19"/>
      <c r="O985" s="19"/>
    </row>
    <row r="986" spans="1:15" x14ac:dyDescent="0.2">
      <c r="A986" s="240"/>
      <c r="B986" s="19"/>
      <c r="C986" s="22"/>
      <c r="D986" s="22"/>
      <c r="E986" s="22"/>
      <c r="H986" s="22"/>
      <c r="I986" s="22"/>
      <c r="J986" s="22"/>
      <c r="L986" s="20"/>
      <c r="M986" s="19"/>
      <c r="N986" s="19"/>
      <c r="O986" s="19"/>
    </row>
    <row r="987" spans="1:15" x14ac:dyDescent="0.2">
      <c r="A987" s="240"/>
      <c r="B987" s="19"/>
      <c r="C987" s="22"/>
      <c r="D987" s="22"/>
      <c r="E987" s="22"/>
      <c r="H987" s="22"/>
      <c r="I987" s="22"/>
      <c r="J987" s="22"/>
      <c r="L987" s="20"/>
      <c r="M987" s="19"/>
      <c r="N987" s="19"/>
      <c r="O987" s="19"/>
    </row>
    <row r="988" spans="1:15" x14ac:dyDescent="0.2">
      <c r="A988" s="240"/>
      <c r="B988" s="19"/>
      <c r="C988" s="22"/>
      <c r="D988" s="22"/>
      <c r="E988" s="22"/>
      <c r="H988" s="22"/>
      <c r="I988" s="22"/>
      <c r="J988" s="22"/>
      <c r="L988" s="20"/>
      <c r="M988" s="19"/>
      <c r="N988" s="19"/>
      <c r="O988" s="19"/>
    </row>
    <row r="989" spans="1:15" x14ac:dyDescent="0.2">
      <c r="A989" s="240"/>
      <c r="B989" s="19"/>
      <c r="C989" s="22"/>
      <c r="D989" s="22"/>
      <c r="E989" s="22"/>
      <c r="H989" s="22"/>
      <c r="I989" s="22"/>
      <c r="J989" s="22"/>
      <c r="L989" s="20"/>
      <c r="M989" s="19"/>
      <c r="N989" s="19"/>
      <c r="O989" s="19"/>
    </row>
    <row r="990" spans="1:15" x14ac:dyDescent="0.2">
      <c r="A990" s="240"/>
      <c r="B990" s="19"/>
      <c r="C990" s="22"/>
      <c r="D990" s="22"/>
      <c r="E990" s="22"/>
      <c r="H990" s="22"/>
      <c r="I990" s="22"/>
      <c r="J990" s="22"/>
      <c r="L990" s="20"/>
      <c r="M990" s="19"/>
      <c r="N990" s="19"/>
      <c r="O990" s="19"/>
    </row>
    <row r="991" spans="1:15" x14ac:dyDescent="0.2">
      <c r="A991" s="240"/>
      <c r="B991" s="19"/>
      <c r="C991" s="22"/>
      <c r="D991" s="22"/>
      <c r="E991" s="22"/>
      <c r="H991" s="22"/>
      <c r="I991" s="22"/>
      <c r="J991" s="22"/>
      <c r="L991" s="20"/>
      <c r="M991" s="19"/>
      <c r="N991" s="19"/>
      <c r="O991" s="19"/>
    </row>
    <row r="992" spans="1:15" x14ac:dyDescent="0.2">
      <c r="A992" s="240"/>
      <c r="B992" s="19"/>
      <c r="C992" s="22"/>
      <c r="D992" s="22"/>
      <c r="E992" s="22"/>
      <c r="H992" s="22"/>
      <c r="I992" s="22"/>
      <c r="J992" s="22"/>
      <c r="L992" s="20"/>
      <c r="M992" s="19"/>
      <c r="N992" s="19"/>
      <c r="O992" s="19"/>
    </row>
    <row r="993" spans="1:15" x14ac:dyDescent="0.2">
      <c r="A993" s="240"/>
      <c r="B993" s="19"/>
      <c r="C993" s="22"/>
      <c r="D993" s="22"/>
      <c r="E993" s="22"/>
      <c r="H993" s="22"/>
      <c r="I993" s="22"/>
      <c r="J993" s="22"/>
      <c r="L993" s="20"/>
      <c r="M993" s="19"/>
      <c r="N993" s="19"/>
      <c r="O993" s="19"/>
    </row>
    <row r="994" spans="1:15" x14ac:dyDescent="0.2">
      <c r="A994" s="240"/>
      <c r="B994" s="19"/>
      <c r="C994" s="22"/>
      <c r="D994" s="22"/>
      <c r="E994" s="22"/>
      <c r="H994" s="22"/>
      <c r="I994" s="22"/>
      <c r="J994" s="22"/>
      <c r="L994" s="20"/>
      <c r="M994" s="19"/>
      <c r="N994" s="19"/>
      <c r="O994" s="19"/>
    </row>
    <row r="995" spans="1:15" x14ac:dyDescent="0.2">
      <c r="A995" s="240"/>
      <c r="B995" s="19"/>
      <c r="C995" s="22"/>
      <c r="D995" s="22"/>
      <c r="E995" s="22"/>
      <c r="H995" s="22"/>
      <c r="I995" s="22"/>
      <c r="J995" s="22"/>
      <c r="L995" s="20"/>
      <c r="M995" s="19"/>
      <c r="N995" s="19"/>
      <c r="O995" s="19"/>
    </row>
    <row r="996" spans="1:15" x14ac:dyDescent="0.2">
      <c r="A996" s="240"/>
      <c r="B996" s="19"/>
      <c r="C996" s="22"/>
      <c r="D996" s="22"/>
      <c r="E996" s="22"/>
      <c r="H996" s="22"/>
      <c r="I996" s="22"/>
      <c r="J996" s="22"/>
      <c r="L996" s="20"/>
      <c r="M996" s="19"/>
      <c r="N996" s="19"/>
      <c r="O996" s="19"/>
    </row>
    <row r="997" spans="1:15" x14ac:dyDescent="0.2">
      <c r="A997" s="240"/>
      <c r="B997" s="19"/>
      <c r="C997" s="22"/>
      <c r="D997" s="22"/>
      <c r="E997" s="22"/>
      <c r="H997" s="22"/>
      <c r="I997" s="22"/>
      <c r="J997" s="22"/>
      <c r="L997" s="20"/>
      <c r="M997" s="19"/>
      <c r="N997" s="19"/>
      <c r="O997" s="19"/>
    </row>
    <row r="998" spans="1:15" x14ac:dyDescent="0.2">
      <c r="A998" s="240"/>
      <c r="B998" s="19"/>
      <c r="C998" s="22"/>
      <c r="D998" s="22"/>
      <c r="E998" s="22"/>
      <c r="H998" s="22"/>
      <c r="I998" s="22"/>
      <c r="J998" s="22"/>
      <c r="L998" s="20"/>
      <c r="M998" s="19"/>
      <c r="N998" s="19"/>
      <c r="O998" s="19"/>
    </row>
    <row r="999" spans="1:15" x14ac:dyDescent="0.2">
      <c r="A999" s="240"/>
      <c r="B999" s="19"/>
      <c r="C999" s="22"/>
      <c r="D999" s="22"/>
      <c r="E999" s="22"/>
      <c r="H999" s="22"/>
      <c r="I999" s="22"/>
      <c r="J999" s="22"/>
      <c r="L999" s="20"/>
      <c r="M999" s="19"/>
      <c r="N999" s="19"/>
      <c r="O999" s="19"/>
    </row>
    <row r="1000" spans="1:15" x14ac:dyDescent="0.2">
      <c r="A1000" s="240"/>
      <c r="B1000" s="19"/>
      <c r="C1000" s="22"/>
      <c r="D1000" s="22"/>
      <c r="E1000" s="22"/>
      <c r="H1000" s="22"/>
      <c r="I1000" s="22"/>
      <c r="J1000" s="22"/>
      <c r="L1000" s="20"/>
      <c r="M1000" s="19"/>
      <c r="N1000" s="19"/>
      <c r="O1000" s="19"/>
    </row>
    <row r="1001" spans="1:15" x14ac:dyDescent="0.2">
      <c r="A1001" s="240"/>
      <c r="B1001" s="19"/>
      <c r="C1001" s="22"/>
      <c r="D1001" s="22"/>
      <c r="E1001" s="22"/>
      <c r="H1001" s="22"/>
      <c r="I1001" s="22"/>
      <c r="J1001" s="22"/>
      <c r="L1001" s="20"/>
      <c r="M1001" s="19"/>
      <c r="N1001" s="19"/>
      <c r="O1001" s="19"/>
    </row>
    <row r="1002" spans="1:15" x14ac:dyDescent="0.2">
      <c r="A1002" s="240"/>
      <c r="B1002" s="19"/>
      <c r="C1002" s="22"/>
      <c r="D1002" s="22"/>
      <c r="E1002" s="22"/>
      <c r="H1002" s="22"/>
      <c r="I1002" s="22"/>
      <c r="J1002" s="22"/>
      <c r="L1002" s="20"/>
      <c r="M1002" s="19"/>
      <c r="N1002" s="19"/>
      <c r="O1002" s="19"/>
    </row>
    <row r="1003" spans="1:15" x14ac:dyDescent="0.2">
      <c r="A1003" s="240"/>
      <c r="B1003" s="19"/>
      <c r="C1003" s="22"/>
      <c r="D1003" s="22"/>
      <c r="E1003" s="22"/>
      <c r="H1003" s="22"/>
      <c r="I1003" s="22"/>
      <c r="J1003" s="22"/>
      <c r="L1003" s="20"/>
      <c r="M1003" s="19"/>
      <c r="N1003" s="19"/>
      <c r="O1003" s="19"/>
    </row>
    <row r="1004" spans="1:15" x14ac:dyDescent="0.2">
      <c r="A1004" s="240"/>
      <c r="B1004" s="19"/>
      <c r="C1004" s="22"/>
      <c r="D1004" s="22"/>
      <c r="E1004" s="22"/>
      <c r="H1004" s="22"/>
      <c r="I1004" s="22"/>
      <c r="J1004" s="22"/>
      <c r="L1004" s="20"/>
      <c r="M1004" s="19"/>
      <c r="N1004" s="19"/>
      <c r="O1004" s="19"/>
    </row>
    <row r="1005" spans="1:15" x14ac:dyDescent="0.2">
      <c r="A1005" s="240"/>
      <c r="B1005" s="19"/>
      <c r="C1005" s="22"/>
      <c r="D1005" s="22"/>
      <c r="E1005" s="22"/>
      <c r="H1005" s="22"/>
      <c r="I1005" s="22"/>
      <c r="J1005" s="22"/>
      <c r="L1005" s="20"/>
      <c r="M1005" s="19"/>
      <c r="N1005" s="19"/>
      <c r="O1005" s="19"/>
    </row>
    <row r="1006" spans="1:15" x14ac:dyDescent="0.2">
      <c r="A1006" s="240"/>
      <c r="B1006" s="19"/>
      <c r="C1006" s="22"/>
      <c r="D1006" s="22"/>
      <c r="E1006" s="22"/>
      <c r="H1006" s="22"/>
      <c r="I1006" s="22"/>
      <c r="J1006" s="22"/>
      <c r="L1006" s="20"/>
      <c r="M1006" s="19"/>
      <c r="N1006" s="19"/>
      <c r="O1006" s="19"/>
    </row>
    <row r="1007" spans="1:15" x14ac:dyDescent="0.2">
      <c r="A1007" s="240"/>
      <c r="B1007" s="19"/>
      <c r="C1007" s="22"/>
      <c r="D1007" s="22"/>
      <c r="E1007" s="22"/>
      <c r="H1007" s="22"/>
      <c r="I1007" s="22"/>
      <c r="J1007" s="22"/>
      <c r="L1007" s="20"/>
      <c r="M1007" s="19"/>
      <c r="N1007" s="19"/>
      <c r="O1007" s="19"/>
    </row>
    <row r="1008" spans="1:15" x14ac:dyDescent="0.2">
      <c r="A1008" s="240"/>
      <c r="B1008" s="19"/>
      <c r="C1008" s="22"/>
      <c r="D1008" s="22"/>
      <c r="E1008" s="22"/>
      <c r="H1008" s="22"/>
      <c r="I1008" s="22"/>
      <c r="J1008" s="22"/>
      <c r="L1008" s="20"/>
      <c r="M1008" s="19"/>
      <c r="N1008" s="19"/>
      <c r="O1008" s="19"/>
    </row>
    <row r="1009" spans="1:15" x14ac:dyDescent="0.2">
      <c r="A1009" s="240"/>
      <c r="B1009" s="19"/>
      <c r="C1009" s="22"/>
      <c r="D1009" s="22"/>
      <c r="E1009" s="22"/>
      <c r="H1009" s="22"/>
      <c r="I1009" s="22"/>
      <c r="J1009" s="22"/>
      <c r="L1009" s="20"/>
      <c r="M1009" s="19"/>
      <c r="N1009" s="19"/>
      <c r="O1009" s="19"/>
    </row>
    <row r="1010" spans="1:15" x14ac:dyDescent="0.2">
      <c r="A1010" s="240"/>
      <c r="B1010" s="19"/>
      <c r="C1010" s="22"/>
      <c r="D1010" s="22"/>
      <c r="E1010" s="22"/>
      <c r="H1010" s="22"/>
      <c r="I1010" s="22"/>
      <c r="J1010" s="22"/>
      <c r="L1010" s="20"/>
      <c r="M1010" s="19"/>
      <c r="N1010" s="19"/>
      <c r="O1010" s="19"/>
    </row>
    <row r="1011" spans="1:15" x14ac:dyDescent="0.2">
      <c r="A1011" s="240"/>
      <c r="B1011" s="19"/>
      <c r="C1011" s="22"/>
      <c r="D1011" s="22"/>
      <c r="E1011" s="22"/>
      <c r="H1011" s="22"/>
      <c r="I1011" s="22"/>
      <c r="J1011" s="22"/>
      <c r="L1011" s="20"/>
      <c r="M1011" s="19"/>
      <c r="N1011" s="19"/>
      <c r="O1011" s="19"/>
    </row>
    <row r="1012" spans="1:15" x14ac:dyDescent="0.2">
      <c r="A1012" s="240"/>
      <c r="B1012" s="19"/>
      <c r="C1012" s="22"/>
      <c r="D1012" s="22"/>
      <c r="E1012" s="22"/>
      <c r="H1012" s="22"/>
      <c r="I1012" s="22"/>
      <c r="J1012" s="22"/>
      <c r="L1012" s="20"/>
      <c r="M1012" s="19"/>
      <c r="N1012" s="19"/>
      <c r="O1012" s="19"/>
    </row>
    <row r="1013" spans="1:15" x14ac:dyDescent="0.2">
      <c r="A1013" s="240"/>
      <c r="B1013" s="19"/>
      <c r="C1013" s="22"/>
      <c r="D1013" s="22"/>
      <c r="E1013" s="22"/>
      <c r="H1013" s="22"/>
      <c r="I1013" s="22"/>
      <c r="J1013" s="22"/>
      <c r="L1013" s="20"/>
      <c r="M1013" s="19"/>
      <c r="N1013" s="19"/>
      <c r="O1013" s="19"/>
    </row>
    <row r="1014" spans="1:15" x14ac:dyDescent="0.2">
      <c r="A1014" s="240"/>
      <c r="B1014" s="19"/>
      <c r="C1014" s="22"/>
      <c r="D1014" s="22"/>
      <c r="E1014" s="22"/>
      <c r="H1014" s="22"/>
      <c r="I1014" s="22"/>
      <c r="J1014" s="22"/>
      <c r="L1014" s="20"/>
      <c r="M1014" s="19"/>
      <c r="N1014" s="19"/>
      <c r="O1014" s="19"/>
    </row>
    <row r="1015" spans="1:15" x14ac:dyDescent="0.2">
      <c r="A1015" s="240"/>
      <c r="B1015" s="19"/>
      <c r="C1015" s="22"/>
      <c r="D1015" s="22"/>
      <c r="E1015" s="22"/>
      <c r="H1015" s="22"/>
      <c r="I1015" s="22"/>
      <c r="J1015" s="22"/>
      <c r="L1015" s="20"/>
      <c r="M1015" s="19"/>
      <c r="N1015" s="19"/>
      <c r="O1015" s="19"/>
    </row>
    <row r="1016" spans="1:15" x14ac:dyDescent="0.2">
      <c r="A1016" s="240"/>
      <c r="B1016" s="19"/>
      <c r="C1016" s="22"/>
      <c r="D1016" s="22"/>
      <c r="E1016" s="22"/>
      <c r="H1016" s="22"/>
      <c r="I1016" s="22"/>
      <c r="J1016" s="22"/>
      <c r="L1016" s="20"/>
      <c r="M1016" s="19"/>
      <c r="N1016" s="19"/>
      <c r="O1016" s="19"/>
    </row>
    <row r="1017" spans="1:15" x14ac:dyDescent="0.2">
      <c r="A1017" s="240"/>
      <c r="B1017" s="19"/>
      <c r="C1017" s="22"/>
      <c r="D1017" s="22"/>
      <c r="E1017" s="22"/>
      <c r="H1017" s="22"/>
      <c r="I1017" s="22"/>
      <c r="J1017" s="22"/>
      <c r="L1017" s="20"/>
      <c r="M1017" s="19"/>
      <c r="N1017" s="19"/>
      <c r="O1017" s="19"/>
    </row>
    <row r="1018" spans="1:15" x14ac:dyDescent="0.2">
      <c r="A1018" s="240"/>
      <c r="B1018" s="19"/>
      <c r="C1018" s="22"/>
      <c r="D1018" s="22"/>
      <c r="E1018" s="22"/>
      <c r="H1018" s="22"/>
      <c r="I1018" s="22"/>
      <c r="J1018" s="22"/>
      <c r="L1018" s="20"/>
      <c r="M1018" s="19"/>
      <c r="N1018" s="19"/>
      <c r="O1018" s="19"/>
    </row>
    <row r="1019" spans="1:15" x14ac:dyDescent="0.2">
      <c r="A1019" s="240"/>
      <c r="B1019" s="19"/>
      <c r="C1019" s="22"/>
      <c r="D1019" s="22"/>
      <c r="E1019" s="22"/>
      <c r="H1019" s="22"/>
      <c r="I1019" s="22"/>
      <c r="J1019" s="22"/>
      <c r="L1019" s="20"/>
      <c r="M1019" s="19"/>
      <c r="N1019" s="19"/>
      <c r="O1019" s="19"/>
    </row>
    <row r="1020" spans="1:15" x14ac:dyDescent="0.2">
      <c r="A1020" s="240"/>
      <c r="B1020" s="19"/>
      <c r="C1020" s="22"/>
      <c r="D1020" s="22"/>
      <c r="E1020" s="22"/>
      <c r="H1020" s="22"/>
      <c r="I1020" s="22"/>
      <c r="J1020" s="22"/>
      <c r="L1020" s="20"/>
      <c r="M1020" s="19"/>
      <c r="N1020" s="19"/>
      <c r="O1020" s="19"/>
    </row>
    <row r="1021" spans="1:15" x14ac:dyDescent="0.2">
      <c r="A1021" s="240"/>
      <c r="B1021" s="19"/>
      <c r="C1021" s="22"/>
      <c r="D1021" s="22"/>
      <c r="E1021" s="22"/>
      <c r="H1021" s="22"/>
      <c r="I1021" s="22"/>
      <c r="J1021" s="22"/>
      <c r="L1021" s="20"/>
      <c r="M1021" s="19"/>
      <c r="N1021" s="19"/>
      <c r="O1021" s="19"/>
    </row>
    <row r="1022" spans="1:15" x14ac:dyDescent="0.2">
      <c r="A1022" s="240"/>
      <c r="B1022" s="19"/>
      <c r="C1022" s="22"/>
      <c r="D1022" s="22"/>
      <c r="E1022" s="22"/>
      <c r="H1022" s="22"/>
      <c r="I1022" s="22"/>
      <c r="J1022" s="22"/>
      <c r="L1022" s="20"/>
      <c r="M1022" s="19"/>
      <c r="N1022" s="19"/>
      <c r="O1022" s="19"/>
    </row>
    <row r="1023" spans="1:15" x14ac:dyDescent="0.2">
      <c r="A1023" s="240"/>
      <c r="B1023" s="19"/>
      <c r="C1023" s="22"/>
      <c r="D1023" s="22"/>
      <c r="E1023" s="22"/>
      <c r="H1023" s="22"/>
      <c r="I1023" s="22"/>
      <c r="J1023" s="22"/>
      <c r="L1023" s="20"/>
      <c r="M1023" s="19"/>
      <c r="N1023" s="19"/>
      <c r="O1023" s="19"/>
    </row>
    <row r="1024" spans="1:15" x14ac:dyDescent="0.2">
      <c r="A1024" s="240"/>
      <c r="B1024" s="19"/>
      <c r="C1024" s="22"/>
      <c r="D1024" s="22"/>
      <c r="E1024" s="22"/>
      <c r="H1024" s="22"/>
      <c r="I1024" s="22"/>
      <c r="J1024" s="22"/>
      <c r="L1024" s="20"/>
      <c r="M1024" s="19"/>
      <c r="N1024" s="19"/>
      <c r="O1024" s="19"/>
    </row>
    <row r="1025" spans="1:15" x14ac:dyDescent="0.2">
      <c r="A1025" s="240"/>
      <c r="B1025" s="19"/>
      <c r="C1025" s="22"/>
      <c r="D1025" s="22"/>
      <c r="E1025" s="22"/>
      <c r="H1025" s="22"/>
      <c r="I1025" s="22"/>
      <c r="J1025" s="22"/>
      <c r="L1025" s="20"/>
      <c r="M1025" s="19"/>
      <c r="N1025" s="19"/>
      <c r="O1025" s="19"/>
    </row>
    <row r="1026" spans="1:15" x14ac:dyDescent="0.2">
      <c r="A1026" s="240"/>
      <c r="B1026" s="19"/>
      <c r="C1026" s="22"/>
      <c r="D1026" s="22"/>
      <c r="E1026" s="22"/>
      <c r="H1026" s="22"/>
      <c r="I1026" s="22"/>
      <c r="J1026" s="22"/>
      <c r="L1026" s="20"/>
      <c r="M1026" s="19"/>
      <c r="N1026" s="19"/>
      <c r="O1026" s="19"/>
    </row>
    <row r="1027" spans="1:15" x14ac:dyDescent="0.2">
      <c r="A1027" s="240"/>
      <c r="B1027" s="19"/>
      <c r="C1027" s="22"/>
      <c r="D1027" s="22"/>
      <c r="E1027" s="22"/>
      <c r="H1027" s="22"/>
      <c r="I1027" s="22"/>
      <c r="J1027" s="22"/>
      <c r="L1027" s="20"/>
      <c r="M1027" s="19"/>
      <c r="N1027" s="19"/>
      <c r="O1027" s="19"/>
    </row>
    <row r="1028" spans="1:15" x14ac:dyDescent="0.2">
      <c r="A1028" s="240"/>
      <c r="B1028" s="19"/>
      <c r="C1028" s="22"/>
      <c r="D1028" s="22"/>
      <c r="E1028" s="22"/>
      <c r="H1028" s="22"/>
      <c r="I1028" s="22"/>
      <c r="J1028" s="22"/>
      <c r="L1028" s="20"/>
      <c r="M1028" s="19"/>
      <c r="N1028" s="19"/>
      <c r="O1028" s="19"/>
    </row>
    <row r="1029" spans="1:15" x14ac:dyDescent="0.2">
      <c r="A1029" s="240"/>
      <c r="B1029" s="19"/>
      <c r="C1029" s="22"/>
      <c r="D1029" s="22"/>
      <c r="E1029" s="22"/>
      <c r="H1029" s="22"/>
      <c r="I1029" s="22"/>
      <c r="J1029" s="22"/>
      <c r="L1029" s="20"/>
      <c r="M1029" s="19"/>
      <c r="N1029" s="19"/>
      <c r="O1029" s="19"/>
    </row>
    <row r="1030" spans="1:15" x14ac:dyDescent="0.2">
      <c r="A1030" s="240"/>
      <c r="B1030" s="19"/>
      <c r="C1030" s="22"/>
      <c r="D1030" s="22"/>
      <c r="E1030" s="22"/>
      <c r="H1030" s="22"/>
      <c r="I1030" s="22"/>
      <c r="J1030" s="22"/>
      <c r="L1030" s="20"/>
      <c r="M1030" s="19"/>
      <c r="N1030" s="19"/>
      <c r="O1030" s="19"/>
    </row>
    <row r="1031" spans="1:15" x14ac:dyDescent="0.2">
      <c r="A1031" s="240"/>
      <c r="B1031" s="19"/>
      <c r="C1031" s="22"/>
      <c r="D1031" s="22"/>
      <c r="E1031" s="22"/>
      <c r="H1031" s="22"/>
      <c r="I1031" s="22"/>
      <c r="J1031" s="22"/>
      <c r="L1031" s="20"/>
      <c r="M1031" s="19"/>
      <c r="N1031" s="19"/>
      <c r="O1031" s="19"/>
    </row>
    <row r="1032" spans="1:15" x14ac:dyDescent="0.2">
      <c r="A1032" s="240"/>
      <c r="B1032" s="19"/>
      <c r="C1032" s="22"/>
      <c r="D1032" s="22"/>
      <c r="E1032" s="22"/>
      <c r="H1032" s="22"/>
      <c r="I1032" s="22"/>
      <c r="J1032" s="22"/>
      <c r="L1032" s="20"/>
      <c r="M1032" s="19"/>
      <c r="N1032" s="19"/>
      <c r="O1032" s="19"/>
    </row>
    <row r="1033" spans="1:15" x14ac:dyDescent="0.2">
      <c r="A1033" s="240"/>
      <c r="B1033" s="19"/>
      <c r="C1033" s="22"/>
      <c r="D1033" s="22"/>
      <c r="E1033" s="22"/>
      <c r="H1033" s="22"/>
      <c r="I1033" s="22"/>
      <c r="J1033" s="22"/>
      <c r="L1033" s="20"/>
      <c r="M1033" s="19"/>
      <c r="N1033" s="19"/>
      <c r="O1033" s="19"/>
    </row>
    <row r="1034" spans="1:15" x14ac:dyDescent="0.2">
      <c r="A1034" s="240"/>
      <c r="B1034" s="19"/>
      <c r="C1034" s="22"/>
      <c r="D1034" s="22"/>
      <c r="E1034" s="22"/>
      <c r="H1034" s="22"/>
      <c r="I1034" s="22"/>
      <c r="J1034" s="22"/>
      <c r="L1034" s="20"/>
      <c r="M1034" s="19"/>
      <c r="N1034" s="19"/>
      <c r="O1034" s="19"/>
    </row>
    <row r="1035" spans="1:15" x14ac:dyDescent="0.2">
      <c r="A1035" s="240"/>
      <c r="B1035" s="19"/>
      <c r="C1035" s="22"/>
      <c r="D1035" s="22"/>
      <c r="E1035" s="22"/>
      <c r="H1035" s="22"/>
      <c r="I1035" s="22"/>
      <c r="J1035" s="22"/>
      <c r="L1035" s="20"/>
      <c r="M1035" s="19"/>
      <c r="N1035" s="19"/>
      <c r="O1035" s="19"/>
    </row>
    <row r="1036" spans="1:15" x14ac:dyDescent="0.2">
      <c r="A1036" s="240"/>
      <c r="B1036" s="19"/>
      <c r="C1036" s="22"/>
      <c r="D1036" s="22"/>
      <c r="E1036" s="22"/>
      <c r="H1036" s="22"/>
      <c r="I1036" s="22"/>
      <c r="J1036" s="22"/>
      <c r="L1036" s="20"/>
      <c r="M1036" s="19"/>
      <c r="N1036" s="19"/>
      <c r="O1036" s="19"/>
    </row>
    <row r="1037" spans="1:15" x14ac:dyDescent="0.2">
      <c r="A1037" s="240"/>
      <c r="B1037" s="19"/>
      <c r="C1037" s="22"/>
      <c r="D1037" s="22"/>
      <c r="E1037" s="22"/>
      <c r="H1037" s="22"/>
      <c r="I1037" s="22"/>
      <c r="J1037" s="22"/>
      <c r="L1037" s="20"/>
      <c r="M1037" s="19"/>
      <c r="N1037" s="19"/>
      <c r="O1037" s="19"/>
    </row>
    <row r="1038" spans="1:15" x14ac:dyDescent="0.2">
      <c r="A1038" s="240"/>
      <c r="B1038" s="19"/>
      <c r="C1038" s="22"/>
      <c r="D1038" s="22"/>
      <c r="E1038" s="22"/>
      <c r="H1038" s="22"/>
      <c r="I1038" s="22"/>
      <c r="J1038" s="22"/>
      <c r="L1038" s="20"/>
      <c r="M1038" s="19"/>
      <c r="N1038" s="19"/>
      <c r="O1038" s="19"/>
    </row>
    <row r="1039" spans="1:15" x14ac:dyDescent="0.2">
      <c r="A1039" s="240"/>
      <c r="B1039" s="19"/>
      <c r="C1039" s="22"/>
      <c r="D1039" s="22"/>
      <c r="E1039" s="22"/>
      <c r="H1039" s="22"/>
      <c r="I1039" s="22"/>
      <c r="J1039" s="22"/>
      <c r="L1039" s="20"/>
      <c r="M1039" s="19"/>
      <c r="N1039" s="19"/>
      <c r="O1039" s="19"/>
    </row>
    <row r="1040" spans="1:15" x14ac:dyDescent="0.2">
      <c r="A1040" s="240"/>
      <c r="B1040" s="19"/>
      <c r="C1040" s="22"/>
      <c r="D1040" s="22"/>
      <c r="E1040" s="22"/>
      <c r="H1040" s="22"/>
      <c r="I1040" s="22"/>
      <c r="J1040" s="22"/>
      <c r="L1040" s="20"/>
      <c r="M1040" s="19"/>
      <c r="N1040" s="19"/>
      <c r="O1040" s="19"/>
    </row>
    <row r="1041" spans="1:15" x14ac:dyDescent="0.2">
      <c r="A1041" s="240"/>
      <c r="B1041" s="19"/>
      <c r="C1041" s="22"/>
      <c r="D1041" s="22"/>
      <c r="E1041" s="22"/>
      <c r="H1041" s="22"/>
      <c r="I1041" s="22"/>
      <c r="J1041" s="22"/>
      <c r="L1041" s="20"/>
      <c r="M1041" s="19"/>
      <c r="N1041" s="19"/>
      <c r="O1041" s="19"/>
    </row>
    <row r="1042" spans="1:15" x14ac:dyDescent="0.2">
      <c r="A1042" s="240"/>
      <c r="B1042" s="19"/>
      <c r="C1042" s="22"/>
      <c r="D1042" s="22"/>
      <c r="E1042" s="22"/>
      <c r="H1042" s="22"/>
      <c r="I1042" s="22"/>
      <c r="J1042" s="22"/>
      <c r="L1042" s="20"/>
      <c r="M1042" s="19"/>
      <c r="N1042" s="19"/>
      <c r="O1042" s="19"/>
    </row>
    <row r="1043" spans="1:15" x14ac:dyDescent="0.2">
      <c r="A1043" s="240"/>
      <c r="B1043" s="19"/>
      <c r="C1043" s="22"/>
      <c r="D1043" s="22"/>
      <c r="E1043" s="22"/>
      <c r="H1043" s="22"/>
      <c r="I1043" s="22"/>
      <c r="J1043" s="22"/>
      <c r="L1043" s="20"/>
      <c r="M1043" s="19"/>
      <c r="N1043" s="19"/>
      <c r="O1043" s="19"/>
    </row>
    <row r="1044" spans="1:15" x14ac:dyDescent="0.2">
      <c r="A1044" s="240"/>
      <c r="B1044" s="19"/>
      <c r="C1044" s="22"/>
      <c r="D1044" s="22"/>
      <c r="E1044" s="22"/>
      <c r="H1044" s="22"/>
      <c r="I1044" s="22"/>
      <c r="J1044" s="22"/>
      <c r="L1044" s="20"/>
      <c r="M1044" s="19"/>
      <c r="N1044" s="19"/>
      <c r="O1044" s="19"/>
    </row>
    <row r="1045" spans="1:15" x14ac:dyDescent="0.2">
      <c r="A1045" s="240"/>
      <c r="B1045" s="19"/>
      <c r="C1045" s="22"/>
      <c r="D1045" s="22"/>
      <c r="E1045" s="22"/>
      <c r="H1045" s="22"/>
      <c r="I1045" s="22"/>
      <c r="J1045" s="22"/>
      <c r="L1045" s="20"/>
      <c r="M1045" s="19"/>
      <c r="N1045" s="19"/>
      <c r="O1045" s="19"/>
    </row>
    <row r="1046" spans="1:15" x14ac:dyDescent="0.2">
      <c r="A1046" s="240"/>
      <c r="B1046" s="19"/>
      <c r="C1046" s="22"/>
      <c r="D1046" s="22"/>
      <c r="E1046" s="22"/>
      <c r="H1046" s="22"/>
      <c r="I1046" s="22"/>
      <c r="J1046" s="22"/>
      <c r="L1046" s="20"/>
      <c r="M1046" s="19"/>
      <c r="N1046" s="19"/>
      <c r="O1046" s="19"/>
    </row>
    <row r="1047" spans="1:15" x14ac:dyDescent="0.2">
      <c r="A1047" s="240"/>
      <c r="B1047" s="19"/>
      <c r="C1047" s="22"/>
      <c r="D1047" s="22"/>
      <c r="E1047" s="22"/>
      <c r="H1047" s="22"/>
      <c r="I1047" s="22"/>
      <c r="J1047" s="22"/>
      <c r="L1047" s="20"/>
      <c r="M1047" s="19"/>
      <c r="N1047" s="19"/>
      <c r="O1047" s="19"/>
    </row>
    <row r="1048" spans="1:15" x14ac:dyDescent="0.2">
      <c r="A1048" s="240"/>
      <c r="B1048" s="19"/>
      <c r="C1048" s="22"/>
      <c r="D1048" s="22"/>
      <c r="E1048" s="22"/>
      <c r="H1048" s="22"/>
      <c r="I1048" s="22"/>
      <c r="J1048" s="22"/>
      <c r="L1048" s="20"/>
      <c r="M1048" s="19"/>
      <c r="N1048" s="19"/>
      <c r="O1048" s="19"/>
    </row>
    <row r="1049" spans="1:15" x14ac:dyDescent="0.2">
      <c r="A1049" s="240"/>
      <c r="B1049" s="19"/>
      <c r="C1049" s="22"/>
      <c r="D1049" s="22"/>
      <c r="E1049" s="22"/>
      <c r="H1049" s="22"/>
      <c r="I1049" s="22"/>
      <c r="J1049" s="22"/>
      <c r="L1049" s="20"/>
      <c r="M1049" s="19"/>
      <c r="N1049" s="19"/>
      <c r="O1049" s="19"/>
    </row>
    <row r="1050" spans="1:15" x14ac:dyDescent="0.2">
      <c r="A1050" s="240"/>
      <c r="B1050" s="19"/>
      <c r="C1050" s="22"/>
      <c r="D1050" s="22"/>
      <c r="E1050" s="22"/>
      <c r="H1050" s="22"/>
      <c r="I1050" s="22"/>
      <c r="J1050" s="22"/>
      <c r="L1050" s="20"/>
      <c r="M1050" s="19"/>
      <c r="N1050" s="19"/>
      <c r="O1050" s="19"/>
    </row>
    <row r="1051" spans="1:15" x14ac:dyDescent="0.2">
      <c r="A1051" s="240"/>
      <c r="B1051" s="19"/>
      <c r="C1051" s="22"/>
      <c r="D1051" s="22"/>
      <c r="E1051" s="22"/>
      <c r="H1051" s="22"/>
      <c r="I1051" s="22"/>
      <c r="J1051" s="22"/>
      <c r="L1051" s="20"/>
      <c r="M1051" s="19"/>
      <c r="N1051" s="19"/>
      <c r="O1051" s="19"/>
    </row>
    <row r="1052" spans="1:15" x14ac:dyDescent="0.2">
      <c r="A1052" s="240"/>
      <c r="B1052" s="19"/>
      <c r="C1052" s="22"/>
      <c r="D1052" s="22"/>
      <c r="E1052" s="22"/>
      <c r="H1052" s="22"/>
      <c r="I1052" s="22"/>
      <c r="J1052" s="22"/>
      <c r="L1052" s="20"/>
      <c r="M1052" s="19"/>
      <c r="N1052" s="19"/>
      <c r="O1052" s="19"/>
    </row>
    <row r="1053" spans="1:15" x14ac:dyDescent="0.2">
      <c r="A1053" s="240"/>
      <c r="B1053" s="19"/>
      <c r="C1053" s="22"/>
      <c r="D1053" s="22"/>
      <c r="E1053" s="22"/>
      <c r="H1053" s="22"/>
      <c r="I1053" s="22"/>
      <c r="J1053" s="22"/>
      <c r="L1053" s="20"/>
      <c r="M1053" s="19"/>
      <c r="N1053" s="19"/>
      <c r="O1053" s="19"/>
    </row>
    <row r="1054" spans="1:15" x14ac:dyDescent="0.2">
      <c r="A1054" s="240"/>
      <c r="B1054" s="19"/>
      <c r="C1054" s="22"/>
      <c r="D1054" s="22"/>
      <c r="E1054" s="22"/>
      <c r="H1054" s="22"/>
      <c r="I1054" s="22"/>
      <c r="J1054" s="22"/>
      <c r="L1054" s="20"/>
      <c r="M1054" s="19"/>
      <c r="N1054" s="19"/>
      <c r="O1054" s="19"/>
    </row>
    <row r="1055" spans="1:15" x14ac:dyDescent="0.2">
      <c r="A1055" s="240"/>
      <c r="B1055" s="19"/>
      <c r="C1055" s="22"/>
      <c r="D1055" s="22"/>
      <c r="E1055" s="22"/>
      <c r="H1055" s="22"/>
      <c r="I1055" s="22"/>
      <c r="J1055" s="22"/>
      <c r="L1055" s="20"/>
      <c r="M1055" s="19"/>
      <c r="N1055" s="19"/>
      <c r="O1055" s="19"/>
    </row>
    <row r="1056" spans="1:15" x14ac:dyDescent="0.2">
      <c r="A1056" s="240"/>
      <c r="B1056" s="19"/>
      <c r="C1056" s="22"/>
      <c r="D1056" s="22"/>
      <c r="E1056" s="22"/>
      <c r="H1056" s="22"/>
      <c r="I1056" s="22"/>
      <c r="J1056" s="22"/>
      <c r="L1056" s="20"/>
      <c r="M1056" s="19"/>
      <c r="N1056" s="19"/>
      <c r="O1056" s="19"/>
    </row>
    <row r="1057" spans="1:15" x14ac:dyDescent="0.2">
      <c r="A1057" s="240"/>
      <c r="B1057" s="19"/>
      <c r="C1057" s="22"/>
      <c r="D1057" s="22"/>
      <c r="E1057" s="22"/>
      <c r="H1057" s="22"/>
      <c r="I1057" s="22"/>
      <c r="J1057" s="22"/>
      <c r="L1057" s="20"/>
      <c r="M1057" s="19"/>
      <c r="N1057" s="19"/>
      <c r="O1057" s="19"/>
    </row>
    <row r="1058" spans="1:15" x14ac:dyDescent="0.2">
      <c r="A1058" s="240"/>
      <c r="B1058" s="19"/>
      <c r="C1058" s="22"/>
      <c r="D1058" s="22"/>
      <c r="E1058" s="22"/>
      <c r="H1058" s="22"/>
      <c r="I1058" s="22"/>
      <c r="J1058" s="22"/>
      <c r="L1058" s="20"/>
      <c r="M1058" s="19"/>
      <c r="N1058" s="19"/>
      <c r="O1058" s="19"/>
    </row>
    <row r="1059" spans="1:15" x14ac:dyDescent="0.2">
      <c r="A1059" s="240"/>
      <c r="B1059" s="19"/>
      <c r="C1059" s="22"/>
      <c r="D1059" s="22"/>
      <c r="E1059" s="22"/>
      <c r="H1059" s="22"/>
      <c r="I1059" s="22"/>
      <c r="J1059" s="22"/>
      <c r="L1059" s="20"/>
      <c r="M1059" s="19"/>
      <c r="N1059" s="19"/>
      <c r="O1059" s="19"/>
    </row>
    <row r="1060" spans="1:15" x14ac:dyDescent="0.2">
      <c r="A1060" s="240"/>
      <c r="B1060" s="19"/>
      <c r="C1060" s="22"/>
      <c r="D1060" s="22"/>
      <c r="E1060" s="22"/>
      <c r="H1060" s="22"/>
      <c r="I1060" s="22"/>
      <c r="J1060" s="22"/>
      <c r="L1060" s="20"/>
      <c r="M1060" s="19"/>
      <c r="N1060" s="19"/>
      <c r="O1060" s="19"/>
    </row>
    <row r="1061" spans="1:15" x14ac:dyDescent="0.2">
      <c r="A1061" s="240"/>
      <c r="B1061" s="19"/>
      <c r="C1061" s="22"/>
      <c r="D1061" s="22"/>
      <c r="E1061" s="22"/>
      <c r="H1061" s="22"/>
      <c r="I1061" s="22"/>
      <c r="J1061" s="22"/>
      <c r="L1061" s="20"/>
      <c r="M1061" s="19"/>
      <c r="N1061" s="19"/>
      <c r="O1061" s="19"/>
    </row>
    <row r="1062" spans="1:15" x14ac:dyDescent="0.2">
      <c r="A1062" s="240"/>
      <c r="B1062" s="19"/>
      <c r="C1062" s="22"/>
      <c r="D1062" s="22"/>
      <c r="E1062" s="22"/>
      <c r="H1062" s="22"/>
      <c r="I1062" s="22"/>
      <c r="J1062" s="22"/>
      <c r="L1062" s="20"/>
      <c r="M1062" s="19"/>
      <c r="N1062" s="19"/>
      <c r="O1062" s="19"/>
    </row>
    <row r="1063" spans="1:15" x14ac:dyDescent="0.2">
      <c r="A1063" s="240"/>
      <c r="B1063" s="19"/>
      <c r="C1063" s="22"/>
      <c r="D1063" s="22"/>
      <c r="E1063" s="22"/>
      <c r="H1063" s="22"/>
      <c r="I1063" s="22"/>
      <c r="J1063" s="22"/>
      <c r="L1063" s="20"/>
      <c r="M1063" s="19"/>
      <c r="N1063" s="19"/>
      <c r="O1063" s="19"/>
    </row>
    <row r="1064" spans="1:15" x14ac:dyDescent="0.2">
      <c r="A1064" s="240"/>
      <c r="B1064" s="19"/>
      <c r="C1064" s="22"/>
      <c r="D1064" s="22"/>
      <c r="E1064" s="22"/>
      <c r="H1064" s="22"/>
      <c r="I1064" s="22"/>
      <c r="J1064" s="22"/>
      <c r="L1064" s="20"/>
      <c r="M1064" s="19"/>
      <c r="N1064" s="19"/>
      <c r="O1064" s="19"/>
    </row>
    <row r="1065" spans="1:15" x14ac:dyDescent="0.2">
      <c r="A1065" s="240"/>
      <c r="B1065" s="19"/>
      <c r="C1065" s="22"/>
      <c r="D1065" s="22"/>
      <c r="E1065" s="22"/>
      <c r="H1065" s="22"/>
      <c r="I1065" s="22"/>
      <c r="J1065" s="22"/>
      <c r="L1065" s="20"/>
      <c r="M1065" s="19"/>
      <c r="N1065" s="19"/>
      <c r="O1065" s="19"/>
    </row>
    <row r="1066" spans="1:15" x14ac:dyDescent="0.2">
      <c r="A1066" s="240"/>
      <c r="B1066" s="19"/>
      <c r="C1066" s="22"/>
      <c r="D1066" s="22"/>
      <c r="E1066" s="22"/>
      <c r="H1066" s="22"/>
      <c r="I1066" s="22"/>
      <c r="J1066" s="22"/>
      <c r="L1066" s="20"/>
      <c r="M1066" s="19"/>
      <c r="N1066" s="19"/>
      <c r="O1066" s="19"/>
    </row>
    <row r="1067" spans="1:15" x14ac:dyDescent="0.2">
      <c r="A1067" s="240"/>
      <c r="B1067" s="19"/>
      <c r="C1067" s="22"/>
      <c r="D1067" s="22"/>
      <c r="E1067" s="22"/>
      <c r="H1067" s="22"/>
      <c r="I1067" s="22"/>
      <c r="J1067" s="22"/>
      <c r="L1067" s="20"/>
      <c r="M1067" s="19"/>
      <c r="N1067" s="19"/>
      <c r="O1067" s="19"/>
    </row>
    <row r="1068" spans="1:15" x14ac:dyDescent="0.2">
      <c r="A1068" s="240"/>
      <c r="B1068" s="19"/>
      <c r="C1068" s="22"/>
      <c r="D1068" s="22"/>
      <c r="E1068" s="22"/>
      <c r="H1068" s="22"/>
      <c r="I1068" s="22"/>
      <c r="J1068" s="22"/>
      <c r="L1068" s="20"/>
      <c r="M1068" s="19"/>
      <c r="N1068" s="19"/>
      <c r="O1068" s="19"/>
    </row>
    <row r="1069" spans="1:15" x14ac:dyDescent="0.2">
      <c r="A1069" s="240"/>
      <c r="B1069" s="19"/>
      <c r="C1069" s="22"/>
      <c r="D1069" s="22"/>
      <c r="E1069" s="22"/>
      <c r="H1069" s="22"/>
      <c r="I1069" s="22"/>
      <c r="J1069" s="22"/>
      <c r="L1069" s="20"/>
      <c r="M1069" s="19"/>
      <c r="N1069" s="19"/>
      <c r="O1069" s="19"/>
    </row>
    <row r="1070" spans="1:15" x14ac:dyDescent="0.2">
      <c r="A1070" s="240"/>
      <c r="B1070" s="19"/>
      <c r="C1070" s="22"/>
      <c r="D1070" s="22"/>
      <c r="E1070" s="22"/>
      <c r="H1070" s="22"/>
      <c r="I1070" s="22"/>
      <c r="J1070" s="22"/>
      <c r="L1070" s="20"/>
      <c r="M1070" s="19"/>
      <c r="N1070" s="19"/>
      <c r="O1070" s="19"/>
    </row>
    <row r="1071" spans="1:15" x14ac:dyDescent="0.2">
      <c r="A1071" s="240"/>
      <c r="B1071" s="19"/>
      <c r="C1071" s="22"/>
      <c r="D1071" s="22"/>
      <c r="E1071" s="22"/>
      <c r="H1071" s="22"/>
      <c r="I1071" s="22"/>
      <c r="J1071" s="22"/>
      <c r="L1071" s="20"/>
      <c r="M1071" s="19"/>
      <c r="N1071" s="19"/>
      <c r="O1071" s="19"/>
    </row>
    <row r="1072" spans="1:15" x14ac:dyDescent="0.2">
      <c r="A1072" s="240"/>
      <c r="B1072" s="19"/>
      <c r="C1072" s="22"/>
      <c r="D1072" s="22"/>
      <c r="E1072" s="22"/>
      <c r="H1072" s="22"/>
      <c r="I1072" s="22"/>
      <c r="J1072" s="22"/>
      <c r="L1072" s="20"/>
      <c r="M1072" s="19"/>
      <c r="N1072" s="19"/>
      <c r="O1072" s="19"/>
    </row>
    <row r="1073" spans="1:15" x14ac:dyDescent="0.2">
      <c r="A1073" s="240"/>
      <c r="B1073" s="19"/>
      <c r="C1073" s="22"/>
      <c r="D1073" s="22"/>
      <c r="E1073" s="22"/>
      <c r="H1073" s="22"/>
      <c r="I1073" s="22"/>
      <c r="J1073" s="22"/>
      <c r="L1073" s="20"/>
      <c r="M1073" s="19"/>
      <c r="N1073" s="19"/>
      <c r="O1073" s="19"/>
    </row>
    <row r="1074" spans="1:15" x14ac:dyDescent="0.2">
      <c r="A1074" s="240"/>
      <c r="B1074" s="19"/>
      <c r="C1074" s="22"/>
      <c r="D1074" s="22"/>
      <c r="E1074" s="22"/>
      <c r="H1074" s="22"/>
      <c r="I1074" s="22"/>
      <c r="J1074" s="22"/>
      <c r="L1074" s="20"/>
      <c r="M1074" s="19"/>
      <c r="N1074" s="19"/>
      <c r="O1074" s="19"/>
    </row>
    <row r="1075" spans="1:15" x14ac:dyDescent="0.2">
      <c r="A1075" s="240"/>
      <c r="B1075" s="19"/>
      <c r="C1075" s="22"/>
      <c r="D1075" s="22"/>
      <c r="E1075" s="22"/>
      <c r="H1075" s="22"/>
      <c r="I1075" s="22"/>
      <c r="J1075" s="22"/>
      <c r="L1075" s="20"/>
      <c r="M1075" s="19"/>
      <c r="N1075" s="19"/>
      <c r="O1075" s="19"/>
    </row>
    <row r="1076" spans="1:15" x14ac:dyDescent="0.2">
      <c r="A1076" s="240"/>
      <c r="B1076" s="19"/>
      <c r="C1076" s="22"/>
      <c r="D1076" s="22"/>
      <c r="E1076" s="22"/>
      <c r="H1076" s="22"/>
      <c r="I1076" s="22"/>
      <c r="J1076" s="22"/>
      <c r="L1076" s="20"/>
      <c r="M1076" s="19"/>
      <c r="N1076" s="19"/>
      <c r="O1076" s="19"/>
    </row>
    <row r="1077" spans="1:15" x14ac:dyDescent="0.2">
      <c r="A1077" s="240"/>
      <c r="B1077" s="19"/>
      <c r="C1077" s="22"/>
      <c r="D1077" s="22"/>
      <c r="E1077" s="22"/>
      <c r="H1077" s="22"/>
      <c r="I1077" s="22"/>
      <c r="J1077" s="22"/>
      <c r="L1077" s="20"/>
      <c r="M1077" s="19"/>
      <c r="N1077" s="19"/>
      <c r="O1077" s="19"/>
    </row>
    <row r="1078" spans="1:15" x14ac:dyDescent="0.2">
      <c r="A1078" s="240"/>
      <c r="B1078" s="19"/>
      <c r="C1078" s="22"/>
      <c r="D1078" s="22"/>
      <c r="E1078" s="22"/>
      <c r="H1078" s="22"/>
      <c r="I1078" s="22"/>
      <c r="J1078" s="22"/>
      <c r="L1078" s="20"/>
      <c r="M1078" s="19"/>
      <c r="N1078" s="19"/>
      <c r="O1078" s="19"/>
    </row>
    <row r="1079" spans="1:15" x14ac:dyDescent="0.2">
      <c r="A1079" s="240"/>
      <c r="B1079" s="19"/>
      <c r="C1079" s="22"/>
      <c r="D1079" s="22"/>
      <c r="E1079" s="22"/>
      <c r="H1079" s="22"/>
      <c r="I1079" s="22"/>
      <c r="J1079" s="22"/>
      <c r="L1079" s="20"/>
      <c r="M1079" s="19"/>
      <c r="N1079" s="19"/>
      <c r="O1079" s="19"/>
    </row>
    <row r="1080" spans="1:15" x14ac:dyDescent="0.2">
      <c r="A1080" s="240"/>
      <c r="B1080" s="19"/>
      <c r="C1080" s="22"/>
      <c r="D1080" s="22"/>
      <c r="E1080" s="22"/>
      <c r="H1080" s="22"/>
      <c r="I1080" s="22"/>
      <c r="J1080" s="22"/>
      <c r="L1080" s="20"/>
      <c r="M1080" s="19"/>
      <c r="N1080" s="19"/>
      <c r="O1080" s="19"/>
    </row>
    <row r="1081" spans="1:15" x14ac:dyDescent="0.2">
      <c r="A1081" s="240"/>
      <c r="B1081" s="19"/>
      <c r="C1081" s="22"/>
      <c r="D1081" s="22"/>
      <c r="E1081" s="22"/>
      <c r="H1081" s="22"/>
      <c r="I1081" s="22"/>
      <c r="J1081" s="22"/>
      <c r="L1081" s="20"/>
      <c r="M1081" s="19"/>
      <c r="N1081" s="19"/>
      <c r="O1081" s="19"/>
    </row>
    <row r="1082" spans="1:15" x14ac:dyDescent="0.2">
      <c r="A1082" s="240"/>
      <c r="B1082" s="19"/>
      <c r="C1082" s="22"/>
      <c r="D1082" s="22"/>
      <c r="E1082" s="22"/>
      <c r="H1082" s="22"/>
      <c r="I1082" s="22"/>
      <c r="J1082" s="22"/>
      <c r="L1082" s="20"/>
      <c r="M1082" s="19"/>
      <c r="N1082" s="19"/>
      <c r="O1082" s="19"/>
    </row>
    <row r="1083" spans="1:15" x14ac:dyDescent="0.2">
      <c r="A1083" s="240"/>
      <c r="B1083" s="19"/>
      <c r="C1083" s="22"/>
      <c r="D1083" s="22"/>
      <c r="E1083" s="22"/>
      <c r="H1083" s="22"/>
      <c r="I1083" s="22"/>
      <c r="J1083" s="22"/>
      <c r="L1083" s="20"/>
      <c r="M1083" s="19"/>
      <c r="N1083" s="19"/>
      <c r="O1083" s="19"/>
    </row>
    <row r="1084" spans="1:15" x14ac:dyDescent="0.2">
      <c r="B1084" s="19"/>
      <c r="C1084" s="22"/>
      <c r="D1084" s="22"/>
      <c r="E1084" s="22"/>
      <c r="H1084" s="22"/>
      <c r="I1084" s="22"/>
      <c r="J1084" s="22"/>
      <c r="L1084" s="20"/>
      <c r="M1084" s="19"/>
      <c r="N1084" s="19"/>
      <c r="O1084" s="19"/>
    </row>
    <row r="1085" spans="1:15" x14ac:dyDescent="0.2">
      <c r="B1085" s="19"/>
      <c r="C1085" s="22"/>
      <c r="D1085" s="22"/>
      <c r="E1085" s="22"/>
      <c r="H1085" s="22"/>
      <c r="I1085" s="22"/>
      <c r="J1085" s="22"/>
      <c r="L1085" s="20"/>
      <c r="M1085" s="19"/>
      <c r="N1085" s="19"/>
      <c r="O1085" s="19"/>
    </row>
    <row r="1086" spans="1:15" x14ac:dyDescent="0.2">
      <c r="B1086" s="19"/>
      <c r="C1086" s="22"/>
      <c r="D1086" s="22"/>
      <c r="E1086" s="22"/>
      <c r="H1086" s="22"/>
      <c r="I1086" s="22"/>
      <c r="J1086" s="22"/>
      <c r="L1086" s="20"/>
      <c r="M1086" s="19"/>
      <c r="N1086" s="19"/>
      <c r="O1086" s="19"/>
    </row>
    <row r="1087" spans="1:15" x14ac:dyDescent="0.2">
      <c r="B1087" s="19"/>
      <c r="C1087" s="22"/>
      <c r="D1087" s="22"/>
      <c r="E1087" s="22"/>
      <c r="H1087" s="22"/>
      <c r="I1087" s="22"/>
      <c r="J1087" s="22"/>
      <c r="L1087" s="20"/>
      <c r="M1087" s="19"/>
      <c r="N1087" s="19"/>
      <c r="O1087" s="19"/>
    </row>
    <row r="1088" spans="1:15" x14ac:dyDescent="0.2">
      <c r="B1088" s="19"/>
      <c r="C1088" s="22"/>
      <c r="D1088" s="22"/>
      <c r="E1088" s="22"/>
      <c r="H1088" s="22"/>
      <c r="I1088" s="22"/>
      <c r="J1088" s="22"/>
      <c r="L1088" s="20"/>
      <c r="M1088" s="19"/>
      <c r="N1088" s="19"/>
      <c r="O1088" s="19"/>
    </row>
    <row r="1089" spans="2:15" x14ac:dyDescent="0.2">
      <c r="B1089" s="19"/>
      <c r="C1089" s="22"/>
      <c r="D1089" s="22"/>
      <c r="E1089" s="22"/>
      <c r="H1089" s="22"/>
      <c r="I1089" s="22"/>
      <c r="J1089" s="22"/>
      <c r="L1089" s="20"/>
      <c r="M1089" s="19"/>
      <c r="N1089" s="19"/>
      <c r="O1089" s="19"/>
    </row>
    <row r="1090" spans="2:15" x14ac:dyDescent="0.2">
      <c r="B1090" s="19"/>
      <c r="C1090" s="22"/>
      <c r="D1090" s="22"/>
      <c r="E1090" s="22"/>
      <c r="H1090" s="22"/>
      <c r="I1090" s="22"/>
      <c r="J1090" s="22"/>
      <c r="L1090" s="20"/>
      <c r="M1090" s="19"/>
      <c r="N1090" s="19"/>
      <c r="O1090" s="19"/>
    </row>
    <row r="1091" spans="2:15" x14ac:dyDescent="0.2">
      <c r="B1091" s="19"/>
      <c r="C1091" s="22"/>
      <c r="D1091" s="22"/>
      <c r="E1091" s="22"/>
      <c r="H1091" s="22"/>
      <c r="I1091" s="22"/>
      <c r="J1091" s="22"/>
      <c r="L1091" s="20"/>
      <c r="M1091" s="19"/>
      <c r="N1091" s="19"/>
      <c r="O1091" s="19"/>
    </row>
    <row r="1092" spans="2:15" x14ac:dyDescent="0.2">
      <c r="C1092" s="16"/>
      <c r="D1092" s="16"/>
      <c r="E1092" s="16"/>
      <c r="F1092" s="16"/>
      <c r="G1092" s="16"/>
      <c r="H1092" s="16"/>
      <c r="L1092" s="20"/>
    </row>
    <row r="1093" spans="2:15" x14ac:dyDescent="0.2">
      <c r="C1093" s="16"/>
      <c r="D1093" s="16"/>
      <c r="E1093" s="16"/>
      <c r="F1093" s="16"/>
      <c r="G1093" s="16"/>
      <c r="H1093" s="16"/>
      <c r="L1093" s="20"/>
    </row>
    <row r="1094" spans="2:15" x14ac:dyDescent="0.2">
      <c r="C1094" s="16"/>
      <c r="D1094" s="16"/>
      <c r="E1094" s="16"/>
      <c r="F1094" s="16"/>
      <c r="G1094" s="16"/>
      <c r="H1094" s="16"/>
      <c r="L1094" s="20"/>
    </row>
    <row r="1095" spans="2:15" x14ac:dyDescent="0.2">
      <c r="C1095" s="16"/>
      <c r="D1095" s="16"/>
      <c r="E1095" s="16"/>
      <c r="F1095" s="16"/>
      <c r="G1095" s="16"/>
      <c r="H1095" s="16"/>
      <c r="L1095" s="20"/>
    </row>
    <row r="1096" spans="2:15" x14ac:dyDescent="0.2">
      <c r="C1096" s="16"/>
      <c r="D1096" s="16"/>
      <c r="E1096" s="16"/>
      <c r="F1096" s="16"/>
      <c r="G1096" s="16"/>
      <c r="H1096" s="16"/>
      <c r="L1096" s="20"/>
    </row>
    <row r="1097" spans="2:15" x14ac:dyDescent="0.2">
      <c r="C1097" s="16"/>
      <c r="D1097" s="16"/>
      <c r="E1097" s="16"/>
      <c r="F1097" s="16"/>
      <c r="G1097" s="16"/>
      <c r="H1097" s="16"/>
      <c r="L1097" s="20"/>
    </row>
    <row r="1098" spans="2:15" x14ac:dyDescent="0.2">
      <c r="C1098" s="16"/>
      <c r="D1098" s="16"/>
      <c r="E1098" s="16"/>
      <c r="F1098" s="16"/>
      <c r="G1098" s="16"/>
      <c r="H1098" s="16"/>
      <c r="L1098" s="20"/>
    </row>
    <row r="1099" spans="2:15" x14ac:dyDescent="0.2">
      <c r="C1099" s="16"/>
      <c r="D1099" s="16"/>
      <c r="E1099" s="16"/>
      <c r="F1099" s="16"/>
      <c r="G1099" s="16"/>
      <c r="H1099" s="16"/>
      <c r="L1099" s="20"/>
    </row>
    <row r="1100" spans="2:15" x14ac:dyDescent="0.2">
      <c r="C1100" s="16"/>
      <c r="D1100" s="16"/>
      <c r="E1100" s="16"/>
      <c r="F1100" s="16"/>
      <c r="G1100" s="16"/>
      <c r="H1100" s="16"/>
      <c r="L1100" s="20"/>
    </row>
    <row r="1101" spans="2:15" x14ac:dyDescent="0.2">
      <c r="C1101" s="16"/>
      <c r="D1101" s="16"/>
      <c r="E1101" s="16"/>
      <c r="F1101" s="16"/>
      <c r="G1101" s="16"/>
      <c r="H1101" s="16"/>
      <c r="L1101" s="20"/>
    </row>
    <row r="1102" spans="2:15" x14ac:dyDescent="0.2">
      <c r="C1102" s="16"/>
      <c r="D1102" s="16"/>
      <c r="E1102" s="16"/>
      <c r="F1102" s="16"/>
      <c r="G1102" s="16"/>
      <c r="H1102" s="16"/>
      <c r="L1102" s="20"/>
    </row>
    <row r="1103" spans="2:15" x14ac:dyDescent="0.2">
      <c r="C1103" s="16"/>
      <c r="D1103" s="16"/>
      <c r="E1103" s="16"/>
      <c r="F1103" s="16"/>
      <c r="G1103" s="16"/>
      <c r="H1103" s="16"/>
      <c r="L1103" s="20"/>
    </row>
    <row r="1104" spans="2:15" x14ac:dyDescent="0.2">
      <c r="C1104" s="16"/>
      <c r="D1104" s="16"/>
      <c r="E1104" s="16"/>
      <c r="F1104" s="16"/>
      <c r="G1104" s="16"/>
      <c r="H1104" s="16"/>
      <c r="L1104" s="20"/>
    </row>
    <row r="1105" spans="3:12" x14ac:dyDescent="0.2">
      <c r="C1105" s="16"/>
      <c r="D1105" s="16"/>
      <c r="E1105" s="16"/>
      <c r="F1105" s="16"/>
      <c r="G1105" s="16"/>
      <c r="H1105" s="16"/>
      <c r="L1105" s="20"/>
    </row>
    <row r="1106" spans="3:12" x14ac:dyDescent="0.2">
      <c r="C1106" s="16"/>
      <c r="D1106" s="16"/>
      <c r="E1106" s="16"/>
      <c r="F1106" s="16"/>
      <c r="G1106" s="16"/>
      <c r="H1106" s="16"/>
      <c r="L1106" s="20"/>
    </row>
    <row r="1107" spans="3:12" x14ac:dyDescent="0.2">
      <c r="C1107" s="16"/>
      <c r="D1107" s="16"/>
      <c r="E1107" s="16"/>
      <c r="F1107" s="16"/>
      <c r="G1107" s="16"/>
      <c r="H1107" s="16"/>
      <c r="L1107" s="20"/>
    </row>
    <row r="1108" spans="3:12" x14ac:dyDescent="0.2">
      <c r="C1108" s="16"/>
      <c r="D1108" s="16"/>
      <c r="E1108" s="16"/>
      <c r="F1108" s="16"/>
      <c r="G1108" s="16"/>
      <c r="H1108" s="16"/>
      <c r="L1108" s="20"/>
    </row>
    <row r="1109" spans="3:12" x14ac:dyDescent="0.2">
      <c r="C1109" s="16"/>
      <c r="D1109" s="16"/>
      <c r="E1109" s="16"/>
      <c r="F1109" s="16"/>
      <c r="G1109" s="16"/>
      <c r="H1109" s="16"/>
      <c r="L1109" s="20"/>
    </row>
    <row r="1110" spans="3:12" x14ac:dyDescent="0.2">
      <c r="C1110" s="16"/>
      <c r="D1110" s="16"/>
      <c r="E1110" s="16"/>
      <c r="F1110" s="16"/>
      <c r="G1110" s="16"/>
      <c r="H1110" s="16"/>
      <c r="L1110" s="20"/>
    </row>
    <row r="1111" spans="3:12" x14ac:dyDescent="0.2">
      <c r="C1111" s="16"/>
      <c r="D1111" s="16"/>
      <c r="E1111" s="16"/>
      <c r="F1111" s="16"/>
      <c r="G1111" s="16"/>
      <c r="H1111" s="16"/>
      <c r="L1111" s="20"/>
    </row>
    <row r="1112" spans="3:12" x14ac:dyDescent="0.2">
      <c r="C1112" s="16"/>
      <c r="D1112" s="16"/>
      <c r="E1112" s="16"/>
      <c r="F1112" s="16"/>
      <c r="G1112" s="16"/>
      <c r="H1112" s="16"/>
      <c r="L1112" s="20"/>
    </row>
    <row r="1113" spans="3:12" x14ac:dyDescent="0.2">
      <c r="C1113" s="16"/>
      <c r="D1113" s="16"/>
      <c r="E1113" s="16"/>
      <c r="F1113" s="16"/>
      <c r="G1113" s="16"/>
      <c r="H1113" s="16"/>
      <c r="L1113" s="20"/>
    </row>
    <row r="1114" spans="3:12" x14ac:dyDescent="0.2">
      <c r="C1114" s="16"/>
      <c r="D1114" s="16"/>
      <c r="E1114" s="16"/>
      <c r="F1114" s="16"/>
      <c r="G1114" s="16"/>
      <c r="H1114" s="16"/>
      <c r="L1114" s="20"/>
    </row>
    <row r="1115" spans="3:12" x14ac:dyDescent="0.2">
      <c r="C1115" s="16"/>
      <c r="D1115" s="16"/>
      <c r="E1115" s="16"/>
      <c r="F1115" s="16"/>
      <c r="G1115" s="16"/>
      <c r="H1115" s="16"/>
      <c r="L1115" s="20"/>
    </row>
    <row r="1116" spans="3:12" x14ac:dyDescent="0.2">
      <c r="C1116" s="16"/>
      <c r="D1116" s="16"/>
      <c r="E1116" s="16"/>
      <c r="F1116" s="16"/>
      <c r="G1116" s="16"/>
      <c r="H1116" s="16"/>
      <c r="L1116" s="20"/>
    </row>
    <row r="1117" spans="3:12" x14ac:dyDescent="0.2">
      <c r="C1117" s="16"/>
      <c r="D1117" s="16"/>
      <c r="E1117" s="16"/>
      <c r="F1117" s="16"/>
      <c r="G1117" s="16"/>
      <c r="H1117" s="16"/>
      <c r="L1117" s="20"/>
    </row>
    <row r="1118" spans="3:12" x14ac:dyDescent="0.2">
      <c r="C1118" s="16"/>
      <c r="D1118" s="16"/>
      <c r="E1118" s="16"/>
      <c r="F1118" s="16"/>
      <c r="G1118" s="16"/>
      <c r="H1118" s="16"/>
      <c r="L1118" s="20"/>
    </row>
    <row r="1119" spans="3:12" x14ac:dyDescent="0.2">
      <c r="C1119" s="16"/>
      <c r="D1119" s="16"/>
      <c r="E1119" s="16"/>
      <c r="F1119" s="16"/>
      <c r="G1119" s="16"/>
      <c r="H1119" s="16"/>
      <c r="L1119" s="20"/>
    </row>
    <row r="1120" spans="3:12" x14ac:dyDescent="0.2">
      <c r="C1120" s="16"/>
      <c r="D1120" s="16"/>
      <c r="E1120" s="16"/>
      <c r="F1120" s="16"/>
      <c r="G1120" s="16"/>
      <c r="H1120" s="16"/>
      <c r="L1120" s="20"/>
    </row>
    <row r="1121" spans="3:12" x14ac:dyDescent="0.2">
      <c r="C1121" s="16"/>
      <c r="D1121" s="16"/>
      <c r="E1121" s="16"/>
      <c r="F1121" s="16"/>
      <c r="G1121" s="16"/>
      <c r="H1121" s="16"/>
      <c r="L1121" s="20"/>
    </row>
    <row r="1122" spans="3:12" x14ac:dyDescent="0.2">
      <c r="C1122" s="16"/>
      <c r="D1122" s="16"/>
      <c r="E1122" s="16"/>
      <c r="F1122" s="16"/>
      <c r="G1122" s="16"/>
      <c r="H1122" s="16"/>
      <c r="L1122" s="20"/>
    </row>
    <row r="1123" spans="3:12" x14ac:dyDescent="0.2">
      <c r="C1123" s="16"/>
      <c r="D1123" s="16"/>
      <c r="E1123" s="16"/>
      <c r="F1123" s="16"/>
      <c r="G1123" s="16"/>
      <c r="H1123" s="16"/>
      <c r="L1123" s="20"/>
    </row>
    <row r="1124" spans="3:12" x14ac:dyDescent="0.2">
      <c r="C1124" s="16"/>
      <c r="D1124" s="16"/>
      <c r="E1124" s="16"/>
      <c r="F1124" s="16"/>
      <c r="G1124" s="16"/>
      <c r="H1124" s="16"/>
      <c r="L1124" s="20"/>
    </row>
    <row r="1125" spans="3:12" x14ac:dyDescent="0.2">
      <c r="C1125" s="16"/>
      <c r="D1125" s="16"/>
      <c r="E1125" s="16"/>
      <c r="F1125" s="16"/>
      <c r="G1125" s="16"/>
      <c r="H1125" s="16"/>
      <c r="L1125" s="20"/>
    </row>
    <row r="1126" spans="3:12" x14ac:dyDescent="0.2">
      <c r="C1126" s="16"/>
      <c r="D1126" s="16"/>
      <c r="E1126" s="16"/>
      <c r="F1126" s="16"/>
      <c r="G1126" s="16"/>
      <c r="H1126" s="16"/>
      <c r="L1126" s="20"/>
    </row>
    <row r="1127" spans="3:12" x14ac:dyDescent="0.2">
      <c r="C1127" s="16"/>
      <c r="D1127" s="16"/>
      <c r="E1127" s="16"/>
      <c r="F1127" s="16"/>
      <c r="G1127" s="16"/>
      <c r="H1127" s="16"/>
      <c r="L1127" s="20"/>
    </row>
    <row r="1128" spans="3:12" x14ac:dyDescent="0.2">
      <c r="C1128" s="16"/>
      <c r="D1128" s="16"/>
      <c r="E1128" s="16"/>
      <c r="F1128" s="16"/>
      <c r="G1128" s="16"/>
      <c r="H1128" s="16"/>
      <c r="L1128" s="20"/>
    </row>
    <row r="1129" spans="3:12" x14ac:dyDescent="0.2">
      <c r="C1129" s="16"/>
      <c r="D1129" s="16"/>
      <c r="E1129" s="16"/>
      <c r="F1129" s="16"/>
      <c r="G1129" s="16"/>
      <c r="H1129" s="16"/>
      <c r="L1129" s="20"/>
    </row>
    <row r="1130" spans="3:12" x14ac:dyDescent="0.2">
      <c r="C1130" s="16"/>
      <c r="D1130" s="16"/>
      <c r="E1130" s="16"/>
      <c r="F1130" s="16"/>
      <c r="G1130" s="16"/>
      <c r="H1130" s="16"/>
      <c r="L1130" s="20"/>
    </row>
    <row r="1131" spans="3:12" x14ac:dyDescent="0.2">
      <c r="C1131" s="16"/>
      <c r="D1131" s="16"/>
      <c r="E1131" s="16"/>
      <c r="F1131" s="16"/>
      <c r="G1131" s="16"/>
      <c r="H1131" s="16"/>
      <c r="L1131" s="20"/>
    </row>
    <row r="1132" spans="3:12" x14ac:dyDescent="0.2">
      <c r="C1132" s="16"/>
      <c r="D1132" s="16"/>
      <c r="E1132" s="16"/>
      <c r="F1132" s="16"/>
      <c r="G1132" s="16"/>
      <c r="H1132" s="16"/>
      <c r="L1132" s="20"/>
    </row>
    <row r="1133" spans="3:12" x14ac:dyDescent="0.2">
      <c r="C1133" s="16"/>
      <c r="D1133" s="16"/>
      <c r="E1133" s="16"/>
      <c r="F1133" s="16"/>
      <c r="G1133" s="16"/>
      <c r="H1133" s="16"/>
      <c r="L1133" s="20"/>
    </row>
    <row r="1134" spans="3:12" x14ac:dyDescent="0.2">
      <c r="C1134" s="16"/>
      <c r="D1134" s="16"/>
      <c r="E1134" s="16"/>
      <c r="F1134" s="16"/>
      <c r="G1134" s="16"/>
      <c r="H1134" s="16"/>
      <c r="L1134" s="20"/>
    </row>
    <row r="1135" spans="3:12" x14ac:dyDescent="0.2">
      <c r="C1135" s="16"/>
      <c r="D1135" s="16"/>
      <c r="E1135" s="16"/>
      <c r="F1135" s="16"/>
      <c r="G1135" s="16"/>
      <c r="H1135" s="16"/>
      <c r="L1135" s="20"/>
    </row>
    <row r="1136" spans="3:12" x14ac:dyDescent="0.2">
      <c r="C1136" s="16"/>
      <c r="D1136" s="16"/>
      <c r="E1136" s="16"/>
      <c r="F1136" s="16"/>
      <c r="G1136" s="16"/>
      <c r="H1136" s="16"/>
      <c r="L1136" s="20"/>
    </row>
    <row r="1137" spans="3:12" x14ac:dyDescent="0.2">
      <c r="C1137" s="16"/>
      <c r="D1137" s="16"/>
      <c r="E1137" s="16"/>
      <c r="F1137" s="16"/>
      <c r="G1137" s="16"/>
      <c r="H1137" s="16"/>
      <c r="L1137" s="20"/>
    </row>
    <row r="1138" spans="3:12" x14ac:dyDescent="0.2">
      <c r="C1138" s="16"/>
      <c r="D1138" s="16"/>
      <c r="E1138" s="16"/>
      <c r="F1138" s="16"/>
      <c r="G1138" s="16"/>
      <c r="H1138" s="16"/>
      <c r="L1138" s="20"/>
    </row>
    <row r="1139" spans="3:12" x14ac:dyDescent="0.2">
      <c r="C1139" s="16"/>
      <c r="D1139" s="16"/>
      <c r="E1139" s="16"/>
      <c r="F1139" s="16"/>
      <c r="G1139" s="16"/>
      <c r="H1139" s="16"/>
      <c r="L1139" s="20"/>
    </row>
    <row r="1140" spans="3:12" x14ac:dyDescent="0.2">
      <c r="C1140" s="16"/>
      <c r="D1140" s="16"/>
      <c r="E1140" s="16"/>
      <c r="F1140" s="16"/>
      <c r="G1140" s="16"/>
      <c r="H1140" s="16"/>
      <c r="L1140" s="20"/>
    </row>
    <row r="1141" spans="3:12" x14ac:dyDescent="0.2">
      <c r="C1141" s="16"/>
      <c r="D1141" s="16"/>
      <c r="E1141" s="16"/>
      <c r="F1141" s="16"/>
      <c r="G1141" s="16"/>
      <c r="H1141" s="16"/>
      <c r="L1141" s="20"/>
    </row>
    <row r="1142" spans="3:12" x14ac:dyDescent="0.2">
      <c r="C1142" s="16"/>
      <c r="D1142" s="16"/>
      <c r="E1142" s="16"/>
      <c r="F1142" s="16"/>
      <c r="G1142" s="16"/>
      <c r="H1142" s="16"/>
      <c r="L1142" s="20"/>
    </row>
    <row r="1143" spans="3:12" x14ac:dyDescent="0.2">
      <c r="C1143" s="16"/>
      <c r="D1143" s="16"/>
      <c r="E1143" s="16"/>
      <c r="F1143" s="16"/>
      <c r="G1143" s="16"/>
      <c r="H1143" s="16"/>
      <c r="L1143" s="20"/>
    </row>
    <row r="1144" spans="3:12" x14ac:dyDescent="0.2">
      <c r="C1144" s="16"/>
      <c r="D1144" s="16"/>
      <c r="E1144" s="16"/>
      <c r="F1144" s="16"/>
      <c r="G1144" s="16"/>
      <c r="H1144" s="16"/>
      <c r="L1144" s="20"/>
    </row>
    <row r="1145" spans="3:12" x14ac:dyDescent="0.2">
      <c r="C1145" s="16"/>
      <c r="D1145" s="16"/>
      <c r="E1145" s="16"/>
      <c r="F1145" s="16"/>
      <c r="G1145" s="16"/>
      <c r="H1145" s="16"/>
      <c r="L1145" s="20"/>
    </row>
    <row r="1146" spans="3:12" x14ac:dyDescent="0.2">
      <c r="C1146" s="16"/>
      <c r="D1146" s="16"/>
      <c r="E1146" s="16"/>
      <c r="F1146" s="16"/>
      <c r="G1146" s="16"/>
      <c r="H1146" s="16"/>
      <c r="L1146" s="20"/>
    </row>
    <row r="1147" spans="3:12" x14ac:dyDescent="0.2">
      <c r="C1147" s="16"/>
      <c r="D1147" s="16"/>
      <c r="E1147" s="16"/>
      <c r="F1147" s="16"/>
      <c r="G1147" s="16"/>
      <c r="H1147" s="16"/>
      <c r="L1147" s="20"/>
    </row>
    <row r="1148" spans="3:12" x14ac:dyDescent="0.2">
      <c r="C1148" s="16"/>
      <c r="D1148" s="16"/>
      <c r="E1148" s="16"/>
      <c r="F1148" s="16"/>
      <c r="G1148" s="16"/>
      <c r="H1148" s="16"/>
      <c r="L1148" s="20"/>
    </row>
    <row r="1149" spans="3:12" x14ac:dyDescent="0.2">
      <c r="C1149" s="16"/>
      <c r="D1149" s="16"/>
      <c r="E1149" s="16"/>
      <c r="F1149" s="16"/>
      <c r="G1149" s="16"/>
      <c r="H1149" s="16"/>
      <c r="L1149" s="20"/>
    </row>
    <row r="1150" spans="3:12" x14ac:dyDescent="0.2">
      <c r="C1150" s="16"/>
      <c r="D1150" s="16"/>
      <c r="E1150" s="16"/>
      <c r="F1150" s="16"/>
      <c r="G1150" s="16"/>
      <c r="H1150" s="16"/>
      <c r="L1150" s="20"/>
    </row>
    <row r="1151" spans="3:12" x14ac:dyDescent="0.2">
      <c r="C1151" s="16"/>
      <c r="D1151" s="16"/>
      <c r="E1151" s="16"/>
      <c r="F1151" s="16"/>
      <c r="G1151" s="16"/>
      <c r="H1151" s="16"/>
      <c r="L1151" s="20"/>
    </row>
    <row r="1152" spans="3:12" x14ac:dyDescent="0.2">
      <c r="C1152" s="16"/>
      <c r="D1152" s="16"/>
      <c r="E1152" s="16"/>
      <c r="F1152" s="16"/>
      <c r="G1152" s="16"/>
      <c r="H1152" s="16"/>
      <c r="L1152" s="20"/>
    </row>
    <row r="1153" spans="3:12" x14ac:dyDescent="0.2">
      <c r="C1153" s="16"/>
      <c r="D1153" s="16"/>
      <c r="E1153" s="16"/>
      <c r="F1153" s="16"/>
      <c r="G1153" s="16"/>
      <c r="H1153" s="16"/>
      <c r="L1153" s="20"/>
    </row>
    <row r="1154" spans="3:12" x14ac:dyDescent="0.2">
      <c r="C1154" s="16"/>
      <c r="D1154" s="16"/>
      <c r="E1154" s="16"/>
      <c r="F1154" s="16"/>
      <c r="G1154" s="16"/>
      <c r="H1154" s="16"/>
      <c r="L1154" s="20"/>
    </row>
    <row r="1155" spans="3:12" x14ac:dyDescent="0.2">
      <c r="C1155" s="16"/>
      <c r="D1155" s="16"/>
      <c r="E1155" s="16"/>
      <c r="F1155" s="16"/>
      <c r="G1155" s="16"/>
      <c r="H1155" s="16"/>
      <c r="L1155" s="20"/>
    </row>
    <row r="1156" spans="3:12" x14ac:dyDescent="0.2">
      <c r="C1156" s="16"/>
      <c r="D1156" s="16"/>
      <c r="E1156" s="16"/>
      <c r="F1156" s="16"/>
      <c r="G1156" s="16"/>
      <c r="H1156" s="16"/>
      <c r="L1156" s="20"/>
    </row>
    <row r="1157" spans="3:12" x14ac:dyDescent="0.2">
      <c r="C1157" s="16"/>
      <c r="D1157" s="16"/>
      <c r="E1157" s="16"/>
      <c r="F1157" s="16"/>
      <c r="G1157" s="16"/>
      <c r="H1157" s="16"/>
      <c r="L1157" s="20"/>
    </row>
    <row r="1158" spans="3:12" x14ac:dyDescent="0.2">
      <c r="C1158" s="16"/>
      <c r="D1158" s="16"/>
      <c r="E1158" s="16"/>
      <c r="F1158" s="16"/>
      <c r="G1158" s="16"/>
      <c r="H1158" s="16"/>
      <c r="L1158" s="20"/>
    </row>
    <row r="1159" spans="3:12" x14ac:dyDescent="0.2">
      <c r="C1159" s="16"/>
      <c r="D1159" s="16"/>
      <c r="E1159" s="16"/>
      <c r="F1159" s="16"/>
      <c r="G1159" s="16"/>
      <c r="H1159" s="16"/>
      <c r="L1159" s="20"/>
    </row>
    <row r="1160" spans="3:12" x14ac:dyDescent="0.2">
      <c r="C1160" s="16"/>
      <c r="D1160" s="16"/>
      <c r="E1160" s="16"/>
      <c r="F1160" s="16"/>
      <c r="G1160" s="16"/>
      <c r="H1160" s="16"/>
      <c r="L1160" s="20"/>
    </row>
    <row r="1161" spans="3:12" x14ac:dyDescent="0.2">
      <c r="C1161" s="16"/>
      <c r="D1161" s="16"/>
      <c r="E1161" s="16"/>
      <c r="F1161" s="16"/>
      <c r="G1161" s="16"/>
      <c r="H1161" s="16"/>
      <c r="L1161" s="20"/>
    </row>
    <row r="1162" spans="3:12" x14ac:dyDescent="0.2">
      <c r="C1162" s="16"/>
      <c r="D1162" s="16"/>
      <c r="E1162" s="16"/>
      <c r="F1162" s="16"/>
      <c r="G1162" s="16"/>
      <c r="H1162" s="16"/>
      <c r="L1162" s="20"/>
    </row>
    <row r="1163" spans="3:12" x14ac:dyDescent="0.2">
      <c r="C1163" s="16"/>
      <c r="D1163" s="16"/>
      <c r="E1163" s="16"/>
      <c r="F1163" s="16"/>
      <c r="G1163" s="16"/>
      <c r="H1163" s="16"/>
      <c r="L1163" s="20"/>
    </row>
    <row r="1164" spans="3:12" x14ac:dyDescent="0.2">
      <c r="C1164" s="16"/>
      <c r="D1164" s="16"/>
      <c r="E1164" s="16"/>
      <c r="F1164" s="16"/>
      <c r="G1164" s="16"/>
      <c r="H1164" s="16"/>
      <c r="L1164" s="20"/>
    </row>
    <row r="1165" spans="3:12" x14ac:dyDescent="0.2">
      <c r="C1165" s="16"/>
      <c r="D1165" s="16"/>
      <c r="E1165" s="16"/>
      <c r="F1165" s="16"/>
      <c r="G1165" s="16"/>
      <c r="H1165" s="16"/>
      <c r="L1165" s="20"/>
    </row>
    <row r="1166" spans="3:12" x14ac:dyDescent="0.2">
      <c r="C1166" s="16"/>
      <c r="D1166" s="16"/>
      <c r="E1166" s="16"/>
      <c r="F1166" s="16"/>
      <c r="G1166" s="16"/>
      <c r="H1166" s="16"/>
      <c r="L1166" s="20"/>
    </row>
    <row r="1167" spans="3:12" x14ac:dyDescent="0.2">
      <c r="C1167" s="16"/>
      <c r="D1167" s="16"/>
      <c r="E1167" s="16"/>
      <c r="F1167" s="16"/>
      <c r="G1167" s="16"/>
      <c r="H1167" s="16"/>
      <c r="L1167" s="20"/>
    </row>
    <row r="1168" spans="3:12" x14ac:dyDescent="0.2">
      <c r="C1168" s="16"/>
      <c r="D1168" s="16"/>
      <c r="E1168" s="16"/>
      <c r="F1168" s="16"/>
      <c r="G1168" s="16"/>
      <c r="H1168" s="16"/>
      <c r="L1168" s="20"/>
    </row>
    <row r="1169" spans="3:12" x14ac:dyDescent="0.2">
      <c r="C1169" s="16"/>
      <c r="D1169" s="16"/>
      <c r="E1169" s="16"/>
      <c r="F1169" s="16"/>
      <c r="G1169" s="16"/>
      <c r="H1169" s="16"/>
      <c r="L1169" s="20"/>
    </row>
    <row r="1170" spans="3:12" x14ac:dyDescent="0.2">
      <c r="L1170" s="20"/>
    </row>
    <row r="1171" spans="3:12" x14ac:dyDescent="0.2">
      <c r="L1171" s="20"/>
    </row>
    <row r="1172" spans="3:12" x14ac:dyDescent="0.2">
      <c r="L1172" s="20"/>
    </row>
    <row r="1173" spans="3:12" x14ac:dyDescent="0.2">
      <c r="L1173" s="20"/>
    </row>
    <row r="1174" spans="3:12" x14ac:dyDescent="0.2">
      <c r="L1174" s="20"/>
    </row>
    <row r="1175" spans="3:12" x14ac:dyDescent="0.2">
      <c r="L1175" s="20"/>
    </row>
    <row r="1176" spans="3:12" x14ac:dyDescent="0.2">
      <c r="L1176" s="20"/>
    </row>
    <row r="1177" spans="3:12" x14ac:dyDescent="0.2">
      <c r="L1177" s="20"/>
    </row>
    <row r="1178" spans="3:12" x14ac:dyDescent="0.2">
      <c r="L1178" s="20"/>
    </row>
    <row r="1179" spans="3:12" x14ac:dyDescent="0.2">
      <c r="L1179" s="20"/>
    </row>
    <row r="1180" spans="3:12" x14ac:dyDescent="0.2">
      <c r="L1180" s="20"/>
    </row>
    <row r="1181" spans="3:12" x14ac:dyDescent="0.2">
      <c r="L1181" s="20"/>
    </row>
    <row r="1182" spans="3:12" x14ac:dyDescent="0.2">
      <c r="L1182" s="20"/>
    </row>
    <row r="1183" spans="3:12" x14ac:dyDescent="0.2">
      <c r="L1183" s="20"/>
    </row>
    <row r="1184" spans="3:12" x14ac:dyDescent="0.2">
      <c r="L1184" s="20"/>
    </row>
    <row r="1185" spans="12:12" x14ac:dyDescent="0.2">
      <c r="L1185" s="20"/>
    </row>
    <row r="1186" spans="12:12" x14ac:dyDescent="0.2">
      <c r="L1186" s="20"/>
    </row>
    <row r="1187" spans="12:12" x14ac:dyDescent="0.2">
      <c r="L1187" s="20"/>
    </row>
    <row r="1188" spans="12:12" x14ac:dyDescent="0.2">
      <c r="L1188" s="20"/>
    </row>
    <row r="1189" spans="12:12" x14ac:dyDescent="0.2">
      <c r="L1189" s="20"/>
    </row>
    <row r="1190" spans="12:12" x14ac:dyDescent="0.2">
      <c r="L1190" s="20"/>
    </row>
    <row r="1191" spans="12:12" x14ac:dyDescent="0.2">
      <c r="L1191" s="20"/>
    </row>
    <row r="1192" spans="12:12" x14ac:dyDescent="0.2">
      <c r="L1192" s="20"/>
    </row>
    <row r="1193" spans="12:12" x14ac:dyDescent="0.2">
      <c r="L1193" s="20"/>
    </row>
    <row r="1194" spans="12:12" x14ac:dyDescent="0.2">
      <c r="L1194" s="20"/>
    </row>
    <row r="1195" spans="12:12" x14ac:dyDescent="0.2">
      <c r="L1195" s="20"/>
    </row>
    <row r="1196" spans="12:12" x14ac:dyDescent="0.2">
      <c r="L1196" s="20"/>
    </row>
    <row r="1197" spans="12:12" x14ac:dyDescent="0.2">
      <c r="L1197" s="20"/>
    </row>
    <row r="1198" spans="12:12" x14ac:dyDescent="0.2">
      <c r="L1198" s="20"/>
    </row>
    <row r="1199" spans="12:12" x14ac:dyDescent="0.2">
      <c r="L1199" s="20"/>
    </row>
    <row r="1200" spans="12:12" x14ac:dyDescent="0.2">
      <c r="L1200" s="20"/>
    </row>
    <row r="1201" spans="12:12" x14ac:dyDescent="0.2">
      <c r="L1201" s="20"/>
    </row>
    <row r="1202" spans="12:12" x14ac:dyDescent="0.2">
      <c r="L1202" s="20"/>
    </row>
    <row r="1203" spans="12:12" x14ac:dyDescent="0.2">
      <c r="L1203" s="20"/>
    </row>
    <row r="1204" spans="12:12" x14ac:dyDescent="0.2">
      <c r="L1204" s="20"/>
    </row>
    <row r="1205" spans="12:12" x14ac:dyDescent="0.2">
      <c r="L1205" s="20"/>
    </row>
    <row r="1206" spans="12:12" x14ac:dyDescent="0.2">
      <c r="L1206" s="20"/>
    </row>
    <row r="1207" spans="12:12" x14ac:dyDescent="0.2">
      <c r="L1207" s="20"/>
    </row>
    <row r="1208" spans="12:12" x14ac:dyDescent="0.2">
      <c r="L1208" s="20"/>
    </row>
    <row r="1209" spans="12:12" x14ac:dyDescent="0.2">
      <c r="L1209" s="20"/>
    </row>
    <row r="1210" spans="12:12" x14ac:dyDescent="0.2">
      <c r="L1210" s="20"/>
    </row>
    <row r="1211" spans="12:12" x14ac:dyDescent="0.2">
      <c r="L1211" s="20"/>
    </row>
    <row r="1212" spans="12:12" x14ac:dyDescent="0.2">
      <c r="L1212" s="20"/>
    </row>
    <row r="1213" spans="12:12" x14ac:dyDescent="0.2">
      <c r="L1213" s="20"/>
    </row>
    <row r="1214" spans="12:12" x14ac:dyDescent="0.2">
      <c r="L1214" s="20"/>
    </row>
    <row r="1215" spans="12:12" x14ac:dyDescent="0.2">
      <c r="L1215" s="20"/>
    </row>
    <row r="1216" spans="12:12" x14ac:dyDescent="0.2">
      <c r="L1216" s="20"/>
    </row>
    <row r="1217" spans="12:12" x14ac:dyDescent="0.2">
      <c r="L1217" s="20"/>
    </row>
    <row r="1218" spans="12:12" x14ac:dyDescent="0.2">
      <c r="L1218" s="20"/>
    </row>
    <row r="1219" spans="12:12" x14ac:dyDescent="0.2">
      <c r="L1219" s="20"/>
    </row>
    <row r="1220" spans="12:12" x14ac:dyDescent="0.2">
      <c r="L1220" s="20"/>
    </row>
    <row r="1221" spans="12:12" x14ac:dyDescent="0.2">
      <c r="L1221" s="20"/>
    </row>
    <row r="1222" spans="12:12" x14ac:dyDescent="0.2">
      <c r="L1222" s="20"/>
    </row>
    <row r="1223" spans="12:12" x14ac:dyDescent="0.2">
      <c r="L1223" s="20"/>
    </row>
    <row r="1224" spans="12:12" x14ac:dyDescent="0.2">
      <c r="L1224" s="20"/>
    </row>
    <row r="1225" spans="12:12" x14ac:dyDescent="0.2">
      <c r="L1225" s="20"/>
    </row>
    <row r="1226" spans="12:12" x14ac:dyDescent="0.2">
      <c r="L1226" s="20"/>
    </row>
    <row r="1227" spans="12:12" x14ac:dyDescent="0.2">
      <c r="L1227" s="20"/>
    </row>
    <row r="1228" spans="12:12" x14ac:dyDescent="0.2">
      <c r="L1228" s="20"/>
    </row>
    <row r="1229" spans="12:12" x14ac:dyDescent="0.2">
      <c r="L1229" s="20"/>
    </row>
    <row r="1230" spans="12:12" x14ac:dyDescent="0.2">
      <c r="L1230" s="20"/>
    </row>
    <row r="1231" spans="12:12" x14ac:dyDescent="0.2">
      <c r="L1231" s="20"/>
    </row>
    <row r="1232" spans="12:12" x14ac:dyDescent="0.2">
      <c r="L1232" s="20"/>
    </row>
    <row r="1233" spans="12:12" x14ac:dyDescent="0.2">
      <c r="L1233" s="20"/>
    </row>
    <row r="1234" spans="12:12" x14ac:dyDescent="0.2">
      <c r="L1234" s="20"/>
    </row>
    <row r="1235" spans="12:12" x14ac:dyDescent="0.2">
      <c r="L1235" s="20"/>
    </row>
    <row r="1236" spans="12:12" x14ac:dyDescent="0.2">
      <c r="L1236" s="20"/>
    </row>
    <row r="1237" spans="12:12" x14ac:dyDescent="0.2">
      <c r="L1237" s="20"/>
    </row>
    <row r="1238" spans="12:12" x14ac:dyDescent="0.2">
      <c r="L1238" s="20"/>
    </row>
    <row r="1239" spans="12:12" x14ac:dyDescent="0.2">
      <c r="L1239" s="20"/>
    </row>
    <row r="1240" spans="12:12" x14ac:dyDescent="0.2">
      <c r="L1240" s="20"/>
    </row>
    <row r="1241" spans="12:12" x14ac:dyDescent="0.2">
      <c r="L1241" s="20"/>
    </row>
    <row r="1242" spans="12:12" x14ac:dyDescent="0.2">
      <c r="L1242" s="20"/>
    </row>
    <row r="1243" spans="12:12" x14ac:dyDescent="0.2">
      <c r="L1243" s="20"/>
    </row>
    <row r="1244" spans="12:12" x14ac:dyDescent="0.2">
      <c r="L1244" s="20"/>
    </row>
    <row r="1245" spans="12:12" x14ac:dyDescent="0.2">
      <c r="L1245" s="20"/>
    </row>
    <row r="1246" spans="12:12" x14ac:dyDescent="0.2">
      <c r="L1246" s="20"/>
    </row>
    <row r="1247" spans="12:12" x14ac:dyDescent="0.2">
      <c r="L1247" s="20"/>
    </row>
    <row r="1248" spans="12:12" x14ac:dyDescent="0.2">
      <c r="L1248" s="20"/>
    </row>
    <row r="1249" spans="12:12" x14ac:dyDescent="0.2">
      <c r="L1249" s="20"/>
    </row>
    <row r="1250" spans="12:12" x14ac:dyDescent="0.2">
      <c r="L1250" s="20"/>
    </row>
    <row r="1251" spans="12:12" x14ac:dyDescent="0.2">
      <c r="L1251" s="20"/>
    </row>
    <row r="1252" spans="12:12" x14ac:dyDescent="0.2">
      <c r="L1252" s="20"/>
    </row>
    <row r="1253" spans="12:12" x14ac:dyDescent="0.2">
      <c r="L1253" s="20"/>
    </row>
    <row r="1254" spans="12:12" x14ac:dyDescent="0.2">
      <c r="L1254" s="20"/>
    </row>
    <row r="1255" spans="12:12" x14ac:dyDescent="0.2">
      <c r="L1255" s="20"/>
    </row>
    <row r="1256" spans="12:12" x14ac:dyDescent="0.2">
      <c r="L1256" s="20"/>
    </row>
    <row r="1257" spans="12:12" x14ac:dyDescent="0.2">
      <c r="L1257" s="20"/>
    </row>
    <row r="1258" spans="12:12" x14ac:dyDescent="0.2">
      <c r="L1258" s="20"/>
    </row>
    <row r="1259" spans="12:12" x14ac:dyDescent="0.2">
      <c r="L1259" s="20"/>
    </row>
    <row r="1260" spans="12:12" x14ac:dyDescent="0.2">
      <c r="L1260" s="20"/>
    </row>
    <row r="1261" spans="12:12" x14ac:dyDescent="0.2">
      <c r="L1261" s="20"/>
    </row>
    <row r="1262" spans="12:12" x14ac:dyDescent="0.2">
      <c r="L1262" s="20"/>
    </row>
    <row r="1263" spans="12:12" x14ac:dyDescent="0.2">
      <c r="L1263" s="20"/>
    </row>
    <row r="1264" spans="12:12" x14ac:dyDescent="0.2">
      <c r="L1264" s="20"/>
    </row>
    <row r="1265" spans="12:12" x14ac:dyDescent="0.2">
      <c r="L1265" s="20"/>
    </row>
    <row r="1266" spans="12:12" x14ac:dyDescent="0.2">
      <c r="L1266" s="20"/>
    </row>
    <row r="1267" spans="12:12" x14ac:dyDescent="0.2">
      <c r="L1267" s="20"/>
    </row>
    <row r="1268" spans="12:12" x14ac:dyDescent="0.2">
      <c r="L1268" s="20"/>
    </row>
    <row r="1269" spans="12:12" x14ac:dyDescent="0.2">
      <c r="L1269" s="20"/>
    </row>
    <row r="1270" spans="12:12" x14ac:dyDescent="0.2">
      <c r="L1270" s="20"/>
    </row>
    <row r="1271" spans="12:12" x14ac:dyDescent="0.2">
      <c r="L1271" s="20"/>
    </row>
    <row r="1272" spans="12:12" x14ac:dyDescent="0.2">
      <c r="L1272" s="20"/>
    </row>
    <row r="1273" spans="12:12" x14ac:dyDescent="0.2">
      <c r="L1273" s="20"/>
    </row>
    <row r="1274" spans="12:12" x14ac:dyDescent="0.2">
      <c r="L1274" s="20"/>
    </row>
    <row r="1275" spans="12:12" x14ac:dyDescent="0.2">
      <c r="L1275" s="20"/>
    </row>
    <row r="1276" spans="12:12" x14ac:dyDescent="0.2">
      <c r="L1276" s="20"/>
    </row>
    <row r="1277" spans="12:12" x14ac:dyDescent="0.2">
      <c r="L1277" s="20"/>
    </row>
    <row r="1278" spans="12:12" x14ac:dyDescent="0.2">
      <c r="L1278" s="20"/>
    </row>
    <row r="1279" spans="12:12" x14ac:dyDescent="0.2">
      <c r="L1279" s="20"/>
    </row>
    <row r="1280" spans="12:12" x14ac:dyDescent="0.2">
      <c r="L1280" s="20"/>
    </row>
    <row r="1281" spans="12:12" x14ac:dyDescent="0.2">
      <c r="L1281" s="20"/>
    </row>
    <row r="1282" spans="12:12" x14ac:dyDescent="0.2">
      <c r="L1282" s="20"/>
    </row>
    <row r="1283" spans="12:12" x14ac:dyDescent="0.2">
      <c r="L1283" s="20"/>
    </row>
    <row r="1284" spans="12:12" x14ac:dyDescent="0.2">
      <c r="L1284" s="20"/>
    </row>
    <row r="1285" spans="12:12" x14ac:dyDescent="0.2">
      <c r="L1285" s="20"/>
    </row>
    <row r="1286" spans="12:12" x14ac:dyDescent="0.2">
      <c r="L1286" s="20"/>
    </row>
    <row r="1287" spans="12:12" x14ac:dyDescent="0.2">
      <c r="L1287" s="20"/>
    </row>
    <row r="1288" spans="12:12" x14ac:dyDescent="0.2">
      <c r="L1288" s="20"/>
    </row>
    <row r="1289" spans="12:12" x14ac:dyDescent="0.2">
      <c r="L1289" s="20"/>
    </row>
    <row r="1290" spans="12:12" x14ac:dyDescent="0.2">
      <c r="L1290" s="20"/>
    </row>
    <row r="1291" spans="12:12" x14ac:dyDescent="0.2">
      <c r="L1291" s="20"/>
    </row>
    <row r="1292" spans="12:12" x14ac:dyDescent="0.2">
      <c r="L1292" s="20"/>
    </row>
    <row r="1293" spans="12:12" x14ac:dyDescent="0.2">
      <c r="L1293" s="20"/>
    </row>
    <row r="1294" spans="12:12" x14ac:dyDescent="0.2">
      <c r="L1294" s="20"/>
    </row>
    <row r="1295" spans="12:12" x14ac:dyDescent="0.2">
      <c r="L1295" s="20"/>
    </row>
    <row r="1296" spans="12:12" x14ac:dyDescent="0.2">
      <c r="L1296" s="20"/>
    </row>
    <row r="1297" spans="12:12" x14ac:dyDescent="0.2">
      <c r="L1297" s="20"/>
    </row>
    <row r="1298" spans="12:12" x14ac:dyDescent="0.2">
      <c r="L1298" s="20"/>
    </row>
    <row r="1299" spans="12:12" x14ac:dyDescent="0.2">
      <c r="L1299" s="20"/>
    </row>
    <row r="1300" spans="12:12" x14ac:dyDescent="0.2">
      <c r="L1300" s="20"/>
    </row>
    <row r="1301" spans="12:12" x14ac:dyDescent="0.2">
      <c r="L1301" s="20"/>
    </row>
    <row r="1302" spans="12:12" x14ac:dyDescent="0.2">
      <c r="L1302" s="20"/>
    </row>
    <row r="1303" spans="12:12" x14ac:dyDescent="0.2">
      <c r="L1303" s="20"/>
    </row>
    <row r="1304" spans="12:12" x14ac:dyDescent="0.2">
      <c r="L1304" s="20"/>
    </row>
    <row r="1305" spans="12:12" x14ac:dyDescent="0.2">
      <c r="L1305" s="20"/>
    </row>
    <row r="1306" spans="12:12" x14ac:dyDescent="0.2">
      <c r="L1306" s="20"/>
    </row>
    <row r="1307" spans="12:12" x14ac:dyDescent="0.2">
      <c r="L1307" s="20"/>
    </row>
    <row r="1308" spans="12:12" x14ac:dyDescent="0.2">
      <c r="L1308" s="20"/>
    </row>
    <row r="1309" spans="12:12" x14ac:dyDescent="0.2">
      <c r="L1309" s="20"/>
    </row>
    <row r="1310" spans="12:12" x14ac:dyDescent="0.2">
      <c r="L1310" s="20"/>
    </row>
    <row r="1311" spans="12:12" x14ac:dyDescent="0.2">
      <c r="L1311" s="20"/>
    </row>
    <row r="1312" spans="12:12" x14ac:dyDescent="0.2">
      <c r="L1312" s="20"/>
    </row>
    <row r="1313" spans="12:12" x14ac:dyDescent="0.2">
      <c r="L1313" s="20"/>
    </row>
    <row r="1314" spans="12:12" x14ac:dyDescent="0.2">
      <c r="L1314" s="20"/>
    </row>
    <row r="1315" spans="12:12" x14ac:dyDescent="0.2">
      <c r="L1315" s="20"/>
    </row>
    <row r="1316" spans="12:12" x14ac:dyDescent="0.2">
      <c r="L1316" s="20"/>
    </row>
    <row r="1317" spans="12:12" x14ac:dyDescent="0.2">
      <c r="L1317" s="20"/>
    </row>
    <row r="1318" spans="12:12" x14ac:dyDescent="0.2">
      <c r="L1318" s="20"/>
    </row>
    <row r="1319" spans="12:12" x14ac:dyDescent="0.2">
      <c r="L1319" s="20"/>
    </row>
    <row r="1320" spans="12:12" x14ac:dyDescent="0.2">
      <c r="L1320" s="20"/>
    </row>
    <row r="1321" spans="12:12" x14ac:dyDescent="0.2">
      <c r="L1321" s="20"/>
    </row>
    <row r="1322" spans="12:12" x14ac:dyDescent="0.2">
      <c r="L1322" s="20"/>
    </row>
    <row r="1323" spans="12:12" x14ac:dyDescent="0.2">
      <c r="L1323" s="20"/>
    </row>
    <row r="1324" spans="12:12" x14ac:dyDescent="0.2">
      <c r="L1324" s="20"/>
    </row>
    <row r="1325" spans="12:12" x14ac:dyDescent="0.2">
      <c r="L1325" s="20"/>
    </row>
    <row r="1326" spans="12:12" x14ac:dyDescent="0.2">
      <c r="L1326" s="20"/>
    </row>
    <row r="1327" spans="12:12" x14ac:dyDescent="0.2">
      <c r="L1327" s="20"/>
    </row>
    <row r="1328" spans="12:12" x14ac:dyDescent="0.2">
      <c r="L1328" s="20"/>
    </row>
    <row r="1329" spans="12:12" x14ac:dyDescent="0.2">
      <c r="L1329" s="20"/>
    </row>
    <row r="1330" spans="12:12" x14ac:dyDescent="0.2">
      <c r="L1330" s="20"/>
    </row>
    <row r="1331" spans="12:12" x14ac:dyDescent="0.2">
      <c r="L1331" s="20"/>
    </row>
    <row r="1332" spans="12:12" x14ac:dyDescent="0.2">
      <c r="L1332" s="20"/>
    </row>
    <row r="1333" spans="12:12" x14ac:dyDescent="0.2">
      <c r="L1333" s="20"/>
    </row>
    <row r="1334" spans="12:12" x14ac:dyDescent="0.2">
      <c r="L1334" s="20"/>
    </row>
    <row r="1335" spans="12:12" x14ac:dyDescent="0.2">
      <c r="L1335" s="20"/>
    </row>
    <row r="1336" spans="12:12" x14ac:dyDescent="0.2">
      <c r="L1336" s="20"/>
    </row>
    <row r="1337" spans="12:12" x14ac:dyDescent="0.2">
      <c r="L1337" s="20"/>
    </row>
    <row r="1338" spans="12:12" x14ac:dyDescent="0.2">
      <c r="L1338" s="20"/>
    </row>
    <row r="1339" spans="12:12" x14ac:dyDescent="0.2">
      <c r="L1339" s="20"/>
    </row>
    <row r="1340" spans="12:12" x14ac:dyDescent="0.2">
      <c r="L1340" s="20"/>
    </row>
    <row r="1341" spans="12:12" x14ac:dyDescent="0.2">
      <c r="L1341" s="20"/>
    </row>
    <row r="1342" spans="12:12" x14ac:dyDescent="0.2">
      <c r="L1342" s="20"/>
    </row>
    <row r="1343" spans="12:12" x14ac:dyDescent="0.2">
      <c r="L1343" s="20"/>
    </row>
    <row r="1344" spans="12:12" x14ac:dyDescent="0.2">
      <c r="L1344" s="20"/>
    </row>
    <row r="1345" spans="12:12" x14ac:dyDescent="0.2">
      <c r="L1345" s="20"/>
    </row>
    <row r="1346" spans="12:12" x14ac:dyDescent="0.2">
      <c r="L1346" s="20"/>
    </row>
    <row r="1347" spans="12:12" x14ac:dyDescent="0.2">
      <c r="L1347" s="20"/>
    </row>
    <row r="1348" spans="12:12" x14ac:dyDescent="0.2">
      <c r="L1348" s="20"/>
    </row>
    <row r="1349" spans="12:12" x14ac:dyDescent="0.2">
      <c r="L1349" s="20"/>
    </row>
    <row r="1350" spans="12:12" x14ac:dyDescent="0.2">
      <c r="L1350" s="20"/>
    </row>
    <row r="1351" spans="12:12" x14ac:dyDescent="0.2">
      <c r="L1351" s="20"/>
    </row>
    <row r="1352" spans="12:12" x14ac:dyDescent="0.2">
      <c r="L1352" s="20"/>
    </row>
    <row r="1353" spans="12:12" x14ac:dyDescent="0.2">
      <c r="L1353" s="20"/>
    </row>
    <row r="1354" spans="12:12" x14ac:dyDescent="0.2">
      <c r="L1354" s="20"/>
    </row>
    <row r="1355" spans="12:12" x14ac:dyDescent="0.2">
      <c r="L1355" s="20"/>
    </row>
    <row r="1356" spans="12:12" x14ac:dyDescent="0.2">
      <c r="L1356" s="20"/>
    </row>
    <row r="1357" spans="12:12" x14ac:dyDescent="0.2">
      <c r="L1357" s="20"/>
    </row>
    <row r="1358" spans="12:12" x14ac:dyDescent="0.2">
      <c r="L1358" s="20"/>
    </row>
    <row r="1359" spans="12:12" x14ac:dyDescent="0.2">
      <c r="L1359" s="20"/>
    </row>
    <row r="1360" spans="12:12" x14ac:dyDescent="0.2">
      <c r="L1360" s="20"/>
    </row>
    <row r="1361" spans="12:12" x14ac:dyDescent="0.2">
      <c r="L1361" s="20"/>
    </row>
    <row r="1362" spans="12:12" x14ac:dyDescent="0.2">
      <c r="L1362" s="20"/>
    </row>
    <row r="1363" spans="12:12" x14ac:dyDescent="0.2">
      <c r="L1363" s="20"/>
    </row>
    <row r="1364" spans="12:12" x14ac:dyDescent="0.2">
      <c r="L1364" s="20"/>
    </row>
    <row r="1365" spans="12:12" x14ac:dyDescent="0.2">
      <c r="L1365" s="20"/>
    </row>
    <row r="1366" spans="12:12" x14ac:dyDescent="0.2">
      <c r="L1366" s="20"/>
    </row>
    <row r="1367" spans="12:12" x14ac:dyDescent="0.2">
      <c r="L1367" s="20"/>
    </row>
    <row r="1368" spans="12:12" x14ac:dyDescent="0.2">
      <c r="L1368" s="20"/>
    </row>
    <row r="1369" spans="12:12" x14ac:dyDescent="0.2">
      <c r="L1369" s="20"/>
    </row>
    <row r="1370" spans="12:12" x14ac:dyDescent="0.2">
      <c r="L1370" s="20"/>
    </row>
    <row r="1371" spans="12:12" x14ac:dyDescent="0.2">
      <c r="L1371" s="20"/>
    </row>
    <row r="1372" spans="12:12" x14ac:dyDescent="0.2">
      <c r="L1372" s="20"/>
    </row>
    <row r="1373" spans="12:12" x14ac:dyDescent="0.2">
      <c r="L1373" s="20"/>
    </row>
    <row r="1374" spans="12:12" x14ac:dyDescent="0.2">
      <c r="L1374" s="20"/>
    </row>
    <row r="1375" spans="12:12" x14ac:dyDescent="0.2">
      <c r="L1375" s="20"/>
    </row>
    <row r="1376" spans="12:12" x14ac:dyDescent="0.2">
      <c r="L1376" s="20"/>
    </row>
    <row r="1377" spans="12:12" x14ac:dyDescent="0.2">
      <c r="L1377" s="20"/>
    </row>
    <row r="1378" spans="12:12" x14ac:dyDescent="0.2">
      <c r="L1378" s="20"/>
    </row>
    <row r="1379" spans="12:12" x14ac:dyDescent="0.2">
      <c r="L1379" s="20"/>
    </row>
    <row r="1380" spans="12:12" x14ac:dyDescent="0.2">
      <c r="L1380" s="20"/>
    </row>
    <row r="1381" spans="12:12" x14ac:dyDescent="0.2">
      <c r="L1381" s="20"/>
    </row>
    <row r="1382" spans="12:12" x14ac:dyDescent="0.2">
      <c r="L1382" s="20"/>
    </row>
    <row r="1383" spans="12:12" x14ac:dyDescent="0.2">
      <c r="L1383" s="20"/>
    </row>
    <row r="1384" spans="12:12" x14ac:dyDescent="0.2">
      <c r="L1384" s="20"/>
    </row>
    <row r="1385" spans="12:12" x14ac:dyDescent="0.2">
      <c r="L1385" s="20"/>
    </row>
    <row r="1386" spans="12:12" x14ac:dyDescent="0.2">
      <c r="L1386" s="20"/>
    </row>
    <row r="1387" spans="12:12" x14ac:dyDescent="0.2">
      <c r="L1387" s="20"/>
    </row>
    <row r="1388" spans="12:12" x14ac:dyDescent="0.2">
      <c r="L1388" s="20"/>
    </row>
    <row r="1389" spans="12:12" x14ac:dyDescent="0.2">
      <c r="L1389" s="20"/>
    </row>
    <row r="1390" spans="12:12" x14ac:dyDescent="0.2">
      <c r="L1390" s="20"/>
    </row>
    <row r="1391" spans="12:12" x14ac:dyDescent="0.2">
      <c r="L1391" s="20"/>
    </row>
    <row r="1392" spans="12:12" x14ac:dyDescent="0.2">
      <c r="L1392" s="20"/>
    </row>
    <row r="1393" spans="12:12" x14ac:dyDescent="0.2">
      <c r="L1393" s="20"/>
    </row>
    <row r="1394" spans="12:12" x14ac:dyDescent="0.2">
      <c r="L1394" s="20"/>
    </row>
    <row r="1395" spans="12:12" x14ac:dyDescent="0.2">
      <c r="L1395" s="20"/>
    </row>
    <row r="1396" spans="12:12" x14ac:dyDescent="0.2">
      <c r="L1396" s="20"/>
    </row>
    <row r="1397" spans="12:12" x14ac:dyDescent="0.2">
      <c r="L1397" s="20"/>
    </row>
    <row r="1398" spans="12:12" x14ac:dyDescent="0.2">
      <c r="L1398" s="20"/>
    </row>
    <row r="1399" spans="12:12" x14ac:dyDescent="0.2">
      <c r="L1399" s="20"/>
    </row>
    <row r="1400" spans="12:12" x14ac:dyDescent="0.2">
      <c r="L1400" s="20"/>
    </row>
    <row r="1401" spans="12:12" x14ac:dyDescent="0.2">
      <c r="L1401" s="20"/>
    </row>
    <row r="1402" spans="12:12" x14ac:dyDescent="0.2">
      <c r="L1402" s="20"/>
    </row>
    <row r="1403" spans="12:12" x14ac:dyDescent="0.2">
      <c r="L1403" s="20"/>
    </row>
    <row r="1404" spans="12:12" x14ac:dyDescent="0.2">
      <c r="L1404" s="20"/>
    </row>
    <row r="1405" spans="12:12" x14ac:dyDescent="0.2">
      <c r="L1405" s="20"/>
    </row>
    <row r="1406" spans="12:12" x14ac:dyDescent="0.2">
      <c r="L1406" s="20"/>
    </row>
    <row r="1407" spans="12:12" x14ac:dyDescent="0.2">
      <c r="L1407" s="20"/>
    </row>
    <row r="1408" spans="12:12" x14ac:dyDescent="0.2">
      <c r="L1408" s="20"/>
    </row>
    <row r="1409" spans="12:12" x14ac:dyDescent="0.2">
      <c r="L1409" s="20"/>
    </row>
    <row r="1410" spans="12:12" x14ac:dyDescent="0.2">
      <c r="L1410" s="20"/>
    </row>
    <row r="1411" spans="12:12" x14ac:dyDescent="0.2">
      <c r="L1411" s="20"/>
    </row>
    <row r="1412" spans="12:12" x14ac:dyDescent="0.2">
      <c r="L1412" s="20"/>
    </row>
    <row r="1413" spans="12:12" x14ac:dyDescent="0.2">
      <c r="L1413" s="20"/>
    </row>
    <row r="1414" spans="12:12" x14ac:dyDescent="0.2">
      <c r="L1414" s="20"/>
    </row>
    <row r="1415" spans="12:12" x14ac:dyDescent="0.2">
      <c r="L1415" s="20"/>
    </row>
    <row r="1416" spans="12:12" x14ac:dyDescent="0.2">
      <c r="L1416" s="20"/>
    </row>
    <row r="1417" spans="12:12" x14ac:dyDescent="0.2">
      <c r="L1417" s="20"/>
    </row>
    <row r="1418" spans="12:12" x14ac:dyDescent="0.2">
      <c r="L1418" s="20"/>
    </row>
    <row r="1419" spans="12:12" x14ac:dyDescent="0.2">
      <c r="L1419" s="20"/>
    </row>
    <row r="1420" spans="12:12" x14ac:dyDescent="0.2">
      <c r="L1420" s="20"/>
    </row>
    <row r="1421" spans="12:12" x14ac:dyDescent="0.2">
      <c r="L1421" s="20"/>
    </row>
    <row r="1422" spans="12:12" x14ac:dyDescent="0.2">
      <c r="L1422" s="20"/>
    </row>
    <row r="1423" spans="12:12" x14ac:dyDescent="0.2">
      <c r="L1423" s="20"/>
    </row>
    <row r="1424" spans="12:12" x14ac:dyDescent="0.2">
      <c r="L1424" s="20"/>
    </row>
    <row r="1425" spans="12:12" x14ac:dyDescent="0.2">
      <c r="L1425" s="20"/>
    </row>
    <row r="1426" spans="12:12" x14ac:dyDescent="0.2">
      <c r="L1426" s="20"/>
    </row>
    <row r="1427" spans="12:12" x14ac:dyDescent="0.2">
      <c r="L1427" s="20"/>
    </row>
    <row r="1428" spans="12:12" x14ac:dyDescent="0.2">
      <c r="L1428" s="20"/>
    </row>
    <row r="1429" spans="12:12" x14ac:dyDescent="0.2">
      <c r="L1429" s="20"/>
    </row>
    <row r="1430" spans="12:12" x14ac:dyDescent="0.2">
      <c r="L1430" s="20"/>
    </row>
    <row r="1431" spans="12:12" x14ac:dyDescent="0.2">
      <c r="L1431" s="20"/>
    </row>
    <row r="1432" spans="12:12" x14ac:dyDescent="0.2">
      <c r="L1432" s="20"/>
    </row>
    <row r="1433" spans="12:12" x14ac:dyDescent="0.2">
      <c r="L1433" s="20"/>
    </row>
    <row r="1434" spans="12:12" x14ac:dyDescent="0.2">
      <c r="L1434" s="20"/>
    </row>
    <row r="1435" spans="12:12" x14ac:dyDescent="0.2">
      <c r="L1435" s="20"/>
    </row>
    <row r="1436" spans="12:12" x14ac:dyDescent="0.2">
      <c r="L1436" s="20"/>
    </row>
    <row r="1437" spans="12:12" x14ac:dyDescent="0.2">
      <c r="L1437" s="20"/>
    </row>
    <row r="1438" spans="12:12" x14ac:dyDescent="0.2">
      <c r="L1438" s="20"/>
    </row>
    <row r="1439" spans="12:12" x14ac:dyDescent="0.2">
      <c r="L1439" s="20"/>
    </row>
    <row r="1440" spans="12:12" x14ac:dyDescent="0.2">
      <c r="L1440" s="20"/>
    </row>
    <row r="1441" spans="12:12" x14ac:dyDescent="0.2">
      <c r="L1441" s="20"/>
    </row>
    <row r="1442" spans="12:12" x14ac:dyDescent="0.2">
      <c r="L1442" s="20"/>
    </row>
    <row r="1443" spans="12:12" x14ac:dyDescent="0.2">
      <c r="L1443" s="20"/>
    </row>
    <row r="1444" spans="12:12" x14ac:dyDescent="0.2">
      <c r="L1444" s="20"/>
    </row>
    <row r="1445" spans="12:12" x14ac:dyDescent="0.2">
      <c r="L1445" s="20"/>
    </row>
    <row r="1446" spans="12:12" x14ac:dyDescent="0.2">
      <c r="L1446" s="20"/>
    </row>
    <row r="1447" spans="12:12" x14ac:dyDescent="0.2">
      <c r="L1447" s="20"/>
    </row>
    <row r="1448" spans="12:12" x14ac:dyDescent="0.2">
      <c r="L1448" s="20"/>
    </row>
    <row r="1449" spans="12:12" x14ac:dyDescent="0.2">
      <c r="L1449" s="20"/>
    </row>
    <row r="1450" spans="12:12" x14ac:dyDescent="0.2">
      <c r="L1450" s="20"/>
    </row>
    <row r="1451" spans="12:12" x14ac:dyDescent="0.2">
      <c r="L1451" s="20"/>
    </row>
    <row r="1452" spans="12:12" x14ac:dyDescent="0.2">
      <c r="L1452" s="20"/>
    </row>
    <row r="1453" spans="12:12" x14ac:dyDescent="0.2">
      <c r="L1453" s="20"/>
    </row>
    <row r="1454" spans="12:12" x14ac:dyDescent="0.2">
      <c r="L1454" s="20"/>
    </row>
    <row r="1455" spans="12:12" x14ac:dyDescent="0.2">
      <c r="L1455" s="20"/>
    </row>
    <row r="1456" spans="12:12" x14ac:dyDescent="0.2">
      <c r="L1456" s="20"/>
    </row>
    <row r="1457" spans="12:12" x14ac:dyDescent="0.2">
      <c r="L1457" s="20"/>
    </row>
    <row r="1458" spans="12:12" x14ac:dyDescent="0.2">
      <c r="L1458" s="20"/>
    </row>
    <row r="1459" spans="12:12" x14ac:dyDescent="0.2">
      <c r="L1459" s="20"/>
    </row>
    <row r="1460" spans="12:12" x14ac:dyDescent="0.2">
      <c r="L1460" s="20"/>
    </row>
    <row r="1461" spans="12:12" x14ac:dyDescent="0.2">
      <c r="L1461" s="20"/>
    </row>
    <row r="1462" spans="12:12" x14ac:dyDescent="0.2">
      <c r="L1462" s="20"/>
    </row>
    <row r="1463" spans="12:12" x14ac:dyDescent="0.2">
      <c r="L1463" s="20"/>
    </row>
    <row r="1464" spans="12:12" x14ac:dyDescent="0.2">
      <c r="L1464" s="20"/>
    </row>
    <row r="1465" spans="12:12" x14ac:dyDescent="0.2">
      <c r="L1465" s="20"/>
    </row>
    <row r="1466" spans="12:12" x14ac:dyDescent="0.2">
      <c r="L1466" s="20"/>
    </row>
    <row r="1467" spans="12:12" x14ac:dyDescent="0.2">
      <c r="L1467" s="20"/>
    </row>
    <row r="1468" spans="12:12" x14ac:dyDescent="0.2">
      <c r="L1468" s="20"/>
    </row>
    <row r="1469" spans="12:12" x14ac:dyDescent="0.2">
      <c r="L1469" s="20"/>
    </row>
    <row r="1470" spans="12:12" x14ac:dyDescent="0.2">
      <c r="L1470" s="20"/>
    </row>
    <row r="1471" spans="12:12" x14ac:dyDescent="0.2">
      <c r="L1471" s="20"/>
    </row>
    <row r="1472" spans="12:12" x14ac:dyDescent="0.2">
      <c r="L1472" s="20"/>
    </row>
    <row r="1473" spans="12:12" x14ac:dyDescent="0.2">
      <c r="L1473" s="20"/>
    </row>
    <row r="1474" spans="12:12" x14ac:dyDescent="0.2">
      <c r="L1474" s="20"/>
    </row>
    <row r="1475" spans="12:12" x14ac:dyDescent="0.2">
      <c r="L1475" s="20"/>
    </row>
    <row r="1476" spans="12:12" x14ac:dyDescent="0.2">
      <c r="L1476" s="20"/>
    </row>
    <row r="1477" spans="12:12" x14ac:dyDescent="0.2">
      <c r="L1477" s="20"/>
    </row>
    <row r="1478" spans="12:12" x14ac:dyDescent="0.2">
      <c r="L1478" s="20"/>
    </row>
    <row r="1479" spans="12:12" x14ac:dyDescent="0.2">
      <c r="L1479" s="20"/>
    </row>
    <row r="1480" spans="12:12" x14ac:dyDescent="0.2">
      <c r="L1480" s="20"/>
    </row>
    <row r="1481" spans="12:12" x14ac:dyDescent="0.2">
      <c r="L1481" s="20"/>
    </row>
    <row r="1482" spans="12:12" x14ac:dyDescent="0.2">
      <c r="L1482" s="20"/>
    </row>
    <row r="1483" spans="12:12" x14ac:dyDescent="0.2">
      <c r="L1483" s="20"/>
    </row>
    <row r="1484" spans="12:12" x14ac:dyDescent="0.2">
      <c r="L1484" s="20"/>
    </row>
    <row r="1485" spans="12:12" x14ac:dyDescent="0.2">
      <c r="L1485" s="20"/>
    </row>
    <row r="1486" spans="12:12" x14ac:dyDescent="0.2">
      <c r="L1486" s="20"/>
    </row>
    <row r="1487" spans="12:12" x14ac:dyDescent="0.2">
      <c r="L1487" s="20"/>
    </row>
    <row r="1488" spans="12:12" x14ac:dyDescent="0.2">
      <c r="L1488" s="20"/>
    </row>
    <row r="1489" spans="12:12" x14ac:dyDescent="0.2">
      <c r="L1489" s="20"/>
    </row>
    <row r="1490" spans="12:12" x14ac:dyDescent="0.2">
      <c r="L1490" s="20"/>
    </row>
    <row r="1491" spans="12:12" x14ac:dyDescent="0.2">
      <c r="L1491" s="20"/>
    </row>
    <row r="1492" spans="12:12" x14ac:dyDescent="0.2">
      <c r="L1492" s="20"/>
    </row>
    <row r="1493" spans="12:12" x14ac:dyDescent="0.2">
      <c r="L1493" s="20"/>
    </row>
    <row r="1494" spans="12:12" x14ac:dyDescent="0.2">
      <c r="L1494" s="20"/>
    </row>
    <row r="1495" spans="12:12" x14ac:dyDescent="0.2">
      <c r="L1495" s="20"/>
    </row>
    <row r="1496" spans="12:12" x14ac:dyDescent="0.2">
      <c r="L1496" s="20"/>
    </row>
    <row r="1497" spans="12:12" x14ac:dyDescent="0.2">
      <c r="L1497" s="20"/>
    </row>
    <row r="1498" spans="12:12" x14ac:dyDescent="0.2">
      <c r="L1498" s="20"/>
    </row>
    <row r="1499" spans="12:12" x14ac:dyDescent="0.2">
      <c r="L1499" s="20"/>
    </row>
    <row r="1500" spans="12:12" x14ac:dyDescent="0.2">
      <c r="L1500" s="20"/>
    </row>
    <row r="1501" spans="12:12" x14ac:dyDescent="0.2">
      <c r="L1501" s="20"/>
    </row>
    <row r="1502" spans="12:12" x14ac:dyDescent="0.2">
      <c r="L1502" s="20"/>
    </row>
    <row r="1503" spans="12:12" x14ac:dyDescent="0.2">
      <c r="L1503" s="20"/>
    </row>
    <row r="1504" spans="12:12" x14ac:dyDescent="0.2">
      <c r="L1504" s="20"/>
    </row>
    <row r="1505" spans="12:12" x14ac:dyDescent="0.2">
      <c r="L1505" s="20"/>
    </row>
    <row r="1506" spans="12:12" x14ac:dyDescent="0.2">
      <c r="L1506" s="20"/>
    </row>
    <row r="1507" spans="12:12" x14ac:dyDescent="0.2">
      <c r="L1507" s="20"/>
    </row>
    <row r="1508" spans="12:12" x14ac:dyDescent="0.2">
      <c r="L1508" s="20"/>
    </row>
    <row r="1509" spans="12:12" x14ac:dyDescent="0.2">
      <c r="L1509" s="20"/>
    </row>
    <row r="1510" spans="12:12" x14ac:dyDescent="0.2">
      <c r="L1510" s="20"/>
    </row>
    <row r="1511" spans="12:12" x14ac:dyDescent="0.2">
      <c r="L1511" s="20"/>
    </row>
    <row r="1512" spans="12:12" x14ac:dyDescent="0.2">
      <c r="L1512" s="20"/>
    </row>
    <row r="1513" spans="12:12" x14ac:dyDescent="0.2">
      <c r="L1513" s="20"/>
    </row>
    <row r="1514" spans="12:12" x14ac:dyDescent="0.2">
      <c r="L1514" s="20"/>
    </row>
    <row r="1515" spans="12:12" x14ac:dyDescent="0.2">
      <c r="L1515" s="20"/>
    </row>
    <row r="1516" spans="12:12" x14ac:dyDescent="0.2">
      <c r="L1516" s="20"/>
    </row>
    <row r="1517" spans="12:12" x14ac:dyDescent="0.2">
      <c r="L1517" s="20"/>
    </row>
    <row r="1518" spans="12:12" x14ac:dyDescent="0.2">
      <c r="L1518" s="20"/>
    </row>
    <row r="1519" spans="12:12" x14ac:dyDescent="0.2">
      <c r="L1519" s="20"/>
    </row>
    <row r="1520" spans="12:12" x14ac:dyDescent="0.2">
      <c r="L1520" s="20"/>
    </row>
    <row r="1521" spans="12:12" x14ac:dyDescent="0.2">
      <c r="L1521" s="20"/>
    </row>
    <row r="1522" spans="12:12" x14ac:dyDescent="0.2">
      <c r="L1522" s="20"/>
    </row>
    <row r="1523" spans="12:12" x14ac:dyDescent="0.2">
      <c r="L1523" s="20"/>
    </row>
    <row r="1524" spans="12:12" x14ac:dyDescent="0.2">
      <c r="L1524" s="20"/>
    </row>
    <row r="1525" spans="12:12" x14ac:dyDescent="0.2">
      <c r="L1525" s="20"/>
    </row>
    <row r="1526" spans="12:12" x14ac:dyDescent="0.2">
      <c r="L1526" s="20"/>
    </row>
    <row r="1527" spans="12:12" x14ac:dyDescent="0.2">
      <c r="L1527" s="20"/>
    </row>
    <row r="1528" spans="12:12" x14ac:dyDescent="0.2">
      <c r="L1528" s="20"/>
    </row>
    <row r="1529" spans="12:12" x14ac:dyDescent="0.2">
      <c r="L1529" s="20"/>
    </row>
    <row r="1530" spans="12:12" x14ac:dyDescent="0.2">
      <c r="L1530" s="20"/>
    </row>
    <row r="1531" spans="12:12" x14ac:dyDescent="0.2">
      <c r="L1531" s="20"/>
    </row>
    <row r="1532" spans="12:12" x14ac:dyDescent="0.2">
      <c r="L1532" s="20"/>
    </row>
    <row r="1533" spans="12:12" x14ac:dyDescent="0.2">
      <c r="L1533" s="20"/>
    </row>
    <row r="1534" spans="12:12" x14ac:dyDescent="0.2">
      <c r="L1534" s="20"/>
    </row>
    <row r="1535" spans="12:12" x14ac:dyDescent="0.2">
      <c r="L1535" s="20"/>
    </row>
    <row r="1536" spans="12:12" x14ac:dyDescent="0.2">
      <c r="L1536" s="20"/>
    </row>
    <row r="1537" spans="12:12" x14ac:dyDescent="0.2">
      <c r="L1537" s="20"/>
    </row>
    <row r="1538" spans="12:12" x14ac:dyDescent="0.2">
      <c r="L1538" s="20"/>
    </row>
    <row r="1539" spans="12:12" x14ac:dyDescent="0.2">
      <c r="L1539" s="20"/>
    </row>
    <row r="1540" spans="12:12" x14ac:dyDescent="0.2">
      <c r="L1540" s="20"/>
    </row>
    <row r="1541" spans="12:12" x14ac:dyDescent="0.2">
      <c r="L1541" s="20"/>
    </row>
    <row r="1542" spans="12:12" x14ac:dyDescent="0.2">
      <c r="L1542" s="20"/>
    </row>
    <row r="1543" spans="12:12" x14ac:dyDescent="0.2">
      <c r="L1543" s="20"/>
    </row>
    <row r="1544" spans="12:12" x14ac:dyDescent="0.2">
      <c r="L1544" s="20"/>
    </row>
    <row r="1545" spans="12:12" x14ac:dyDescent="0.2">
      <c r="L1545" s="20"/>
    </row>
    <row r="1546" spans="12:12" x14ac:dyDescent="0.2">
      <c r="L1546" s="20"/>
    </row>
    <row r="1547" spans="12:12" x14ac:dyDescent="0.2">
      <c r="L1547" s="20"/>
    </row>
    <row r="1548" spans="12:12" x14ac:dyDescent="0.2">
      <c r="L1548" s="20"/>
    </row>
    <row r="1549" spans="12:12" x14ac:dyDescent="0.2">
      <c r="L1549" s="20"/>
    </row>
    <row r="1550" spans="12:12" x14ac:dyDescent="0.2">
      <c r="L1550" s="20"/>
    </row>
    <row r="1551" spans="12:12" x14ac:dyDescent="0.2">
      <c r="L1551" s="20"/>
    </row>
    <row r="1552" spans="12:12" x14ac:dyDescent="0.2">
      <c r="L1552" s="20"/>
    </row>
    <row r="1553" spans="12:12" x14ac:dyDescent="0.2">
      <c r="L1553" s="20"/>
    </row>
    <row r="1554" spans="12:12" x14ac:dyDescent="0.2">
      <c r="L1554" s="20"/>
    </row>
    <row r="1555" spans="12:12" x14ac:dyDescent="0.2">
      <c r="L1555" s="20"/>
    </row>
    <row r="1556" spans="12:12" x14ac:dyDescent="0.2">
      <c r="L1556" s="20"/>
    </row>
    <row r="1557" spans="12:12" x14ac:dyDescent="0.2">
      <c r="L1557" s="20"/>
    </row>
    <row r="1558" spans="12:12" x14ac:dyDescent="0.2">
      <c r="L1558" s="20"/>
    </row>
    <row r="1559" spans="12:12" x14ac:dyDescent="0.2">
      <c r="L1559" s="20"/>
    </row>
    <row r="1560" spans="12:12" x14ac:dyDescent="0.2">
      <c r="L1560" s="20"/>
    </row>
    <row r="1561" spans="12:12" x14ac:dyDescent="0.2">
      <c r="L1561" s="20"/>
    </row>
    <row r="1562" spans="12:12" x14ac:dyDescent="0.2">
      <c r="L1562" s="20"/>
    </row>
    <row r="1563" spans="12:12" x14ac:dyDescent="0.2">
      <c r="L1563" s="20"/>
    </row>
    <row r="1564" spans="12:12" x14ac:dyDescent="0.2">
      <c r="L1564" s="20"/>
    </row>
    <row r="1565" spans="12:12" x14ac:dyDescent="0.2">
      <c r="L1565" s="20"/>
    </row>
    <row r="1566" spans="12:12" x14ac:dyDescent="0.2">
      <c r="L1566" s="20"/>
    </row>
    <row r="1567" spans="12:12" x14ac:dyDescent="0.2">
      <c r="L1567" s="20"/>
    </row>
    <row r="1568" spans="12:12" x14ac:dyDescent="0.2">
      <c r="L1568" s="20"/>
    </row>
    <row r="1569" spans="12:12" x14ac:dyDescent="0.2">
      <c r="L1569" s="20"/>
    </row>
    <row r="1570" spans="12:12" x14ac:dyDescent="0.2">
      <c r="L1570" s="20"/>
    </row>
    <row r="1571" spans="12:12" x14ac:dyDescent="0.2">
      <c r="L1571" s="20"/>
    </row>
    <row r="1572" spans="12:12" x14ac:dyDescent="0.2">
      <c r="L1572" s="20"/>
    </row>
    <row r="1573" spans="12:12" x14ac:dyDescent="0.2">
      <c r="L1573" s="20"/>
    </row>
    <row r="1574" spans="12:12" x14ac:dyDescent="0.2">
      <c r="L1574" s="20"/>
    </row>
    <row r="1575" spans="12:12" x14ac:dyDescent="0.2">
      <c r="L1575" s="20"/>
    </row>
    <row r="1576" spans="12:12" x14ac:dyDescent="0.2">
      <c r="L1576" s="20"/>
    </row>
    <row r="1577" spans="12:12" x14ac:dyDescent="0.2">
      <c r="L1577" s="20"/>
    </row>
    <row r="1578" spans="12:12" x14ac:dyDescent="0.2">
      <c r="L1578" s="20"/>
    </row>
    <row r="1579" spans="12:12" x14ac:dyDescent="0.2">
      <c r="L1579" s="20"/>
    </row>
    <row r="1580" spans="12:12" x14ac:dyDescent="0.2">
      <c r="L1580" s="20"/>
    </row>
    <row r="1581" spans="12:12" x14ac:dyDescent="0.2">
      <c r="L1581" s="20"/>
    </row>
    <row r="1582" spans="12:12" x14ac:dyDescent="0.2">
      <c r="L1582" s="20"/>
    </row>
    <row r="1583" spans="12:12" x14ac:dyDescent="0.2">
      <c r="L1583" s="20"/>
    </row>
    <row r="1584" spans="12:12" x14ac:dyDescent="0.2">
      <c r="L1584" s="20"/>
    </row>
    <row r="1585" spans="12:12" x14ac:dyDescent="0.2">
      <c r="L1585" s="20"/>
    </row>
    <row r="1586" spans="12:12" x14ac:dyDescent="0.2">
      <c r="L1586" s="20"/>
    </row>
    <row r="1587" spans="12:12" x14ac:dyDescent="0.2">
      <c r="L1587" s="20"/>
    </row>
    <row r="1588" spans="12:12" x14ac:dyDescent="0.2">
      <c r="L1588" s="20"/>
    </row>
    <row r="1589" spans="12:12" x14ac:dyDescent="0.2">
      <c r="L1589" s="20"/>
    </row>
    <row r="1590" spans="12:12" x14ac:dyDescent="0.2">
      <c r="L1590" s="20"/>
    </row>
    <row r="1591" spans="12:12" x14ac:dyDescent="0.2">
      <c r="L1591" s="20"/>
    </row>
    <row r="1592" spans="12:12" x14ac:dyDescent="0.2">
      <c r="L1592" s="20"/>
    </row>
    <row r="1593" spans="12:12" x14ac:dyDescent="0.2">
      <c r="L1593" s="20"/>
    </row>
    <row r="1594" spans="12:12" x14ac:dyDescent="0.2">
      <c r="L1594" s="20"/>
    </row>
    <row r="1595" spans="12:12" x14ac:dyDescent="0.2">
      <c r="L1595" s="20"/>
    </row>
    <row r="1596" spans="12:12" x14ac:dyDescent="0.2">
      <c r="L1596" s="20"/>
    </row>
    <row r="1597" spans="12:12" x14ac:dyDescent="0.2">
      <c r="L1597" s="20"/>
    </row>
    <row r="1598" spans="12:12" x14ac:dyDescent="0.2">
      <c r="L1598" s="20"/>
    </row>
    <row r="1599" spans="12:12" x14ac:dyDescent="0.2">
      <c r="L1599" s="20"/>
    </row>
    <row r="1600" spans="12:12" x14ac:dyDescent="0.2">
      <c r="L1600" s="20"/>
    </row>
    <row r="1601" spans="12:12" x14ac:dyDescent="0.2">
      <c r="L1601" s="20"/>
    </row>
    <row r="1602" spans="12:12" x14ac:dyDescent="0.2">
      <c r="L1602" s="20"/>
    </row>
    <row r="1603" spans="12:12" x14ac:dyDescent="0.2">
      <c r="L1603" s="20"/>
    </row>
    <row r="1604" spans="12:12" x14ac:dyDescent="0.2">
      <c r="L1604" s="20"/>
    </row>
    <row r="1605" spans="12:12" x14ac:dyDescent="0.2">
      <c r="L1605" s="20"/>
    </row>
    <row r="1606" spans="12:12" x14ac:dyDescent="0.2">
      <c r="L1606" s="20"/>
    </row>
    <row r="1607" spans="12:12" x14ac:dyDescent="0.2">
      <c r="L1607" s="20"/>
    </row>
    <row r="1608" spans="12:12" x14ac:dyDescent="0.2">
      <c r="L1608" s="20"/>
    </row>
    <row r="1609" spans="12:12" x14ac:dyDescent="0.2">
      <c r="L1609" s="20"/>
    </row>
    <row r="1610" spans="12:12" x14ac:dyDescent="0.2">
      <c r="L1610" s="20"/>
    </row>
    <row r="1611" spans="12:12" x14ac:dyDescent="0.2">
      <c r="L1611" s="20"/>
    </row>
    <row r="1612" spans="12:12" x14ac:dyDescent="0.2">
      <c r="L1612" s="20"/>
    </row>
    <row r="1613" spans="12:12" x14ac:dyDescent="0.2">
      <c r="L1613" s="20"/>
    </row>
    <row r="1614" spans="12:12" x14ac:dyDescent="0.2">
      <c r="L1614" s="20"/>
    </row>
    <row r="1615" spans="12:12" x14ac:dyDescent="0.2">
      <c r="L1615" s="20"/>
    </row>
    <row r="1616" spans="12:12" x14ac:dyDescent="0.2">
      <c r="L1616" s="20"/>
    </row>
    <row r="1617" spans="12:12" x14ac:dyDescent="0.2">
      <c r="L1617" s="20"/>
    </row>
    <row r="1618" spans="12:12" x14ac:dyDescent="0.2">
      <c r="L1618" s="20"/>
    </row>
    <row r="1619" spans="12:12" x14ac:dyDescent="0.2">
      <c r="L1619" s="20"/>
    </row>
    <row r="1620" spans="12:12" x14ac:dyDescent="0.2">
      <c r="L1620" s="20"/>
    </row>
    <row r="1621" spans="12:12" x14ac:dyDescent="0.2">
      <c r="L1621" s="20"/>
    </row>
    <row r="1622" spans="12:12" x14ac:dyDescent="0.2">
      <c r="L1622" s="20"/>
    </row>
    <row r="1623" spans="12:12" x14ac:dyDescent="0.2">
      <c r="L1623" s="20"/>
    </row>
    <row r="1624" spans="12:12" x14ac:dyDescent="0.2">
      <c r="L1624" s="20"/>
    </row>
    <row r="1625" spans="12:12" x14ac:dyDescent="0.2">
      <c r="L1625" s="20"/>
    </row>
    <row r="1626" spans="12:12" x14ac:dyDescent="0.2">
      <c r="L1626" s="20"/>
    </row>
    <row r="1627" spans="12:12" x14ac:dyDescent="0.2">
      <c r="L1627" s="20"/>
    </row>
    <row r="1628" spans="12:12" x14ac:dyDescent="0.2">
      <c r="L1628" s="20"/>
    </row>
    <row r="1629" spans="12:12" x14ac:dyDescent="0.2">
      <c r="L1629" s="20"/>
    </row>
    <row r="1630" spans="12:12" x14ac:dyDescent="0.2">
      <c r="L1630" s="20"/>
    </row>
    <row r="1631" spans="12:12" x14ac:dyDescent="0.2">
      <c r="L1631" s="20"/>
    </row>
    <row r="1632" spans="12:12" x14ac:dyDescent="0.2">
      <c r="L1632" s="20"/>
    </row>
    <row r="1633" spans="12:12" x14ac:dyDescent="0.2">
      <c r="L1633" s="20"/>
    </row>
    <row r="1634" spans="12:12" x14ac:dyDescent="0.2">
      <c r="L1634" s="20"/>
    </row>
    <row r="1635" spans="12:12" x14ac:dyDescent="0.2">
      <c r="L1635" s="20"/>
    </row>
    <row r="1636" spans="12:12" x14ac:dyDescent="0.2">
      <c r="L1636" s="20"/>
    </row>
    <row r="1637" spans="12:12" x14ac:dyDescent="0.2">
      <c r="L1637" s="20"/>
    </row>
    <row r="1638" spans="12:12" x14ac:dyDescent="0.2">
      <c r="L1638" s="20"/>
    </row>
    <row r="1639" spans="12:12" x14ac:dyDescent="0.2">
      <c r="L1639" s="20"/>
    </row>
    <row r="1640" spans="12:12" x14ac:dyDescent="0.2">
      <c r="L1640" s="20"/>
    </row>
    <row r="1641" spans="12:12" x14ac:dyDescent="0.2">
      <c r="L1641" s="20"/>
    </row>
    <row r="1642" spans="12:12" x14ac:dyDescent="0.2">
      <c r="L1642" s="20"/>
    </row>
    <row r="1643" spans="12:12" x14ac:dyDescent="0.2">
      <c r="L1643" s="20"/>
    </row>
    <row r="1644" spans="12:12" x14ac:dyDescent="0.2">
      <c r="L1644" s="20"/>
    </row>
    <row r="1645" spans="12:12" x14ac:dyDescent="0.2">
      <c r="L1645" s="20"/>
    </row>
    <row r="1646" spans="12:12" x14ac:dyDescent="0.2">
      <c r="L1646" s="20"/>
    </row>
    <row r="1647" spans="12:12" x14ac:dyDescent="0.2">
      <c r="L1647" s="20"/>
    </row>
    <row r="1648" spans="12:12" x14ac:dyDescent="0.2">
      <c r="L1648" s="20"/>
    </row>
    <row r="1649" spans="12:12" x14ac:dyDescent="0.2">
      <c r="L1649" s="20"/>
    </row>
    <row r="1650" spans="12:12" x14ac:dyDescent="0.2">
      <c r="L1650" s="20"/>
    </row>
    <row r="1651" spans="12:12" x14ac:dyDescent="0.2">
      <c r="L1651" s="20"/>
    </row>
    <row r="1652" spans="12:12" x14ac:dyDescent="0.2">
      <c r="L1652" s="20"/>
    </row>
    <row r="1653" spans="12:12" x14ac:dyDescent="0.2">
      <c r="L1653" s="20"/>
    </row>
    <row r="1654" spans="12:12" x14ac:dyDescent="0.2">
      <c r="L1654" s="20"/>
    </row>
    <row r="1655" spans="12:12" x14ac:dyDescent="0.2">
      <c r="L1655" s="20"/>
    </row>
    <row r="1656" spans="12:12" x14ac:dyDescent="0.2">
      <c r="L1656" s="20"/>
    </row>
    <row r="1657" spans="12:12" x14ac:dyDescent="0.2">
      <c r="L1657" s="20"/>
    </row>
    <row r="1658" spans="12:12" x14ac:dyDescent="0.2">
      <c r="L1658" s="20"/>
    </row>
    <row r="1659" spans="12:12" x14ac:dyDescent="0.2">
      <c r="L1659" s="20"/>
    </row>
    <row r="1660" spans="12:12" x14ac:dyDescent="0.2">
      <c r="L1660" s="20"/>
    </row>
    <row r="1661" spans="12:12" x14ac:dyDescent="0.2">
      <c r="L1661" s="20"/>
    </row>
    <row r="1662" spans="12:12" x14ac:dyDescent="0.2">
      <c r="L1662" s="20"/>
    </row>
    <row r="1663" spans="12:12" x14ac:dyDescent="0.2">
      <c r="L1663" s="20"/>
    </row>
    <row r="1664" spans="12:12" x14ac:dyDescent="0.2">
      <c r="L1664" s="20"/>
    </row>
    <row r="1665" spans="12:12" x14ac:dyDescent="0.2">
      <c r="L1665" s="20"/>
    </row>
    <row r="1666" spans="12:12" x14ac:dyDescent="0.2">
      <c r="L1666" s="20"/>
    </row>
    <row r="1667" spans="12:12" x14ac:dyDescent="0.2">
      <c r="L1667" s="20"/>
    </row>
    <row r="1668" spans="12:12" x14ac:dyDescent="0.2">
      <c r="L1668" s="20"/>
    </row>
    <row r="1669" spans="12:12" x14ac:dyDescent="0.2">
      <c r="L1669" s="20"/>
    </row>
    <row r="1670" spans="12:12" x14ac:dyDescent="0.2">
      <c r="L1670" s="20"/>
    </row>
    <row r="1671" spans="12:12" x14ac:dyDescent="0.2">
      <c r="L1671" s="20"/>
    </row>
    <row r="1672" spans="12:12" x14ac:dyDescent="0.2">
      <c r="L1672" s="20"/>
    </row>
    <row r="1673" spans="12:12" x14ac:dyDescent="0.2">
      <c r="L1673" s="20"/>
    </row>
    <row r="1674" spans="12:12" x14ac:dyDescent="0.2">
      <c r="L1674" s="20"/>
    </row>
    <row r="1675" spans="12:12" x14ac:dyDescent="0.2">
      <c r="L1675" s="20"/>
    </row>
    <row r="1676" spans="12:12" x14ac:dyDescent="0.2">
      <c r="L1676" s="20"/>
    </row>
    <row r="1677" spans="12:12" x14ac:dyDescent="0.2">
      <c r="L1677" s="20"/>
    </row>
    <row r="1678" spans="12:12" x14ac:dyDescent="0.2">
      <c r="L1678" s="20"/>
    </row>
    <row r="1679" spans="12:12" x14ac:dyDescent="0.2">
      <c r="L1679" s="20"/>
    </row>
    <row r="1680" spans="12:12" x14ac:dyDescent="0.2">
      <c r="L1680" s="20"/>
    </row>
    <row r="1681" spans="12:12" x14ac:dyDescent="0.2">
      <c r="L1681" s="20"/>
    </row>
    <row r="1682" spans="12:12" x14ac:dyDescent="0.2">
      <c r="L1682" s="20"/>
    </row>
    <row r="1683" spans="12:12" x14ac:dyDescent="0.2">
      <c r="L1683" s="20"/>
    </row>
    <row r="1684" spans="12:12" x14ac:dyDescent="0.2">
      <c r="L1684" s="20"/>
    </row>
    <row r="1685" spans="12:12" x14ac:dyDescent="0.2">
      <c r="L1685" s="20"/>
    </row>
    <row r="1686" spans="12:12" x14ac:dyDescent="0.2">
      <c r="L1686" s="20"/>
    </row>
    <row r="1687" spans="12:12" x14ac:dyDescent="0.2">
      <c r="L1687" s="20"/>
    </row>
    <row r="1688" spans="12:12" x14ac:dyDescent="0.2">
      <c r="L1688" s="20"/>
    </row>
    <row r="1689" spans="12:12" x14ac:dyDescent="0.2">
      <c r="L1689" s="20"/>
    </row>
    <row r="1690" spans="12:12" x14ac:dyDescent="0.2">
      <c r="L1690" s="20"/>
    </row>
    <row r="1691" spans="12:12" x14ac:dyDescent="0.2">
      <c r="L1691" s="20"/>
    </row>
    <row r="1692" spans="12:12" x14ac:dyDescent="0.2">
      <c r="L1692" s="20"/>
    </row>
    <row r="1693" spans="12:12" x14ac:dyDescent="0.2">
      <c r="L1693" s="20"/>
    </row>
    <row r="1694" spans="12:12" x14ac:dyDescent="0.2">
      <c r="L1694" s="20"/>
    </row>
    <row r="1695" spans="12:12" x14ac:dyDescent="0.2">
      <c r="L1695" s="20"/>
    </row>
    <row r="1696" spans="12:12" x14ac:dyDescent="0.2">
      <c r="L1696" s="20"/>
    </row>
    <row r="1697" spans="12:12" x14ac:dyDescent="0.2">
      <c r="L1697" s="20"/>
    </row>
    <row r="1698" spans="12:12" x14ac:dyDescent="0.2">
      <c r="L1698" s="20"/>
    </row>
    <row r="1699" spans="12:12" x14ac:dyDescent="0.2">
      <c r="L1699" s="20"/>
    </row>
    <row r="1700" spans="12:12" x14ac:dyDescent="0.2">
      <c r="L1700" s="20"/>
    </row>
    <row r="1701" spans="12:12" x14ac:dyDescent="0.2">
      <c r="L1701" s="20"/>
    </row>
    <row r="1702" spans="12:12" x14ac:dyDescent="0.2">
      <c r="L1702" s="20"/>
    </row>
    <row r="1703" spans="12:12" x14ac:dyDescent="0.2">
      <c r="L1703" s="20"/>
    </row>
    <row r="1704" spans="12:12" x14ac:dyDescent="0.2">
      <c r="L1704" s="20"/>
    </row>
    <row r="1705" spans="12:12" x14ac:dyDescent="0.2">
      <c r="L1705" s="20"/>
    </row>
    <row r="1706" spans="12:12" x14ac:dyDescent="0.2">
      <c r="L1706" s="20"/>
    </row>
    <row r="1707" spans="12:12" x14ac:dyDescent="0.2">
      <c r="L1707" s="20"/>
    </row>
    <row r="1708" spans="12:12" x14ac:dyDescent="0.2">
      <c r="L1708" s="20"/>
    </row>
    <row r="1709" spans="12:12" x14ac:dyDescent="0.2">
      <c r="L1709" s="20"/>
    </row>
    <row r="1710" spans="12:12" x14ac:dyDescent="0.2">
      <c r="L1710" s="20"/>
    </row>
    <row r="1711" spans="12:12" x14ac:dyDescent="0.2">
      <c r="L1711" s="20"/>
    </row>
    <row r="1712" spans="12:12" x14ac:dyDescent="0.2">
      <c r="L1712" s="20"/>
    </row>
    <row r="1713" spans="12:12" x14ac:dyDescent="0.2">
      <c r="L1713" s="20"/>
    </row>
    <row r="1714" spans="12:12" x14ac:dyDescent="0.2">
      <c r="L1714" s="20"/>
    </row>
    <row r="1715" spans="12:12" x14ac:dyDescent="0.2">
      <c r="L1715" s="20"/>
    </row>
    <row r="1716" spans="12:12" x14ac:dyDescent="0.2">
      <c r="L1716" s="20"/>
    </row>
    <row r="1717" spans="12:12" x14ac:dyDescent="0.2">
      <c r="L1717" s="20"/>
    </row>
    <row r="1718" spans="12:12" x14ac:dyDescent="0.2">
      <c r="L1718" s="20"/>
    </row>
    <row r="1719" spans="12:12" x14ac:dyDescent="0.2">
      <c r="L1719" s="20"/>
    </row>
    <row r="1720" spans="12:12" x14ac:dyDescent="0.2">
      <c r="L1720" s="20"/>
    </row>
    <row r="1721" spans="12:12" x14ac:dyDescent="0.2">
      <c r="L1721" s="20"/>
    </row>
    <row r="1722" spans="12:12" x14ac:dyDescent="0.2">
      <c r="L1722" s="20"/>
    </row>
    <row r="1723" spans="12:12" x14ac:dyDescent="0.2">
      <c r="L1723" s="20"/>
    </row>
    <row r="1724" spans="12:12" x14ac:dyDescent="0.2">
      <c r="L1724" s="20"/>
    </row>
    <row r="1725" spans="12:12" x14ac:dyDescent="0.2">
      <c r="L1725" s="20"/>
    </row>
    <row r="1726" spans="12:12" x14ac:dyDescent="0.2">
      <c r="L1726" s="20"/>
    </row>
    <row r="1727" spans="12:12" x14ac:dyDescent="0.2">
      <c r="L1727" s="20"/>
    </row>
    <row r="1728" spans="12:12" x14ac:dyDescent="0.2">
      <c r="L1728" s="20"/>
    </row>
    <row r="1729" spans="12:12" x14ac:dyDescent="0.2">
      <c r="L1729" s="20"/>
    </row>
    <row r="1730" spans="12:12" x14ac:dyDescent="0.2">
      <c r="L1730" s="20"/>
    </row>
    <row r="1731" spans="12:12" x14ac:dyDescent="0.2">
      <c r="L1731" s="20"/>
    </row>
    <row r="1732" spans="12:12" x14ac:dyDescent="0.2">
      <c r="L1732" s="20"/>
    </row>
    <row r="1733" spans="12:12" x14ac:dyDescent="0.2">
      <c r="L1733" s="20"/>
    </row>
    <row r="1734" spans="12:12" x14ac:dyDescent="0.2">
      <c r="L1734" s="20"/>
    </row>
    <row r="1735" spans="12:12" x14ac:dyDescent="0.2">
      <c r="L1735" s="20"/>
    </row>
    <row r="1736" spans="12:12" x14ac:dyDescent="0.2">
      <c r="L1736" s="20"/>
    </row>
    <row r="1737" spans="12:12" x14ac:dyDescent="0.2">
      <c r="L1737" s="20"/>
    </row>
    <row r="1738" spans="12:12" x14ac:dyDescent="0.2">
      <c r="L1738" s="20"/>
    </row>
    <row r="1739" spans="12:12" x14ac:dyDescent="0.2">
      <c r="L1739" s="20"/>
    </row>
    <row r="1740" spans="12:12" x14ac:dyDescent="0.2">
      <c r="L1740" s="20"/>
    </row>
    <row r="1741" spans="12:12" x14ac:dyDescent="0.2">
      <c r="L1741" s="20"/>
    </row>
    <row r="1742" spans="12:12" x14ac:dyDescent="0.2">
      <c r="L1742" s="20"/>
    </row>
    <row r="1743" spans="12:12" x14ac:dyDescent="0.2">
      <c r="L1743" s="20"/>
    </row>
    <row r="1744" spans="12:12" x14ac:dyDescent="0.2">
      <c r="L1744" s="20"/>
    </row>
    <row r="1745" spans="12:12" x14ac:dyDescent="0.2">
      <c r="L1745" s="20"/>
    </row>
    <row r="1746" spans="12:12" x14ac:dyDescent="0.2">
      <c r="L1746" s="20"/>
    </row>
    <row r="1747" spans="12:12" x14ac:dyDescent="0.2">
      <c r="L1747" s="20"/>
    </row>
    <row r="1748" spans="12:12" x14ac:dyDescent="0.2">
      <c r="L1748" s="20"/>
    </row>
    <row r="1749" spans="12:12" x14ac:dyDescent="0.2">
      <c r="L1749" s="20"/>
    </row>
    <row r="1750" spans="12:12" x14ac:dyDescent="0.2">
      <c r="L1750" s="20"/>
    </row>
    <row r="1751" spans="12:12" x14ac:dyDescent="0.2">
      <c r="L1751" s="20"/>
    </row>
    <row r="1752" spans="12:12" x14ac:dyDescent="0.2">
      <c r="L1752" s="20"/>
    </row>
    <row r="1753" spans="12:12" x14ac:dyDescent="0.2">
      <c r="L1753" s="20"/>
    </row>
    <row r="1754" spans="12:12" x14ac:dyDescent="0.2">
      <c r="L1754" s="20"/>
    </row>
    <row r="1755" spans="12:12" x14ac:dyDescent="0.2">
      <c r="L1755" s="20"/>
    </row>
    <row r="1756" spans="12:12" x14ac:dyDescent="0.2">
      <c r="L1756" s="20"/>
    </row>
    <row r="1757" spans="12:12" x14ac:dyDescent="0.2">
      <c r="L1757" s="20"/>
    </row>
    <row r="1758" spans="12:12" x14ac:dyDescent="0.2">
      <c r="L1758" s="20"/>
    </row>
    <row r="1759" spans="12:12" x14ac:dyDescent="0.2">
      <c r="L1759" s="20"/>
    </row>
    <row r="1760" spans="12:12" x14ac:dyDescent="0.2">
      <c r="L1760" s="20"/>
    </row>
    <row r="1761" spans="12:12" x14ac:dyDescent="0.2">
      <c r="L1761" s="20"/>
    </row>
    <row r="1762" spans="12:12" x14ac:dyDescent="0.2">
      <c r="L1762" s="20"/>
    </row>
    <row r="1763" spans="12:12" x14ac:dyDescent="0.2">
      <c r="L1763" s="20"/>
    </row>
    <row r="1764" spans="12:12" x14ac:dyDescent="0.2">
      <c r="L1764" s="20"/>
    </row>
    <row r="1765" spans="12:12" x14ac:dyDescent="0.2">
      <c r="L1765" s="20"/>
    </row>
    <row r="1766" spans="12:12" x14ac:dyDescent="0.2">
      <c r="L1766" s="20"/>
    </row>
    <row r="1767" spans="12:12" x14ac:dyDescent="0.2">
      <c r="L1767" s="20"/>
    </row>
    <row r="1768" spans="12:12" x14ac:dyDescent="0.2">
      <c r="L1768" s="20"/>
    </row>
    <row r="1769" spans="12:12" x14ac:dyDescent="0.2">
      <c r="L1769" s="20"/>
    </row>
    <row r="1770" spans="12:12" x14ac:dyDescent="0.2">
      <c r="L1770" s="20"/>
    </row>
    <row r="1771" spans="12:12" x14ac:dyDescent="0.2">
      <c r="L1771" s="20"/>
    </row>
    <row r="1772" spans="12:12" x14ac:dyDescent="0.2">
      <c r="L1772" s="20"/>
    </row>
    <row r="1773" spans="12:12" x14ac:dyDescent="0.2">
      <c r="L1773" s="20"/>
    </row>
    <row r="1774" spans="12:12" x14ac:dyDescent="0.2">
      <c r="L1774" s="20"/>
    </row>
    <row r="1775" spans="12:12" x14ac:dyDescent="0.2">
      <c r="L1775" s="20"/>
    </row>
    <row r="1776" spans="12:12" x14ac:dyDescent="0.2">
      <c r="L1776" s="20"/>
    </row>
    <row r="1777" spans="12:12" x14ac:dyDescent="0.2">
      <c r="L1777" s="20"/>
    </row>
    <row r="1778" spans="12:12" x14ac:dyDescent="0.2">
      <c r="L1778" s="20"/>
    </row>
    <row r="1779" spans="12:12" x14ac:dyDescent="0.2">
      <c r="L1779" s="20"/>
    </row>
    <row r="1780" spans="12:12" x14ac:dyDescent="0.2">
      <c r="L1780" s="20"/>
    </row>
    <row r="1781" spans="12:12" x14ac:dyDescent="0.2">
      <c r="L1781" s="20"/>
    </row>
    <row r="1782" spans="12:12" x14ac:dyDescent="0.2">
      <c r="L1782" s="20"/>
    </row>
    <row r="1783" spans="12:12" x14ac:dyDescent="0.2">
      <c r="L1783" s="20"/>
    </row>
    <row r="1784" spans="12:12" x14ac:dyDescent="0.2">
      <c r="L1784" s="20"/>
    </row>
    <row r="1785" spans="12:12" x14ac:dyDescent="0.2">
      <c r="L1785" s="20"/>
    </row>
    <row r="1786" spans="12:12" x14ac:dyDescent="0.2">
      <c r="L1786" s="20"/>
    </row>
    <row r="1787" spans="12:12" x14ac:dyDescent="0.2">
      <c r="L1787" s="20"/>
    </row>
    <row r="1788" spans="12:12" x14ac:dyDescent="0.2">
      <c r="L1788" s="20"/>
    </row>
    <row r="1789" spans="12:12" x14ac:dyDescent="0.2">
      <c r="L1789" s="20"/>
    </row>
    <row r="1790" spans="12:12" x14ac:dyDescent="0.2">
      <c r="L1790" s="20"/>
    </row>
    <row r="1791" spans="12:12" x14ac:dyDescent="0.2">
      <c r="L1791" s="20"/>
    </row>
    <row r="1792" spans="12:12" x14ac:dyDescent="0.2">
      <c r="L1792" s="20"/>
    </row>
    <row r="1793" spans="12:12" x14ac:dyDescent="0.2">
      <c r="L1793" s="20"/>
    </row>
    <row r="1794" spans="12:12" x14ac:dyDescent="0.2">
      <c r="L1794" s="20"/>
    </row>
    <row r="1795" spans="12:12" x14ac:dyDescent="0.2">
      <c r="L1795" s="20"/>
    </row>
    <row r="1796" spans="12:12" x14ac:dyDescent="0.2">
      <c r="L1796" s="20"/>
    </row>
    <row r="1797" spans="12:12" x14ac:dyDescent="0.2">
      <c r="L1797" s="20"/>
    </row>
    <row r="1798" spans="12:12" x14ac:dyDescent="0.2">
      <c r="L1798" s="20"/>
    </row>
    <row r="1799" spans="12:12" x14ac:dyDescent="0.2">
      <c r="L1799" s="20"/>
    </row>
    <row r="1800" spans="12:12" x14ac:dyDescent="0.2">
      <c r="L1800" s="20"/>
    </row>
    <row r="1801" spans="12:12" x14ac:dyDescent="0.2">
      <c r="L1801" s="20"/>
    </row>
    <row r="1802" spans="12:12" x14ac:dyDescent="0.2">
      <c r="L1802" s="20"/>
    </row>
    <row r="1803" spans="12:12" x14ac:dyDescent="0.2">
      <c r="L1803" s="20"/>
    </row>
    <row r="1804" spans="12:12" x14ac:dyDescent="0.2">
      <c r="L1804" s="20"/>
    </row>
    <row r="1805" spans="12:12" x14ac:dyDescent="0.2">
      <c r="L1805" s="20"/>
    </row>
    <row r="1806" spans="12:12" x14ac:dyDescent="0.2">
      <c r="L1806" s="20"/>
    </row>
    <row r="1807" spans="12:12" x14ac:dyDescent="0.2">
      <c r="L1807" s="20"/>
    </row>
    <row r="1808" spans="12:12" x14ac:dyDescent="0.2">
      <c r="L1808" s="20"/>
    </row>
    <row r="1809" spans="12:12" x14ac:dyDescent="0.2">
      <c r="L1809" s="20"/>
    </row>
    <row r="1810" spans="12:12" x14ac:dyDescent="0.2">
      <c r="L1810" s="20"/>
    </row>
    <row r="1811" spans="12:12" x14ac:dyDescent="0.2">
      <c r="L1811" s="20"/>
    </row>
    <row r="1812" spans="12:12" x14ac:dyDescent="0.2">
      <c r="L1812" s="20"/>
    </row>
    <row r="1813" spans="12:12" x14ac:dyDescent="0.2">
      <c r="L1813" s="20"/>
    </row>
    <row r="1814" spans="12:12" x14ac:dyDescent="0.2">
      <c r="L1814" s="20"/>
    </row>
    <row r="1815" spans="12:12" x14ac:dyDescent="0.2">
      <c r="L1815" s="20"/>
    </row>
    <row r="1816" spans="12:12" x14ac:dyDescent="0.2">
      <c r="L1816" s="20"/>
    </row>
    <row r="1817" spans="12:12" x14ac:dyDescent="0.2">
      <c r="L1817" s="20"/>
    </row>
    <row r="1818" spans="12:12" x14ac:dyDescent="0.2">
      <c r="L1818" s="20"/>
    </row>
    <row r="1819" spans="12:12" x14ac:dyDescent="0.2">
      <c r="L1819" s="20"/>
    </row>
    <row r="1820" spans="12:12" x14ac:dyDescent="0.2">
      <c r="L1820" s="20"/>
    </row>
    <row r="1821" spans="12:12" x14ac:dyDescent="0.2">
      <c r="L1821" s="20"/>
    </row>
    <row r="1822" spans="12:12" x14ac:dyDescent="0.2">
      <c r="L1822" s="20"/>
    </row>
    <row r="1823" spans="12:12" x14ac:dyDescent="0.2">
      <c r="L1823" s="20"/>
    </row>
    <row r="1824" spans="12:12" x14ac:dyDescent="0.2">
      <c r="L1824" s="20"/>
    </row>
    <row r="1825" spans="12:12" x14ac:dyDescent="0.2">
      <c r="L1825" s="20"/>
    </row>
    <row r="1826" spans="12:12" x14ac:dyDescent="0.2">
      <c r="L1826" s="20"/>
    </row>
    <row r="1827" spans="12:12" x14ac:dyDescent="0.2">
      <c r="L1827" s="20"/>
    </row>
    <row r="1828" spans="12:12" x14ac:dyDescent="0.2">
      <c r="L1828" s="20"/>
    </row>
    <row r="1829" spans="12:12" x14ac:dyDescent="0.2">
      <c r="L1829" s="20"/>
    </row>
    <row r="1830" spans="12:12" x14ac:dyDescent="0.2">
      <c r="L1830" s="20"/>
    </row>
    <row r="1831" spans="12:12" x14ac:dyDescent="0.2">
      <c r="L1831" s="20"/>
    </row>
    <row r="1832" spans="12:12" x14ac:dyDescent="0.2">
      <c r="L1832" s="20"/>
    </row>
    <row r="1833" spans="12:12" x14ac:dyDescent="0.2">
      <c r="L1833" s="20"/>
    </row>
    <row r="1834" spans="12:12" x14ac:dyDescent="0.2">
      <c r="L1834" s="20"/>
    </row>
    <row r="1835" spans="12:12" x14ac:dyDescent="0.2">
      <c r="L1835" s="20"/>
    </row>
    <row r="1836" spans="12:12" x14ac:dyDescent="0.2">
      <c r="L1836" s="20"/>
    </row>
    <row r="1837" spans="12:12" x14ac:dyDescent="0.2">
      <c r="L1837" s="20"/>
    </row>
    <row r="1838" spans="12:12" x14ac:dyDescent="0.2">
      <c r="L1838" s="20"/>
    </row>
    <row r="1839" spans="12:12" x14ac:dyDescent="0.2">
      <c r="L1839" s="20"/>
    </row>
    <row r="1840" spans="12:12" x14ac:dyDescent="0.2">
      <c r="L1840" s="20"/>
    </row>
    <row r="1841" spans="12:12" x14ac:dyDescent="0.2">
      <c r="L1841" s="20"/>
    </row>
    <row r="1842" spans="12:12" x14ac:dyDescent="0.2">
      <c r="L1842" s="20"/>
    </row>
    <row r="1843" spans="12:12" x14ac:dyDescent="0.2">
      <c r="L1843" s="20"/>
    </row>
    <row r="1844" spans="12:12" x14ac:dyDescent="0.2">
      <c r="L1844" s="20"/>
    </row>
    <row r="1845" spans="12:12" x14ac:dyDescent="0.2">
      <c r="L1845" s="20"/>
    </row>
    <row r="1846" spans="12:12" x14ac:dyDescent="0.2">
      <c r="L1846" s="20"/>
    </row>
    <row r="1847" spans="12:12" x14ac:dyDescent="0.2">
      <c r="L1847" s="20"/>
    </row>
    <row r="1848" spans="12:12" x14ac:dyDescent="0.2">
      <c r="L1848" s="20"/>
    </row>
    <row r="1849" spans="12:12" x14ac:dyDescent="0.2">
      <c r="L1849" s="20"/>
    </row>
    <row r="1850" spans="12:12" x14ac:dyDescent="0.2">
      <c r="L1850" s="20"/>
    </row>
    <row r="1851" spans="12:12" x14ac:dyDescent="0.2">
      <c r="L1851" s="20"/>
    </row>
    <row r="1852" spans="12:12" x14ac:dyDescent="0.2">
      <c r="L1852" s="20"/>
    </row>
    <row r="1853" spans="12:12" x14ac:dyDescent="0.2">
      <c r="L1853" s="20"/>
    </row>
    <row r="1854" spans="12:12" x14ac:dyDescent="0.2">
      <c r="L1854" s="20"/>
    </row>
    <row r="1855" spans="12:12" x14ac:dyDescent="0.2">
      <c r="L1855" s="20"/>
    </row>
    <row r="1856" spans="12:12" x14ac:dyDescent="0.2">
      <c r="L1856" s="20"/>
    </row>
    <row r="1857" spans="12:12" x14ac:dyDescent="0.2">
      <c r="L1857" s="20"/>
    </row>
    <row r="1858" spans="12:12" x14ac:dyDescent="0.2">
      <c r="L1858" s="20"/>
    </row>
    <row r="1859" spans="12:12" x14ac:dyDescent="0.2">
      <c r="L1859" s="20"/>
    </row>
    <row r="1860" spans="12:12" x14ac:dyDescent="0.2">
      <c r="L1860" s="20"/>
    </row>
    <row r="1861" spans="12:12" x14ac:dyDescent="0.2">
      <c r="L1861" s="20"/>
    </row>
    <row r="1862" spans="12:12" x14ac:dyDescent="0.2">
      <c r="L1862" s="20"/>
    </row>
    <row r="1863" spans="12:12" x14ac:dyDescent="0.2">
      <c r="L1863" s="20"/>
    </row>
    <row r="1864" spans="12:12" x14ac:dyDescent="0.2">
      <c r="L1864" s="20"/>
    </row>
    <row r="1865" spans="12:12" x14ac:dyDescent="0.2">
      <c r="L1865" s="20"/>
    </row>
    <row r="1866" spans="12:12" x14ac:dyDescent="0.2">
      <c r="L1866" s="20"/>
    </row>
    <row r="1867" spans="12:12" x14ac:dyDescent="0.2">
      <c r="L1867" s="20"/>
    </row>
    <row r="1868" spans="12:12" x14ac:dyDescent="0.2">
      <c r="L1868" s="20"/>
    </row>
    <row r="1869" spans="12:12" x14ac:dyDescent="0.2">
      <c r="L1869" s="20"/>
    </row>
    <row r="1870" spans="12:12" x14ac:dyDescent="0.2">
      <c r="L1870" s="20"/>
    </row>
    <row r="1871" spans="12:12" x14ac:dyDescent="0.2">
      <c r="L1871" s="20"/>
    </row>
    <row r="1872" spans="12:12" x14ac:dyDescent="0.2">
      <c r="L1872" s="20"/>
    </row>
    <row r="1873" spans="12:12" x14ac:dyDescent="0.2">
      <c r="L1873" s="20"/>
    </row>
    <row r="1874" spans="12:12" x14ac:dyDescent="0.2">
      <c r="L1874" s="20"/>
    </row>
    <row r="1875" spans="12:12" x14ac:dyDescent="0.2">
      <c r="L1875" s="20"/>
    </row>
    <row r="1876" spans="12:12" x14ac:dyDescent="0.2">
      <c r="L1876" s="20"/>
    </row>
    <row r="1877" spans="12:12" x14ac:dyDescent="0.2">
      <c r="L1877" s="20"/>
    </row>
    <row r="1878" spans="12:12" x14ac:dyDescent="0.2">
      <c r="L1878" s="20"/>
    </row>
    <row r="1879" spans="12:12" x14ac:dyDescent="0.2">
      <c r="L1879" s="20"/>
    </row>
    <row r="1880" spans="12:12" x14ac:dyDescent="0.2">
      <c r="L1880" s="20"/>
    </row>
    <row r="1881" spans="12:12" x14ac:dyDescent="0.2">
      <c r="L1881" s="20"/>
    </row>
    <row r="1882" spans="12:12" x14ac:dyDescent="0.2">
      <c r="L1882" s="20"/>
    </row>
    <row r="1883" spans="12:12" x14ac:dyDescent="0.2">
      <c r="L1883" s="20"/>
    </row>
    <row r="1884" spans="12:12" x14ac:dyDescent="0.2">
      <c r="L1884" s="20"/>
    </row>
    <row r="1885" spans="12:12" x14ac:dyDescent="0.2">
      <c r="L1885" s="20"/>
    </row>
    <row r="1886" spans="12:12" x14ac:dyDescent="0.2">
      <c r="L1886" s="20"/>
    </row>
    <row r="1887" spans="12:12" x14ac:dyDescent="0.2">
      <c r="L1887" s="20"/>
    </row>
    <row r="1888" spans="12:12" x14ac:dyDescent="0.2">
      <c r="L1888" s="20"/>
    </row>
    <row r="1889" spans="12:12" x14ac:dyDescent="0.2">
      <c r="L1889" s="20"/>
    </row>
    <row r="1890" spans="12:12" x14ac:dyDescent="0.2">
      <c r="L1890" s="20"/>
    </row>
    <row r="1891" spans="12:12" x14ac:dyDescent="0.2">
      <c r="L1891" s="20"/>
    </row>
    <row r="1892" spans="12:12" x14ac:dyDescent="0.2">
      <c r="L1892" s="20"/>
    </row>
    <row r="1893" spans="12:12" x14ac:dyDescent="0.2">
      <c r="L1893" s="20"/>
    </row>
    <row r="1894" spans="12:12" x14ac:dyDescent="0.2">
      <c r="L1894" s="20"/>
    </row>
    <row r="1895" spans="12:12" x14ac:dyDescent="0.2">
      <c r="L1895" s="20"/>
    </row>
    <row r="1896" spans="12:12" x14ac:dyDescent="0.2">
      <c r="L1896" s="20"/>
    </row>
    <row r="1897" spans="12:12" x14ac:dyDescent="0.2">
      <c r="L1897" s="20"/>
    </row>
    <row r="1898" spans="12:12" x14ac:dyDescent="0.2">
      <c r="L1898" s="20"/>
    </row>
    <row r="1899" spans="12:12" x14ac:dyDescent="0.2">
      <c r="L1899" s="20"/>
    </row>
    <row r="1900" spans="12:12" x14ac:dyDescent="0.2">
      <c r="L1900" s="20"/>
    </row>
    <row r="1901" spans="12:12" x14ac:dyDescent="0.2">
      <c r="L1901" s="20"/>
    </row>
    <row r="1902" spans="12:12" x14ac:dyDescent="0.2">
      <c r="L1902" s="20"/>
    </row>
    <row r="1903" spans="12:12" x14ac:dyDescent="0.2">
      <c r="L1903" s="20"/>
    </row>
    <row r="1904" spans="12:12" x14ac:dyDescent="0.2">
      <c r="L1904" s="20"/>
    </row>
    <row r="1905" spans="12:12" x14ac:dyDescent="0.2">
      <c r="L1905" s="20"/>
    </row>
    <row r="1906" spans="12:12" x14ac:dyDescent="0.2">
      <c r="L1906" s="20"/>
    </row>
    <row r="1907" spans="12:12" x14ac:dyDescent="0.2">
      <c r="L1907" s="20"/>
    </row>
    <row r="1908" spans="12:12" x14ac:dyDescent="0.2">
      <c r="L1908" s="20"/>
    </row>
    <row r="1909" spans="12:12" x14ac:dyDescent="0.2">
      <c r="L1909" s="20"/>
    </row>
    <row r="1910" spans="12:12" x14ac:dyDescent="0.2">
      <c r="L1910" s="20"/>
    </row>
    <row r="1911" spans="12:12" x14ac:dyDescent="0.2">
      <c r="L1911" s="20"/>
    </row>
    <row r="1912" spans="12:12" x14ac:dyDescent="0.2">
      <c r="L1912" s="20"/>
    </row>
    <row r="1913" spans="12:12" x14ac:dyDescent="0.2">
      <c r="L1913" s="20"/>
    </row>
    <row r="1914" spans="12:12" x14ac:dyDescent="0.2">
      <c r="L1914" s="20"/>
    </row>
    <row r="1915" spans="12:12" x14ac:dyDescent="0.2">
      <c r="L1915" s="20"/>
    </row>
    <row r="1916" spans="12:12" x14ac:dyDescent="0.2">
      <c r="L1916" s="20"/>
    </row>
    <row r="1917" spans="12:12" x14ac:dyDescent="0.2">
      <c r="L1917" s="20"/>
    </row>
    <row r="1918" spans="12:12" x14ac:dyDescent="0.2">
      <c r="L1918" s="20"/>
    </row>
    <row r="1919" spans="12:12" x14ac:dyDescent="0.2">
      <c r="L1919" s="20"/>
    </row>
    <row r="1920" spans="12:12" x14ac:dyDescent="0.2">
      <c r="L1920" s="20"/>
    </row>
    <row r="1921" spans="12:12" x14ac:dyDescent="0.2">
      <c r="L1921" s="20"/>
    </row>
    <row r="1922" spans="12:12" x14ac:dyDescent="0.2">
      <c r="L1922" s="20"/>
    </row>
    <row r="1923" spans="12:12" x14ac:dyDescent="0.2">
      <c r="L1923" s="20"/>
    </row>
    <row r="1924" spans="12:12" x14ac:dyDescent="0.2">
      <c r="L1924" s="20"/>
    </row>
    <row r="1925" spans="12:12" x14ac:dyDescent="0.2">
      <c r="L1925" s="20"/>
    </row>
    <row r="1926" spans="12:12" x14ac:dyDescent="0.2">
      <c r="L1926" s="20"/>
    </row>
    <row r="1927" spans="12:12" x14ac:dyDescent="0.2">
      <c r="L1927" s="20"/>
    </row>
    <row r="1928" spans="12:12" x14ac:dyDescent="0.2">
      <c r="L1928" s="20"/>
    </row>
    <row r="1929" spans="12:12" x14ac:dyDescent="0.2">
      <c r="L1929" s="20"/>
    </row>
    <row r="1930" spans="12:12" x14ac:dyDescent="0.2">
      <c r="L1930" s="20"/>
    </row>
    <row r="1931" spans="12:12" x14ac:dyDescent="0.2">
      <c r="L1931" s="20"/>
    </row>
    <row r="1932" spans="12:12" x14ac:dyDescent="0.2">
      <c r="L1932" s="20"/>
    </row>
    <row r="1933" spans="12:12" x14ac:dyDescent="0.2">
      <c r="L1933" s="20"/>
    </row>
    <row r="1934" spans="12:12" x14ac:dyDescent="0.2">
      <c r="L1934" s="20"/>
    </row>
    <row r="1935" spans="12:12" x14ac:dyDescent="0.2">
      <c r="L1935" s="20"/>
    </row>
    <row r="1936" spans="12:12" x14ac:dyDescent="0.2">
      <c r="L1936" s="20"/>
    </row>
    <row r="1937" spans="12:12" x14ac:dyDescent="0.2">
      <c r="L1937" s="20"/>
    </row>
    <row r="1938" spans="12:12" x14ac:dyDescent="0.2">
      <c r="L1938" s="20"/>
    </row>
    <row r="1939" spans="12:12" x14ac:dyDescent="0.2">
      <c r="L1939" s="20"/>
    </row>
    <row r="1940" spans="12:12" x14ac:dyDescent="0.2">
      <c r="L1940" s="20"/>
    </row>
    <row r="1941" spans="12:12" x14ac:dyDescent="0.2">
      <c r="L1941" s="20"/>
    </row>
    <row r="1942" spans="12:12" x14ac:dyDescent="0.2">
      <c r="L1942" s="20"/>
    </row>
    <row r="1943" spans="12:12" x14ac:dyDescent="0.2">
      <c r="L1943" s="20"/>
    </row>
    <row r="1944" spans="12:12" x14ac:dyDescent="0.2">
      <c r="L1944" s="20"/>
    </row>
    <row r="1945" spans="12:12" x14ac:dyDescent="0.2">
      <c r="L1945" s="20"/>
    </row>
    <row r="1946" spans="12:12" x14ac:dyDescent="0.2">
      <c r="L1946" s="20"/>
    </row>
    <row r="1947" spans="12:12" x14ac:dyDescent="0.2">
      <c r="L1947" s="20"/>
    </row>
    <row r="1948" spans="12:12" x14ac:dyDescent="0.2">
      <c r="L1948" s="20"/>
    </row>
    <row r="1949" spans="12:12" x14ac:dyDescent="0.2">
      <c r="L1949" s="20"/>
    </row>
    <row r="1950" spans="12:12" x14ac:dyDescent="0.2">
      <c r="L1950" s="20"/>
    </row>
    <row r="1951" spans="12:12" x14ac:dyDescent="0.2">
      <c r="L1951" s="20"/>
    </row>
    <row r="1952" spans="12:12" x14ac:dyDescent="0.2">
      <c r="L1952" s="20"/>
    </row>
    <row r="1953" spans="12:12" x14ac:dyDescent="0.2">
      <c r="L1953" s="20"/>
    </row>
    <row r="1954" spans="12:12" x14ac:dyDescent="0.2">
      <c r="L1954" s="20"/>
    </row>
    <row r="1955" spans="12:12" x14ac:dyDescent="0.2">
      <c r="L1955" s="20"/>
    </row>
    <row r="1956" spans="12:12" x14ac:dyDescent="0.2">
      <c r="L1956" s="20"/>
    </row>
    <row r="1957" spans="12:12" x14ac:dyDescent="0.2">
      <c r="L1957" s="20"/>
    </row>
    <row r="1958" spans="12:12" x14ac:dyDescent="0.2">
      <c r="L1958" s="20"/>
    </row>
    <row r="1959" spans="12:12" x14ac:dyDescent="0.2">
      <c r="L1959" s="20"/>
    </row>
    <row r="1960" spans="12:12" x14ac:dyDescent="0.2">
      <c r="L1960" s="20"/>
    </row>
    <row r="1961" spans="12:12" x14ac:dyDescent="0.2">
      <c r="L1961" s="20"/>
    </row>
    <row r="1962" spans="12:12" x14ac:dyDescent="0.2">
      <c r="L1962" s="20"/>
    </row>
    <row r="1963" spans="12:12" x14ac:dyDescent="0.2">
      <c r="L1963" s="20"/>
    </row>
    <row r="1964" spans="12:12" x14ac:dyDescent="0.2">
      <c r="L1964" s="20"/>
    </row>
    <row r="1965" spans="12:12" x14ac:dyDescent="0.2">
      <c r="L1965" s="20"/>
    </row>
    <row r="1966" spans="12:12" x14ac:dyDescent="0.2">
      <c r="L1966" s="20"/>
    </row>
    <row r="1967" spans="12:12" x14ac:dyDescent="0.2">
      <c r="L1967" s="20"/>
    </row>
    <row r="1968" spans="12:12" x14ac:dyDescent="0.2">
      <c r="L1968" s="20"/>
    </row>
    <row r="1969" spans="12:12" x14ac:dyDescent="0.2">
      <c r="L1969" s="20"/>
    </row>
    <row r="1970" spans="12:12" x14ac:dyDescent="0.2">
      <c r="L1970" s="20"/>
    </row>
    <row r="1971" spans="12:12" x14ac:dyDescent="0.2">
      <c r="L1971" s="20"/>
    </row>
    <row r="1972" spans="12:12" x14ac:dyDescent="0.2">
      <c r="L1972" s="20"/>
    </row>
    <row r="1973" spans="12:12" x14ac:dyDescent="0.2">
      <c r="L1973" s="20"/>
    </row>
    <row r="1974" spans="12:12" x14ac:dyDescent="0.2">
      <c r="L1974" s="20"/>
    </row>
    <row r="1975" spans="12:12" x14ac:dyDescent="0.2">
      <c r="L1975" s="20"/>
    </row>
    <row r="1976" spans="12:12" x14ac:dyDescent="0.2">
      <c r="L1976" s="20"/>
    </row>
    <row r="1977" spans="12:12" x14ac:dyDescent="0.2">
      <c r="L1977" s="20"/>
    </row>
    <row r="1978" spans="12:12" x14ac:dyDescent="0.2">
      <c r="L1978" s="20"/>
    </row>
    <row r="1979" spans="12:12" x14ac:dyDescent="0.2">
      <c r="L1979" s="20"/>
    </row>
    <row r="1980" spans="12:12" x14ac:dyDescent="0.2">
      <c r="L1980" s="20"/>
    </row>
    <row r="1981" spans="12:12" x14ac:dyDescent="0.2">
      <c r="L1981" s="20"/>
    </row>
    <row r="1982" spans="12:12" x14ac:dyDescent="0.2">
      <c r="L1982" s="20"/>
    </row>
    <row r="1983" spans="12:12" x14ac:dyDescent="0.2">
      <c r="L1983" s="20"/>
    </row>
    <row r="1984" spans="12:12" x14ac:dyDescent="0.2">
      <c r="L1984" s="20"/>
    </row>
    <row r="1985" spans="12:12" x14ac:dyDescent="0.2">
      <c r="L1985" s="20"/>
    </row>
    <row r="1986" spans="12:12" x14ac:dyDescent="0.2">
      <c r="L1986" s="20"/>
    </row>
    <row r="1987" spans="12:12" x14ac:dyDescent="0.2">
      <c r="L1987" s="20"/>
    </row>
    <row r="1988" spans="12:12" x14ac:dyDescent="0.2">
      <c r="L1988" s="20"/>
    </row>
    <row r="1989" spans="12:12" x14ac:dyDescent="0.2">
      <c r="L1989" s="20"/>
    </row>
    <row r="1990" spans="12:12" x14ac:dyDescent="0.2">
      <c r="L1990" s="20"/>
    </row>
    <row r="1991" spans="12:12" x14ac:dyDescent="0.2">
      <c r="L1991" s="20"/>
    </row>
    <row r="1992" spans="12:12" x14ac:dyDescent="0.2">
      <c r="L1992" s="20"/>
    </row>
    <row r="1993" spans="12:12" x14ac:dyDescent="0.2">
      <c r="L1993" s="20"/>
    </row>
    <row r="1994" spans="12:12" x14ac:dyDescent="0.2">
      <c r="L1994" s="20"/>
    </row>
    <row r="1995" spans="12:12" x14ac:dyDescent="0.2">
      <c r="L1995" s="20"/>
    </row>
    <row r="1996" spans="12:12" x14ac:dyDescent="0.2">
      <c r="L1996" s="20"/>
    </row>
    <row r="1997" spans="12:12" x14ac:dyDescent="0.2">
      <c r="L1997" s="20"/>
    </row>
    <row r="1998" spans="12:12" x14ac:dyDescent="0.2">
      <c r="L1998" s="20"/>
    </row>
    <row r="1999" spans="12:12" x14ac:dyDescent="0.2">
      <c r="L1999" s="20"/>
    </row>
    <row r="2000" spans="12:12" x14ac:dyDescent="0.2">
      <c r="L2000" s="20"/>
    </row>
    <row r="2001" spans="12:12" x14ac:dyDescent="0.2">
      <c r="L2001" s="20"/>
    </row>
    <row r="2002" spans="12:12" x14ac:dyDescent="0.2">
      <c r="L2002" s="20"/>
    </row>
    <row r="2003" spans="12:12" x14ac:dyDescent="0.2">
      <c r="L2003" s="20"/>
    </row>
    <row r="2004" spans="12:12" x14ac:dyDescent="0.2">
      <c r="L2004" s="20"/>
    </row>
    <row r="2005" spans="12:12" x14ac:dyDescent="0.2">
      <c r="L2005" s="20"/>
    </row>
    <row r="2006" spans="12:12" x14ac:dyDescent="0.2">
      <c r="L2006" s="20"/>
    </row>
    <row r="2007" spans="12:12" x14ac:dyDescent="0.2">
      <c r="L2007" s="20"/>
    </row>
    <row r="2008" spans="12:12" x14ac:dyDescent="0.2">
      <c r="L2008" s="20"/>
    </row>
    <row r="2009" spans="12:12" x14ac:dyDescent="0.2">
      <c r="L2009" s="20"/>
    </row>
    <row r="2010" spans="12:12" x14ac:dyDescent="0.2">
      <c r="L2010" s="20"/>
    </row>
    <row r="2011" spans="12:12" x14ac:dyDescent="0.2">
      <c r="L2011" s="20"/>
    </row>
    <row r="2012" spans="12:12" x14ac:dyDescent="0.2">
      <c r="L2012" s="20"/>
    </row>
    <row r="2013" spans="12:12" x14ac:dyDescent="0.2">
      <c r="L2013" s="20"/>
    </row>
    <row r="2014" spans="12:12" x14ac:dyDescent="0.2">
      <c r="L2014" s="20"/>
    </row>
    <row r="2015" spans="12:12" x14ac:dyDescent="0.2">
      <c r="L2015" s="20"/>
    </row>
    <row r="2016" spans="12:12" x14ac:dyDescent="0.2">
      <c r="L2016" s="20"/>
    </row>
    <row r="2017" spans="12:12" x14ac:dyDescent="0.2">
      <c r="L2017" s="20"/>
    </row>
    <row r="2018" spans="12:12" x14ac:dyDescent="0.2">
      <c r="L2018" s="20"/>
    </row>
    <row r="2019" spans="12:12" x14ac:dyDescent="0.2">
      <c r="L2019" s="20"/>
    </row>
    <row r="2020" spans="12:12" x14ac:dyDescent="0.2">
      <c r="L2020" s="20"/>
    </row>
    <row r="2021" spans="12:12" x14ac:dyDescent="0.2">
      <c r="L2021" s="20"/>
    </row>
    <row r="2022" spans="12:12" x14ac:dyDescent="0.2">
      <c r="L2022" s="20"/>
    </row>
    <row r="2023" spans="12:12" x14ac:dyDescent="0.2">
      <c r="L2023" s="20"/>
    </row>
    <row r="2024" spans="12:12" x14ac:dyDescent="0.2">
      <c r="L2024" s="20"/>
    </row>
    <row r="2025" spans="12:12" x14ac:dyDescent="0.2">
      <c r="L2025" s="20"/>
    </row>
    <row r="2026" spans="12:12" x14ac:dyDescent="0.2">
      <c r="L2026" s="20"/>
    </row>
    <row r="2027" spans="12:12" x14ac:dyDescent="0.2">
      <c r="L2027" s="20"/>
    </row>
    <row r="2028" spans="12:12" x14ac:dyDescent="0.2">
      <c r="L2028" s="20"/>
    </row>
    <row r="2029" spans="12:12" x14ac:dyDescent="0.2">
      <c r="L2029" s="20"/>
    </row>
    <row r="2030" spans="12:12" x14ac:dyDescent="0.2">
      <c r="L2030" s="20"/>
    </row>
    <row r="2031" spans="12:12" x14ac:dyDescent="0.2">
      <c r="L2031" s="20"/>
    </row>
    <row r="2032" spans="12:12" x14ac:dyDescent="0.2">
      <c r="L2032" s="20"/>
    </row>
    <row r="2033" spans="12:12" x14ac:dyDescent="0.2">
      <c r="L2033" s="20"/>
    </row>
    <row r="2034" spans="12:12" x14ac:dyDescent="0.2">
      <c r="L2034" s="20"/>
    </row>
    <row r="2035" spans="12:12" x14ac:dyDescent="0.2">
      <c r="L2035" s="20"/>
    </row>
    <row r="2036" spans="12:12" x14ac:dyDescent="0.2">
      <c r="L2036" s="20"/>
    </row>
    <row r="2037" spans="12:12" x14ac:dyDescent="0.2">
      <c r="L2037" s="20"/>
    </row>
    <row r="2038" spans="12:12" x14ac:dyDescent="0.2">
      <c r="L2038" s="20"/>
    </row>
    <row r="2039" spans="12:12" x14ac:dyDescent="0.2">
      <c r="L2039" s="20"/>
    </row>
    <row r="2040" spans="12:12" x14ac:dyDescent="0.2">
      <c r="L2040" s="20"/>
    </row>
    <row r="2041" spans="12:12" x14ac:dyDescent="0.2">
      <c r="L2041" s="20"/>
    </row>
    <row r="2042" spans="12:12" x14ac:dyDescent="0.2">
      <c r="L2042" s="20"/>
    </row>
    <row r="2043" spans="12:12" x14ac:dyDescent="0.2">
      <c r="L2043" s="20"/>
    </row>
    <row r="2044" spans="12:12" x14ac:dyDescent="0.2">
      <c r="L2044" s="20"/>
    </row>
    <row r="2045" spans="12:12" x14ac:dyDescent="0.2">
      <c r="L2045" s="20"/>
    </row>
    <row r="2046" spans="12:12" x14ac:dyDescent="0.2">
      <c r="L2046" s="20"/>
    </row>
    <row r="2047" spans="12:12" x14ac:dyDescent="0.2">
      <c r="L2047" s="20"/>
    </row>
    <row r="2048" spans="12:12" x14ac:dyDescent="0.2">
      <c r="L2048" s="20"/>
    </row>
    <row r="2049" spans="12:12" x14ac:dyDescent="0.2">
      <c r="L2049" s="20"/>
    </row>
    <row r="2050" spans="12:12" x14ac:dyDescent="0.2">
      <c r="L2050" s="20"/>
    </row>
    <row r="2051" spans="12:12" x14ac:dyDescent="0.2">
      <c r="L2051" s="20"/>
    </row>
    <row r="2052" spans="12:12" x14ac:dyDescent="0.2">
      <c r="L2052" s="20"/>
    </row>
    <row r="2053" spans="12:12" x14ac:dyDescent="0.2">
      <c r="L2053" s="20"/>
    </row>
    <row r="2054" spans="12:12" x14ac:dyDescent="0.2">
      <c r="L2054" s="20"/>
    </row>
    <row r="2055" spans="12:12" x14ac:dyDescent="0.2">
      <c r="L2055" s="20"/>
    </row>
    <row r="2056" spans="12:12" x14ac:dyDescent="0.2">
      <c r="L2056" s="20"/>
    </row>
    <row r="2057" spans="12:12" x14ac:dyDescent="0.2">
      <c r="L2057" s="20"/>
    </row>
    <row r="2058" spans="12:12" x14ac:dyDescent="0.2">
      <c r="L2058" s="20"/>
    </row>
    <row r="2059" spans="12:12" x14ac:dyDescent="0.2">
      <c r="L2059" s="20"/>
    </row>
    <row r="2060" spans="12:12" x14ac:dyDescent="0.2">
      <c r="L2060" s="20"/>
    </row>
    <row r="2061" spans="12:12" x14ac:dyDescent="0.2">
      <c r="L2061" s="20"/>
    </row>
    <row r="2062" spans="12:12" x14ac:dyDescent="0.2">
      <c r="L2062" s="20"/>
    </row>
    <row r="2063" spans="12:12" x14ac:dyDescent="0.2">
      <c r="L2063" s="20"/>
    </row>
    <row r="2064" spans="12:12" x14ac:dyDescent="0.2">
      <c r="L2064" s="20"/>
    </row>
    <row r="2065" spans="12:12" x14ac:dyDescent="0.2">
      <c r="L2065" s="20"/>
    </row>
    <row r="2066" spans="12:12" x14ac:dyDescent="0.2">
      <c r="L2066" s="20"/>
    </row>
    <row r="2067" spans="12:12" x14ac:dyDescent="0.2">
      <c r="L2067" s="20"/>
    </row>
    <row r="2068" spans="12:12" x14ac:dyDescent="0.2">
      <c r="L2068" s="20"/>
    </row>
    <row r="2069" spans="12:12" x14ac:dyDescent="0.2">
      <c r="L2069" s="20"/>
    </row>
    <row r="2070" spans="12:12" x14ac:dyDescent="0.2">
      <c r="L2070" s="20"/>
    </row>
    <row r="2071" spans="12:12" x14ac:dyDescent="0.2">
      <c r="L2071" s="20"/>
    </row>
    <row r="2072" spans="12:12" x14ac:dyDescent="0.2">
      <c r="L2072" s="20"/>
    </row>
    <row r="2073" spans="12:12" x14ac:dyDescent="0.2">
      <c r="L2073" s="20"/>
    </row>
    <row r="2074" spans="12:12" x14ac:dyDescent="0.2">
      <c r="L2074" s="20"/>
    </row>
    <row r="2075" spans="12:12" x14ac:dyDescent="0.2">
      <c r="L2075" s="20"/>
    </row>
    <row r="2076" spans="12:12" x14ac:dyDescent="0.2">
      <c r="L2076" s="20"/>
    </row>
    <row r="2077" spans="12:12" x14ac:dyDescent="0.2">
      <c r="L2077" s="20"/>
    </row>
    <row r="2078" spans="12:12" x14ac:dyDescent="0.2">
      <c r="L2078" s="20"/>
    </row>
    <row r="2079" spans="12:12" x14ac:dyDescent="0.2">
      <c r="L2079" s="20"/>
    </row>
    <row r="2080" spans="12:12" x14ac:dyDescent="0.2">
      <c r="L2080" s="20"/>
    </row>
    <row r="2081" spans="12:12" x14ac:dyDescent="0.2">
      <c r="L2081" s="20"/>
    </row>
    <row r="2082" spans="12:12" x14ac:dyDescent="0.2">
      <c r="L2082" s="20"/>
    </row>
    <row r="2083" spans="12:12" x14ac:dyDescent="0.2">
      <c r="L2083" s="20"/>
    </row>
    <row r="2084" spans="12:12" x14ac:dyDescent="0.2">
      <c r="L2084" s="20"/>
    </row>
    <row r="2085" spans="12:12" x14ac:dyDescent="0.2">
      <c r="L2085" s="20"/>
    </row>
    <row r="2086" spans="12:12" x14ac:dyDescent="0.2">
      <c r="L2086" s="20"/>
    </row>
    <row r="2087" spans="12:12" x14ac:dyDescent="0.2">
      <c r="L2087" s="20"/>
    </row>
    <row r="2088" spans="12:12" x14ac:dyDescent="0.2">
      <c r="L2088" s="20"/>
    </row>
    <row r="2089" spans="12:12" x14ac:dyDescent="0.2">
      <c r="L2089" s="20"/>
    </row>
    <row r="2090" spans="12:12" x14ac:dyDescent="0.2">
      <c r="L2090" s="20"/>
    </row>
    <row r="2091" spans="12:12" x14ac:dyDescent="0.2">
      <c r="L2091" s="20"/>
    </row>
    <row r="2092" spans="12:12" x14ac:dyDescent="0.2">
      <c r="L2092" s="20"/>
    </row>
    <row r="2093" spans="12:12" x14ac:dyDescent="0.2">
      <c r="L2093" s="20"/>
    </row>
    <row r="2094" spans="12:12" x14ac:dyDescent="0.2">
      <c r="L2094" s="20"/>
    </row>
    <row r="2095" spans="12:12" x14ac:dyDescent="0.2">
      <c r="L2095" s="20"/>
    </row>
    <row r="2096" spans="12:12" x14ac:dyDescent="0.2">
      <c r="L2096" s="20"/>
    </row>
    <row r="2097" spans="12:12" x14ac:dyDescent="0.2">
      <c r="L2097" s="20"/>
    </row>
    <row r="2098" spans="12:12" x14ac:dyDescent="0.2">
      <c r="L2098" s="20"/>
    </row>
    <row r="2099" spans="12:12" x14ac:dyDescent="0.2">
      <c r="L2099" s="20"/>
    </row>
    <row r="2100" spans="12:12" x14ac:dyDescent="0.2">
      <c r="L2100" s="20"/>
    </row>
    <row r="2101" spans="12:12" x14ac:dyDescent="0.2">
      <c r="L2101" s="20"/>
    </row>
    <row r="2102" spans="12:12" x14ac:dyDescent="0.2">
      <c r="L2102" s="20"/>
    </row>
    <row r="2103" spans="12:12" x14ac:dyDescent="0.2">
      <c r="L2103" s="20"/>
    </row>
    <row r="2104" spans="12:12" x14ac:dyDescent="0.2">
      <c r="L2104" s="20"/>
    </row>
    <row r="2105" spans="12:12" x14ac:dyDescent="0.2">
      <c r="L2105" s="20"/>
    </row>
    <row r="2106" spans="12:12" x14ac:dyDescent="0.2">
      <c r="L2106" s="20"/>
    </row>
    <row r="2107" spans="12:12" x14ac:dyDescent="0.2">
      <c r="L2107" s="20"/>
    </row>
    <row r="2108" spans="12:12" x14ac:dyDescent="0.2">
      <c r="L2108" s="20"/>
    </row>
    <row r="2109" spans="12:12" x14ac:dyDescent="0.2">
      <c r="L2109" s="20"/>
    </row>
    <row r="2110" spans="12:12" x14ac:dyDescent="0.2">
      <c r="L2110" s="20"/>
    </row>
    <row r="2111" spans="12:12" x14ac:dyDescent="0.2">
      <c r="L2111" s="20"/>
    </row>
    <row r="2112" spans="12:12" x14ac:dyDescent="0.2">
      <c r="L2112" s="20"/>
    </row>
    <row r="2113" spans="12:12" x14ac:dyDescent="0.2">
      <c r="L2113" s="20"/>
    </row>
    <row r="2114" spans="12:12" x14ac:dyDescent="0.2">
      <c r="L2114" s="20"/>
    </row>
    <row r="2115" spans="12:12" x14ac:dyDescent="0.2">
      <c r="L2115" s="20"/>
    </row>
    <row r="2116" spans="12:12" x14ac:dyDescent="0.2">
      <c r="L2116" s="20"/>
    </row>
    <row r="2117" spans="12:12" x14ac:dyDescent="0.2">
      <c r="L2117" s="20"/>
    </row>
    <row r="2118" spans="12:12" x14ac:dyDescent="0.2">
      <c r="L2118" s="20"/>
    </row>
    <row r="2119" spans="12:12" x14ac:dyDescent="0.2">
      <c r="L2119" s="20"/>
    </row>
    <row r="2120" spans="12:12" x14ac:dyDescent="0.2">
      <c r="L2120" s="20"/>
    </row>
    <row r="2121" spans="12:12" x14ac:dyDescent="0.2">
      <c r="L2121" s="20"/>
    </row>
    <row r="2122" spans="12:12" x14ac:dyDescent="0.2">
      <c r="L2122" s="20"/>
    </row>
    <row r="2123" spans="12:12" x14ac:dyDescent="0.2">
      <c r="L2123" s="20"/>
    </row>
    <row r="2124" spans="12:12" x14ac:dyDescent="0.2">
      <c r="L2124" s="20"/>
    </row>
    <row r="2125" spans="12:12" x14ac:dyDescent="0.2">
      <c r="L2125" s="20"/>
    </row>
    <row r="2126" spans="12:12" x14ac:dyDescent="0.2">
      <c r="L2126" s="20"/>
    </row>
    <row r="2127" spans="12:12" x14ac:dyDescent="0.2">
      <c r="L2127" s="20"/>
    </row>
    <row r="2128" spans="12:12" x14ac:dyDescent="0.2">
      <c r="L2128" s="20"/>
    </row>
    <row r="2129" spans="12:12" x14ac:dyDescent="0.2">
      <c r="L2129" s="20"/>
    </row>
    <row r="2130" spans="12:12" x14ac:dyDescent="0.2">
      <c r="L2130" s="20"/>
    </row>
    <row r="2131" spans="12:12" x14ac:dyDescent="0.2">
      <c r="L2131" s="20"/>
    </row>
    <row r="2132" spans="12:12" x14ac:dyDescent="0.2">
      <c r="L2132" s="20"/>
    </row>
    <row r="2133" spans="12:12" x14ac:dyDescent="0.2">
      <c r="L2133" s="20"/>
    </row>
    <row r="2134" spans="12:12" x14ac:dyDescent="0.2">
      <c r="L2134" s="20"/>
    </row>
    <row r="2135" spans="12:12" x14ac:dyDescent="0.2">
      <c r="L2135" s="20"/>
    </row>
    <row r="2136" spans="12:12" x14ac:dyDescent="0.2">
      <c r="L2136" s="20"/>
    </row>
    <row r="2137" spans="12:12" x14ac:dyDescent="0.2">
      <c r="L2137" s="20"/>
    </row>
    <row r="2138" spans="12:12" x14ac:dyDescent="0.2">
      <c r="L2138" s="20"/>
    </row>
    <row r="2139" spans="12:12" x14ac:dyDescent="0.2">
      <c r="L2139" s="20"/>
    </row>
    <row r="2140" spans="12:12" x14ac:dyDescent="0.2">
      <c r="L2140" s="20"/>
    </row>
    <row r="2141" spans="12:12" x14ac:dyDescent="0.2">
      <c r="L2141" s="20"/>
    </row>
    <row r="2142" spans="12:12" x14ac:dyDescent="0.2">
      <c r="L2142" s="20"/>
    </row>
    <row r="2143" spans="12:12" x14ac:dyDescent="0.2">
      <c r="L2143" s="20"/>
    </row>
    <row r="2144" spans="12:12" x14ac:dyDescent="0.2">
      <c r="L2144" s="20"/>
    </row>
    <row r="2145" spans="12:12" x14ac:dyDescent="0.2">
      <c r="L2145" s="20"/>
    </row>
    <row r="2146" spans="12:12" x14ac:dyDescent="0.2">
      <c r="L2146" s="20"/>
    </row>
    <row r="2147" spans="12:12" x14ac:dyDescent="0.2">
      <c r="L2147" s="20"/>
    </row>
    <row r="2148" spans="12:12" x14ac:dyDescent="0.2">
      <c r="L2148" s="20"/>
    </row>
    <row r="2149" spans="12:12" x14ac:dyDescent="0.2">
      <c r="L2149" s="20"/>
    </row>
    <row r="2150" spans="12:12" x14ac:dyDescent="0.2">
      <c r="L2150" s="20"/>
    </row>
    <row r="2151" spans="12:12" x14ac:dyDescent="0.2">
      <c r="L2151" s="20"/>
    </row>
    <row r="2152" spans="12:12" x14ac:dyDescent="0.2">
      <c r="L2152" s="20"/>
    </row>
    <row r="2153" spans="12:12" x14ac:dyDescent="0.2">
      <c r="L2153" s="20"/>
    </row>
    <row r="2154" spans="12:12" x14ac:dyDescent="0.2">
      <c r="L2154" s="20"/>
    </row>
    <row r="2155" spans="12:12" x14ac:dyDescent="0.2">
      <c r="L2155" s="20"/>
    </row>
    <row r="2156" spans="12:12" x14ac:dyDescent="0.2">
      <c r="L2156" s="20"/>
    </row>
    <row r="2157" spans="12:12" x14ac:dyDescent="0.2">
      <c r="L2157" s="20"/>
    </row>
    <row r="2158" spans="12:12" x14ac:dyDescent="0.2">
      <c r="L2158" s="20"/>
    </row>
    <row r="2159" spans="12:12" x14ac:dyDescent="0.2">
      <c r="L2159" s="20"/>
    </row>
    <row r="2160" spans="12:12" x14ac:dyDescent="0.2">
      <c r="L2160" s="20"/>
    </row>
    <row r="2161" spans="12:12" x14ac:dyDescent="0.2">
      <c r="L2161" s="20"/>
    </row>
    <row r="2162" spans="12:12" x14ac:dyDescent="0.2">
      <c r="L2162" s="20"/>
    </row>
    <row r="2163" spans="12:12" x14ac:dyDescent="0.2">
      <c r="L2163" s="20"/>
    </row>
    <row r="2164" spans="12:12" x14ac:dyDescent="0.2">
      <c r="L2164" s="20"/>
    </row>
    <row r="2165" spans="12:12" x14ac:dyDescent="0.2">
      <c r="L2165" s="20"/>
    </row>
    <row r="2166" spans="12:12" x14ac:dyDescent="0.2">
      <c r="L2166" s="20"/>
    </row>
    <row r="2167" spans="12:12" x14ac:dyDescent="0.2">
      <c r="L2167" s="20"/>
    </row>
    <row r="2168" spans="12:12" x14ac:dyDescent="0.2">
      <c r="L2168" s="20"/>
    </row>
    <row r="2169" spans="12:12" x14ac:dyDescent="0.2">
      <c r="L2169" s="20"/>
    </row>
    <row r="2170" spans="12:12" x14ac:dyDescent="0.2">
      <c r="L2170" s="20"/>
    </row>
    <row r="2171" spans="12:12" x14ac:dyDescent="0.2">
      <c r="L2171" s="20"/>
    </row>
    <row r="2172" spans="12:12" x14ac:dyDescent="0.2">
      <c r="L2172" s="20"/>
    </row>
    <row r="2173" spans="12:12" x14ac:dyDescent="0.2">
      <c r="L2173" s="20"/>
    </row>
    <row r="2174" spans="12:12" x14ac:dyDescent="0.2">
      <c r="L2174" s="20"/>
    </row>
    <row r="2175" spans="12:12" x14ac:dyDescent="0.2">
      <c r="L2175" s="20"/>
    </row>
    <row r="2176" spans="12:12" x14ac:dyDescent="0.2">
      <c r="L2176" s="20"/>
    </row>
    <row r="2177" spans="12:12" x14ac:dyDescent="0.2">
      <c r="L2177" s="20"/>
    </row>
    <row r="2178" spans="12:12" x14ac:dyDescent="0.2">
      <c r="L2178" s="20"/>
    </row>
    <row r="2179" spans="12:12" x14ac:dyDescent="0.2">
      <c r="L2179" s="20"/>
    </row>
    <row r="2180" spans="12:12" x14ac:dyDescent="0.2">
      <c r="L2180" s="20"/>
    </row>
    <row r="2181" spans="12:12" x14ac:dyDescent="0.2">
      <c r="L2181" s="20"/>
    </row>
    <row r="2182" spans="12:12" x14ac:dyDescent="0.2">
      <c r="L2182" s="20"/>
    </row>
    <row r="2183" spans="12:12" x14ac:dyDescent="0.2">
      <c r="L2183" s="20"/>
    </row>
    <row r="2184" spans="12:12" x14ac:dyDescent="0.2">
      <c r="L2184" s="20"/>
    </row>
    <row r="2185" spans="12:12" x14ac:dyDescent="0.2">
      <c r="L2185" s="20"/>
    </row>
    <row r="2186" spans="12:12" x14ac:dyDescent="0.2">
      <c r="L2186" s="20"/>
    </row>
    <row r="2187" spans="12:12" x14ac:dyDescent="0.2">
      <c r="L2187" s="20"/>
    </row>
    <row r="2188" spans="12:12" x14ac:dyDescent="0.2">
      <c r="L2188" s="20"/>
    </row>
    <row r="2189" spans="12:12" x14ac:dyDescent="0.2">
      <c r="L2189" s="20"/>
    </row>
    <row r="2190" spans="12:12" x14ac:dyDescent="0.2">
      <c r="L2190" s="20"/>
    </row>
    <row r="2191" spans="12:12" x14ac:dyDescent="0.2">
      <c r="L2191" s="20"/>
    </row>
    <row r="2192" spans="12:12" x14ac:dyDescent="0.2">
      <c r="L2192" s="20"/>
    </row>
    <row r="2193" spans="12:12" x14ac:dyDescent="0.2">
      <c r="L2193" s="20"/>
    </row>
    <row r="2194" spans="12:12" x14ac:dyDescent="0.2">
      <c r="L2194" s="20"/>
    </row>
    <row r="2195" spans="12:12" x14ac:dyDescent="0.2">
      <c r="L2195" s="20"/>
    </row>
    <row r="2196" spans="12:12" x14ac:dyDescent="0.2">
      <c r="L2196" s="20"/>
    </row>
    <row r="2197" spans="12:12" x14ac:dyDescent="0.2">
      <c r="L2197" s="20"/>
    </row>
    <row r="2198" spans="12:12" x14ac:dyDescent="0.2">
      <c r="L2198" s="20"/>
    </row>
    <row r="2199" spans="12:12" x14ac:dyDescent="0.2">
      <c r="L2199" s="20"/>
    </row>
    <row r="2200" spans="12:12" x14ac:dyDescent="0.2">
      <c r="L2200" s="20"/>
    </row>
    <row r="2201" spans="12:12" x14ac:dyDescent="0.2">
      <c r="L2201" s="20"/>
    </row>
    <row r="2202" spans="12:12" x14ac:dyDescent="0.2">
      <c r="L2202" s="20"/>
    </row>
    <row r="2203" spans="12:12" x14ac:dyDescent="0.2">
      <c r="L2203" s="20"/>
    </row>
    <row r="2204" spans="12:12" x14ac:dyDescent="0.2">
      <c r="L2204" s="20"/>
    </row>
    <row r="2205" spans="12:12" x14ac:dyDescent="0.2">
      <c r="L2205" s="20"/>
    </row>
    <row r="2206" spans="12:12" x14ac:dyDescent="0.2">
      <c r="L2206" s="20"/>
    </row>
    <row r="2207" spans="12:12" x14ac:dyDescent="0.2">
      <c r="L2207" s="20"/>
    </row>
    <row r="2208" spans="12:12" x14ac:dyDescent="0.2">
      <c r="L2208" s="20"/>
    </row>
    <row r="2209" spans="12:12" x14ac:dyDescent="0.2">
      <c r="L2209" s="20"/>
    </row>
    <row r="2210" spans="12:12" x14ac:dyDescent="0.2">
      <c r="L2210" s="20"/>
    </row>
    <row r="2211" spans="12:12" x14ac:dyDescent="0.2">
      <c r="L2211" s="20"/>
    </row>
    <row r="2212" spans="12:12" x14ac:dyDescent="0.2">
      <c r="L2212" s="20"/>
    </row>
    <row r="2213" spans="12:12" x14ac:dyDescent="0.2">
      <c r="L2213" s="20"/>
    </row>
    <row r="2214" spans="12:12" x14ac:dyDescent="0.2">
      <c r="L2214" s="20"/>
    </row>
    <row r="2215" spans="12:12" x14ac:dyDescent="0.2">
      <c r="L2215" s="20"/>
    </row>
    <row r="2216" spans="12:12" x14ac:dyDescent="0.2">
      <c r="L2216" s="20"/>
    </row>
    <row r="2217" spans="12:12" x14ac:dyDescent="0.2">
      <c r="L2217" s="20"/>
    </row>
    <row r="2218" spans="12:12" x14ac:dyDescent="0.2">
      <c r="L2218" s="20"/>
    </row>
    <row r="2219" spans="12:12" x14ac:dyDescent="0.2">
      <c r="L2219" s="20"/>
    </row>
    <row r="2220" spans="12:12" x14ac:dyDescent="0.2">
      <c r="L2220" s="20"/>
    </row>
    <row r="2221" spans="12:12" x14ac:dyDescent="0.2">
      <c r="L2221" s="20"/>
    </row>
    <row r="2222" spans="12:12" x14ac:dyDescent="0.2">
      <c r="L2222" s="20"/>
    </row>
    <row r="2223" spans="12:12" x14ac:dyDescent="0.2">
      <c r="L2223" s="20"/>
    </row>
    <row r="2224" spans="12:12" x14ac:dyDescent="0.2">
      <c r="L2224" s="20"/>
    </row>
    <row r="2225" spans="12:12" x14ac:dyDescent="0.2">
      <c r="L2225" s="20"/>
    </row>
    <row r="2226" spans="12:12" x14ac:dyDescent="0.2">
      <c r="L2226" s="20"/>
    </row>
    <row r="2227" spans="12:12" x14ac:dyDescent="0.2">
      <c r="L2227" s="20"/>
    </row>
    <row r="2228" spans="12:12" x14ac:dyDescent="0.2">
      <c r="L2228" s="20"/>
    </row>
    <row r="2229" spans="12:12" x14ac:dyDescent="0.2">
      <c r="L2229" s="20"/>
    </row>
  </sheetData>
  <sheetProtection formatColumns="0" selectLockedCells="1" sort="0"/>
  <sortState ref="A19:L799">
    <sortCondition descending="1" ref="E18"/>
  </sortState>
  <mergeCells count="2">
    <mergeCell ref="C17:E17"/>
    <mergeCell ref="F17:H17"/>
  </mergeCells>
  <phoneticPr fontId="5" type="noConversion"/>
  <pageMargins left="0.15" right="0.24" top="0.6692913385826772" bottom="0.59055118110236227" header="0.51181102362204722" footer="0.51181102362204722"/>
  <pageSetup paperSize="9" scale="85" fitToHeight="0" pageOrder="overThenDown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353" r:id="rId4" name="Button 137">
              <controlPr defaultSize="0" print="0" autoFill="0" autoPict="0" macro="[0]!ResetSort">
                <anchor moveWithCells="1" sizeWithCells="1">
                  <from>
                    <xdr:col>1</xdr:col>
                    <xdr:colOff>647700</xdr:colOff>
                    <xdr:row>11</xdr:row>
                    <xdr:rowOff>0</xdr:rowOff>
                  </from>
                  <to>
                    <xdr:col>1</xdr:col>
                    <xdr:colOff>1524000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18">
    <pageSetUpPr fitToPage="1"/>
  </sheetPr>
  <dimension ref="B2:N51"/>
  <sheetViews>
    <sheetView showGridLines="0" showRowColHeaders="0" topLeftCell="B1" workbookViewId="0"/>
  </sheetViews>
  <sheetFormatPr defaultRowHeight="12.75" x14ac:dyDescent="0.2"/>
  <cols>
    <col min="1" max="1" width="0" style="4" hidden="1" customWidth="1"/>
    <col min="2" max="2" width="56.85546875" style="4" customWidth="1"/>
    <col min="3" max="5" width="10.7109375" style="4" customWidth="1"/>
    <col min="6" max="8" width="15.28515625" style="4" customWidth="1"/>
    <col min="9" max="9" width="15.85546875" style="4" bestFit="1" customWidth="1"/>
    <col min="10" max="10" width="10.42578125" style="4" customWidth="1"/>
    <col min="11" max="16384" width="9.140625" style="4"/>
  </cols>
  <sheetData>
    <row r="2" spans="2:10" ht="18" x14ac:dyDescent="0.25">
      <c r="B2" s="227" t="s">
        <v>1143</v>
      </c>
    </row>
    <row r="3" spans="2:10" x14ac:dyDescent="0.2">
      <c r="D3" s="29"/>
    </row>
    <row r="5" spans="2:10" x14ac:dyDescent="0.2">
      <c r="B5" s="27"/>
    </row>
    <row r="6" spans="2:10" ht="15.75" x14ac:dyDescent="0.25">
      <c r="B6" s="154" t="s">
        <v>324</v>
      </c>
      <c r="I6" s="158"/>
    </row>
    <row r="7" spans="2:10" x14ac:dyDescent="0.2">
      <c r="B7" s="153"/>
      <c r="C7" s="267" t="s">
        <v>992</v>
      </c>
      <c r="D7" s="268"/>
      <c r="E7" s="268"/>
      <c r="F7" s="269" t="s">
        <v>749</v>
      </c>
      <c r="G7" s="270"/>
      <c r="H7" s="270"/>
      <c r="I7" s="218" t="s">
        <v>765</v>
      </c>
      <c r="J7" s="158"/>
    </row>
    <row r="8" spans="2:10" ht="15" customHeight="1" x14ac:dyDescent="0.2">
      <c r="B8" s="191" t="s">
        <v>745</v>
      </c>
      <c r="C8" s="28" t="s">
        <v>752</v>
      </c>
      <c r="D8" s="28" t="s">
        <v>753</v>
      </c>
      <c r="E8" s="28" t="s">
        <v>754</v>
      </c>
      <c r="F8" s="170" t="s">
        <v>752</v>
      </c>
      <c r="G8" s="170" t="s">
        <v>753</v>
      </c>
      <c r="H8" s="192" t="s">
        <v>754</v>
      </c>
      <c r="I8" s="219">
        <v>2011</v>
      </c>
    </row>
    <row r="9" spans="2:10" ht="12.75" customHeight="1" x14ac:dyDescent="0.2">
      <c r="B9" s="225" t="s">
        <v>131</v>
      </c>
      <c r="C9" s="152">
        <v>1327827</v>
      </c>
      <c r="D9" s="152">
        <v>1430569</v>
      </c>
      <c r="E9" s="152">
        <v>2758396</v>
      </c>
      <c r="F9" s="152">
        <v>49265812856.086884</v>
      </c>
      <c r="G9" s="152">
        <v>62876847439.864433</v>
      </c>
      <c r="H9" s="152">
        <v>112142660295.95142</v>
      </c>
      <c r="I9" s="152"/>
    </row>
    <row r="10" spans="2:10" ht="12.75" customHeight="1" x14ac:dyDescent="0.2">
      <c r="B10" s="225" t="s">
        <v>939</v>
      </c>
      <c r="C10" s="152">
        <v>131556</v>
      </c>
      <c r="D10" s="152">
        <v>139897</v>
      </c>
      <c r="E10" s="152">
        <v>271453</v>
      </c>
      <c r="F10" s="152">
        <v>4371646477.9505596</v>
      </c>
      <c r="G10" s="152">
        <v>5865849359.0478401</v>
      </c>
      <c r="H10" s="152">
        <v>10237495836.9984</v>
      </c>
      <c r="I10" s="220">
        <f>VLOOKUP($B$9:$B$18,Fondstatistik!$A$19:$S$919,2,FALSE)</f>
        <v>7</v>
      </c>
    </row>
    <row r="11" spans="2:10" ht="12.75" customHeight="1" x14ac:dyDescent="0.2">
      <c r="B11" s="225" t="s">
        <v>596</v>
      </c>
      <c r="C11" s="152">
        <v>123385</v>
      </c>
      <c r="D11" s="152">
        <v>124546</v>
      </c>
      <c r="E11" s="152">
        <v>247931</v>
      </c>
      <c r="F11" s="152">
        <v>2003330264.55004</v>
      </c>
      <c r="G11" s="152">
        <v>2561148055.1449199</v>
      </c>
      <c r="H11" s="152">
        <v>4564478319.6949596</v>
      </c>
      <c r="I11" s="220">
        <f>VLOOKUP($B$9:$B$18,Fondstatistik!$A$19:$S$919,2,FALSE)</f>
        <v>6</v>
      </c>
    </row>
    <row r="12" spans="2:10" ht="12.75" customHeight="1" x14ac:dyDescent="0.2">
      <c r="B12" s="225" t="s">
        <v>938</v>
      </c>
      <c r="C12" s="152">
        <v>120027</v>
      </c>
      <c r="D12" s="152">
        <v>123099</v>
      </c>
      <c r="E12" s="152">
        <v>243126</v>
      </c>
      <c r="F12" s="152">
        <v>3500688389.3681402</v>
      </c>
      <c r="G12" s="152">
        <v>4596745230.4972296</v>
      </c>
      <c r="H12" s="152">
        <v>8097433619.8653698</v>
      </c>
      <c r="I12" s="220">
        <f>VLOOKUP($B$9:$B$18,Fondstatistik!$A$19:$S$919,2,FALSE)</f>
        <v>6</v>
      </c>
    </row>
    <row r="13" spans="2:10" ht="12.75" customHeight="1" x14ac:dyDescent="0.2">
      <c r="B13" s="225" t="s">
        <v>794</v>
      </c>
      <c r="C13" s="152">
        <v>115988</v>
      </c>
      <c r="D13" s="152">
        <v>122728</v>
      </c>
      <c r="E13" s="152">
        <v>238716</v>
      </c>
      <c r="F13" s="152">
        <v>4028588724.6238999</v>
      </c>
      <c r="G13" s="152">
        <v>5230957727.3921003</v>
      </c>
      <c r="H13" s="152">
        <v>9259546452.0160007</v>
      </c>
      <c r="I13" s="220">
        <f>VLOOKUP($B$9:$B$18,Fondstatistik!$A$19:$S$919,2,FALSE)</f>
        <v>9</v>
      </c>
    </row>
    <row r="14" spans="2:10" ht="12.75" customHeight="1" x14ac:dyDescent="0.2">
      <c r="B14" s="225" t="s">
        <v>200</v>
      </c>
      <c r="C14" s="152">
        <v>103446</v>
      </c>
      <c r="D14" s="152">
        <v>118169</v>
      </c>
      <c r="E14" s="152">
        <v>221615</v>
      </c>
      <c r="F14" s="152">
        <v>1728251941.70275</v>
      </c>
      <c r="G14" s="152">
        <v>2576875038.54881</v>
      </c>
      <c r="H14" s="152">
        <v>4305126980.2515697</v>
      </c>
      <c r="I14" s="220">
        <f>VLOOKUP($B$9:$B$18,Fondstatistik!$A$19:$S$919,2,FALSE)</f>
        <v>9</v>
      </c>
    </row>
    <row r="15" spans="2:10" ht="12.75" customHeight="1" x14ac:dyDescent="0.2">
      <c r="B15" s="225" t="s">
        <v>613</v>
      </c>
      <c r="C15" s="152">
        <v>93733</v>
      </c>
      <c r="D15" s="152">
        <v>79030</v>
      </c>
      <c r="E15" s="152">
        <v>172763</v>
      </c>
      <c r="F15" s="152">
        <v>3296919796.3020601</v>
      </c>
      <c r="G15" s="152">
        <v>3391890370.1858201</v>
      </c>
      <c r="H15" s="152">
        <v>6688810166.4878798</v>
      </c>
      <c r="I15" s="220">
        <f>VLOOKUP($B$9:$B$18,Fondstatistik!$A$19:$S$919,2,FALSE)</f>
        <v>5</v>
      </c>
    </row>
    <row r="16" spans="2:10" ht="12.75" customHeight="1" x14ac:dyDescent="0.2">
      <c r="B16" s="225" t="s">
        <v>637</v>
      </c>
      <c r="C16" s="152">
        <v>75189</v>
      </c>
      <c r="D16" s="152">
        <v>70873</v>
      </c>
      <c r="E16" s="152">
        <v>146062</v>
      </c>
      <c r="F16" s="152">
        <v>1125553446.7115099</v>
      </c>
      <c r="G16" s="152">
        <v>1363524711.4837501</v>
      </c>
      <c r="H16" s="152">
        <v>2489078158.19526</v>
      </c>
      <c r="I16" s="220">
        <f>VLOOKUP($B$9:$B$18,Fondstatistik!$A$19:$S$919,2,FALSE)</f>
        <v>1</v>
      </c>
    </row>
    <row r="17" spans="2:10" ht="12.75" customHeight="1" x14ac:dyDescent="0.2">
      <c r="B17" s="225" t="s">
        <v>608</v>
      </c>
      <c r="C17" s="152">
        <v>68716</v>
      </c>
      <c r="D17" s="152">
        <v>72486</v>
      </c>
      <c r="E17" s="152">
        <v>141202</v>
      </c>
      <c r="F17" s="152">
        <v>4059408103.2340498</v>
      </c>
      <c r="G17" s="152">
        <v>5320108742.2059603</v>
      </c>
      <c r="H17" s="152">
        <v>9379516845.4400101</v>
      </c>
      <c r="I17" s="220">
        <f>VLOOKUP($B$9:$B$18,Fondstatistik!$A$19:$S$919,2,FALSE)</f>
        <v>4</v>
      </c>
    </row>
    <row r="18" spans="2:10" ht="12.75" customHeight="1" x14ac:dyDescent="0.2">
      <c r="B18" s="225" t="s">
        <v>173</v>
      </c>
      <c r="C18" s="152">
        <v>66432</v>
      </c>
      <c r="D18" s="152">
        <v>71835</v>
      </c>
      <c r="E18" s="152">
        <v>138267</v>
      </c>
      <c r="F18" s="152">
        <v>1536963734.1724701</v>
      </c>
      <c r="G18" s="152">
        <v>2050419836.5769501</v>
      </c>
      <c r="H18" s="152">
        <v>3587383570.7494102</v>
      </c>
      <c r="I18" s="220">
        <f>VLOOKUP($B$9:$B$18,Fondstatistik!$A$19:$S$919,2,FALSE)</f>
        <v>7</v>
      </c>
      <c r="J18" s="193"/>
    </row>
    <row r="19" spans="2:10" x14ac:dyDescent="0.2">
      <c r="B19" s="244"/>
      <c r="C19" s="35"/>
      <c r="D19" s="29"/>
      <c r="E19" s="30"/>
      <c r="F19" s="29"/>
      <c r="G19" s="35"/>
      <c r="H19" s="29"/>
      <c r="I19" s="220"/>
      <c r="J19" s="212"/>
    </row>
    <row r="20" spans="2:10" x14ac:dyDescent="0.2">
      <c r="B20" s="191" t="s">
        <v>325</v>
      </c>
      <c r="I20" s="220"/>
    </row>
    <row r="21" spans="2:10" x14ac:dyDescent="0.2">
      <c r="B21" s="244"/>
      <c r="C21" s="269" t="s">
        <v>748</v>
      </c>
      <c r="D21" s="270"/>
      <c r="E21" s="270"/>
      <c r="F21" s="267" t="s">
        <v>749</v>
      </c>
      <c r="G21" s="268"/>
      <c r="H21" s="268"/>
      <c r="I21" s="221"/>
    </row>
    <row r="22" spans="2:10" x14ac:dyDescent="0.2">
      <c r="B22" s="191" t="s">
        <v>745</v>
      </c>
      <c r="C22" s="28" t="s">
        <v>752</v>
      </c>
      <c r="D22" s="28" t="s">
        <v>753</v>
      </c>
      <c r="E22" s="28" t="s">
        <v>754</v>
      </c>
      <c r="F22" s="170" t="s">
        <v>752</v>
      </c>
      <c r="G22" s="170" t="s">
        <v>753</v>
      </c>
      <c r="H22" s="192" t="s">
        <v>754</v>
      </c>
      <c r="I22" s="221"/>
    </row>
    <row r="23" spans="2:10" ht="12.75" customHeight="1" x14ac:dyDescent="0.2">
      <c r="B23" s="225" t="s">
        <v>131</v>
      </c>
      <c r="C23" s="152">
        <v>1327827</v>
      </c>
      <c r="D23" s="152">
        <v>1430569</v>
      </c>
      <c r="E23" s="152">
        <v>2758396</v>
      </c>
      <c r="F23" s="152">
        <v>49265812856.086884</v>
      </c>
      <c r="G23" s="152">
        <v>62876847439.864433</v>
      </c>
      <c r="H23" s="152">
        <v>112142660295.95142</v>
      </c>
      <c r="I23" s="220"/>
    </row>
    <row r="24" spans="2:10" ht="12.75" customHeight="1" x14ac:dyDescent="0.2">
      <c r="B24" s="225" t="s">
        <v>939</v>
      </c>
      <c r="C24" s="152">
        <v>131556</v>
      </c>
      <c r="D24" s="152">
        <v>139897</v>
      </c>
      <c r="E24" s="152">
        <v>271453</v>
      </c>
      <c r="F24" s="152">
        <v>4371646477.9505596</v>
      </c>
      <c r="G24" s="152">
        <v>5865849359.0478401</v>
      </c>
      <c r="H24" s="152">
        <v>10237495836.9984</v>
      </c>
      <c r="I24" s="220">
        <f>VLOOKUP($B$23:$B$32,Fondstatistik!$A$19:$S$919,2,FALSE)</f>
        <v>7</v>
      </c>
    </row>
    <row r="25" spans="2:10" ht="12.75" customHeight="1" x14ac:dyDescent="0.2">
      <c r="B25" s="225" t="s">
        <v>612</v>
      </c>
      <c r="C25" s="152">
        <v>72826</v>
      </c>
      <c r="D25" s="152">
        <v>57478</v>
      </c>
      <c r="E25" s="152">
        <v>130304</v>
      </c>
      <c r="F25" s="152">
        <v>5026504469.71134</v>
      </c>
      <c r="G25" s="152">
        <v>4692546042.01612</v>
      </c>
      <c r="H25" s="152">
        <v>9719050511.7274609</v>
      </c>
      <c r="I25" s="220">
        <f>VLOOKUP($B$23:$B$32,Fondstatistik!$A$19:$S$919,2,FALSE)</f>
        <v>3</v>
      </c>
    </row>
    <row r="26" spans="2:10" ht="12.75" customHeight="1" x14ac:dyDescent="0.2">
      <c r="B26" s="225" t="s">
        <v>608</v>
      </c>
      <c r="C26" s="152">
        <v>68716</v>
      </c>
      <c r="D26" s="152">
        <v>72486</v>
      </c>
      <c r="E26" s="152">
        <v>141202</v>
      </c>
      <c r="F26" s="152">
        <v>4059408103.2340498</v>
      </c>
      <c r="G26" s="152">
        <v>5320108742.2059603</v>
      </c>
      <c r="H26" s="152">
        <v>9379516845.4400101</v>
      </c>
      <c r="I26" s="220">
        <f>VLOOKUP($B$23:$B$32,Fondstatistik!$A$19:$S$919,2,FALSE)</f>
        <v>4</v>
      </c>
    </row>
    <row r="27" spans="2:10" ht="12.75" customHeight="1" x14ac:dyDescent="0.2">
      <c r="B27" s="225" t="s">
        <v>794</v>
      </c>
      <c r="C27" s="152">
        <v>115988</v>
      </c>
      <c r="D27" s="152">
        <v>122728</v>
      </c>
      <c r="E27" s="152">
        <v>238716</v>
      </c>
      <c r="F27" s="152">
        <v>4028588724.6238999</v>
      </c>
      <c r="G27" s="152">
        <v>5230957727.3921003</v>
      </c>
      <c r="H27" s="152">
        <v>9259546452.0160007</v>
      </c>
      <c r="I27" s="220">
        <f>VLOOKUP($B$23:$B$32,Fondstatistik!$A$19:$S$919,2,FALSE)</f>
        <v>9</v>
      </c>
    </row>
    <row r="28" spans="2:10" ht="12.75" customHeight="1" x14ac:dyDescent="0.2">
      <c r="B28" s="225" t="s">
        <v>938</v>
      </c>
      <c r="C28" s="152">
        <v>120027</v>
      </c>
      <c r="D28" s="152">
        <v>123099</v>
      </c>
      <c r="E28" s="152">
        <v>243126</v>
      </c>
      <c r="F28" s="152">
        <v>3500688389.3681402</v>
      </c>
      <c r="G28" s="152">
        <v>4596745230.4972296</v>
      </c>
      <c r="H28" s="152">
        <v>8097433619.8653698</v>
      </c>
      <c r="I28" s="220">
        <f>VLOOKUP($B$23:$B$32,Fondstatistik!$A$19:$S$919,2,FALSE)</f>
        <v>6</v>
      </c>
    </row>
    <row r="29" spans="2:10" ht="12.75" customHeight="1" x14ac:dyDescent="0.2">
      <c r="B29" s="225" t="s">
        <v>613</v>
      </c>
      <c r="C29" s="152">
        <v>93733</v>
      </c>
      <c r="D29" s="152">
        <v>79030</v>
      </c>
      <c r="E29" s="152">
        <v>172763</v>
      </c>
      <c r="F29" s="152">
        <v>3296919796.3020601</v>
      </c>
      <c r="G29" s="152">
        <v>3391890370.1858201</v>
      </c>
      <c r="H29" s="152">
        <v>6688810166.4878798</v>
      </c>
      <c r="I29" s="220">
        <f>VLOOKUP($B$23:$B$32,Fondstatistik!$A$19:$S$919,2,FALSE)</f>
        <v>5</v>
      </c>
    </row>
    <row r="30" spans="2:10" ht="12.75" customHeight="1" x14ac:dyDescent="0.2">
      <c r="B30" s="225" t="s">
        <v>549</v>
      </c>
      <c r="C30" s="152">
        <v>52153</v>
      </c>
      <c r="D30" s="152">
        <v>46232</v>
      </c>
      <c r="E30" s="152">
        <v>98385</v>
      </c>
      <c r="F30" s="152">
        <v>2443910693.2817602</v>
      </c>
      <c r="G30" s="152">
        <v>2679046969.5732598</v>
      </c>
      <c r="H30" s="152">
        <v>5122957662.8550196</v>
      </c>
      <c r="I30" s="220">
        <f>VLOOKUP($B$23:$B$32,Fondstatistik!$A$19:$S$919,2,FALSE)</f>
        <v>3</v>
      </c>
    </row>
    <row r="31" spans="2:10" ht="12.75" customHeight="1" x14ac:dyDescent="0.2">
      <c r="B31" s="225" t="s">
        <v>560</v>
      </c>
      <c r="C31" s="152">
        <v>62932</v>
      </c>
      <c r="D31" s="152">
        <v>50391</v>
      </c>
      <c r="E31" s="152">
        <v>113323</v>
      </c>
      <c r="F31" s="152">
        <v>2534857989.9777198</v>
      </c>
      <c r="G31" s="152">
        <v>2493316948.99403</v>
      </c>
      <c r="H31" s="152">
        <v>5028174938.9717503</v>
      </c>
      <c r="I31" s="220">
        <f>VLOOKUP($B$23:$B$32,Fondstatistik!$A$19:$S$919,2,FALSE)</f>
        <v>4</v>
      </c>
    </row>
    <row r="32" spans="2:10" ht="12.75" customHeight="1" x14ac:dyDescent="0.2">
      <c r="B32" s="225" t="s">
        <v>624</v>
      </c>
      <c r="C32" s="152">
        <v>38715</v>
      </c>
      <c r="D32" s="152">
        <v>25503</v>
      </c>
      <c r="E32" s="152">
        <v>64218</v>
      </c>
      <c r="F32" s="152">
        <v>2653363659.12112</v>
      </c>
      <c r="G32" s="152">
        <v>2046926421.58988</v>
      </c>
      <c r="H32" s="152">
        <v>4700290080.71101</v>
      </c>
      <c r="I32" s="220">
        <f>VLOOKUP($B$23:$B$32,Fondstatistik!$A$19:$S$919,2,FALSE)</f>
        <v>2</v>
      </c>
    </row>
    <row r="33" spans="2:14" x14ac:dyDescent="0.2">
      <c r="B33" s="256"/>
      <c r="C33" s="152"/>
      <c r="D33" s="152"/>
      <c r="E33" s="152"/>
      <c r="F33" s="152"/>
      <c r="G33" s="152"/>
      <c r="H33" s="152"/>
      <c r="I33" s="211"/>
      <c r="J33" s="209"/>
    </row>
    <row r="34" spans="2:14" x14ac:dyDescent="0.2">
      <c r="B34" s="257"/>
      <c r="J34" s="193"/>
    </row>
    <row r="35" spans="2:14" x14ac:dyDescent="0.2">
      <c r="B35" s="191" t="s">
        <v>326</v>
      </c>
    </row>
    <row r="36" spans="2:14" ht="12.75" customHeight="1" x14ac:dyDescent="0.2">
      <c r="B36" s="191" t="s">
        <v>745</v>
      </c>
      <c r="C36" s="32">
        <v>2012</v>
      </c>
      <c r="D36" s="32" t="s">
        <v>1142</v>
      </c>
      <c r="E36" s="172" t="s">
        <v>508</v>
      </c>
      <c r="F36" s="172" t="s">
        <v>509</v>
      </c>
      <c r="G36" s="172" t="s">
        <v>510</v>
      </c>
      <c r="H36" s="172" t="s">
        <v>511</v>
      </c>
      <c r="I36" s="172" t="s">
        <v>512</v>
      </c>
      <c r="J36" s="31" t="s">
        <v>905</v>
      </c>
      <c r="K36" s="33"/>
    </row>
    <row r="37" spans="2:14" ht="12.75" customHeight="1" x14ac:dyDescent="0.2">
      <c r="B37" s="225" t="s">
        <v>660</v>
      </c>
      <c r="C37" s="101">
        <v>8</v>
      </c>
      <c r="D37" s="101">
        <v>8</v>
      </c>
      <c r="E37" s="101">
        <v>2</v>
      </c>
      <c r="F37" s="101">
        <v>1</v>
      </c>
      <c r="G37" s="101">
        <v>7</v>
      </c>
      <c r="H37" s="101">
        <v>51</v>
      </c>
      <c r="I37" s="101">
        <v>61</v>
      </c>
      <c r="J37" s="101">
        <v>10</v>
      </c>
    </row>
    <row r="38" spans="2:14" ht="12.75" customHeight="1" x14ac:dyDescent="0.2">
      <c r="B38" s="225" t="s">
        <v>405</v>
      </c>
      <c r="C38" s="101">
        <v>12</v>
      </c>
      <c r="D38" s="101">
        <v>12</v>
      </c>
      <c r="E38" s="101">
        <v>9</v>
      </c>
      <c r="F38" s="101">
        <v>0</v>
      </c>
      <c r="G38" s="101">
        <v>-3</v>
      </c>
      <c r="H38" s="101">
        <v>89</v>
      </c>
      <c r="I38" s="101">
        <v>53</v>
      </c>
      <c r="J38" s="101">
        <v>9</v>
      </c>
    </row>
    <row r="39" spans="2:14" ht="12.75" customHeight="1" x14ac:dyDescent="0.2">
      <c r="B39" s="225" t="s">
        <v>1093</v>
      </c>
      <c r="C39" s="101">
        <v>7</v>
      </c>
      <c r="D39" s="101">
        <v>8</v>
      </c>
      <c r="E39" s="101">
        <v>5</v>
      </c>
      <c r="F39" s="101">
        <v>3</v>
      </c>
      <c r="G39" s="101">
        <v>1</v>
      </c>
      <c r="H39" s="101">
        <v>127</v>
      </c>
      <c r="I39" s="101">
        <v>56</v>
      </c>
      <c r="J39" s="101">
        <v>9</v>
      </c>
      <c r="K39" s="34"/>
    </row>
    <row r="40" spans="2:14" ht="12.75" customHeight="1" x14ac:dyDescent="0.2">
      <c r="B40" s="225" t="s">
        <v>200</v>
      </c>
      <c r="C40" s="101">
        <v>9</v>
      </c>
      <c r="D40" s="101">
        <v>9</v>
      </c>
      <c r="E40" s="101">
        <v>8</v>
      </c>
      <c r="F40" s="101">
        <v>-3</v>
      </c>
      <c r="G40" s="101">
        <v>-2</v>
      </c>
      <c r="H40" s="101">
        <v>94</v>
      </c>
      <c r="I40" s="101">
        <v>52</v>
      </c>
      <c r="J40" s="101">
        <v>9</v>
      </c>
      <c r="K40" s="35"/>
      <c r="L40" s="34"/>
    </row>
    <row r="41" spans="2:14" ht="12.75" customHeight="1" x14ac:dyDescent="0.2">
      <c r="B41" s="225" t="s">
        <v>668</v>
      </c>
      <c r="C41" s="101">
        <v>10</v>
      </c>
      <c r="D41" s="101">
        <v>10</v>
      </c>
      <c r="E41" s="101">
        <v>10</v>
      </c>
      <c r="F41" s="101">
        <v>4</v>
      </c>
      <c r="G41" s="101">
        <v>0</v>
      </c>
      <c r="H41" s="101">
        <v>73</v>
      </c>
      <c r="I41" s="101">
        <v>47</v>
      </c>
      <c r="J41" s="101">
        <v>8</v>
      </c>
      <c r="K41" s="158"/>
      <c r="L41" s="35"/>
      <c r="N41" s="35"/>
    </row>
    <row r="42" spans="2:14" ht="12.75" customHeight="1" x14ac:dyDescent="0.2">
      <c r="B42" s="225" t="s">
        <v>740</v>
      </c>
      <c r="C42" s="101">
        <v>4</v>
      </c>
      <c r="D42" s="101">
        <v>4</v>
      </c>
      <c r="E42" s="101">
        <v>2</v>
      </c>
      <c r="F42" s="101">
        <v>-3</v>
      </c>
      <c r="G42" s="101">
        <v>1</v>
      </c>
      <c r="H42" s="101">
        <v>51</v>
      </c>
      <c r="I42" s="101">
        <v>44</v>
      </c>
      <c r="J42" s="101">
        <v>8</v>
      </c>
      <c r="K42" s="158"/>
      <c r="L42" s="165"/>
      <c r="M42" s="35"/>
      <c r="N42" s="35"/>
    </row>
    <row r="43" spans="2:14" ht="12.75" customHeight="1" x14ac:dyDescent="0.2">
      <c r="B43" s="225" t="s">
        <v>883</v>
      </c>
      <c r="C43" s="101">
        <v>-5</v>
      </c>
      <c r="D43" s="101">
        <v>-5</v>
      </c>
      <c r="E43" s="101">
        <v>2</v>
      </c>
      <c r="F43" s="101">
        <v>5</v>
      </c>
      <c r="G43" s="101">
        <v>16</v>
      </c>
      <c r="H43" s="101">
        <v>28</v>
      </c>
      <c r="I43" s="101">
        <v>45</v>
      </c>
      <c r="J43" s="101">
        <v>8</v>
      </c>
      <c r="K43" s="158"/>
      <c r="L43" s="165"/>
      <c r="M43" s="35"/>
      <c r="N43" s="35"/>
    </row>
    <row r="44" spans="2:14" ht="12.75" customHeight="1" x14ac:dyDescent="0.2">
      <c r="B44" s="225" t="s">
        <v>705</v>
      </c>
      <c r="C44" s="101">
        <v>10</v>
      </c>
      <c r="D44" s="101">
        <v>10</v>
      </c>
      <c r="E44" s="101">
        <v>8</v>
      </c>
      <c r="F44" s="101">
        <v>-2</v>
      </c>
      <c r="G44" s="101">
        <v>-7</v>
      </c>
      <c r="H44" s="101">
        <v>85</v>
      </c>
      <c r="I44" s="101">
        <v>47</v>
      </c>
      <c r="J44" s="101">
        <v>8</v>
      </c>
      <c r="K44" s="158"/>
      <c r="L44" s="165"/>
      <c r="M44" s="35"/>
      <c r="N44" s="35"/>
    </row>
    <row r="45" spans="2:14" ht="12.75" customHeight="1" x14ac:dyDescent="0.2">
      <c r="B45" s="225" t="s">
        <v>217</v>
      </c>
      <c r="C45" s="101">
        <v>0</v>
      </c>
      <c r="D45" s="101">
        <v>-1</v>
      </c>
      <c r="E45" s="101">
        <v>7</v>
      </c>
      <c r="F45" s="101">
        <v>10</v>
      </c>
      <c r="G45" s="101">
        <v>13</v>
      </c>
      <c r="H45" s="101">
        <v>23</v>
      </c>
      <c r="I45" s="101">
        <v>44</v>
      </c>
      <c r="J45" s="101">
        <v>8</v>
      </c>
      <c r="K45" s="158"/>
      <c r="L45" s="165"/>
      <c r="M45" s="35"/>
      <c r="N45" s="35"/>
    </row>
    <row r="46" spans="2:14" x14ac:dyDescent="0.2">
      <c r="B46" s="225" t="s">
        <v>928</v>
      </c>
      <c r="C46" s="101">
        <v>0</v>
      </c>
      <c r="D46" s="101">
        <v>0</v>
      </c>
      <c r="E46" s="101">
        <v>3</v>
      </c>
      <c r="F46" s="101">
        <v>6</v>
      </c>
      <c r="G46" s="101">
        <v>13</v>
      </c>
      <c r="H46" s="101">
        <v>21</v>
      </c>
      <c r="I46" s="101">
        <v>39</v>
      </c>
      <c r="J46" s="101">
        <v>7</v>
      </c>
      <c r="K46" s="158"/>
      <c r="L46" s="165"/>
      <c r="M46" s="35"/>
      <c r="N46" s="35"/>
    </row>
    <row r="47" spans="2:14" x14ac:dyDescent="0.2">
      <c r="B47" s="208"/>
      <c r="J47" s="158"/>
      <c r="K47" s="158"/>
      <c r="L47" s="165"/>
      <c r="M47" s="35"/>
      <c r="N47" s="35"/>
    </row>
    <row r="48" spans="2:14" x14ac:dyDescent="0.2">
      <c r="K48" s="158"/>
      <c r="L48" s="165"/>
      <c r="M48" s="35"/>
      <c r="N48" s="35"/>
    </row>
    <row r="49" spans="11:14" x14ac:dyDescent="0.2">
      <c r="K49" s="158"/>
      <c r="L49" s="165"/>
      <c r="M49" s="35"/>
      <c r="N49" s="35"/>
    </row>
    <row r="50" spans="11:14" x14ac:dyDescent="0.2">
      <c r="K50" s="158"/>
      <c r="L50" s="165"/>
      <c r="M50" s="35"/>
    </row>
    <row r="51" spans="11:14" x14ac:dyDescent="0.2">
      <c r="L51" s="165"/>
    </row>
  </sheetData>
  <mergeCells count="4">
    <mergeCell ref="C7:E7"/>
    <mergeCell ref="F7:H7"/>
    <mergeCell ref="F21:H21"/>
    <mergeCell ref="C21:E21"/>
  </mergeCells>
  <phoneticPr fontId="5" type="noConversion"/>
  <pageMargins left="0.75" right="0.75" top="0.45" bottom="0.59" header="0.34" footer="0.5"/>
  <pageSetup paperSize="9" scale="83" orientation="landscape" r:id="rId1"/>
  <headerFooter alignWithMargins="0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Blad1"/>
  <dimension ref="A1:BB1364"/>
  <sheetViews>
    <sheetView showRowColHeaders="0" workbookViewId="0">
      <pane ySplit="18" topLeftCell="A19" activePane="bottomLeft" state="frozen"/>
      <selection pane="bottomLeft"/>
    </sheetView>
  </sheetViews>
  <sheetFormatPr defaultRowHeight="12.75" x14ac:dyDescent="0.2"/>
  <cols>
    <col min="1" max="1" width="61" style="255" customWidth="1"/>
    <col min="2" max="8" width="8" style="65" customWidth="1"/>
    <col min="9" max="9" width="9.28515625" style="50" customWidth="1"/>
    <col min="10" max="10" width="9.140625" style="50"/>
    <col min="11" max="11" width="11.7109375" style="50" bestFit="1" customWidth="1"/>
    <col min="12" max="12" width="6" style="72" bestFit="1" customWidth="1"/>
    <col min="13" max="13" width="8.140625" style="64" bestFit="1" customWidth="1"/>
    <col min="14" max="14" width="10.140625" style="64" bestFit="1" customWidth="1"/>
    <col min="15" max="15" width="11" style="64" bestFit="1" customWidth="1"/>
    <col min="16" max="16" width="13.28515625" style="76" bestFit="1" customWidth="1"/>
    <col min="17" max="17" width="13.28515625" style="50" bestFit="1" customWidth="1"/>
    <col min="18" max="18" width="43.7109375" style="50" bestFit="1" customWidth="1"/>
    <col min="19" max="19" width="33.85546875" style="44" bestFit="1" customWidth="1"/>
    <col min="20" max="20" width="33.85546875" style="83" bestFit="1" customWidth="1"/>
    <col min="21" max="24" width="9.140625" style="83"/>
    <col min="25" max="25" width="10.140625" style="83" bestFit="1" customWidth="1"/>
    <col min="26" max="53" width="9.140625" style="83"/>
    <col min="54" max="54" width="10.140625" style="83" bestFit="1" customWidth="1"/>
    <col min="55" max="16384" width="9.140625" style="83"/>
  </cols>
  <sheetData>
    <row r="1" spans="1:54" s="108" customFormat="1" x14ac:dyDescent="0.2">
      <c r="A1" s="245"/>
      <c r="B1" s="103"/>
      <c r="C1" s="103"/>
      <c r="D1" s="103"/>
      <c r="E1" s="103"/>
      <c r="F1" s="103"/>
      <c r="G1" s="103"/>
      <c r="H1" s="103"/>
      <c r="I1" s="104"/>
      <c r="J1" s="104"/>
      <c r="K1" s="104"/>
      <c r="L1" s="105"/>
      <c r="M1" s="106"/>
      <c r="N1" s="106"/>
      <c r="P1" s="106"/>
      <c r="Q1" s="205"/>
      <c r="R1" s="104"/>
      <c r="S1" s="104"/>
      <c r="T1" s="107"/>
      <c r="BA1"/>
      <c r="BB1" s="83"/>
    </row>
    <row r="2" spans="1:54" s="108" customFormat="1" ht="18" x14ac:dyDescent="0.25">
      <c r="A2" s="246" t="s">
        <v>1143</v>
      </c>
      <c r="B2" s="109"/>
      <c r="C2" s="109"/>
      <c r="D2" s="109"/>
      <c r="E2" s="109"/>
      <c r="F2" s="109"/>
      <c r="G2" s="109"/>
      <c r="H2" s="110"/>
      <c r="I2" s="104"/>
      <c r="J2" s="104"/>
      <c r="K2" s="104"/>
      <c r="L2" s="105"/>
      <c r="M2" s="106"/>
      <c r="N2" s="106"/>
      <c r="P2" s="106"/>
      <c r="Q2" s="205"/>
      <c r="R2" s="104"/>
      <c r="S2" s="104"/>
      <c r="T2" s="107"/>
      <c r="BA2"/>
      <c r="BB2" s="83"/>
    </row>
    <row r="3" spans="1:54" s="108" customFormat="1" x14ac:dyDescent="0.2">
      <c r="A3" s="245"/>
      <c r="B3" s="103"/>
      <c r="C3" s="103"/>
      <c r="D3" s="103"/>
      <c r="E3" s="103"/>
      <c r="F3" s="103"/>
      <c r="G3" s="103"/>
      <c r="H3" s="103"/>
      <c r="I3" s="104"/>
      <c r="J3" s="104"/>
      <c r="K3" s="104"/>
      <c r="L3" s="105"/>
      <c r="M3" s="106"/>
      <c r="N3" s="106"/>
      <c r="P3" s="106"/>
      <c r="Q3" s="205"/>
      <c r="R3" s="104"/>
      <c r="S3" s="104"/>
      <c r="T3" s="107"/>
      <c r="BA3"/>
      <c r="BB3" s="83"/>
    </row>
    <row r="4" spans="1:54" s="108" customFormat="1" x14ac:dyDescent="0.2">
      <c r="A4" s="247"/>
      <c r="B4" s="107"/>
      <c r="C4" s="107"/>
      <c r="D4" s="107"/>
      <c r="E4" s="107"/>
      <c r="F4" s="107"/>
      <c r="G4" s="107"/>
      <c r="H4" s="103"/>
      <c r="I4" s="104"/>
      <c r="J4" s="104"/>
      <c r="K4" s="104"/>
      <c r="L4" s="105"/>
      <c r="M4" s="106"/>
      <c r="N4" s="106"/>
      <c r="P4" s="106"/>
      <c r="Q4" s="205"/>
      <c r="R4" s="104"/>
      <c r="S4" s="104"/>
      <c r="T4" s="107"/>
      <c r="BA4"/>
      <c r="BB4" s="83"/>
    </row>
    <row r="5" spans="1:54" s="119" customFormat="1" x14ac:dyDescent="0.2">
      <c r="A5" s="247"/>
      <c r="B5" s="111"/>
      <c r="C5" s="111"/>
      <c r="D5" s="112"/>
      <c r="E5" s="113"/>
      <c r="F5" s="114"/>
      <c r="G5" s="114"/>
      <c r="H5" s="114"/>
      <c r="I5" s="114"/>
      <c r="J5" s="115"/>
      <c r="K5" s="115"/>
      <c r="L5" s="117"/>
      <c r="M5" s="113"/>
      <c r="N5" s="116"/>
      <c r="P5" s="118"/>
      <c r="Q5" s="144"/>
      <c r="BA5"/>
      <c r="BB5" s="83"/>
    </row>
    <row r="6" spans="1:54" s="119" customFormat="1" x14ac:dyDescent="0.2">
      <c r="A6" s="247"/>
      <c r="B6" s="111"/>
      <c r="C6" s="111"/>
      <c r="D6" s="112"/>
      <c r="E6" s="113"/>
      <c r="F6" s="114"/>
      <c r="G6" s="114"/>
      <c r="H6" s="114"/>
      <c r="I6" s="114"/>
      <c r="J6" s="115"/>
      <c r="K6" s="115"/>
      <c r="L6" s="117"/>
      <c r="M6" s="113"/>
      <c r="N6" s="116"/>
      <c r="P6" s="118"/>
      <c r="Q6" s="144"/>
      <c r="BA6"/>
      <c r="BB6" s="83"/>
    </row>
    <row r="7" spans="1:54" s="119" customFormat="1" x14ac:dyDescent="0.2">
      <c r="A7" s="247" t="s">
        <v>1160</v>
      </c>
      <c r="B7" s="111"/>
      <c r="C7" s="111"/>
      <c r="D7" s="112"/>
      <c r="E7" s="120"/>
      <c r="F7" s="114"/>
      <c r="G7" s="114"/>
      <c r="H7" s="114"/>
      <c r="I7" s="114"/>
      <c r="J7" s="114"/>
      <c r="K7" s="114"/>
      <c r="L7" s="116"/>
      <c r="M7" s="116"/>
      <c r="N7" s="116"/>
      <c r="P7" s="118"/>
      <c r="Q7" s="144"/>
      <c r="BA7"/>
      <c r="BB7" s="83"/>
    </row>
    <row r="8" spans="1:54" s="119" customFormat="1" x14ac:dyDescent="0.2">
      <c r="A8" s="247" t="s">
        <v>547</v>
      </c>
      <c r="B8" s="111"/>
      <c r="C8" s="111"/>
      <c r="D8" s="112"/>
      <c r="E8" s="120"/>
      <c r="F8" s="114"/>
      <c r="G8" s="114"/>
      <c r="H8" s="114"/>
      <c r="I8" s="114"/>
      <c r="J8" s="114"/>
      <c r="K8" s="114"/>
      <c r="L8" s="117"/>
      <c r="M8" s="113"/>
      <c r="N8" s="116"/>
      <c r="P8" s="118"/>
      <c r="Q8" s="144"/>
      <c r="BA8"/>
      <c r="BB8" s="83"/>
    </row>
    <row r="9" spans="1:54" s="119" customFormat="1" x14ac:dyDescent="0.2">
      <c r="A9" s="247"/>
      <c r="B9" s="111"/>
      <c r="C9" s="111"/>
      <c r="D9" s="121"/>
      <c r="E9" s="121"/>
      <c r="F9" s="114"/>
      <c r="G9" s="114"/>
      <c r="H9" s="114"/>
      <c r="I9" s="114"/>
      <c r="J9" s="114"/>
      <c r="K9" s="114"/>
      <c r="L9" s="117"/>
      <c r="M9" s="113"/>
      <c r="N9" s="116"/>
      <c r="P9" s="118"/>
      <c r="Q9" s="144"/>
      <c r="BA9"/>
      <c r="BB9" s="83"/>
    </row>
    <row r="10" spans="1:54" s="119" customFormat="1" x14ac:dyDescent="0.2">
      <c r="A10" s="248"/>
      <c r="B10" s="111"/>
      <c r="C10" s="111"/>
      <c r="D10" s="121"/>
      <c r="E10" s="121"/>
      <c r="F10" s="114"/>
      <c r="G10" s="114"/>
      <c r="H10" s="114"/>
      <c r="I10" s="114"/>
      <c r="J10" s="114"/>
      <c r="K10" s="114"/>
      <c r="L10" s="117"/>
      <c r="M10" s="113"/>
      <c r="N10" s="116"/>
      <c r="P10" s="118"/>
      <c r="Q10" s="144"/>
      <c r="BA10"/>
      <c r="BB10" s="83"/>
    </row>
    <row r="11" spans="1:54" s="119" customFormat="1" ht="12" customHeight="1" x14ac:dyDescent="0.2">
      <c r="A11" s="247"/>
      <c r="B11" s="111"/>
      <c r="C11" s="111"/>
      <c r="D11" s="121"/>
      <c r="E11" s="120"/>
      <c r="F11" s="114"/>
      <c r="G11" s="114"/>
      <c r="H11" s="114"/>
      <c r="I11" s="114"/>
      <c r="J11" s="114"/>
      <c r="K11" s="114"/>
      <c r="L11" s="117"/>
      <c r="M11" s="113"/>
      <c r="N11" s="116"/>
      <c r="P11" s="118"/>
      <c r="Q11" s="144"/>
      <c r="BA11"/>
      <c r="BB11" s="210"/>
    </row>
    <row r="12" spans="1:54" s="119" customFormat="1" hidden="1" x14ac:dyDescent="0.2">
      <c r="A12" s="249" t="s">
        <v>546</v>
      </c>
      <c r="B12" s="122"/>
      <c r="C12" s="122"/>
      <c r="D12" s="121"/>
      <c r="E12" s="120"/>
      <c r="F12" s="114"/>
      <c r="G12" s="114"/>
      <c r="H12" s="114"/>
      <c r="I12" s="114"/>
      <c r="J12" s="114"/>
      <c r="K12" s="114"/>
      <c r="L12" s="117"/>
      <c r="M12" s="113"/>
      <c r="N12" s="116"/>
      <c r="P12" s="118"/>
      <c r="Q12" s="144"/>
    </row>
    <row r="13" spans="1:54" s="119" customFormat="1" hidden="1" x14ac:dyDescent="0.2">
      <c r="A13" s="249"/>
      <c r="B13" s="122"/>
      <c r="C13" s="122"/>
      <c r="D13" s="121"/>
      <c r="E13" s="120"/>
      <c r="F13" s="114"/>
      <c r="G13" s="123"/>
      <c r="H13" s="123"/>
      <c r="I13" s="124"/>
      <c r="J13" s="125"/>
      <c r="K13" s="125"/>
      <c r="L13" s="117"/>
      <c r="M13" s="113"/>
      <c r="N13" s="116"/>
      <c r="P13" s="118"/>
      <c r="Q13" s="144"/>
    </row>
    <row r="14" spans="1:54" s="119" customFormat="1" hidden="1" x14ac:dyDescent="0.2">
      <c r="A14" s="249"/>
      <c r="B14" s="122"/>
      <c r="C14" s="122"/>
      <c r="D14" s="121"/>
      <c r="E14" s="120"/>
      <c r="F14" s="112"/>
      <c r="G14" s="126"/>
      <c r="H14" s="127"/>
      <c r="I14" s="112"/>
      <c r="J14" s="116"/>
      <c r="K14" s="116"/>
      <c r="L14" s="117"/>
      <c r="M14" s="113"/>
      <c r="N14" s="116"/>
      <c r="P14" s="118"/>
      <c r="Q14" s="144"/>
    </row>
    <row r="15" spans="1:54" s="119" customFormat="1" hidden="1" x14ac:dyDescent="0.2">
      <c r="A15" s="249"/>
      <c r="B15" s="122"/>
      <c r="C15" s="122"/>
      <c r="D15" s="112"/>
      <c r="E15" s="113"/>
      <c r="F15" s="112"/>
      <c r="G15" s="126"/>
      <c r="H15" s="127"/>
      <c r="I15" s="112"/>
      <c r="J15" s="116"/>
      <c r="K15" s="116"/>
      <c r="L15" s="117"/>
      <c r="M15" s="113"/>
      <c r="N15" s="116"/>
      <c r="P15" s="118"/>
      <c r="Q15" s="144"/>
    </row>
    <row r="16" spans="1:54" s="108" customFormat="1" ht="12.75" customHeight="1" x14ac:dyDescent="0.2">
      <c r="A16" s="250"/>
      <c r="B16" s="128"/>
      <c r="C16" s="128"/>
      <c r="D16" s="128"/>
      <c r="E16" s="128"/>
      <c r="F16" s="128"/>
      <c r="G16" s="128"/>
      <c r="H16" s="128"/>
      <c r="I16" s="128"/>
      <c r="J16" s="214"/>
      <c r="K16" s="214"/>
      <c r="L16" s="129"/>
      <c r="M16" s="130"/>
      <c r="N16" s="131"/>
      <c r="P16" s="131"/>
      <c r="Q16" s="206"/>
      <c r="R16" s="128"/>
      <c r="S16" s="128"/>
    </row>
    <row r="17" spans="1:23" s="108" customFormat="1" ht="12.75" customHeight="1" x14ac:dyDescent="0.2">
      <c r="A17" s="251"/>
      <c r="B17" s="271" t="s">
        <v>756</v>
      </c>
      <c r="C17" s="272"/>
      <c r="D17" s="272"/>
      <c r="E17" s="272"/>
      <c r="F17" s="272"/>
      <c r="G17" s="272"/>
      <c r="H17" s="272"/>
      <c r="I17" s="273"/>
      <c r="J17" s="271" t="s">
        <v>780</v>
      </c>
      <c r="K17" s="272"/>
      <c r="L17" s="216"/>
      <c r="M17" s="213" t="s">
        <v>757</v>
      </c>
      <c r="N17" s="132" t="s">
        <v>760</v>
      </c>
      <c r="O17" s="132"/>
      <c r="P17" s="132" t="s">
        <v>778</v>
      </c>
      <c r="Q17" s="207"/>
      <c r="R17" s="133"/>
      <c r="S17" s="133"/>
      <c r="T17" s="133"/>
    </row>
    <row r="18" spans="1:23" x14ac:dyDescent="0.2">
      <c r="A18" s="252" t="s">
        <v>745</v>
      </c>
      <c r="B18" s="194" t="s">
        <v>507</v>
      </c>
      <c r="C18" s="194" t="s">
        <v>1142</v>
      </c>
      <c r="D18" s="134" t="s">
        <v>508</v>
      </c>
      <c r="E18" s="134" t="s">
        <v>509</v>
      </c>
      <c r="F18" s="134" t="s">
        <v>510</v>
      </c>
      <c r="G18" s="134" t="s">
        <v>511</v>
      </c>
      <c r="H18" s="134" t="s">
        <v>512</v>
      </c>
      <c r="I18" s="136" t="s">
        <v>905</v>
      </c>
      <c r="J18" s="134" t="s">
        <v>536</v>
      </c>
      <c r="K18" s="134" t="s">
        <v>537</v>
      </c>
      <c r="L18" s="217" t="s">
        <v>747</v>
      </c>
      <c r="M18" s="215" t="s">
        <v>758</v>
      </c>
      <c r="N18" s="134" t="s">
        <v>759</v>
      </c>
      <c r="O18" s="134" t="s">
        <v>1077</v>
      </c>
      <c r="P18" s="134" t="s">
        <v>742</v>
      </c>
      <c r="Q18" s="135" t="s">
        <v>761</v>
      </c>
      <c r="R18" s="135" t="s">
        <v>750</v>
      </c>
      <c r="S18" s="136" t="s">
        <v>746</v>
      </c>
      <c r="T18" s="136" t="s">
        <v>188</v>
      </c>
    </row>
    <row r="19" spans="1:23" x14ac:dyDescent="0.2">
      <c r="A19" s="253" t="s">
        <v>869</v>
      </c>
      <c r="B19" s="101">
        <v>5</v>
      </c>
      <c r="C19" s="101">
        <v>5</v>
      </c>
      <c r="D19" s="101">
        <v>5</v>
      </c>
      <c r="E19" s="101">
        <v>-3</v>
      </c>
      <c r="F19" s="101">
        <v>-7</v>
      </c>
      <c r="G19" s="101">
        <v>85</v>
      </c>
      <c r="H19" s="101">
        <v>4</v>
      </c>
      <c r="I19" s="101">
        <v>1</v>
      </c>
      <c r="J19" s="102">
        <v>0</v>
      </c>
      <c r="K19" s="102">
        <v>0</v>
      </c>
      <c r="L19" s="101">
        <v>18</v>
      </c>
      <c r="M19" s="101">
        <v>1.3</v>
      </c>
      <c r="N19" s="101" t="s">
        <v>952</v>
      </c>
      <c r="O19" s="101">
        <v>2006</v>
      </c>
      <c r="P19" s="101" t="s">
        <v>867</v>
      </c>
      <c r="Q19" s="101">
        <v>734491</v>
      </c>
      <c r="R19" t="s">
        <v>247</v>
      </c>
      <c r="S19" t="s">
        <v>840</v>
      </c>
      <c r="T19"/>
      <c r="U19" s="222"/>
      <c r="V19" s="222"/>
      <c r="W19" s="222"/>
    </row>
    <row r="20" spans="1:23" x14ac:dyDescent="0.2">
      <c r="A20" s="253" t="s">
        <v>844</v>
      </c>
      <c r="B20" s="101">
        <v>0</v>
      </c>
      <c r="C20" s="101">
        <v>0</v>
      </c>
      <c r="D20" s="101">
        <v>1</v>
      </c>
      <c r="E20" s="101">
        <v>2</v>
      </c>
      <c r="F20" s="101">
        <v>4</v>
      </c>
      <c r="G20" s="101"/>
      <c r="H20" s="101"/>
      <c r="I20" s="101"/>
      <c r="J20" s="102">
        <v>0.09</v>
      </c>
      <c r="K20" s="102">
        <v>0.09</v>
      </c>
      <c r="L20" s="101"/>
      <c r="M20" s="101"/>
      <c r="N20" s="101" t="s">
        <v>952</v>
      </c>
      <c r="O20" s="101">
        <v>2010</v>
      </c>
      <c r="P20" s="101" t="s">
        <v>867</v>
      </c>
      <c r="Q20" s="101">
        <v>545541</v>
      </c>
      <c r="R20" t="s">
        <v>906</v>
      </c>
      <c r="S20" t="s">
        <v>645</v>
      </c>
      <c r="T20" t="s">
        <v>953</v>
      </c>
      <c r="U20"/>
      <c r="V20"/>
      <c r="W20" s="223"/>
    </row>
    <row r="21" spans="1:23" x14ac:dyDescent="0.2">
      <c r="A21" s="253" t="s">
        <v>581</v>
      </c>
      <c r="B21" s="101">
        <v>0</v>
      </c>
      <c r="C21" s="101">
        <v>0</v>
      </c>
      <c r="D21" s="101">
        <v>0</v>
      </c>
      <c r="E21" s="101">
        <v>1</v>
      </c>
      <c r="F21" s="101">
        <v>2</v>
      </c>
      <c r="G21" s="101">
        <v>2</v>
      </c>
      <c r="H21" s="101">
        <v>10</v>
      </c>
      <c r="I21" s="101">
        <v>2</v>
      </c>
      <c r="J21" s="102">
        <v>0.1</v>
      </c>
      <c r="K21" s="102">
        <v>0.106765</v>
      </c>
      <c r="L21" s="101">
        <v>0.2</v>
      </c>
      <c r="M21" s="101">
        <v>0</v>
      </c>
      <c r="N21" s="101" t="s">
        <v>952</v>
      </c>
      <c r="O21" s="101">
        <v>2001</v>
      </c>
      <c r="P21" s="101" t="s">
        <v>867</v>
      </c>
      <c r="Q21" s="101">
        <v>294918</v>
      </c>
      <c r="R21" t="s">
        <v>795</v>
      </c>
      <c r="S21" t="s">
        <v>578</v>
      </c>
      <c r="T21"/>
      <c r="U21"/>
      <c r="V21"/>
      <c r="W21" s="223"/>
    </row>
    <row r="22" spans="1:23" x14ac:dyDescent="0.2">
      <c r="A22" s="253" t="s">
        <v>928</v>
      </c>
      <c r="B22" s="101">
        <v>0</v>
      </c>
      <c r="C22" s="101">
        <v>0</v>
      </c>
      <c r="D22" s="101">
        <v>3</v>
      </c>
      <c r="E22" s="101">
        <v>6</v>
      </c>
      <c r="F22" s="101">
        <v>13</v>
      </c>
      <c r="G22" s="101">
        <v>21</v>
      </c>
      <c r="H22" s="101">
        <v>39</v>
      </c>
      <c r="I22" s="101">
        <v>7</v>
      </c>
      <c r="J22" s="102">
        <v>0.11</v>
      </c>
      <c r="K22" s="102">
        <v>0.15</v>
      </c>
      <c r="L22" s="101">
        <v>4.3</v>
      </c>
      <c r="M22" s="101">
        <v>1.3</v>
      </c>
      <c r="N22" s="101" t="s">
        <v>952</v>
      </c>
      <c r="O22" s="101">
        <v>2000</v>
      </c>
      <c r="P22" s="101" t="s">
        <v>867</v>
      </c>
      <c r="Q22" s="101">
        <v>574293</v>
      </c>
      <c r="R22" t="s">
        <v>927</v>
      </c>
      <c r="S22" t="s">
        <v>645</v>
      </c>
      <c r="T22"/>
      <c r="U22"/>
      <c r="V22"/>
      <c r="W22" s="223"/>
    </row>
    <row r="23" spans="1:23" x14ac:dyDescent="0.2">
      <c r="A23" s="253" t="s">
        <v>651</v>
      </c>
      <c r="B23" s="101">
        <v>0</v>
      </c>
      <c r="C23" s="101">
        <v>0</v>
      </c>
      <c r="D23" s="101">
        <v>2</v>
      </c>
      <c r="E23" s="101">
        <v>6</v>
      </c>
      <c r="F23" s="101">
        <v>11</v>
      </c>
      <c r="G23" s="101">
        <v>17</v>
      </c>
      <c r="H23" s="101">
        <v>32</v>
      </c>
      <c r="I23" s="101">
        <v>6</v>
      </c>
      <c r="J23" s="102">
        <v>0.11</v>
      </c>
      <c r="K23" s="102">
        <v>0.2</v>
      </c>
      <c r="L23" s="101">
        <v>3.3</v>
      </c>
      <c r="M23" s="101">
        <v>1.3</v>
      </c>
      <c r="N23" s="101" t="s">
        <v>952</v>
      </c>
      <c r="O23" s="101">
        <v>2000</v>
      </c>
      <c r="P23" s="101" t="s">
        <v>867</v>
      </c>
      <c r="Q23" s="101">
        <v>534800</v>
      </c>
      <c r="R23" t="s">
        <v>914</v>
      </c>
      <c r="S23" t="s">
        <v>645</v>
      </c>
      <c r="T23" t="s">
        <v>953</v>
      </c>
      <c r="U23"/>
      <c r="V23"/>
      <c r="W23" s="223"/>
    </row>
    <row r="24" spans="1:23" x14ac:dyDescent="0.2">
      <c r="A24" s="253" t="s">
        <v>646</v>
      </c>
      <c r="B24" s="101">
        <v>0</v>
      </c>
      <c r="C24" s="101">
        <v>0</v>
      </c>
      <c r="D24" s="101">
        <v>2</v>
      </c>
      <c r="E24" s="101">
        <v>4</v>
      </c>
      <c r="F24" s="101">
        <v>9</v>
      </c>
      <c r="G24" s="101">
        <v>15</v>
      </c>
      <c r="H24" s="101">
        <v>28</v>
      </c>
      <c r="I24" s="101">
        <v>5</v>
      </c>
      <c r="J24" s="102">
        <v>0.11</v>
      </c>
      <c r="K24" s="102">
        <v>0.136847</v>
      </c>
      <c r="L24" s="101">
        <v>2.4</v>
      </c>
      <c r="M24" s="101">
        <v>1.5</v>
      </c>
      <c r="N24" s="101" t="s">
        <v>952</v>
      </c>
      <c r="O24" s="101">
        <v>2001</v>
      </c>
      <c r="P24" s="101" t="s">
        <v>867</v>
      </c>
      <c r="Q24" s="101">
        <v>330746</v>
      </c>
      <c r="R24" t="s">
        <v>795</v>
      </c>
      <c r="S24" t="s">
        <v>645</v>
      </c>
      <c r="T24"/>
      <c r="U24"/>
      <c r="V24"/>
      <c r="W24" s="223"/>
    </row>
    <row r="25" spans="1:23" x14ac:dyDescent="0.2">
      <c r="A25" s="253" t="s">
        <v>926</v>
      </c>
      <c r="B25" s="101">
        <v>0</v>
      </c>
      <c r="C25" s="101">
        <v>0</v>
      </c>
      <c r="D25" s="101">
        <v>1</v>
      </c>
      <c r="E25" s="101">
        <v>1</v>
      </c>
      <c r="F25" s="101">
        <v>3</v>
      </c>
      <c r="G25" s="101">
        <v>7</v>
      </c>
      <c r="H25" s="101">
        <v>15</v>
      </c>
      <c r="I25" s="101">
        <v>3</v>
      </c>
      <c r="J25" s="102">
        <v>0.11</v>
      </c>
      <c r="K25" s="102">
        <v>0.15</v>
      </c>
      <c r="L25" s="101">
        <v>0.4</v>
      </c>
      <c r="M25" s="101">
        <v>3.4</v>
      </c>
      <c r="N25" s="101" t="s">
        <v>952</v>
      </c>
      <c r="O25" s="101">
        <v>2004</v>
      </c>
      <c r="P25" s="101" t="s">
        <v>867</v>
      </c>
      <c r="Q25" s="101">
        <v>305185</v>
      </c>
      <c r="R25" t="s">
        <v>927</v>
      </c>
      <c r="S25" t="s">
        <v>578</v>
      </c>
      <c r="T25"/>
      <c r="U25"/>
      <c r="V25"/>
      <c r="W25" s="223"/>
    </row>
    <row r="26" spans="1:23" x14ac:dyDescent="0.2">
      <c r="A26" s="253" t="s">
        <v>204</v>
      </c>
      <c r="B26" s="101">
        <v>0</v>
      </c>
      <c r="C26" s="101">
        <v>0</v>
      </c>
      <c r="D26" s="101">
        <v>1</v>
      </c>
      <c r="E26" s="101">
        <v>1</v>
      </c>
      <c r="F26" s="101">
        <v>2</v>
      </c>
      <c r="G26" s="101">
        <v>5</v>
      </c>
      <c r="H26" s="101">
        <v>12</v>
      </c>
      <c r="I26" s="101">
        <v>2</v>
      </c>
      <c r="J26" s="102">
        <v>0.11</v>
      </c>
      <c r="K26" s="102">
        <v>0.2</v>
      </c>
      <c r="L26" s="101">
        <v>0.5</v>
      </c>
      <c r="M26" s="101">
        <v>1.9</v>
      </c>
      <c r="N26" s="101" t="s">
        <v>952</v>
      </c>
      <c r="O26" s="101">
        <v>2010</v>
      </c>
      <c r="P26" s="101" t="s">
        <v>867</v>
      </c>
      <c r="Q26" s="101">
        <v>442897</v>
      </c>
      <c r="R26" t="s">
        <v>914</v>
      </c>
      <c r="S26" t="s">
        <v>578</v>
      </c>
      <c r="T26" t="s">
        <v>953</v>
      </c>
      <c r="U26"/>
      <c r="V26"/>
      <c r="W26" s="223"/>
    </row>
    <row r="27" spans="1:23" x14ac:dyDescent="0.2">
      <c r="A27" s="253" t="s">
        <v>929</v>
      </c>
      <c r="B27" s="101">
        <v>0</v>
      </c>
      <c r="C27" s="101">
        <v>0</v>
      </c>
      <c r="D27" s="101">
        <v>2</v>
      </c>
      <c r="E27" s="101">
        <v>4</v>
      </c>
      <c r="F27" s="101">
        <v>8</v>
      </c>
      <c r="G27" s="101"/>
      <c r="H27" s="101"/>
      <c r="I27" s="101"/>
      <c r="J27" s="102">
        <v>0.11</v>
      </c>
      <c r="K27" s="102">
        <v>0.151006</v>
      </c>
      <c r="L27" s="101"/>
      <c r="M27" s="101"/>
      <c r="N27" s="101" t="s">
        <v>952</v>
      </c>
      <c r="O27" s="101">
        <v>2009</v>
      </c>
      <c r="P27" s="101" t="s">
        <v>867</v>
      </c>
      <c r="Q27" s="101">
        <v>617209</v>
      </c>
      <c r="R27" t="s">
        <v>795</v>
      </c>
      <c r="S27" t="s">
        <v>645</v>
      </c>
      <c r="T27"/>
      <c r="U27"/>
      <c r="V27"/>
      <c r="W27" s="223"/>
    </row>
    <row r="28" spans="1:23" x14ac:dyDescent="0.2">
      <c r="A28" s="253" t="s">
        <v>695</v>
      </c>
      <c r="B28" s="101">
        <v>0</v>
      </c>
      <c r="C28" s="101">
        <v>0</v>
      </c>
      <c r="D28" s="101">
        <v>1</v>
      </c>
      <c r="E28" s="101">
        <v>1</v>
      </c>
      <c r="F28" s="101">
        <v>3</v>
      </c>
      <c r="G28" s="101">
        <v>7</v>
      </c>
      <c r="H28" s="101"/>
      <c r="I28" s="101"/>
      <c r="J28" s="102">
        <v>0.11</v>
      </c>
      <c r="K28" s="102">
        <v>0.119616</v>
      </c>
      <c r="L28" s="101">
        <v>0.3</v>
      </c>
      <c r="M28" s="101">
        <v>4.4000000000000004</v>
      </c>
      <c r="N28" s="101" t="s">
        <v>952</v>
      </c>
      <c r="O28" s="101">
        <v>2008</v>
      </c>
      <c r="P28" s="101" t="s">
        <v>867</v>
      </c>
      <c r="Q28" s="101">
        <v>972497</v>
      </c>
      <c r="R28" t="s">
        <v>728</v>
      </c>
      <c r="S28" t="s">
        <v>578</v>
      </c>
      <c r="T28"/>
      <c r="U28"/>
      <c r="V28"/>
      <c r="W28" s="223"/>
    </row>
    <row r="29" spans="1:23" x14ac:dyDescent="0.2">
      <c r="A29" s="253" t="s">
        <v>714</v>
      </c>
      <c r="B29" s="101">
        <v>0</v>
      </c>
      <c r="C29" s="101">
        <v>0</v>
      </c>
      <c r="D29" s="101">
        <v>2</v>
      </c>
      <c r="E29" s="101">
        <v>5</v>
      </c>
      <c r="F29" s="101">
        <v>11</v>
      </c>
      <c r="G29" s="101">
        <v>16</v>
      </c>
      <c r="H29" s="101">
        <v>32</v>
      </c>
      <c r="I29" s="101">
        <v>6</v>
      </c>
      <c r="J29" s="102">
        <v>0.12</v>
      </c>
      <c r="K29" s="102">
        <v>0.3</v>
      </c>
      <c r="L29" s="101">
        <v>3.3</v>
      </c>
      <c r="M29" s="101">
        <v>1.3</v>
      </c>
      <c r="N29" s="101" t="s">
        <v>952</v>
      </c>
      <c r="O29" s="101">
        <v>2000</v>
      </c>
      <c r="P29" s="101" t="s">
        <v>867</v>
      </c>
      <c r="Q29" s="101">
        <v>578542</v>
      </c>
      <c r="R29" t="s">
        <v>893</v>
      </c>
      <c r="S29" t="s">
        <v>645</v>
      </c>
      <c r="T29" t="s">
        <v>953</v>
      </c>
      <c r="U29"/>
      <c r="V29"/>
      <c r="W29" s="223"/>
    </row>
    <row r="30" spans="1:23" x14ac:dyDescent="0.2">
      <c r="A30" s="253" t="s">
        <v>642</v>
      </c>
      <c r="B30" s="101">
        <v>0</v>
      </c>
      <c r="C30" s="101">
        <v>0</v>
      </c>
      <c r="D30" s="101">
        <v>1</v>
      </c>
      <c r="E30" s="101">
        <v>1</v>
      </c>
      <c r="F30" s="101">
        <v>2</v>
      </c>
      <c r="G30" s="101">
        <v>4</v>
      </c>
      <c r="H30" s="101">
        <v>14</v>
      </c>
      <c r="I30" s="101">
        <v>3</v>
      </c>
      <c r="J30" s="102">
        <v>0.12</v>
      </c>
      <c r="K30" s="102">
        <v>0.21</v>
      </c>
      <c r="L30" s="101">
        <v>0.4</v>
      </c>
      <c r="M30" s="101">
        <v>1.3</v>
      </c>
      <c r="N30" s="101" t="s">
        <v>952</v>
      </c>
      <c r="O30" s="101">
        <v>2000</v>
      </c>
      <c r="P30" s="101" t="s">
        <v>867</v>
      </c>
      <c r="Q30" s="101">
        <v>420646</v>
      </c>
      <c r="R30" t="s">
        <v>810</v>
      </c>
      <c r="S30" t="s">
        <v>578</v>
      </c>
      <c r="T30"/>
      <c r="U30"/>
      <c r="V30"/>
      <c r="W30" s="223"/>
    </row>
    <row r="31" spans="1:23" x14ac:dyDescent="0.2">
      <c r="A31" s="253" t="s">
        <v>478</v>
      </c>
      <c r="B31" s="101">
        <v>0</v>
      </c>
      <c r="C31" s="101">
        <v>0</v>
      </c>
      <c r="D31" s="101">
        <v>1</v>
      </c>
      <c r="E31" s="101">
        <v>1</v>
      </c>
      <c r="F31" s="101">
        <v>3</v>
      </c>
      <c r="G31" s="101">
        <v>5</v>
      </c>
      <c r="H31" s="101">
        <v>15</v>
      </c>
      <c r="I31" s="101">
        <v>3</v>
      </c>
      <c r="J31" s="102">
        <v>0.12</v>
      </c>
      <c r="K31" s="102">
        <v>0.16</v>
      </c>
      <c r="L31" s="101">
        <v>0.4</v>
      </c>
      <c r="M31" s="101">
        <v>2.5</v>
      </c>
      <c r="N31" s="101" t="s">
        <v>952</v>
      </c>
      <c r="O31" s="101">
        <v>2006</v>
      </c>
      <c r="P31" s="101" t="s">
        <v>867</v>
      </c>
      <c r="Q31" s="101">
        <v>418699</v>
      </c>
      <c r="R31" t="s">
        <v>37</v>
      </c>
      <c r="S31" t="s">
        <v>578</v>
      </c>
      <c r="T31"/>
      <c r="U31"/>
      <c r="V31"/>
      <c r="W31" s="223"/>
    </row>
    <row r="32" spans="1:23" x14ac:dyDescent="0.2">
      <c r="A32" s="253" t="s">
        <v>584</v>
      </c>
      <c r="B32" s="101">
        <v>0</v>
      </c>
      <c r="C32" s="101">
        <v>0</v>
      </c>
      <c r="D32" s="101">
        <v>1</v>
      </c>
      <c r="E32" s="101">
        <v>1</v>
      </c>
      <c r="F32" s="101">
        <v>2</v>
      </c>
      <c r="G32" s="101">
        <v>5</v>
      </c>
      <c r="H32" s="101">
        <v>14</v>
      </c>
      <c r="I32" s="101">
        <v>3</v>
      </c>
      <c r="J32" s="102">
        <v>0.12</v>
      </c>
      <c r="K32" s="102">
        <v>0.3</v>
      </c>
      <c r="L32" s="101">
        <v>0.3</v>
      </c>
      <c r="M32" s="101">
        <v>2.5</v>
      </c>
      <c r="N32" s="101" t="s">
        <v>952</v>
      </c>
      <c r="O32" s="101">
        <v>2000</v>
      </c>
      <c r="P32" s="101" t="s">
        <v>867</v>
      </c>
      <c r="Q32" s="101">
        <v>614370</v>
      </c>
      <c r="R32" t="s">
        <v>893</v>
      </c>
      <c r="S32" t="s">
        <v>578</v>
      </c>
      <c r="T32" t="s">
        <v>953</v>
      </c>
      <c r="U32"/>
      <c r="V32"/>
      <c r="W32" s="223"/>
    </row>
    <row r="33" spans="1:23" x14ac:dyDescent="0.2">
      <c r="A33" s="253" t="s">
        <v>494</v>
      </c>
      <c r="B33" s="101">
        <v>0</v>
      </c>
      <c r="C33" s="101">
        <v>0</v>
      </c>
      <c r="D33" s="101">
        <v>1</v>
      </c>
      <c r="E33" s="101">
        <v>1</v>
      </c>
      <c r="F33" s="101">
        <v>3</v>
      </c>
      <c r="G33" s="101">
        <v>5</v>
      </c>
      <c r="H33" s="101"/>
      <c r="I33" s="101"/>
      <c r="J33" s="102">
        <v>0.12</v>
      </c>
      <c r="K33" s="102">
        <v>0.2</v>
      </c>
      <c r="L33" s="101">
        <v>0.3</v>
      </c>
      <c r="M33" s="101">
        <v>3</v>
      </c>
      <c r="N33" s="101" t="s">
        <v>952</v>
      </c>
      <c r="O33" s="101">
        <v>2007</v>
      </c>
      <c r="P33" s="101" t="s">
        <v>742</v>
      </c>
      <c r="Q33" s="101">
        <v>870493</v>
      </c>
      <c r="R33" t="s">
        <v>913</v>
      </c>
      <c r="S33" t="s">
        <v>578</v>
      </c>
      <c r="T33"/>
      <c r="U33"/>
      <c r="V33"/>
      <c r="W33" s="223"/>
    </row>
    <row r="34" spans="1:23" x14ac:dyDescent="0.2">
      <c r="A34" s="253" t="s">
        <v>1144</v>
      </c>
      <c r="B34" s="101"/>
      <c r="C34" s="101"/>
      <c r="D34" s="101"/>
      <c r="E34" s="101"/>
      <c r="F34" s="101"/>
      <c r="G34" s="101"/>
      <c r="H34" s="101"/>
      <c r="I34" s="101"/>
      <c r="J34" s="102">
        <v>0.13</v>
      </c>
      <c r="K34" s="102">
        <v>0.3</v>
      </c>
      <c r="L34" s="101"/>
      <c r="M34" s="101"/>
      <c r="N34" s="101" t="s">
        <v>952</v>
      </c>
      <c r="O34" s="101">
        <v>2012</v>
      </c>
      <c r="P34" s="101" t="s">
        <v>867</v>
      </c>
      <c r="Q34" s="101">
        <v>265512</v>
      </c>
      <c r="R34" t="s">
        <v>927</v>
      </c>
      <c r="S34" t="s">
        <v>645</v>
      </c>
      <c r="T34"/>
      <c r="U34"/>
      <c r="V34"/>
      <c r="W34" s="223"/>
    </row>
    <row r="35" spans="1:23" x14ac:dyDescent="0.2">
      <c r="A35" s="253" t="s">
        <v>713</v>
      </c>
      <c r="B35" s="101">
        <v>0</v>
      </c>
      <c r="C35" s="101">
        <v>0</v>
      </c>
      <c r="D35" s="101">
        <v>2</v>
      </c>
      <c r="E35" s="101">
        <v>5</v>
      </c>
      <c r="F35" s="101">
        <v>11</v>
      </c>
      <c r="G35" s="101">
        <v>16</v>
      </c>
      <c r="H35" s="101">
        <v>32</v>
      </c>
      <c r="I35" s="101">
        <v>6</v>
      </c>
      <c r="J35" s="102">
        <v>0.14000000000000001</v>
      </c>
      <c r="K35" s="102">
        <v>0.4</v>
      </c>
      <c r="L35" s="101">
        <v>3.3</v>
      </c>
      <c r="M35" s="101">
        <v>1.3</v>
      </c>
      <c r="N35" s="101" t="s">
        <v>952</v>
      </c>
      <c r="O35" s="101">
        <v>2000</v>
      </c>
      <c r="P35" s="101" t="s">
        <v>867</v>
      </c>
      <c r="Q35" s="101">
        <v>761940</v>
      </c>
      <c r="R35" t="s">
        <v>893</v>
      </c>
      <c r="S35" t="s">
        <v>645</v>
      </c>
      <c r="T35" t="s">
        <v>953</v>
      </c>
      <c r="U35"/>
      <c r="V35"/>
      <c r="W35" s="223"/>
    </row>
    <row r="36" spans="1:23" x14ac:dyDescent="0.2">
      <c r="A36" s="253" t="s">
        <v>605</v>
      </c>
      <c r="B36" s="101">
        <v>0</v>
      </c>
      <c r="C36" s="101">
        <v>0</v>
      </c>
      <c r="D36" s="101">
        <v>2</v>
      </c>
      <c r="E36" s="101">
        <v>5</v>
      </c>
      <c r="F36" s="101">
        <v>10</v>
      </c>
      <c r="G36" s="101">
        <v>15</v>
      </c>
      <c r="H36" s="101">
        <v>29</v>
      </c>
      <c r="I36" s="101">
        <v>5</v>
      </c>
      <c r="J36" s="102">
        <v>0.14000000000000001</v>
      </c>
      <c r="K36" s="102">
        <v>0.41</v>
      </c>
      <c r="L36" s="101">
        <v>2.7</v>
      </c>
      <c r="M36" s="101">
        <v>1.5</v>
      </c>
      <c r="N36" s="101" t="s">
        <v>952</v>
      </c>
      <c r="O36" s="101">
        <v>2001</v>
      </c>
      <c r="P36" s="101" t="s">
        <v>867</v>
      </c>
      <c r="Q36" s="101">
        <v>680546</v>
      </c>
      <c r="R36" t="s">
        <v>198</v>
      </c>
      <c r="S36" t="s">
        <v>645</v>
      </c>
      <c r="T36"/>
      <c r="U36"/>
      <c r="V36"/>
      <c r="W36" s="223"/>
    </row>
    <row r="37" spans="1:23" x14ac:dyDescent="0.2">
      <c r="A37" s="253" t="s">
        <v>604</v>
      </c>
      <c r="B37" s="101">
        <v>0</v>
      </c>
      <c r="C37" s="101">
        <v>0</v>
      </c>
      <c r="D37" s="101">
        <v>2</v>
      </c>
      <c r="E37" s="101">
        <v>5</v>
      </c>
      <c r="F37" s="101">
        <v>9</v>
      </c>
      <c r="G37" s="101">
        <v>14</v>
      </c>
      <c r="H37" s="101">
        <v>29</v>
      </c>
      <c r="I37" s="101">
        <v>5</v>
      </c>
      <c r="J37" s="102">
        <v>0.14000000000000001</v>
      </c>
      <c r="K37" s="102">
        <v>0.41</v>
      </c>
      <c r="L37" s="101">
        <v>2.5</v>
      </c>
      <c r="M37" s="101">
        <v>1.5</v>
      </c>
      <c r="N37" s="101" t="s">
        <v>952</v>
      </c>
      <c r="O37" s="101">
        <v>2000</v>
      </c>
      <c r="P37" s="101" t="s">
        <v>867</v>
      </c>
      <c r="Q37" s="101">
        <v>677534</v>
      </c>
      <c r="R37" t="s">
        <v>198</v>
      </c>
      <c r="S37" t="s">
        <v>645</v>
      </c>
      <c r="T37"/>
      <c r="U37"/>
      <c r="V37"/>
      <c r="W37" s="223"/>
    </row>
    <row r="38" spans="1:23" x14ac:dyDescent="0.2">
      <c r="A38" s="253" t="s">
        <v>428</v>
      </c>
      <c r="B38" s="101">
        <v>0</v>
      </c>
      <c r="C38" s="101">
        <v>0</v>
      </c>
      <c r="D38" s="101">
        <v>1</v>
      </c>
      <c r="E38" s="101">
        <v>2</v>
      </c>
      <c r="F38" s="101">
        <v>3</v>
      </c>
      <c r="G38" s="101">
        <v>7</v>
      </c>
      <c r="H38" s="101">
        <v>15</v>
      </c>
      <c r="I38" s="101">
        <v>3</v>
      </c>
      <c r="J38" s="102">
        <v>0.14000000000000001</v>
      </c>
      <c r="K38" s="102">
        <v>0.3</v>
      </c>
      <c r="L38" s="101">
        <v>0.3</v>
      </c>
      <c r="M38" s="101">
        <v>4.3</v>
      </c>
      <c r="N38" s="101" t="s">
        <v>952</v>
      </c>
      <c r="O38" s="101">
        <v>2000</v>
      </c>
      <c r="P38" s="101" t="s">
        <v>867</v>
      </c>
      <c r="Q38" s="101">
        <v>214163</v>
      </c>
      <c r="R38" t="s">
        <v>1000</v>
      </c>
      <c r="S38" t="s">
        <v>578</v>
      </c>
      <c r="T38"/>
      <c r="U38"/>
      <c r="V38"/>
      <c r="W38" s="223"/>
    </row>
    <row r="39" spans="1:23" x14ac:dyDescent="0.2">
      <c r="A39" s="253" t="s">
        <v>583</v>
      </c>
      <c r="B39" s="101">
        <v>0</v>
      </c>
      <c r="C39" s="101">
        <v>0</v>
      </c>
      <c r="D39" s="101">
        <v>1</v>
      </c>
      <c r="E39" s="101">
        <v>1</v>
      </c>
      <c r="F39" s="101">
        <v>2</v>
      </c>
      <c r="G39" s="101">
        <v>4</v>
      </c>
      <c r="H39" s="101">
        <v>13</v>
      </c>
      <c r="I39" s="101">
        <v>2</v>
      </c>
      <c r="J39" s="102">
        <v>0.14000000000000001</v>
      </c>
      <c r="K39" s="102">
        <v>0.4</v>
      </c>
      <c r="L39" s="101">
        <v>0.3</v>
      </c>
      <c r="M39" s="101">
        <v>2</v>
      </c>
      <c r="N39" s="101" t="s">
        <v>952</v>
      </c>
      <c r="O39" s="101">
        <v>2000</v>
      </c>
      <c r="P39" s="101" t="s">
        <v>867</v>
      </c>
      <c r="Q39" s="101">
        <v>188664</v>
      </c>
      <c r="R39" t="s">
        <v>893</v>
      </c>
      <c r="S39" t="s">
        <v>578</v>
      </c>
      <c r="T39" t="s">
        <v>953</v>
      </c>
      <c r="U39"/>
      <c r="V39"/>
      <c r="W39" s="223"/>
    </row>
    <row r="40" spans="1:23" x14ac:dyDescent="0.2">
      <c r="A40" s="253" t="s">
        <v>699</v>
      </c>
      <c r="B40" s="101">
        <v>0</v>
      </c>
      <c r="C40" s="101">
        <v>0</v>
      </c>
      <c r="D40" s="101">
        <v>2</v>
      </c>
      <c r="E40" s="101">
        <v>5</v>
      </c>
      <c r="F40" s="101">
        <v>11</v>
      </c>
      <c r="G40" s="101">
        <v>16</v>
      </c>
      <c r="H40" s="101">
        <v>31</v>
      </c>
      <c r="I40" s="101">
        <v>6</v>
      </c>
      <c r="J40" s="102">
        <v>0.15</v>
      </c>
      <c r="K40" s="102">
        <v>0.3</v>
      </c>
      <c r="L40" s="101">
        <v>3.3</v>
      </c>
      <c r="M40" s="101">
        <v>1.3</v>
      </c>
      <c r="N40" s="101" t="s">
        <v>952</v>
      </c>
      <c r="O40" s="101">
        <v>2000</v>
      </c>
      <c r="P40" s="101" t="s">
        <v>867</v>
      </c>
      <c r="Q40" s="101">
        <v>869438</v>
      </c>
      <c r="R40" t="s">
        <v>892</v>
      </c>
      <c r="S40" t="s">
        <v>645</v>
      </c>
      <c r="T40" t="s">
        <v>953</v>
      </c>
      <c r="U40"/>
      <c r="V40"/>
      <c r="W40" s="223"/>
    </row>
    <row r="41" spans="1:23" x14ac:dyDescent="0.2">
      <c r="A41" s="253" t="s">
        <v>719</v>
      </c>
      <c r="B41" s="101">
        <v>-1</v>
      </c>
      <c r="C41" s="101">
        <v>-1</v>
      </c>
      <c r="D41" s="101">
        <v>2</v>
      </c>
      <c r="E41" s="101">
        <v>6</v>
      </c>
      <c r="F41" s="101">
        <v>10</v>
      </c>
      <c r="G41" s="101">
        <v>19</v>
      </c>
      <c r="H41" s="101">
        <v>29</v>
      </c>
      <c r="I41" s="101">
        <v>5</v>
      </c>
      <c r="J41" s="102">
        <v>0.15</v>
      </c>
      <c r="K41" s="102">
        <v>0.26691300000000001</v>
      </c>
      <c r="L41" s="101">
        <v>4.4000000000000004</v>
      </c>
      <c r="M41" s="101">
        <v>1.2</v>
      </c>
      <c r="N41" s="101" t="s">
        <v>952</v>
      </c>
      <c r="O41" s="101">
        <v>2003</v>
      </c>
      <c r="P41" s="101" t="s">
        <v>867</v>
      </c>
      <c r="Q41" s="101">
        <v>787382</v>
      </c>
      <c r="R41" t="s">
        <v>795</v>
      </c>
      <c r="S41" t="s">
        <v>717</v>
      </c>
      <c r="T41"/>
      <c r="U41"/>
      <c r="V41"/>
      <c r="W41" s="223"/>
    </row>
    <row r="42" spans="1:23" x14ac:dyDescent="0.2">
      <c r="A42" s="253" t="s">
        <v>607</v>
      </c>
      <c r="B42" s="101">
        <v>0</v>
      </c>
      <c r="C42" s="101">
        <v>0</v>
      </c>
      <c r="D42" s="101">
        <v>1</v>
      </c>
      <c r="E42" s="101">
        <v>1</v>
      </c>
      <c r="F42" s="101">
        <v>2</v>
      </c>
      <c r="G42" s="101">
        <v>5</v>
      </c>
      <c r="H42" s="101">
        <v>13</v>
      </c>
      <c r="I42" s="101">
        <v>2</v>
      </c>
      <c r="J42" s="102">
        <v>0.15</v>
      </c>
      <c r="K42" s="102">
        <v>0.51</v>
      </c>
      <c r="L42" s="101">
        <v>0.3</v>
      </c>
      <c r="M42" s="101">
        <v>2.4</v>
      </c>
      <c r="N42" s="101" t="s">
        <v>952</v>
      </c>
      <c r="O42" s="101">
        <v>2000</v>
      </c>
      <c r="P42" s="101" t="s">
        <v>867</v>
      </c>
      <c r="Q42" s="101">
        <v>717611</v>
      </c>
      <c r="R42" t="s">
        <v>198</v>
      </c>
      <c r="S42" t="s">
        <v>578</v>
      </c>
      <c r="T42"/>
      <c r="U42"/>
      <c r="V42"/>
      <c r="W42" s="223"/>
    </row>
    <row r="43" spans="1:23" x14ac:dyDescent="0.2">
      <c r="A43" s="253" t="s">
        <v>623</v>
      </c>
      <c r="B43" s="101">
        <v>0</v>
      </c>
      <c r="C43" s="101">
        <v>0</v>
      </c>
      <c r="D43" s="101">
        <v>1</v>
      </c>
      <c r="E43" s="101">
        <v>2</v>
      </c>
      <c r="F43" s="101">
        <v>3</v>
      </c>
      <c r="G43" s="101">
        <v>6</v>
      </c>
      <c r="H43" s="101"/>
      <c r="I43" s="101"/>
      <c r="J43" s="102">
        <v>0.15</v>
      </c>
      <c r="K43" s="102">
        <v>0.33</v>
      </c>
      <c r="L43" s="101">
        <v>0.5</v>
      </c>
      <c r="M43" s="101">
        <v>2.2000000000000002</v>
      </c>
      <c r="N43" s="101" t="s">
        <v>952</v>
      </c>
      <c r="O43" s="101">
        <v>2007</v>
      </c>
      <c r="P43" s="101" t="s">
        <v>867</v>
      </c>
      <c r="Q43" s="101">
        <v>687095</v>
      </c>
      <c r="R43" t="s">
        <v>810</v>
      </c>
      <c r="S43" t="s">
        <v>578</v>
      </c>
      <c r="T43"/>
      <c r="U43"/>
      <c r="V43"/>
      <c r="W43" s="223"/>
    </row>
    <row r="44" spans="1:23" x14ac:dyDescent="0.2">
      <c r="A44" s="253" t="s">
        <v>1080</v>
      </c>
      <c r="B44" s="101">
        <v>5</v>
      </c>
      <c r="C44" s="101">
        <v>5</v>
      </c>
      <c r="D44" s="101">
        <v>3</v>
      </c>
      <c r="E44" s="101"/>
      <c r="F44" s="101"/>
      <c r="G44" s="101"/>
      <c r="H44" s="101"/>
      <c r="I44" s="101"/>
      <c r="J44" s="102">
        <v>0.15</v>
      </c>
      <c r="K44" s="102">
        <v>0.15</v>
      </c>
      <c r="L44" s="101"/>
      <c r="M44" s="101"/>
      <c r="N44" s="101" t="s">
        <v>952</v>
      </c>
      <c r="O44" s="101">
        <v>2011</v>
      </c>
      <c r="P44" s="101" t="s">
        <v>867</v>
      </c>
      <c r="Q44" s="101">
        <v>889204</v>
      </c>
      <c r="R44" t="s">
        <v>1068</v>
      </c>
      <c r="S44" t="s">
        <v>338</v>
      </c>
      <c r="T44"/>
      <c r="U44"/>
      <c r="V44"/>
      <c r="W44" s="223"/>
    </row>
    <row r="45" spans="1:23" x14ac:dyDescent="0.2">
      <c r="A45" s="253" t="s">
        <v>1078</v>
      </c>
      <c r="B45" s="101">
        <v>2</v>
      </c>
      <c r="C45" s="101">
        <v>2</v>
      </c>
      <c r="D45" s="101">
        <v>1</v>
      </c>
      <c r="E45" s="101"/>
      <c r="F45" s="101"/>
      <c r="G45" s="101"/>
      <c r="H45" s="101"/>
      <c r="I45" s="101"/>
      <c r="J45" s="102">
        <v>0.15</v>
      </c>
      <c r="K45" s="102">
        <v>0.15</v>
      </c>
      <c r="L45" s="101"/>
      <c r="M45" s="101"/>
      <c r="N45" s="101" t="s">
        <v>952</v>
      </c>
      <c r="O45" s="101">
        <v>2011</v>
      </c>
      <c r="P45" s="101" t="s">
        <v>867</v>
      </c>
      <c r="Q45" s="101">
        <v>781716</v>
      </c>
      <c r="R45" t="s">
        <v>1068</v>
      </c>
      <c r="S45" t="s">
        <v>338</v>
      </c>
      <c r="T45"/>
      <c r="U45"/>
      <c r="V45"/>
      <c r="W45" s="223"/>
    </row>
    <row r="46" spans="1:23" x14ac:dyDescent="0.2">
      <c r="A46" s="253" t="s">
        <v>1079</v>
      </c>
      <c r="B46" s="101">
        <v>5</v>
      </c>
      <c r="C46" s="101">
        <v>5</v>
      </c>
      <c r="D46" s="101">
        <v>4</v>
      </c>
      <c r="E46" s="101"/>
      <c r="F46" s="101"/>
      <c r="G46" s="101"/>
      <c r="H46" s="101"/>
      <c r="I46" s="101"/>
      <c r="J46" s="102">
        <v>0.15</v>
      </c>
      <c r="K46" s="102">
        <v>0.15</v>
      </c>
      <c r="L46" s="101"/>
      <c r="M46" s="101"/>
      <c r="N46" s="101" t="s">
        <v>952</v>
      </c>
      <c r="O46" s="101">
        <v>2011</v>
      </c>
      <c r="P46" s="101" t="s">
        <v>867</v>
      </c>
      <c r="Q46" s="101">
        <v>817544</v>
      </c>
      <c r="R46" t="s">
        <v>1068</v>
      </c>
      <c r="S46" t="s">
        <v>338</v>
      </c>
      <c r="T46"/>
      <c r="U46"/>
      <c r="V46"/>
      <c r="W46" s="223"/>
    </row>
    <row r="47" spans="1:23" x14ac:dyDescent="0.2">
      <c r="A47" s="253" t="s">
        <v>1081</v>
      </c>
      <c r="B47" s="101">
        <v>3</v>
      </c>
      <c r="C47" s="101">
        <v>3</v>
      </c>
      <c r="D47" s="101">
        <v>3</v>
      </c>
      <c r="E47" s="101"/>
      <c r="F47" s="101"/>
      <c r="G47" s="101"/>
      <c r="H47" s="101"/>
      <c r="I47" s="101"/>
      <c r="J47" s="102">
        <v>0.15</v>
      </c>
      <c r="K47" s="102">
        <v>0.15</v>
      </c>
      <c r="L47" s="101"/>
      <c r="M47" s="101"/>
      <c r="N47" s="101" t="s">
        <v>952</v>
      </c>
      <c r="O47" s="101">
        <v>2011</v>
      </c>
      <c r="P47" s="101" t="s">
        <v>867</v>
      </c>
      <c r="Q47" s="101">
        <v>853374</v>
      </c>
      <c r="R47" t="s">
        <v>1068</v>
      </c>
      <c r="S47" t="s">
        <v>338</v>
      </c>
      <c r="T47"/>
      <c r="U47"/>
      <c r="V47"/>
      <c r="W47" s="223"/>
    </row>
    <row r="48" spans="1:23" x14ac:dyDescent="0.2">
      <c r="A48" s="253" t="s">
        <v>845</v>
      </c>
      <c r="B48" s="101">
        <v>8</v>
      </c>
      <c r="C48" s="101">
        <v>8</v>
      </c>
      <c r="D48" s="101">
        <v>7</v>
      </c>
      <c r="E48" s="101">
        <v>-2</v>
      </c>
      <c r="F48" s="101">
        <v>-2</v>
      </c>
      <c r="G48" s="101"/>
      <c r="H48" s="101"/>
      <c r="I48" s="101"/>
      <c r="J48" s="102">
        <v>0.15</v>
      </c>
      <c r="K48" s="102">
        <v>0.15</v>
      </c>
      <c r="L48" s="101"/>
      <c r="M48" s="101"/>
      <c r="N48" s="101" t="s">
        <v>952</v>
      </c>
      <c r="O48" s="101">
        <v>2010</v>
      </c>
      <c r="P48" s="101" t="s">
        <v>867</v>
      </c>
      <c r="Q48" s="101">
        <v>581371</v>
      </c>
      <c r="R48" t="s">
        <v>906</v>
      </c>
      <c r="S48" t="s">
        <v>166</v>
      </c>
      <c r="T48" t="s">
        <v>953</v>
      </c>
      <c r="U48"/>
      <c r="V48"/>
      <c r="W48" s="223"/>
    </row>
    <row r="49" spans="1:23" x14ac:dyDescent="0.2">
      <c r="A49" s="253" t="s">
        <v>429</v>
      </c>
      <c r="B49" s="101">
        <v>0</v>
      </c>
      <c r="C49" s="101">
        <v>0</v>
      </c>
      <c r="D49" s="101">
        <v>3</v>
      </c>
      <c r="E49" s="101">
        <v>6</v>
      </c>
      <c r="F49" s="101">
        <v>12</v>
      </c>
      <c r="G49" s="101">
        <v>17</v>
      </c>
      <c r="H49" s="101">
        <v>32</v>
      </c>
      <c r="I49" s="101">
        <v>6</v>
      </c>
      <c r="J49" s="102">
        <v>0.16</v>
      </c>
      <c r="K49" s="102">
        <v>0.4</v>
      </c>
      <c r="L49" s="101">
        <v>4.2</v>
      </c>
      <c r="M49" s="101">
        <v>1</v>
      </c>
      <c r="N49" s="101" t="s">
        <v>952</v>
      </c>
      <c r="O49" s="101">
        <v>2000</v>
      </c>
      <c r="P49" s="101" t="s">
        <v>867</v>
      </c>
      <c r="Q49" s="101">
        <v>178335</v>
      </c>
      <c r="R49" t="s">
        <v>1000</v>
      </c>
      <c r="S49" t="s">
        <v>645</v>
      </c>
      <c r="T49"/>
      <c r="U49"/>
      <c r="V49"/>
      <c r="W49" s="223"/>
    </row>
    <row r="50" spans="1:23" x14ac:dyDescent="0.2">
      <c r="A50" s="253" t="s">
        <v>954</v>
      </c>
      <c r="B50" s="101">
        <v>1</v>
      </c>
      <c r="C50" s="101">
        <v>1</v>
      </c>
      <c r="D50" s="101">
        <v>1</v>
      </c>
      <c r="E50" s="101">
        <v>2</v>
      </c>
      <c r="F50" s="101">
        <v>5</v>
      </c>
      <c r="G50" s="101">
        <v>-5</v>
      </c>
      <c r="H50" s="101">
        <v>24</v>
      </c>
      <c r="I50" s="101">
        <v>4</v>
      </c>
      <c r="J50" s="102">
        <v>0.16</v>
      </c>
      <c r="K50" s="102">
        <v>0.28399999999999997</v>
      </c>
      <c r="L50" s="101">
        <v>8.9</v>
      </c>
      <c r="M50" s="101">
        <v>-0.3</v>
      </c>
      <c r="N50" s="101" t="s">
        <v>955</v>
      </c>
      <c r="O50" s="101">
        <v>2000</v>
      </c>
      <c r="P50" s="101" t="s">
        <v>742</v>
      </c>
      <c r="Q50" s="101">
        <v>443721</v>
      </c>
      <c r="R50" t="s">
        <v>112</v>
      </c>
      <c r="S50" t="s">
        <v>721</v>
      </c>
      <c r="T50"/>
      <c r="U50"/>
      <c r="V50"/>
      <c r="W50" s="223"/>
    </row>
    <row r="51" spans="1:23" x14ac:dyDescent="0.2">
      <c r="A51" s="253" t="s">
        <v>643</v>
      </c>
      <c r="B51" s="101">
        <v>0</v>
      </c>
      <c r="C51" s="101">
        <v>0</v>
      </c>
      <c r="D51" s="101">
        <v>1</v>
      </c>
      <c r="E51" s="101">
        <v>1</v>
      </c>
      <c r="F51" s="101">
        <v>2</v>
      </c>
      <c r="G51" s="101">
        <v>5</v>
      </c>
      <c r="H51" s="101">
        <v>14</v>
      </c>
      <c r="I51" s="101">
        <v>3</v>
      </c>
      <c r="J51" s="102">
        <v>0.16</v>
      </c>
      <c r="K51" s="102">
        <v>0.31257600000000002</v>
      </c>
      <c r="L51" s="101">
        <v>0.2</v>
      </c>
      <c r="M51" s="101">
        <v>4.2</v>
      </c>
      <c r="N51" s="101" t="s">
        <v>952</v>
      </c>
      <c r="O51" s="101">
        <v>2001</v>
      </c>
      <c r="P51" s="101" t="s">
        <v>867</v>
      </c>
      <c r="Q51" s="101">
        <v>478313</v>
      </c>
      <c r="R51" t="s">
        <v>812</v>
      </c>
      <c r="S51" t="s">
        <v>578</v>
      </c>
      <c r="T51"/>
      <c r="U51"/>
      <c r="V51"/>
      <c r="W51" s="223"/>
    </row>
    <row r="52" spans="1:23" x14ac:dyDescent="0.2">
      <c r="A52" s="253" t="s">
        <v>836</v>
      </c>
      <c r="B52" s="101">
        <v>6</v>
      </c>
      <c r="C52" s="101">
        <v>6</v>
      </c>
      <c r="D52" s="101">
        <v>4</v>
      </c>
      <c r="E52" s="101">
        <v>-2</v>
      </c>
      <c r="F52" s="101">
        <v>-6</v>
      </c>
      <c r="G52" s="101">
        <v>83</v>
      </c>
      <c r="H52" s="101">
        <v>2</v>
      </c>
      <c r="I52" s="101">
        <v>0</v>
      </c>
      <c r="J52" s="102">
        <v>0.16</v>
      </c>
      <c r="K52" s="102">
        <v>0.2</v>
      </c>
      <c r="L52" s="101">
        <v>17.100000000000001</v>
      </c>
      <c r="M52" s="101">
        <v>1.3</v>
      </c>
      <c r="N52" s="101" t="s">
        <v>952</v>
      </c>
      <c r="O52" s="101">
        <v>2000</v>
      </c>
      <c r="P52" s="101" t="s">
        <v>867</v>
      </c>
      <c r="Q52" s="101">
        <v>212332</v>
      </c>
      <c r="R52" t="s">
        <v>914</v>
      </c>
      <c r="S52" t="s">
        <v>840</v>
      </c>
      <c r="T52" t="s">
        <v>953</v>
      </c>
      <c r="U52"/>
      <c r="V52"/>
      <c r="W52" s="223"/>
    </row>
    <row r="53" spans="1:23" x14ac:dyDescent="0.2">
      <c r="A53" s="253" t="s">
        <v>1124</v>
      </c>
      <c r="B53" s="101">
        <v>3</v>
      </c>
      <c r="C53" s="101">
        <v>3</v>
      </c>
      <c r="D53" s="101">
        <v>10</v>
      </c>
      <c r="E53" s="101">
        <v>10</v>
      </c>
      <c r="F53" s="101">
        <v>10</v>
      </c>
      <c r="G53" s="101">
        <v>35</v>
      </c>
      <c r="H53" s="101">
        <v>-3</v>
      </c>
      <c r="I53" s="101">
        <v>-1</v>
      </c>
      <c r="J53" s="102">
        <v>0.16</v>
      </c>
      <c r="K53" s="102">
        <v>0.2</v>
      </c>
      <c r="L53" s="101">
        <v>11.5</v>
      </c>
      <c r="M53" s="101">
        <v>0.9</v>
      </c>
      <c r="N53" s="101" t="s">
        <v>952</v>
      </c>
      <c r="O53" s="101">
        <v>2000</v>
      </c>
      <c r="P53" s="101" t="s">
        <v>867</v>
      </c>
      <c r="Q53" s="101">
        <v>248161</v>
      </c>
      <c r="R53" t="s">
        <v>914</v>
      </c>
      <c r="S53" t="s">
        <v>114</v>
      </c>
      <c r="T53" t="s">
        <v>953</v>
      </c>
      <c r="U53"/>
      <c r="V53"/>
      <c r="W53" s="223"/>
    </row>
    <row r="54" spans="1:23" x14ac:dyDescent="0.2">
      <c r="A54" s="253" t="s">
        <v>1122</v>
      </c>
      <c r="B54" s="101">
        <v>3</v>
      </c>
      <c r="C54" s="101">
        <v>3</v>
      </c>
      <c r="D54" s="101">
        <v>2</v>
      </c>
      <c r="E54" s="101">
        <v>-4</v>
      </c>
      <c r="F54" s="101">
        <v>-5</v>
      </c>
      <c r="G54" s="101">
        <v>17</v>
      </c>
      <c r="H54" s="101">
        <v>-21</v>
      </c>
      <c r="I54" s="101">
        <v>-5</v>
      </c>
      <c r="J54" s="102">
        <v>0.16</v>
      </c>
      <c r="K54" s="102">
        <v>0.2</v>
      </c>
      <c r="L54" s="101">
        <v>13.9</v>
      </c>
      <c r="M54" s="101">
        <v>0.5</v>
      </c>
      <c r="N54" s="101" t="s">
        <v>952</v>
      </c>
      <c r="O54" s="101">
        <v>2000</v>
      </c>
      <c r="P54" s="101" t="s">
        <v>867</v>
      </c>
      <c r="Q54" s="101">
        <v>140673</v>
      </c>
      <c r="R54" t="s">
        <v>914</v>
      </c>
      <c r="S54" t="s">
        <v>108</v>
      </c>
      <c r="T54" t="s">
        <v>953</v>
      </c>
      <c r="U54"/>
      <c r="V54"/>
      <c r="W54" s="223"/>
    </row>
    <row r="55" spans="1:23" x14ac:dyDescent="0.2">
      <c r="A55" s="253" t="s">
        <v>1123</v>
      </c>
      <c r="B55" s="101">
        <v>4</v>
      </c>
      <c r="C55" s="101">
        <v>4</v>
      </c>
      <c r="D55" s="101">
        <v>5</v>
      </c>
      <c r="E55" s="101">
        <v>-5</v>
      </c>
      <c r="F55" s="101">
        <v>-9</v>
      </c>
      <c r="G55" s="101">
        <v>-8</v>
      </c>
      <c r="H55" s="101">
        <v>-33</v>
      </c>
      <c r="I55" s="101">
        <v>-8</v>
      </c>
      <c r="J55" s="102">
        <v>0.16</v>
      </c>
      <c r="K55" s="102">
        <v>0.2</v>
      </c>
      <c r="L55" s="101">
        <v>14.8</v>
      </c>
      <c r="M55" s="101">
        <v>-0.2</v>
      </c>
      <c r="N55" s="101" t="s">
        <v>952</v>
      </c>
      <c r="O55" s="101">
        <v>2000</v>
      </c>
      <c r="P55" s="101" t="s">
        <v>867</v>
      </c>
      <c r="Q55" s="101">
        <v>176503</v>
      </c>
      <c r="R55" t="s">
        <v>914</v>
      </c>
      <c r="S55" t="s">
        <v>254</v>
      </c>
      <c r="T55" t="s">
        <v>953</v>
      </c>
      <c r="U55"/>
      <c r="V55"/>
      <c r="W55" s="223"/>
    </row>
    <row r="56" spans="1:23" x14ac:dyDescent="0.2">
      <c r="A56" s="253" t="s">
        <v>603</v>
      </c>
      <c r="B56" s="101">
        <v>-1</v>
      </c>
      <c r="C56" s="101">
        <v>-1</v>
      </c>
      <c r="D56" s="101">
        <v>3</v>
      </c>
      <c r="E56" s="101">
        <v>6</v>
      </c>
      <c r="F56" s="101">
        <v>11</v>
      </c>
      <c r="G56" s="101">
        <v>22</v>
      </c>
      <c r="H56" s="101">
        <v>32</v>
      </c>
      <c r="I56" s="101">
        <v>6</v>
      </c>
      <c r="J56" s="102">
        <v>0.17</v>
      </c>
      <c r="K56" s="102">
        <v>0.71</v>
      </c>
      <c r="L56" s="101">
        <v>4.0999999999999996</v>
      </c>
      <c r="M56" s="101">
        <v>1.4</v>
      </c>
      <c r="N56" s="101" t="s">
        <v>952</v>
      </c>
      <c r="O56" s="101">
        <v>2003</v>
      </c>
      <c r="P56" s="101" t="s">
        <v>867</v>
      </c>
      <c r="Q56" s="101">
        <v>666552</v>
      </c>
      <c r="R56" t="s">
        <v>198</v>
      </c>
      <c r="S56" t="s">
        <v>717</v>
      </c>
      <c r="T56"/>
      <c r="U56"/>
      <c r="V56"/>
      <c r="W56" s="223"/>
    </row>
    <row r="57" spans="1:23" x14ac:dyDescent="0.2">
      <c r="A57" s="253" t="s">
        <v>208</v>
      </c>
      <c r="B57" s="101">
        <v>0</v>
      </c>
      <c r="C57" s="101">
        <v>0</v>
      </c>
      <c r="D57" s="101">
        <v>2</v>
      </c>
      <c r="E57" s="101">
        <v>4</v>
      </c>
      <c r="F57" s="101">
        <v>7</v>
      </c>
      <c r="G57" s="101">
        <v>9</v>
      </c>
      <c r="H57" s="101">
        <v>19</v>
      </c>
      <c r="I57" s="101">
        <v>4</v>
      </c>
      <c r="J57" s="102">
        <v>0.17</v>
      </c>
      <c r="K57" s="102">
        <v>0.35</v>
      </c>
      <c r="L57" s="101">
        <v>1.6</v>
      </c>
      <c r="M57" s="101">
        <v>1.3</v>
      </c>
      <c r="N57" s="101" t="s">
        <v>952</v>
      </c>
      <c r="O57" s="101">
        <v>2000</v>
      </c>
      <c r="P57" s="101" t="s">
        <v>867</v>
      </c>
      <c r="Q57" s="101">
        <v>804443</v>
      </c>
      <c r="R57" t="s">
        <v>207</v>
      </c>
      <c r="S57" t="s">
        <v>645</v>
      </c>
      <c r="T57"/>
      <c r="U57"/>
      <c r="V57"/>
      <c r="W57" s="223"/>
    </row>
    <row r="58" spans="1:23" x14ac:dyDescent="0.2">
      <c r="A58" s="253" t="s">
        <v>13</v>
      </c>
      <c r="B58" s="101">
        <v>0</v>
      </c>
      <c r="C58" s="101">
        <v>0</v>
      </c>
      <c r="D58" s="101">
        <v>1</v>
      </c>
      <c r="E58" s="101">
        <v>1</v>
      </c>
      <c r="F58" s="101">
        <v>3</v>
      </c>
      <c r="G58" s="101">
        <v>6</v>
      </c>
      <c r="H58" s="101">
        <v>16</v>
      </c>
      <c r="I58" s="101">
        <v>3</v>
      </c>
      <c r="J58" s="102">
        <v>0.17</v>
      </c>
      <c r="K58" s="102">
        <v>0.3</v>
      </c>
      <c r="L58" s="101">
        <v>0.4</v>
      </c>
      <c r="M58" s="101">
        <v>2.6</v>
      </c>
      <c r="N58" s="101" t="s">
        <v>952</v>
      </c>
      <c r="O58" s="101">
        <v>2000</v>
      </c>
      <c r="P58" s="101" t="s">
        <v>867</v>
      </c>
      <c r="Q58" s="101">
        <v>865774</v>
      </c>
      <c r="R58" t="s">
        <v>502</v>
      </c>
      <c r="S58" t="s">
        <v>578</v>
      </c>
      <c r="T58"/>
      <c r="U58"/>
      <c r="V58"/>
      <c r="W58" s="223"/>
    </row>
    <row r="59" spans="1:23" x14ac:dyDescent="0.2">
      <c r="A59" s="253" t="s">
        <v>582</v>
      </c>
      <c r="B59" s="101">
        <v>0</v>
      </c>
      <c r="C59" s="101">
        <v>0</v>
      </c>
      <c r="D59" s="101">
        <v>1</v>
      </c>
      <c r="E59" s="101">
        <v>1</v>
      </c>
      <c r="F59" s="101">
        <v>2</v>
      </c>
      <c r="G59" s="101">
        <v>5</v>
      </c>
      <c r="H59" s="101">
        <v>13</v>
      </c>
      <c r="I59" s="101">
        <v>2</v>
      </c>
      <c r="J59" s="102">
        <v>0.17</v>
      </c>
      <c r="K59" s="102">
        <v>0.5</v>
      </c>
      <c r="L59" s="101">
        <v>0.3</v>
      </c>
      <c r="M59" s="101">
        <v>2.9</v>
      </c>
      <c r="N59" s="101" t="s">
        <v>952</v>
      </c>
      <c r="O59" s="101">
        <v>2001</v>
      </c>
      <c r="P59" s="101" t="s">
        <v>867</v>
      </c>
      <c r="Q59" s="101">
        <v>613133</v>
      </c>
      <c r="R59" t="s">
        <v>814</v>
      </c>
      <c r="S59" t="s">
        <v>578</v>
      </c>
      <c r="T59"/>
      <c r="U59"/>
      <c r="V59"/>
      <c r="W59" s="223"/>
    </row>
    <row r="60" spans="1:23" x14ac:dyDescent="0.2">
      <c r="A60" s="253" t="s">
        <v>125</v>
      </c>
      <c r="B60" s="101">
        <v>0</v>
      </c>
      <c r="C60" s="101">
        <v>0</v>
      </c>
      <c r="D60" s="101">
        <v>1</v>
      </c>
      <c r="E60" s="101">
        <v>1</v>
      </c>
      <c r="F60" s="101">
        <v>2</v>
      </c>
      <c r="G60" s="101">
        <v>4</v>
      </c>
      <c r="H60" s="101">
        <v>10</v>
      </c>
      <c r="I60" s="101">
        <v>2</v>
      </c>
      <c r="J60" s="102">
        <v>0.17</v>
      </c>
      <c r="K60" s="102">
        <v>0.43</v>
      </c>
      <c r="L60" s="101">
        <v>0.3</v>
      </c>
      <c r="M60" s="101">
        <v>1.9</v>
      </c>
      <c r="N60" s="101" t="s">
        <v>952</v>
      </c>
      <c r="O60" s="101">
        <v>2000</v>
      </c>
      <c r="P60" s="101" t="s">
        <v>742</v>
      </c>
      <c r="Q60" s="101">
        <v>718205</v>
      </c>
      <c r="R60" t="s">
        <v>787</v>
      </c>
      <c r="S60" t="s">
        <v>578</v>
      </c>
      <c r="T60"/>
      <c r="U60"/>
      <c r="V60"/>
      <c r="W60" s="223"/>
    </row>
    <row r="61" spans="1:23" x14ac:dyDescent="0.2">
      <c r="A61" s="253" t="s">
        <v>206</v>
      </c>
      <c r="B61" s="101">
        <v>0</v>
      </c>
      <c r="C61" s="101">
        <v>0</v>
      </c>
      <c r="D61" s="101">
        <v>0</v>
      </c>
      <c r="E61" s="101">
        <v>1</v>
      </c>
      <c r="F61" s="101">
        <v>2</v>
      </c>
      <c r="G61" s="101">
        <v>3</v>
      </c>
      <c r="H61" s="101">
        <v>11</v>
      </c>
      <c r="I61" s="101">
        <v>2</v>
      </c>
      <c r="J61" s="102">
        <v>0.17</v>
      </c>
      <c r="K61" s="102">
        <v>0.35</v>
      </c>
      <c r="L61" s="101">
        <v>0.3</v>
      </c>
      <c r="M61" s="101">
        <v>0.6</v>
      </c>
      <c r="N61" s="101" t="s">
        <v>952</v>
      </c>
      <c r="O61" s="101">
        <v>2000</v>
      </c>
      <c r="P61" s="101" t="s">
        <v>867</v>
      </c>
      <c r="Q61" s="101">
        <v>768614</v>
      </c>
      <c r="R61" t="s">
        <v>207</v>
      </c>
      <c r="S61" t="s">
        <v>578</v>
      </c>
      <c r="T61"/>
      <c r="U61"/>
      <c r="V61"/>
      <c r="W61" s="223"/>
    </row>
    <row r="62" spans="1:23" x14ac:dyDescent="0.2">
      <c r="A62" s="253" t="s">
        <v>205</v>
      </c>
      <c r="B62" s="101">
        <v>5</v>
      </c>
      <c r="C62" s="101">
        <v>5</v>
      </c>
      <c r="D62" s="101">
        <v>6</v>
      </c>
      <c r="E62" s="101">
        <v>1</v>
      </c>
      <c r="F62" s="101">
        <v>0</v>
      </c>
      <c r="G62" s="101">
        <v>11</v>
      </c>
      <c r="H62" s="101">
        <v>-31</v>
      </c>
      <c r="I62" s="101">
        <v>-7</v>
      </c>
      <c r="J62" s="102">
        <v>0.17</v>
      </c>
      <c r="K62" s="102">
        <v>0.3</v>
      </c>
      <c r="L62" s="101">
        <v>13.6</v>
      </c>
      <c r="M62" s="101">
        <v>0.3</v>
      </c>
      <c r="N62" s="101" t="s">
        <v>952</v>
      </c>
      <c r="O62" s="101">
        <v>2010</v>
      </c>
      <c r="P62" s="101" t="s">
        <v>867</v>
      </c>
      <c r="Q62" s="101">
        <v>407064</v>
      </c>
      <c r="R62" t="s">
        <v>914</v>
      </c>
      <c r="S62" t="s">
        <v>166</v>
      </c>
      <c r="T62" t="s">
        <v>953</v>
      </c>
      <c r="U62"/>
      <c r="V62"/>
      <c r="W62" s="223"/>
    </row>
    <row r="63" spans="1:23" x14ac:dyDescent="0.2">
      <c r="A63" s="253" t="s">
        <v>716</v>
      </c>
      <c r="B63" s="101">
        <v>0</v>
      </c>
      <c r="C63" s="101">
        <v>0</v>
      </c>
      <c r="D63" s="101">
        <v>2</v>
      </c>
      <c r="E63" s="101">
        <v>4</v>
      </c>
      <c r="F63" s="101">
        <v>8</v>
      </c>
      <c r="G63" s="101">
        <v>13</v>
      </c>
      <c r="H63" s="101">
        <v>28</v>
      </c>
      <c r="I63" s="101">
        <v>5</v>
      </c>
      <c r="J63" s="102">
        <v>0.18</v>
      </c>
      <c r="K63" s="102">
        <v>0.52</v>
      </c>
      <c r="L63" s="101">
        <v>2.7</v>
      </c>
      <c r="M63" s="101">
        <v>1.3</v>
      </c>
      <c r="N63" s="101" t="s">
        <v>952</v>
      </c>
      <c r="O63" s="101">
        <v>2001</v>
      </c>
      <c r="P63" s="101" t="s">
        <v>867</v>
      </c>
      <c r="Q63" s="101">
        <v>242081</v>
      </c>
      <c r="R63" t="s">
        <v>810</v>
      </c>
      <c r="S63" t="s">
        <v>645</v>
      </c>
      <c r="T63"/>
      <c r="U63"/>
      <c r="V63"/>
      <c r="W63" s="223"/>
    </row>
    <row r="64" spans="1:23" x14ac:dyDescent="0.2">
      <c r="A64" s="253" t="s">
        <v>430</v>
      </c>
      <c r="B64" s="101">
        <v>0</v>
      </c>
      <c r="C64" s="101">
        <v>0</v>
      </c>
      <c r="D64" s="101">
        <v>2</v>
      </c>
      <c r="E64" s="101">
        <v>4</v>
      </c>
      <c r="F64" s="101">
        <v>8</v>
      </c>
      <c r="G64" s="101">
        <v>13</v>
      </c>
      <c r="H64" s="101">
        <v>28</v>
      </c>
      <c r="I64" s="101">
        <v>5</v>
      </c>
      <c r="J64" s="102">
        <v>0.18</v>
      </c>
      <c r="K64" s="102">
        <v>0.5</v>
      </c>
      <c r="L64" s="101">
        <v>2.1</v>
      </c>
      <c r="M64" s="101">
        <v>1.5</v>
      </c>
      <c r="N64" s="101" t="s">
        <v>952</v>
      </c>
      <c r="O64" s="101">
        <v>2010</v>
      </c>
      <c r="P64" s="101" t="s">
        <v>742</v>
      </c>
      <c r="Q64" s="101">
        <v>756866</v>
      </c>
      <c r="R64" t="s">
        <v>878</v>
      </c>
      <c r="S64" t="s">
        <v>645</v>
      </c>
      <c r="T64"/>
      <c r="U64"/>
      <c r="V64"/>
      <c r="W64" s="223"/>
    </row>
    <row r="65" spans="1:23" x14ac:dyDescent="0.2">
      <c r="A65" s="253" t="s">
        <v>337</v>
      </c>
      <c r="B65" s="101">
        <v>2</v>
      </c>
      <c r="C65" s="101">
        <v>2</v>
      </c>
      <c r="D65" s="101">
        <v>4</v>
      </c>
      <c r="E65" s="101">
        <v>4</v>
      </c>
      <c r="F65" s="101">
        <v>5</v>
      </c>
      <c r="G65" s="101">
        <v>38</v>
      </c>
      <c r="H65" s="101">
        <v>18</v>
      </c>
      <c r="I65" s="101">
        <v>3</v>
      </c>
      <c r="J65" s="102">
        <v>0.18</v>
      </c>
      <c r="K65" s="102">
        <v>0.4</v>
      </c>
      <c r="L65" s="101">
        <v>5.9</v>
      </c>
      <c r="M65" s="101">
        <v>1.8</v>
      </c>
      <c r="N65" s="101" t="s">
        <v>952</v>
      </c>
      <c r="O65" s="101">
        <v>2000</v>
      </c>
      <c r="P65" s="101" t="s">
        <v>867</v>
      </c>
      <c r="Q65" s="101">
        <v>260323</v>
      </c>
      <c r="R65" t="s">
        <v>893</v>
      </c>
      <c r="S65" t="s">
        <v>329</v>
      </c>
      <c r="T65" t="s">
        <v>953</v>
      </c>
      <c r="U65"/>
      <c r="V65"/>
      <c r="W65" s="223"/>
    </row>
    <row r="66" spans="1:23" x14ac:dyDescent="0.2">
      <c r="A66" s="253" t="s">
        <v>1001</v>
      </c>
      <c r="B66" s="101">
        <v>0</v>
      </c>
      <c r="C66" s="101">
        <v>0</v>
      </c>
      <c r="D66" s="101">
        <v>1</v>
      </c>
      <c r="E66" s="101">
        <v>1</v>
      </c>
      <c r="F66" s="101">
        <v>2</v>
      </c>
      <c r="G66" s="101">
        <v>6</v>
      </c>
      <c r="H66" s="101">
        <v>15</v>
      </c>
      <c r="I66" s="101">
        <v>3</v>
      </c>
      <c r="J66" s="102">
        <v>0.18</v>
      </c>
      <c r="K66" s="102">
        <v>0.5</v>
      </c>
      <c r="L66" s="101">
        <v>0.4</v>
      </c>
      <c r="M66" s="101">
        <v>2.5</v>
      </c>
      <c r="N66" s="101" t="s">
        <v>952</v>
      </c>
      <c r="O66" s="101">
        <v>2005</v>
      </c>
      <c r="P66" s="101" t="s">
        <v>742</v>
      </c>
      <c r="Q66" s="101">
        <v>815894</v>
      </c>
      <c r="R66" t="s">
        <v>878</v>
      </c>
      <c r="S66" t="s">
        <v>578</v>
      </c>
      <c r="T66"/>
      <c r="U66"/>
      <c r="V66"/>
      <c r="W66" s="223"/>
    </row>
    <row r="67" spans="1:23" x14ac:dyDescent="0.2">
      <c r="A67" s="253" t="s">
        <v>937</v>
      </c>
      <c r="B67" s="101">
        <v>4</v>
      </c>
      <c r="C67" s="101">
        <v>4</v>
      </c>
      <c r="D67" s="101">
        <v>5</v>
      </c>
      <c r="E67" s="101">
        <v>3</v>
      </c>
      <c r="F67" s="101">
        <v>3</v>
      </c>
      <c r="G67" s="101">
        <v>49</v>
      </c>
      <c r="H67" s="101">
        <v>19</v>
      </c>
      <c r="I67" s="101">
        <v>3</v>
      </c>
      <c r="J67" s="102">
        <v>0.18</v>
      </c>
      <c r="K67" s="102">
        <v>0.4</v>
      </c>
      <c r="L67" s="101">
        <v>8.1999999999999993</v>
      </c>
      <c r="M67" s="101">
        <v>1.6</v>
      </c>
      <c r="N67" s="101" t="s">
        <v>952</v>
      </c>
      <c r="O67" s="101">
        <v>2000</v>
      </c>
      <c r="P67" s="101" t="s">
        <v>867</v>
      </c>
      <c r="Q67" s="101">
        <v>610121</v>
      </c>
      <c r="R67" t="s">
        <v>927</v>
      </c>
      <c r="S67" t="s">
        <v>329</v>
      </c>
      <c r="T67"/>
      <c r="U67"/>
      <c r="V67"/>
      <c r="W67" s="223"/>
    </row>
    <row r="68" spans="1:23" x14ac:dyDescent="0.2">
      <c r="A68" s="253" t="s">
        <v>1082</v>
      </c>
      <c r="B68" s="101">
        <v>0</v>
      </c>
      <c r="C68" s="101">
        <v>0</v>
      </c>
      <c r="D68" s="101">
        <v>0</v>
      </c>
      <c r="E68" s="101">
        <v>1</v>
      </c>
      <c r="F68" s="101">
        <v>2</v>
      </c>
      <c r="G68" s="101">
        <v>4</v>
      </c>
      <c r="H68" s="101">
        <v>12</v>
      </c>
      <c r="I68" s="101">
        <v>2</v>
      </c>
      <c r="J68" s="102">
        <v>0.18</v>
      </c>
      <c r="K68" s="102">
        <v>0.373</v>
      </c>
      <c r="L68" s="101">
        <v>0.4</v>
      </c>
      <c r="M68" s="101">
        <v>1.2</v>
      </c>
      <c r="N68" s="101" t="s">
        <v>952</v>
      </c>
      <c r="O68" s="101">
        <v>2003</v>
      </c>
      <c r="P68" s="101" t="s">
        <v>742</v>
      </c>
      <c r="Q68" s="101">
        <v>770388</v>
      </c>
      <c r="R68" t="s">
        <v>1083</v>
      </c>
      <c r="S68" t="s">
        <v>578</v>
      </c>
      <c r="T68"/>
      <c r="U68"/>
      <c r="V68"/>
      <c r="W68" s="223"/>
    </row>
    <row r="69" spans="1:23" x14ac:dyDescent="0.2">
      <c r="A69" s="253" t="s">
        <v>609</v>
      </c>
      <c r="B69" s="101">
        <v>3</v>
      </c>
      <c r="C69" s="101">
        <v>3</v>
      </c>
      <c r="D69" s="101">
        <v>4</v>
      </c>
      <c r="E69" s="101">
        <v>4</v>
      </c>
      <c r="F69" s="101">
        <v>5</v>
      </c>
      <c r="G69" s="101">
        <v>28</v>
      </c>
      <c r="H69" s="101">
        <v>11</v>
      </c>
      <c r="I69" s="101">
        <v>2</v>
      </c>
      <c r="J69" s="102">
        <v>0.18</v>
      </c>
      <c r="K69" s="102">
        <v>0.41</v>
      </c>
      <c r="L69" s="101">
        <v>5.2</v>
      </c>
      <c r="M69" s="101">
        <v>1.5</v>
      </c>
      <c r="N69" s="101" t="s">
        <v>952</v>
      </c>
      <c r="O69" s="101">
        <v>2000</v>
      </c>
      <c r="P69" s="101" t="s">
        <v>867</v>
      </c>
      <c r="Q69" s="101">
        <v>749192</v>
      </c>
      <c r="R69" t="s">
        <v>198</v>
      </c>
      <c r="S69" t="s">
        <v>338</v>
      </c>
      <c r="T69"/>
      <c r="U69"/>
      <c r="V69"/>
      <c r="W69" s="223"/>
    </row>
    <row r="70" spans="1:23" x14ac:dyDescent="0.2">
      <c r="A70" s="253" t="s">
        <v>1060</v>
      </c>
      <c r="B70" s="101">
        <v>0</v>
      </c>
      <c r="C70" s="101">
        <v>0</v>
      </c>
      <c r="D70" s="101">
        <v>0</v>
      </c>
      <c r="E70" s="101">
        <v>1</v>
      </c>
      <c r="F70" s="101">
        <v>2</v>
      </c>
      <c r="G70" s="101">
        <v>3</v>
      </c>
      <c r="H70" s="101">
        <v>10</v>
      </c>
      <c r="I70" s="101">
        <v>2</v>
      </c>
      <c r="J70" s="102">
        <v>0.18</v>
      </c>
      <c r="K70" s="102">
        <v>0.4</v>
      </c>
      <c r="L70" s="101">
        <v>0.3</v>
      </c>
      <c r="M70" s="101">
        <v>0.2</v>
      </c>
      <c r="N70" s="101" t="s">
        <v>952</v>
      </c>
      <c r="O70" s="101">
        <v>2000</v>
      </c>
      <c r="P70" s="101" t="s">
        <v>742</v>
      </c>
      <c r="Q70" s="101">
        <v>549386</v>
      </c>
      <c r="R70" t="s">
        <v>387</v>
      </c>
      <c r="S70" t="s">
        <v>578</v>
      </c>
      <c r="T70"/>
      <c r="U70"/>
      <c r="V70"/>
      <c r="W70" s="223"/>
    </row>
    <row r="71" spans="1:23" x14ac:dyDescent="0.2">
      <c r="A71" s="253" t="s">
        <v>1059</v>
      </c>
      <c r="B71" s="101">
        <v>-1</v>
      </c>
      <c r="C71" s="101">
        <v>-1</v>
      </c>
      <c r="D71" s="101">
        <v>-2</v>
      </c>
      <c r="E71" s="101">
        <v>-3</v>
      </c>
      <c r="F71" s="101">
        <v>-1</v>
      </c>
      <c r="G71" s="101">
        <v>-16</v>
      </c>
      <c r="H71" s="101">
        <v>6</v>
      </c>
      <c r="I71" s="101">
        <v>1</v>
      </c>
      <c r="J71" s="102">
        <v>0.18</v>
      </c>
      <c r="K71" s="102">
        <v>0.39</v>
      </c>
      <c r="L71" s="101">
        <v>7.5</v>
      </c>
      <c r="M71" s="101">
        <v>-0.9</v>
      </c>
      <c r="N71" s="101" t="s">
        <v>955</v>
      </c>
      <c r="O71" s="101">
        <v>2004</v>
      </c>
      <c r="P71" s="101" t="s">
        <v>742</v>
      </c>
      <c r="Q71" s="101">
        <v>880294</v>
      </c>
      <c r="R71" t="s">
        <v>387</v>
      </c>
      <c r="S71" t="s">
        <v>721</v>
      </c>
      <c r="T71"/>
      <c r="U71"/>
      <c r="V71"/>
      <c r="W71" s="223"/>
    </row>
    <row r="72" spans="1:23" x14ac:dyDescent="0.2">
      <c r="A72" s="253" t="s">
        <v>336</v>
      </c>
      <c r="B72" s="101">
        <v>3</v>
      </c>
      <c r="C72" s="101">
        <v>3</v>
      </c>
      <c r="D72" s="101">
        <v>4</v>
      </c>
      <c r="E72" s="101">
        <v>3</v>
      </c>
      <c r="F72" s="101">
        <v>3</v>
      </c>
      <c r="G72" s="101">
        <v>39</v>
      </c>
      <c r="H72" s="101">
        <v>5</v>
      </c>
      <c r="I72" s="101">
        <v>1</v>
      </c>
      <c r="J72" s="102">
        <v>0.18</v>
      </c>
      <c r="K72" s="102">
        <v>0.4</v>
      </c>
      <c r="L72" s="101">
        <v>7.8</v>
      </c>
      <c r="M72" s="101">
        <v>1.4</v>
      </c>
      <c r="N72" s="101" t="s">
        <v>952</v>
      </c>
      <c r="O72" s="101">
        <v>2000</v>
      </c>
      <c r="P72" s="101" t="s">
        <v>867</v>
      </c>
      <c r="Q72" s="101">
        <v>224493</v>
      </c>
      <c r="R72" t="s">
        <v>893</v>
      </c>
      <c r="S72" t="s">
        <v>329</v>
      </c>
      <c r="T72" t="s">
        <v>953</v>
      </c>
      <c r="U72"/>
      <c r="V72"/>
      <c r="W72" s="223"/>
    </row>
    <row r="73" spans="1:23" x14ac:dyDescent="0.2">
      <c r="A73" s="253" t="s">
        <v>939</v>
      </c>
      <c r="B73" s="101">
        <v>7</v>
      </c>
      <c r="C73" s="101">
        <v>7</v>
      </c>
      <c r="D73" s="101">
        <v>5</v>
      </c>
      <c r="E73" s="101">
        <v>-2</v>
      </c>
      <c r="F73" s="101">
        <v>-7</v>
      </c>
      <c r="G73" s="101">
        <v>89</v>
      </c>
      <c r="H73" s="101">
        <v>3</v>
      </c>
      <c r="I73" s="101">
        <v>1</v>
      </c>
      <c r="J73" s="102">
        <v>0.18</v>
      </c>
      <c r="K73" s="102">
        <v>0.4</v>
      </c>
      <c r="L73" s="101">
        <v>18</v>
      </c>
      <c r="M73" s="101">
        <v>1.3</v>
      </c>
      <c r="N73" s="101" t="s">
        <v>952</v>
      </c>
      <c r="O73" s="101">
        <v>2000</v>
      </c>
      <c r="P73" s="101" t="s">
        <v>867</v>
      </c>
      <c r="Q73" s="101">
        <v>681783</v>
      </c>
      <c r="R73" t="s">
        <v>927</v>
      </c>
      <c r="S73" t="s">
        <v>781</v>
      </c>
      <c r="T73"/>
      <c r="U73"/>
      <c r="V73"/>
      <c r="W73" s="223"/>
    </row>
    <row r="74" spans="1:23" x14ac:dyDescent="0.2">
      <c r="A74" s="253" t="s">
        <v>613</v>
      </c>
      <c r="B74" s="101">
        <v>5</v>
      </c>
      <c r="C74" s="101">
        <v>5</v>
      </c>
      <c r="D74" s="101">
        <v>5</v>
      </c>
      <c r="E74" s="101">
        <v>0</v>
      </c>
      <c r="F74" s="101">
        <v>-3</v>
      </c>
      <c r="G74" s="101">
        <v>56</v>
      </c>
      <c r="H74" s="101">
        <v>-1</v>
      </c>
      <c r="I74" s="101">
        <v>0</v>
      </c>
      <c r="J74" s="102">
        <v>0.18</v>
      </c>
      <c r="K74" s="102">
        <v>0.41</v>
      </c>
      <c r="L74" s="101">
        <v>13.7</v>
      </c>
      <c r="M74" s="101">
        <v>1.1000000000000001</v>
      </c>
      <c r="N74" s="101" t="s">
        <v>952</v>
      </c>
      <c r="O74" s="101">
        <v>2000</v>
      </c>
      <c r="P74" s="101" t="s">
        <v>867</v>
      </c>
      <c r="Q74" s="101">
        <v>785022</v>
      </c>
      <c r="R74" t="s">
        <v>198</v>
      </c>
      <c r="S74" t="s">
        <v>843</v>
      </c>
      <c r="T74"/>
      <c r="U74"/>
      <c r="V74"/>
      <c r="W74" s="223"/>
    </row>
    <row r="75" spans="1:23" x14ac:dyDescent="0.2">
      <c r="A75" s="253" t="s">
        <v>834</v>
      </c>
      <c r="B75" s="101">
        <v>7</v>
      </c>
      <c r="C75" s="101">
        <v>7</v>
      </c>
      <c r="D75" s="101">
        <v>5</v>
      </c>
      <c r="E75" s="101">
        <v>-2</v>
      </c>
      <c r="F75" s="101">
        <v>-8</v>
      </c>
      <c r="G75" s="101">
        <v>91</v>
      </c>
      <c r="H75" s="101">
        <v>0</v>
      </c>
      <c r="I75" s="101">
        <v>0</v>
      </c>
      <c r="J75" s="102">
        <v>0.18</v>
      </c>
      <c r="K75" s="102">
        <v>0.4</v>
      </c>
      <c r="L75" s="101">
        <v>19.399999999999999</v>
      </c>
      <c r="M75" s="101">
        <v>1.2</v>
      </c>
      <c r="N75" s="101" t="s">
        <v>952</v>
      </c>
      <c r="O75" s="101">
        <v>2000</v>
      </c>
      <c r="P75" s="101" t="s">
        <v>867</v>
      </c>
      <c r="Q75" s="101">
        <v>833608</v>
      </c>
      <c r="R75" t="s">
        <v>893</v>
      </c>
      <c r="S75" t="s">
        <v>781</v>
      </c>
      <c r="T75" t="s">
        <v>953</v>
      </c>
      <c r="U75"/>
      <c r="V75"/>
      <c r="W75" s="223"/>
    </row>
    <row r="76" spans="1:23" x14ac:dyDescent="0.2">
      <c r="A76" s="253" t="s">
        <v>938</v>
      </c>
      <c r="B76" s="101">
        <v>6</v>
      </c>
      <c r="C76" s="101">
        <v>6</v>
      </c>
      <c r="D76" s="101">
        <v>6</v>
      </c>
      <c r="E76" s="101">
        <v>-1</v>
      </c>
      <c r="F76" s="101">
        <v>-6</v>
      </c>
      <c r="G76" s="101">
        <v>54</v>
      </c>
      <c r="H76" s="101">
        <v>-4</v>
      </c>
      <c r="I76" s="101">
        <v>-1</v>
      </c>
      <c r="J76" s="102">
        <v>0.18</v>
      </c>
      <c r="K76" s="102">
        <v>0.4</v>
      </c>
      <c r="L76" s="101">
        <v>14.6</v>
      </c>
      <c r="M76" s="101">
        <v>1.1000000000000001</v>
      </c>
      <c r="N76" s="101" t="s">
        <v>952</v>
      </c>
      <c r="O76" s="101">
        <v>2000</v>
      </c>
      <c r="P76" s="101" t="s">
        <v>867</v>
      </c>
      <c r="Q76" s="101">
        <v>645952</v>
      </c>
      <c r="R76" t="s">
        <v>927</v>
      </c>
      <c r="S76" t="s">
        <v>843</v>
      </c>
      <c r="T76"/>
      <c r="U76"/>
      <c r="V76"/>
      <c r="W76" s="223"/>
    </row>
    <row r="77" spans="1:23" x14ac:dyDescent="0.2">
      <c r="A77" s="253" t="s">
        <v>858</v>
      </c>
      <c r="B77" s="101">
        <v>5</v>
      </c>
      <c r="C77" s="101">
        <v>5</v>
      </c>
      <c r="D77" s="101">
        <v>5</v>
      </c>
      <c r="E77" s="101">
        <v>1</v>
      </c>
      <c r="F77" s="101">
        <v>-2</v>
      </c>
      <c r="G77" s="101">
        <v>49</v>
      </c>
      <c r="H77" s="101">
        <v>-9</v>
      </c>
      <c r="I77" s="101">
        <v>-2</v>
      </c>
      <c r="J77" s="102">
        <v>0.18</v>
      </c>
      <c r="K77" s="102">
        <v>0.4</v>
      </c>
      <c r="L77" s="101">
        <v>12.8</v>
      </c>
      <c r="M77" s="101">
        <v>1.1000000000000001</v>
      </c>
      <c r="N77" s="101" t="s">
        <v>952</v>
      </c>
      <c r="O77" s="101">
        <v>2000</v>
      </c>
      <c r="P77" s="101" t="s">
        <v>867</v>
      </c>
      <c r="Q77" s="101">
        <v>296152</v>
      </c>
      <c r="R77" t="s">
        <v>893</v>
      </c>
      <c r="S77" t="s">
        <v>843</v>
      </c>
      <c r="T77" t="s">
        <v>953</v>
      </c>
      <c r="U77"/>
      <c r="V77"/>
      <c r="W77" s="223"/>
    </row>
    <row r="78" spans="1:23" x14ac:dyDescent="0.2">
      <c r="A78" s="253" t="s">
        <v>177</v>
      </c>
      <c r="B78" s="101">
        <v>4</v>
      </c>
      <c r="C78" s="101">
        <v>4</v>
      </c>
      <c r="D78" s="101">
        <v>7</v>
      </c>
      <c r="E78" s="101">
        <v>4</v>
      </c>
      <c r="F78" s="101">
        <v>3</v>
      </c>
      <c r="G78" s="101">
        <v>31</v>
      </c>
      <c r="H78" s="101">
        <v>-8</v>
      </c>
      <c r="I78" s="101">
        <v>-2</v>
      </c>
      <c r="J78" s="102">
        <v>0.18</v>
      </c>
      <c r="K78" s="102">
        <v>0.4</v>
      </c>
      <c r="L78" s="101">
        <v>11</v>
      </c>
      <c r="M78" s="101">
        <v>0.8</v>
      </c>
      <c r="N78" s="101" t="s">
        <v>952</v>
      </c>
      <c r="O78" s="101">
        <v>2000</v>
      </c>
      <c r="P78" s="101" t="s">
        <v>867</v>
      </c>
      <c r="Q78" s="101">
        <v>797779</v>
      </c>
      <c r="R78" t="s">
        <v>893</v>
      </c>
      <c r="S78" t="s">
        <v>166</v>
      </c>
      <c r="T78" t="s">
        <v>953</v>
      </c>
      <c r="U78"/>
      <c r="V78"/>
      <c r="W78" s="223"/>
    </row>
    <row r="79" spans="1:23" x14ac:dyDescent="0.2">
      <c r="A79" s="253" t="s">
        <v>940</v>
      </c>
      <c r="B79" s="101">
        <v>5</v>
      </c>
      <c r="C79" s="101">
        <v>5</v>
      </c>
      <c r="D79" s="101">
        <v>7</v>
      </c>
      <c r="E79" s="101">
        <v>2</v>
      </c>
      <c r="F79" s="101">
        <v>1</v>
      </c>
      <c r="G79" s="101">
        <v>25</v>
      </c>
      <c r="H79" s="101">
        <v>-8</v>
      </c>
      <c r="I79" s="101">
        <v>-2</v>
      </c>
      <c r="J79" s="102">
        <v>0.18</v>
      </c>
      <c r="K79" s="102">
        <v>0.4</v>
      </c>
      <c r="L79" s="101">
        <v>11.4</v>
      </c>
      <c r="M79" s="101">
        <v>0.7</v>
      </c>
      <c r="N79" s="101" t="s">
        <v>952</v>
      </c>
      <c r="O79" s="101">
        <v>2001</v>
      </c>
      <c r="P79" s="101" t="s">
        <v>867</v>
      </c>
      <c r="Q79" s="101">
        <v>908277</v>
      </c>
      <c r="R79" t="s">
        <v>927</v>
      </c>
      <c r="S79" t="s">
        <v>166</v>
      </c>
      <c r="T79"/>
      <c r="U79"/>
      <c r="V79"/>
      <c r="W79" s="223"/>
    </row>
    <row r="80" spans="1:23" x14ac:dyDescent="0.2">
      <c r="A80" s="253" t="s">
        <v>936</v>
      </c>
      <c r="B80" s="101">
        <v>7</v>
      </c>
      <c r="C80" s="101">
        <v>7</v>
      </c>
      <c r="D80" s="101">
        <v>2</v>
      </c>
      <c r="E80" s="101">
        <v>-7</v>
      </c>
      <c r="F80" s="101">
        <v>-10</v>
      </c>
      <c r="G80" s="101">
        <v>13</v>
      </c>
      <c r="H80" s="101">
        <v>-23</v>
      </c>
      <c r="I80" s="101">
        <v>-5</v>
      </c>
      <c r="J80" s="102">
        <v>0.18</v>
      </c>
      <c r="K80" s="102">
        <v>0.4</v>
      </c>
      <c r="L80" s="101">
        <v>16.7</v>
      </c>
      <c r="M80" s="101">
        <v>0.3</v>
      </c>
      <c r="N80" s="101" t="s">
        <v>952</v>
      </c>
      <c r="O80" s="101">
        <v>2000</v>
      </c>
      <c r="P80" s="101" t="s">
        <v>867</v>
      </c>
      <c r="Q80" s="101">
        <v>538462</v>
      </c>
      <c r="R80" t="s">
        <v>927</v>
      </c>
      <c r="S80" t="s">
        <v>96</v>
      </c>
      <c r="T80"/>
      <c r="U80"/>
      <c r="V80"/>
      <c r="W80" s="223"/>
    </row>
    <row r="81" spans="1:23" x14ac:dyDescent="0.2">
      <c r="A81" s="253" t="s">
        <v>1145</v>
      </c>
      <c r="B81" s="101"/>
      <c r="C81" s="101"/>
      <c r="D81" s="101"/>
      <c r="E81" s="101"/>
      <c r="F81" s="101"/>
      <c r="G81" s="101"/>
      <c r="H81" s="101"/>
      <c r="I81" s="101"/>
      <c r="J81" s="102">
        <v>0.18</v>
      </c>
      <c r="K81" s="102">
        <v>0.4</v>
      </c>
      <c r="L81" s="101"/>
      <c r="M81" s="101"/>
      <c r="N81" s="101" t="s">
        <v>952</v>
      </c>
      <c r="O81" s="101">
        <v>2012</v>
      </c>
      <c r="P81" s="101" t="s">
        <v>867</v>
      </c>
      <c r="Q81" s="101">
        <v>229682</v>
      </c>
      <c r="R81" t="s">
        <v>927</v>
      </c>
      <c r="S81" t="s">
        <v>166</v>
      </c>
      <c r="T81"/>
      <c r="U81"/>
      <c r="V81"/>
      <c r="W81" s="223"/>
    </row>
    <row r="82" spans="1:23" x14ac:dyDescent="0.2">
      <c r="A82" s="253" t="s">
        <v>942</v>
      </c>
      <c r="B82" s="101">
        <v>3</v>
      </c>
      <c r="C82" s="101">
        <v>3</v>
      </c>
      <c r="D82" s="101">
        <v>9</v>
      </c>
      <c r="E82" s="101">
        <v>10</v>
      </c>
      <c r="F82" s="101">
        <v>9</v>
      </c>
      <c r="G82" s="101">
        <v>23</v>
      </c>
      <c r="H82" s="101"/>
      <c r="I82" s="101"/>
      <c r="J82" s="102">
        <v>0.18</v>
      </c>
      <c r="K82" s="102">
        <v>0.4</v>
      </c>
      <c r="L82" s="101">
        <v>11.9</v>
      </c>
      <c r="M82" s="101">
        <v>0.6</v>
      </c>
      <c r="N82" s="101" t="s">
        <v>952</v>
      </c>
      <c r="O82" s="101">
        <v>2007</v>
      </c>
      <c r="P82" s="101" t="s">
        <v>867</v>
      </c>
      <c r="Q82" s="101">
        <v>520692</v>
      </c>
      <c r="R82" t="s">
        <v>927</v>
      </c>
      <c r="S82" t="s">
        <v>114</v>
      </c>
      <c r="T82"/>
      <c r="U82"/>
      <c r="V82"/>
      <c r="W82" s="223"/>
    </row>
    <row r="83" spans="1:23" x14ac:dyDescent="0.2">
      <c r="A83" s="253" t="s">
        <v>383</v>
      </c>
      <c r="B83" s="101">
        <v>1</v>
      </c>
      <c r="C83" s="101">
        <v>1</v>
      </c>
      <c r="D83" s="101">
        <v>3</v>
      </c>
      <c r="E83" s="101">
        <v>3</v>
      </c>
      <c r="F83" s="101">
        <v>5</v>
      </c>
      <c r="G83" s="101">
        <v>18</v>
      </c>
      <c r="H83" s="101">
        <v>16</v>
      </c>
      <c r="I83" s="101">
        <v>3</v>
      </c>
      <c r="J83" s="102">
        <v>0.19</v>
      </c>
      <c r="K83" s="102">
        <v>0.4</v>
      </c>
      <c r="L83" s="101">
        <v>2.5</v>
      </c>
      <c r="M83" s="101">
        <v>2</v>
      </c>
      <c r="N83" s="101" t="s">
        <v>952</v>
      </c>
      <c r="O83" s="101">
        <v>2000</v>
      </c>
      <c r="P83" s="101" t="s">
        <v>867</v>
      </c>
      <c r="Q83" s="101">
        <v>391482</v>
      </c>
      <c r="R83" t="s">
        <v>914</v>
      </c>
      <c r="S83" t="s">
        <v>382</v>
      </c>
      <c r="T83" t="s">
        <v>953</v>
      </c>
      <c r="U83"/>
      <c r="V83"/>
      <c r="W83" s="223"/>
    </row>
    <row r="84" spans="1:23" x14ac:dyDescent="0.2">
      <c r="A84" s="253" t="s">
        <v>579</v>
      </c>
      <c r="B84" s="101">
        <v>0</v>
      </c>
      <c r="C84" s="101">
        <v>0</v>
      </c>
      <c r="D84" s="101">
        <v>1</v>
      </c>
      <c r="E84" s="101">
        <v>1</v>
      </c>
      <c r="F84" s="101">
        <v>2</v>
      </c>
      <c r="G84" s="101">
        <v>4</v>
      </c>
      <c r="H84" s="101">
        <v>10</v>
      </c>
      <c r="I84" s="101">
        <v>2</v>
      </c>
      <c r="J84" s="102">
        <v>0.19</v>
      </c>
      <c r="K84" s="102">
        <v>0.5</v>
      </c>
      <c r="L84" s="101">
        <v>0.3</v>
      </c>
      <c r="M84" s="101">
        <v>1.3</v>
      </c>
      <c r="N84" s="101" t="s">
        <v>952</v>
      </c>
      <c r="O84" s="101">
        <v>2002</v>
      </c>
      <c r="P84" s="101" t="s">
        <v>867</v>
      </c>
      <c r="Q84" s="101">
        <v>843284</v>
      </c>
      <c r="R84" t="s">
        <v>907</v>
      </c>
      <c r="S84" t="s">
        <v>578</v>
      </c>
      <c r="T84"/>
      <c r="U84"/>
      <c r="V84"/>
      <c r="W84" s="223"/>
    </row>
    <row r="85" spans="1:23" x14ac:dyDescent="0.2">
      <c r="A85" s="253" t="s">
        <v>614</v>
      </c>
      <c r="B85" s="101">
        <v>8</v>
      </c>
      <c r="C85" s="101">
        <v>8</v>
      </c>
      <c r="D85" s="101">
        <v>5</v>
      </c>
      <c r="E85" s="101">
        <v>-4</v>
      </c>
      <c r="F85" s="101">
        <v>-10</v>
      </c>
      <c r="G85" s="101">
        <v>85</v>
      </c>
      <c r="H85" s="101">
        <v>1</v>
      </c>
      <c r="I85" s="101">
        <v>0</v>
      </c>
      <c r="J85" s="102">
        <v>0.19</v>
      </c>
      <c r="K85" s="102">
        <v>0.51</v>
      </c>
      <c r="L85" s="101">
        <v>19.399999999999999</v>
      </c>
      <c r="M85" s="101">
        <v>1.2</v>
      </c>
      <c r="N85" s="101" t="s">
        <v>952</v>
      </c>
      <c r="O85" s="101">
        <v>2000</v>
      </c>
      <c r="P85" s="101" t="s">
        <v>867</v>
      </c>
      <c r="Q85" s="101">
        <v>789271</v>
      </c>
      <c r="R85" t="s">
        <v>198</v>
      </c>
      <c r="S85" t="s">
        <v>781</v>
      </c>
      <c r="T85"/>
      <c r="U85"/>
      <c r="V85"/>
      <c r="W85" s="223"/>
    </row>
    <row r="86" spans="1:23" x14ac:dyDescent="0.2">
      <c r="A86" s="253" t="s">
        <v>549</v>
      </c>
      <c r="B86" s="101">
        <v>3</v>
      </c>
      <c r="C86" s="101">
        <v>3</v>
      </c>
      <c r="D86" s="101">
        <v>4</v>
      </c>
      <c r="E86" s="101">
        <v>2</v>
      </c>
      <c r="F86" s="101">
        <v>1</v>
      </c>
      <c r="G86" s="101">
        <v>26</v>
      </c>
      <c r="H86" s="101">
        <v>-6</v>
      </c>
      <c r="I86" s="101">
        <v>-1</v>
      </c>
      <c r="J86" s="102">
        <v>0.19</v>
      </c>
      <c r="K86" s="102">
        <v>0.4</v>
      </c>
      <c r="L86" s="101">
        <v>7.1</v>
      </c>
      <c r="M86" s="101">
        <v>1.1000000000000001</v>
      </c>
      <c r="N86" s="101" t="s">
        <v>952</v>
      </c>
      <c r="O86" s="101">
        <v>2000</v>
      </c>
      <c r="P86" s="101" t="s">
        <v>867</v>
      </c>
      <c r="Q86" s="101">
        <v>427310</v>
      </c>
      <c r="R86" t="s">
        <v>914</v>
      </c>
      <c r="S86" t="s">
        <v>386</v>
      </c>
      <c r="T86" t="s">
        <v>953</v>
      </c>
      <c r="U86"/>
      <c r="V86"/>
      <c r="W86" s="223"/>
    </row>
    <row r="87" spans="1:23" x14ac:dyDescent="0.2">
      <c r="A87" s="253" t="s">
        <v>611</v>
      </c>
      <c r="B87" s="101">
        <v>4</v>
      </c>
      <c r="C87" s="101">
        <v>4</v>
      </c>
      <c r="D87" s="101">
        <v>7</v>
      </c>
      <c r="E87" s="101">
        <v>3</v>
      </c>
      <c r="F87" s="101">
        <v>1</v>
      </c>
      <c r="G87" s="101">
        <v>28</v>
      </c>
      <c r="H87" s="101">
        <v>-10</v>
      </c>
      <c r="I87" s="101">
        <v>-2</v>
      </c>
      <c r="J87" s="102">
        <v>0.19</v>
      </c>
      <c r="K87" s="102">
        <v>0.52</v>
      </c>
      <c r="L87" s="101">
        <v>10.8</v>
      </c>
      <c r="M87" s="101">
        <v>0.8</v>
      </c>
      <c r="N87" s="101" t="s">
        <v>952</v>
      </c>
      <c r="O87" s="101">
        <v>2000</v>
      </c>
      <c r="P87" s="101" t="s">
        <v>867</v>
      </c>
      <c r="Q87" s="101">
        <v>753442</v>
      </c>
      <c r="R87" t="s">
        <v>198</v>
      </c>
      <c r="S87" t="s">
        <v>166</v>
      </c>
      <c r="T87"/>
      <c r="U87"/>
      <c r="V87"/>
      <c r="W87" s="223"/>
    </row>
    <row r="88" spans="1:23" x14ac:dyDescent="0.2">
      <c r="A88" s="253" t="s">
        <v>560</v>
      </c>
      <c r="B88" s="101">
        <v>4</v>
      </c>
      <c r="C88" s="101">
        <v>4</v>
      </c>
      <c r="D88" s="101">
        <v>4</v>
      </c>
      <c r="E88" s="101">
        <v>1</v>
      </c>
      <c r="F88" s="101">
        <v>-2</v>
      </c>
      <c r="G88" s="101">
        <v>29</v>
      </c>
      <c r="H88" s="101">
        <v>-16</v>
      </c>
      <c r="I88" s="101">
        <v>-3</v>
      </c>
      <c r="J88" s="102">
        <v>0.19</v>
      </c>
      <c r="K88" s="102">
        <v>0.4</v>
      </c>
      <c r="L88" s="101">
        <v>9.8000000000000007</v>
      </c>
      <c r="M88" s="101">
        <v>0.9</v>
      </c>
      <c r="N88" s="101" t="s">
        <v>952</v>
      </c>
      <c r="O88" s="101">
        <v>2000</v>
      </c>
      <c r="P88" s="101" t="s">
        <v>867</v>
      </c>
      <c r="Q88" s="101">
        <v>463141</v>
      </c>
      <c r="R88" t="s">
        <v>914</v>
      </c>
      <c r="S88" t="s">
        <v>386</v>
      </c>
      <c r="T88" t="s">
        <v>953</v>
      </c>
      <c r="U88"/>
      <c r="V88"/>
      <c r="W88" s="223"/>
    </row>
    <row r="89" spans="1:23" x14ac:dyDescent="0.2">
      <c r="A89" s="253" t="s">
        <v>554</v>
      </c>
      <c r="B89" s="101">
        <v>4</v>
      </c>
      <c r="C89" s="101">
        <v>4</v>
      </c>
      <c r="D89" s="101">
        <v>5</v>
      </c>
      <c r="E89" s="101">
        <v>-1</v>
      </c>
      <c r="F89" s="101">
        <v>-4</v>
      </c>
      <c r="G89" s="101">
        <v>33</v>
      </c>
      <c r="H89" s="101">
        <v>-15</v>
      </c>
      <c r="I89" s="101">
        <v>-3</v>
      </c>
      <c r="J89" s="102">
        <v>0.19</v>
      </c>
      <c r="K89" s="102">
        <v>0.4</v>
      </c>
      <c r="L89" s="101">
        <v>12</v>
      </c>
      <c r="M89" s="101">
        <v>0.8</v>
      </c>
      <c r="N89" s="101" t="s">
        <v>952</v>
      </c>
      <c r="O89" s="101">
        <v>2000</v>
      </c>
      <c r="P89" s="101" t="s">
        <v>867</v>
      </c>
      <c r="Q89" s="101">
        <v>844522</v>
      </c>
      <c r="R89" t="s">
        <v>914</v>
      </c>
      <c r="S89" t="s">
        <v>551</v>
      </c>
      <c r="T89" t="s">
        <v>953</v>
      </c>
      <c r="U89"/>
      <c r="V89"/>
      <c r="W89" s="223"/>
    </row>
    <row r="90" spans="1:23" x14ac:dyDescent="0.2">
      <c r="A90" s="253" t="s">
        <v>555</v>
      </c>
      <c r="B90" s="101">
        <v>4</v>
      </c>
      <c r="C90" s="101">
        <v>4</v>
      </c>
      <c r="D90" s="101">
        <v>5</v>
      </c>
      <c r="E90" s="101">
        <v>-3</v>
      </c>
      <c r="F90" s="101">
        <v>-7</v>
      </c>
      <c r="G90" s="101">
        <v>29</v>
      </c>
      <c r="H90" s="101">
        <v>-17</v>
      </c>
      <c r="I90" s="101">
        <v>-4</v>
      </c>
      <c r="J90" s="102">
        <v>0.19</v>
      </c>
      <c r="K90" s="102">
        <v>0.4</v>
      </c>
      <c r="L90" s="101">
        <v>12.2</v>
      </c>
      <c r="M90" s="101">
        <v>0.8</v>
      </c>
      <c r="N90" s="101" t="s">
        <v>952</v>
      </c>
      <c r="O90" s="101">
        <v>2000</v>
      </c>
      <c r="P90" s="101" t="s">
        <v>867</v>
      </c>
      <c r="Q90" s="101">
        <v>498972</v>
      </c>
      <c r="R90" t="s">
        <v>914</v>
      </c>
      <c r="S90" t="s">
        <v>551</v>
      </c>
      <c r="T90" t="s">
        <v>953</v>
      </c>
      <c r="U90"/>
      <c r="V90"/>
      <c r="W90" s="223"/>
    </row>
    <row r="91" spans="1:23" x14ac:dyDescent="0.2">
      <c r="A91" s="253" t="s">
        <v>640</v>
      </c>
      <c r="B91" s="101">
        <v>4</v>
      </c>
      <c r="C91" s="101">
        <v>4</v>
      </c>
      <c r="D91" s="101">
        <v>3</v>
      </c>
      <c r="E91" s="101">
        <v>-5</v>
      </c>
      <c r="F91" s="101">
        <v>-6</v>
      </c>
      <c r="G91" s="101">
        <v>16</v>
      </c>
      <c r="H91" s="101">
        <v>-21</v>
      </c>
      <c r="I91" s="101">
        <v>-5</v>
      </c>
      <c r="J91" s="102">
        <v>0.19</v>
      </c>
      <c r="K91" s="102">
        <v>0.52</v>
      </c>
      <c r="L91" s="101">
        <v>14.6</v>
      </c>
      <c r="M91" s="101">
        <v>0.4</v>
      </c>
      <c r="N91" s="101" t="s">
        <v>952</v>
      </c>
      <c r="O91" s="101">
        <v>2000</v>
      </c>
      <c r="P91" s="101" t="s">
        <v>867</v>
      </c>
      <c r="Q91" s="101">
        <v>964171</v>
      </c>
      <c r="R91" t="s">
        <v>198</v>
      </c>
      <c r="S91" t="s">
        <v>49</v>
      </c>
      <c r="T91"/>
      <c r="U91"/>
      <c r="V91"/>
      <c r="W91" s="223"/>
    </row>
    <row r="92" spans="1:23" x14ac:dyDescent="0.2">
      <c r="A92" s="253" t="s">
        <v>723</v>
      </c>
      <c r="B92" s="101">
        <v>1</v>
      </c>
      <c r="C92" s="101">
        <v>1</v>
      </c>
      <c r="D92" s="101">
        <v>-1</v>
      </c>
      <c r="E92" s="101">
        <v>-4</v>
      </c>
      <c r="F92" s="101">
        <v>0</v>
      </c>
      <c r="G92" s="101">
        <v>-7</v>
      </c>
      <c r="H92" s="101">
        <v>4</v>
      </c>
      <c r="I92" s="101">
        <v>1</v>
      </c>
      <c r="J92" s="102">
        <v>0.2</v>
      </c>
      <c r="K92" s="102">
        <v>0.45</v>
      </c>
      <c r="L92" s="101">
        <v>7.7</v>
      </c>
      <c r="M92" s="101">
        <v>-0.4</v>
      </c>
      <c r="N92" s="101" t="s">
        <v>955</v>
      </c>
      <c r="O92" s="101">
        <v>2001</v>
      </c>
      <c r="P92" s="101" t="s">
        <v>742</v>
      </c>
      <c r="Q92" s="101">
        <v>621631</v>
      </c>
      <c r="R92" t="s">
        <v>880</v>
      </c>
      <c r="S92" t="s">
        <v>721</v>
      </c>
      <c r="T92"/>
      <c r="U92"/>
      <c r="V92"/>
      <c r="W92" s="223"/>
    </row>
    <row r="93" spans="1:23" x14ac:dyDescent="0.2">
      <c r="A93" s="253" t="s">
        <v>941</v>
      </c>
      <c r="B93" s="101">
        <v>6</v>
      </c>
      <c r="C93" s="101">
        <v>6</v>
      </c>
      <c r="D93" s="101">
        <v>5</v>
      </c>
      <c r="E93" s="101">
        <v>-4</v>
      </c>
      <c r="F93" s="101">
        <v>-7</v>
      </c>
      <c r="G93" s="101"/>
      <c r="H93" s="101"/>
      <c r="I93" s="101"/>
      <c r="J93" s="102">
        <v>0.2</v>
      </c>
      <c r="K93" s="102">
        <v>0.30738700000000002</v>
      </c>
      <c r="L93" s="101"/>
      <c r="M93" s="101"/>
      <c r="N93" s="101" t="s">
        <v>952</v>
      </c>
      <c r="O93" s="101">
        <v>2009</v>
      </c>
      <c r="P93" s="101" t="s">
        <v>867</v>
      </c>
      <c r="Q93" s="101">
        <v>653030</v>
      </c>
      <c r="R93" t="s">
        <v>795</v>
      </c>
      <c r="S93" t="s">
        <v>840</v>
      </c>
      <c r="T93"/>
      <c r="U93"/>
      <c r="V93"/>
      <c r="W93" s="223"/>
    </row>
    <row r="94" spans="1:23" x14ac:dyDescent="0.2">
      <c r="A94" s="253" t="s">
        <v>715</v>
      </c>
      <c r="B94" s="101">
        <v>0</v>
      </c>
      <c r="C94" s="101">
        <v>0</v>
      </c>
      <c r="D94" s="101">
        <v>3</v>
      </c>
      <c r="E94" s="101">
        <v>6</v>
      </c>
      <c r="F94" s="101">
        <v>12</v>
      </c>
      <c r="G94" s="101">
        <v>17</v>
      </c>
      <c r="H94" s="101">
        <v>33</v>
      </c>
      <c r="I94" s="101">
        <v>6</v>
      </c>
      <c r="J94" s="102">
        <v>0.21</v>
      </c>
      <c r="K94" s="102">
        <v>0.75</v>
      </c>
      <c r="L94" s="101">
        <v>4.4000000000000004</v>
      </c>
      <c r="M94" s="101">
        <v>1</v>
      </c>
      <c r="N94" s="101" t="s">
        <v>952</v>
      </c>
      <c r="O94" s="101">
        <v>2001</v>
      </c>
      <c r="P94" s="101" t="s">
        <v>867</v>
      </c>
      <c r="Q94" s="101">
        <v>648964</v>
      </c>
      <c r="R94" t="s">
        <v>814</v>
      </c>
      <c r="S94" t="s">
        <v>645</v>
      </c>
      <c r="T94"/>
      <c r="U94"/>
      <c r="V94"/>
      <c r="W94" s="223"/>
    </row>
    <row r="95" spans="1:23" x14ac:dyDescent="0.2">
      <c r="A95" s="253" t="s">
        <v>1061</v>
      </c>
      <c r="B95" s="101">
        <v>0</v>
      </c>
      <c r="C95" s="101">
        <v>0</v>
      </c>
      <c r="D95" s="101">
        <v>2</v>
      </c>
      <c r="E95" s="101">
        <v>6</v>
      </c>
      <c r="F95" s="101">
        <v>11</v>
      </c>
      <c r="G95" s="101">
        <v>15</v>
      </c>
      <c r="H95" s="101">
        <v>31</v>
      </c>
      <c r="I95" s="101">
        <v>5</v>
      </c>
      <c r="J95" s="102">
        <v>0.21</v>
      </c>
      <c r="K95" s="102">
        <v>0.5</v>
      </c>
      <c r="L95" s="101">
        <v>4.3</v>
      </c>
      <c r="M95" s="101">
        <v>0.9</v>
      </c>
      <c r="N95" s="101" t="s">
        <v>952</v>
      </c>
      <c r="O95" s="101">
        <v>2000</v>
      </c>
      <c r="P95" s="101" t="s">
        <v>742</v>
      </c>
      <c r="Q95" s="101">
        <v>513556</v>
      </c>
      <c r="R95" t="s">
        <v>387</v>
      </c>
      <c r="S95" t="s">
        <v>645</v>
      </c>
      <c r="T95"/>
      <c r="U95"/>
      <c r="V95"/>
      <c r="W95" s="223"/>
    </row>
    <row r="96" spans="1:23" x14ac:dyDescent="0.2">
      <c r="A96" s="253" t="s">
        <v>904</v>
      </c>
      <c r="B96" s="101">
        <v>-1</v>
      </c>
      <c r="C96" s="101">
        <v>-1</v>
      </c>
      <c r="D96" s="101">
        <v>3</v>
      </c>
      <c r="E96" s="101">
        <v>6</v>
      </c>
      <c r="F96" s="101">
        <v>10</v>
      </c>
      <c r="G96" s="101">
        <v>21</v>
      </c>
      <c r="H96" s="101">
        <v>30</v>
      </c>
      <c r="I96" s="101">
        <v>5</v>
      </c>
      <c r="J96" s="102">
        <v>0.21</v>
      </c>
      <c r="K96" s="102">
        <v>0.75</v>
      </c>
      <c r="L96" s="101">
        <v>4.2</v>
      </c>
      <c r="M96" s="101">
        <v>1.3</v>
      </c>
      <c r="N96" s="101" t="s">
        <v>952</v>
      </c>
      <c r="O96" s="101">
        <v>2008</v>
      </c>
      <c r="P96" s="101" t="s">
        <v>742</v>
      </c>
      <c r="Q96" s="101">
        <v>131409</v>
      </c>
      <c r="R96" t="s">
        <v>598</v>
      </c>
      <c r="S96" t="s">
        <v>717</v>
      </c>
      <c r="T96"/>
      <c r="U96"/>
      <c r="V96"/>
      <c r="W96" s="223"/>
    </row>
    <row r="97" spans="1:23" x14ac:dyDescent="0.2">
      <c r="A97" s="253" t="s">
        <v>159</v>
      </c>
      <c r="B97" s="101">
        <v>8</v>
      </c>
      <c r="C97" s="101">
        <v>8</v>
      </c>
      <c r="D97" s="101">
        <v>8</v>
      </c>
      <c r="E97" s="101">
        <v>-5</v>
      </c>
      <c r="F97" s="101">
        <v>-5</v>
      </c>
      <c r="G97" s="101">
        <v>51</v>
      </c>
      <c r="H97" s="101">
        <v>21</v>
      </c>
      <c r="I97" s="101">
        <v>4</v>
      </c>
      <c r="J97" s="102">
        <v>0.21</v>
      </c>
      <c r="K97" s="102">
        <v>0.7</v>
      </c>
      <c r="L97" s="101">
        <v>16.5</v>
      </c>
      <c r="M97" s="101">
        <v>0.9</v>
      </c>
      <c r="N97" s="101" t="s">
        <v>952</v>
      </c>
      <c r="O97" s="101">
        <v>2000</v>
      </c>
      <c r="P97" s="101" t="s">
        <v>867</v>
      </c>
      <c r="Q97" s="101">
        <v>471052</v>
      </c>
      <c r="R97" t="s">
        <v>893</v>
      </c>
      <c r="S97" t="s">
        <v>150</v>
      </c>
      <c r="T97" t="s">
        <v>953</v>
      </c>
      <c r="U97"/>
      <c r="V97"/>
      <c r="W97" s="223"/>
    </row>
    <row r="98" spans="1:23" x14ac:dyDescent="0.2">
      <c r="A98" s="253" t="s">
        <v>568</v>
      </c>
      <c r="B98" s="101">
        <v>2</v>
      </c>
      <c r="C98" s="101">
        <v>2</v>
      </c>
      <c r="D98" s="101">
        <v>3</v>
      </c>
      <c r="E98" s="101">
        <v>4</v>
      </c>
      <c r="F98" s="101">
        <v>7</v>
      </c>
      <c r="G98" s="101">
        <v>23</v>
      </c>
      <c r="H98" s="101">
        <v>14</v>
      </c>
      <c r="I98" s="101">
        <v>3</v>
      </c>
      <c r="J98" s="102">
        <v>0.21</v>
      </c>
      <c r="K98" s="102">
        <v>0.49719999999999998</v>
      </c>
      <c r="L98" s="101">
        <v>3</v>
      </c>
      <c r="M98" s="101">
        <v>2.2000000000000002</v>
      </c>
      <c r="N98" s="101" t="s">
        <v>952</v>
      </c>
      <c r="O98" s="101">
        <v>2000</v>
      </c>
      <c r="P98" s="101" t="s">
        <v>867</v>
      </c>
      <c r="Q98" s="101">
        <v>502633</v>
      </c>
      <c r="R98" t="s">
        <v>814</v>
      </c>
      <c r="S98" t="s">
        <v>382</v>
      </c>
      <c r="T98"/>
      <c r="U98"/>
      <c r="V98"/>
      <c r="W98" s="223"/>
    </row>
    <row r="99" spans="1:23" x14ac:dyDescent="0.2">
      <c r="A99" s="253" t="s">
        <v>384</v>
      </c>
      <c r="B99" s="101">
        <v>2</v>
      </c>
      <c r="C99" s="101">
        <v>2</v>
      </c>
      <c r="D99" s="101">
        <v>4</v>
      </c>
      <c r="E99" s="101">
        <v>3</v>
      </c>
      <c r="F99" s="101">
        <v>4</v>
      </c>
      <c r="G99" s="101">
        <v>22</v>
      </c>
      <c r="H99" s="101">
        <v>4</v>
      </c>
      <c r="I99" s="101">
        <v>1</v>
      </c>
      <c r="J99" s="102">
        <v>0.21</v>
      </c>
      <c r="K99" s="102">
        <v>0.48</v>
      </c>
      <c r="L99" s="101">
        <v>5.5</v>
      </c>
      <c r="M99" s="101">
        <v>1.2</v>
      </c>
      <c r="N99" s="101" t="s">
        <v>952</v>
      </c>
      <c r="O99" s="101">
        <v>2000</v>
      </c>
      <c r="P99" s="101" t="s">
        <v>867</v>
      </c>
      <c r="Q99" s="101">
        <v>850602</v>
      </c>
      <c r="R99" t="s">
        <v>810</v>
      </c>
      <c r="S99" t="s">
        <v>382</v>
      </c>
      <c r="T99"/>
      <c r="U99"/>
      <c r="V99"/>
      <c r="W99" s="223"/>
    </row>
    <row r="100" spans="1:23" x14ac:dyDescent="0.2">
      <c r="A100" s="253" t="s">
        <v>335</v>
      </c>
      <c r="B100" s="101">
        <v>3</v>
      </c>
      <c r="C100" s="101">
        <v>3</v>
      </c>
      <c r="D100" s="101">
        <v>4</v>
      </c>
      <c r="E100" s="101">
        <v>3</v>
      </c>
      <c r="F100" s="101">
        <v>2</v>
      </c>
      <c r="G100" s="101">
        <v>40</v>
      </c>
      <c r="H100" s="101">
        <v>5</v>
      </c>
      <c r="I100" s="101">
        <v>1</v>
      </c>
      <c r="J100" s="102">
        <v>0.21</v>
      </c>
      <c r="K100" s="102">
        <v>0.7</v>
      </c>
      <c r="L100" s="101">
        <v>8.4</v>
      </c>
      <c r="M100" s="101">
        <v>1.4</v>
      </c>
      <c r="N100" s="101" t="s">
        <v>952</v>
      </c>
      <c r="O100" s="101">
        <v>2000</v>
      </c>
      <c r="P100" s="101" t="s">
        <v>867</v>
      </c>
      <c r="Q100" s="101">
        <v>542712</v>
      </c>
      <c r="R100" t="s">
        <v>893</v>
      </c>
      <c r="S100" t="s">
        <v>329</v>
      </c>
      <c r="T100" t="s">
        <v>953</v>
      </c>
      <c r="U100"/>
      <c r="V100"/>
      <c r="W100" s="223"/>
    </row>
    <row r="101" spans="1:23" x14ac:dyDescent="0.2">
      <c r="A101" s="253" t="s">
        <v>148</v>
      </c>
      <c r="B101" s="101">
        <v>2</v>
      </c>
      <c r="C101" s="101">
        <v>2</v>
      </c>
      <c r="D101" s="101">
        <v>9</v>
      </c>
      <c r="E101" s="101">
        <v>11</v>
      </c>
      <c r="F101" s="101">
        <v>9</v>
      </c>
      <c r="G101" s="101">
        <v>37</v>
      </c>
      <c r="H101" s="101">
        <v>3</v>
      </c>
      <c r="I101" s="101">
        <v>1</v>
      </c>
      <c r="J101" s="102">
        <v>0.21</v>
      </c>
      <c r="K101" s="102">
        <v>0.7</v>
      </c>
      <c r="L101" s="101">
        <v>11.8</v>
      </c>
      <c r="M101" s="101">
        <v>0.9</v>
      </c>
      <c r="N101" s="101" t="s">
        <v>952</v>
      </c>
      <c r="O101" s="101">
        <v>2000</v>
      </c>
      <c r="P101" s="101" t="s">
        <v>867</v>
      </c>
      <c r="Q101" s="101">
        <v>650200</v>
      </c>
      <c r="R101" t="s">
        <v>893</v>
      </c>
      <c r="S101" t="s">
        <v>114</v>
      </c>
      <c r="T101" t="s">
        <v>953</v>
      </c>
      <c r="U101"/>
      <c r="V101"/>
      <c r="W101" s="223"/>
    </row>
    <row r="102" spans="1:23" x14ac:dyDescent="0.2">
      <c r="A102" s="253" t="s">
        <v>951</v>
      </c>
      <c r="B102" s="101">
        <v>9</v>
      </c>
      <c r="C102" s="101">
        <v>9</v>
      </c>
      <c r="D102" s="101">
        <v>8</v>
      </c>
      <c r="E102" s="101">
        <v>2</v>
      </c>
      <c r="F102" s="101">
        <v>-5</v>
      </c>
      <c r="G102" s="101">
        <v>118</v>
      </c>
      <c r="H102" s="101">
        <v>4</v>
      </c>
      <c r="I102" s="101">
        <v>1</v>
      </c>
      <c r="J102" s="102">
        <v>0.21</v>
      </c>
      <c r="K102" s="102">
        <v>0.6</v>
      </c>
      <c r="L102" s="101">
        <v>21.2</v>
      </c>
      <c r="M102" s="101">
        <v>1.4</v>
      </c>
      <c r="N102" s="101" t="s">
        <v>952</v>
      </c>
      <c r="O102" s="101">
        <v>2004</v>
      </c>
      <c r="P102" s="101" t="s">
        <v>867</v>
      </c>
      <c r="Q102" s="101">
        <v>269357</v>
      </c>
      <c r="R102" t="s">
        <v>927</v>
      </c>
      <c r="S102" t="s">
        <v>837</v>
      </c>
      <c r="T102"/>
      <c r="U102"/>
      <c r="V102"/>
      <c r="W102" s="223"/>
    </row>
    <row r="103" spans="1:23" x14ac:dyDescent="0.2">
      <c r="A103" s="253" t="s">
        <v>567</v>
      </c>
      <c r="B103" s="101">
        <v>4</v>
      </c>
      <c r="C103" s="101">
        <v>4</v>
      </c>
      <c r="D103" s="101">
        <v>5</v>
      </c>
      <c r="E103" s="101">
        <v>3</v>
      </c>
      <c r="F103" s="101">
        <v>4</v>
      </c>
      <c r="G103" s="101">
        <v>35</v>
      </c>
      <c r="H103" s="101">
        <v>-2</v>
      </c>
      <c r="I103" s="101">
        <v>0</v>
      </c>
      <c r="J103" s="102">
        <v>0.21</v>
      </c>
      <c r="K103" s="102">
        <v>0.5</v>
      </c>
      <c r="L103" s="101">
        <v>7.6</v>
      </c>
      <c r="M103" s="101">
        <v>1.4</v>
      </c>
      <c r="N103" s="101" t="s">
        <v>952</v>
      </c>
      <c r="O103" s="101">
        <v>2000</v>
      </c>
      <c r="P103" s="101" t="s">
        <v>867</v>
      </c>
      <c r="Q103" s="101">
        <v>466805</v>
      </c>
      <c r="R103" t="s">
        <v>814</v>
      </c>
      <c r="S103" t="s">
        <v>382</v>
      </c>
      <c r="T103"/>
      <c r="U103"/>
      <c r="V103"/>
      <c r="W103" s="223"/>
    </row>
    <row r="104" spans="1:23" x14ac:dyDescent="0.2">
      <c r="A104" s="253" t="s">
        <v>298</v>
      </c>
      <c r="B104" s="101">
        <v>4</v>
      </c>
      <c r="C104" s="101">
        <v>4</v>
      </c>
      <c r="D104" s="101">
        <v>7</v>
      </c>
      <c r="E104" s="101">
        <v>8</v>
      </c>
      <c r="F104" s="101">
        <v>7</v>
      </c>
      <c r="G104" s="101">
        <v>55</v>
      </c>
      <c r="H104" s="101">
        <v>-1</v>
      </c>
      <c r="I104" s="101">
        <v>0</v>
      </c>
      <c r="J104" s="102">
        <v>0.21</v>
      </c>
      <c r="K104" s="102">
        <v>0.7</v>
      </c>
      <c r="L104" s="101">
        <v>12.8</v>
      </c>
      <c r="M104" s="101">
        <v>1.2</v>
      </c>
      <c r="N104" s="101" t="s">
        <v>952</v>
      </c>
      <c r="O104" s="101">
        <v>2000</v>
      </c>
      <c r="P104" s="101" t="s">
        <v>867</v>
      </c>
      <c r="Q104" s="101">
        <v>435222</v>
      </c>
      <c r="R104" t="s">
        <v>893</v>
      </c>
      <c r="S104" t="s">
        <v>293</v>
      </c>
      <c r="T104" t="s">
        <v>953</v>
      </c>
      <c r="U104"/>
      <c r="V104"/>
      <c r="W104" s="223"/>
    </row>
    <row r="105" spans="1:23" x14ac:dyDescent="0.2">
      <c r="A105" s="253" t="s">
        <v>821</v>
      </c>
      <c r="B105" s="101">
        <v>8</v>
      </c>
      <c r="C105" s="101">
        <v>8</v>
      </c>
      <c r="D105" s="101">
        <v>5</v>
      </c>
      <c r="E105" s="101">
        <v>-3</v>
      </c>
      <c r="F105" s="101">
        <v>-9</v>
      </c>
      <c r="G105" s="101">
        <v>92</v>
      </c>
      <c r="H105" s="101">
        <v>2</v>
      </c>
      <c r="I105" s="101">
        <v>0</v>
      </c>
      <c r="J105" s="102">
        <v>0.21</v>
      </c>
      <c r="K105" s="102">
        <v>0.4</v>
      </c>
      <c r="L105" s="101">
        <v>19.2</v>
      </c>
      <c r="M105" s="101">
        <v>1.3</v>
      </c>
      <c r="N105" s="101" t="s">
        <v>952</v>
      </c>
      <c r="O105" s="101">
        <v>2000</v>
      </c>
      <c r="P105" s="101" t="s">
        <v>867</v>
      </c>
      <c r="Q105" s="101">
        <v>905265</v>
      </c>
      <c r="R105" t="s">
        <v>892</v>
      </c>
      <c r="S105" t="s">
        <v>781</v>
      </c>
      <c r="T105" t="s">
        <v>953</v>
      </c>
      <c r="U105"/>
      <c r="V105"/>
      <c r="W105" s="223"/>
    </row>
    <row r="106" spans="1:23" x14ac:dyDescent="0.2">
      <c r="A106" s="253" t="s">
        <v>820</v>
      </c>
      <c r="B106" s="101">
        <v>7</v>
      </c>
      <c r="C106" s="101">
        <v>7</v>
      </c>
      <c r="D106" s="101">
        <v>4</v>
      </c>
      <c r="E106" s="101">
        <v>-3</v>
      </c>
      <c r="F106" s="101">
        <v>-8</v>
      </c>
      <c r="G106" s="101">
        <v>90</v>
      </c>
      <c r="H106" s="101">
        <v>-1</v>
      </c>
      <c r="I106" s="101">
        <v>0</v>
      </c>
      <c r="J106" s="102">
        <v>0.21</v>
      </c>
      <c r="K106" s="102">
        <v>0.4</v>
      </c>
      <c r="L106" s="101">
        <v>19.399999999999999</v>
      </c>
      <c r="M106" s="101">
        <v>1.2</v>
      </c>
      <c r="N106" s="101" t="s">
        <v>952</v>
      </c>
      <c r="O106" s="101">
        <v>2000</v>
      </c>
      <c r="P106" s="101" t="s">
        <v>867</v>
      </c>
      <c r="Q106" s="101">
        <v>976928</v>
      </c>
      <c r="R106" t="s">
        <v>892</v>
      </c>
      <c r="S106" t="s">
        <v>781</v>
      </c>
      <c r="T106" t="s">
        <v>953</v>
      </c>
      <c r="U106"/>
      <c r="V106"/>
      <c r="W106" s="223"/>
    </row>
    <row r="107" spans="1:23" x14ac:dyDescent="0.2">
      <c r="A107" s="253" t="s">
        <v>842</v>
      </c>
      <c r="B107" s="101">
        <v>5</v>
      </c>
      <c r="C107" s="101">
        <v>5</v>
      </c>
      <c r="D107" s="101">
        <v>5</v>
      </c>
      <c r="E107" s="101">
        <v>-3</v>
      </c>
      <c r="F107" s="101">
        <v>-7</v>
      </c>
      <c r="G107" s="101">
        <v>82</v>
      </c>
      <c r="H107" s="101">
        <v>1</v>
      </c>
      <c r="I107" s="101">
        <v>0</v>
      </c>
      <c r="J107" s="102">
        <v>0.21</v>
      </c>
      <c r="K107" s="102">
        <v>0.31</v>
      </c>
      <c r="L107" s="101">
        <v>17.899999999999999</v>
      </c>
      <c r="M107" s="101">
        <v>1.3</v>
      </c>
      <c r="N107" s="101" t="s">
        <v>952</v>
      </c>
      <c r="O107" s="101">
        <v>2000</v>
      </c>
      <c r="P107" s="101" t="s">
        <v>867</v>
      </c>
      <c r="Q107" s="101">
        <v>290072</v>
      </c>
      <c r="R107" t="s">
        <v>732</v>
      </c>
      <c r="S107" t="s">
        <v>840</v>
      </c>
      <c r="T107"/>
      <c r="U107"/>
      <c r="V107"/>
      <c r="W107" s="223"/>
    </row>
    <row r="108" spans="1:23" x14ac:dyDescent="0.2">
      <c r="A108" s="253" t="s">
        <v>385</v>
      </c>
      <c r="B108" s="101">
        <v>3</v>
      </c>
      <c r="C108" s="101">
        <v>3</v>
      </c>
      <c r="D108" s="101">
        <v>4</v>
      </c>
      <c r="E108" s="101">
        <v>2</v>
      </c>
      <c r="F108" s="101">
        <v>1</v>
      </c>
      <c r="G108" s="101">
        <v>30</v>
      </c>
      <c r="H108" s="101">
        <v>-5</v>
      </c>
      <c r="I108" s="101">
        <v>-1</v>
      </c>
      <c r="J108" s="102">
        <v>0.21</v>
      </c>
      <c r="K108" s="102">
        <v>0.48</v>
      </c>
      <c r="L108" s="101">
        <v>8.9</v>
      </c>
      <c r="M108" s="101">
        <v>1</v>
      </c>
      <c r="N108" s="101" t="s">
        <v>952</v>
      </c>
      <c r="O108" s="101">
        <v>2000</v>
      </c>
      <c r="P108" s="101" t="s">
        <v>867</v>
      </c>
      <c r="Q108" s="101">
        <v>814772</v>
      </c>
      <c r="R108" t="s">
        <v>810</v>
      </c>
      <c r="S108" t="s">
        <v>382</v>
      </c>
      <c r="T108"/>
      <c r="U108"/>
      <c r="V108"/>
      <c r="W108" s="223"/>
    </row>
    <row r="109" spans="1:23" x14ac:dyDescent="0.2">
      <c r="A109" s="253" t="s">
        <v>573</v>
      </c>
      <c r="B109" s="101">
        <v>6</v>
      </c>
      <c r="C109" s="101">
        <v>6</v>
      </c>
      <c r="D109" s="101">
        <v>7</v>
      </c>
      <c r="E109" s="101">
        <v>1</v>
      </c>
      <c r="F109" s="101">
        <v>0</v>
      </c>
      <c r="G109" s="101">
        <v>43</v>
      </c>
      <c r="H109" s="101">
        <v>-5</v>
      </c>
      <c r="I109" s="101">
        <v>-1</v>
      </c>
      <c r="J109" s="102">
        <v>0.21</v>
      </c>
      <c r="K109" s="102">
        <v>0.50060000000000004</v>
      </c>
      <c r="L109" s="101">
        <v>12.1</v>
      </c>
      <c r="M109" s="101">
        <v>1.1000000000000001</v>
      </c>
      <c r="N109" s="101" t="s">
        <v>952</v>
      </c>
      <c r="O109" s="101">
        <v>2000</v>
      </c>
      <c r="P109" s="101" t="s">
        <v>867</v>
      </c>
      <c r="Q109" s="101">
        <v>251827</v>
      </c>
      <c r="R109" t="s">
        <v>814</v>
      </c>
      <c r="S109" t="s">
        <v>551</v>
      </c>
      <c r="T109"/>
      <c r="U109"/>
      <c r="V109"/>
      <c r="W109" s="223"/>
    </row>
    <row r="110" spans="1:23" x14ac:dyDescent="0.2">
      <c r="A110" s="253" t="s">
        <v>574</v>
      </c>
      <c r="B110" s="101">
        <v>6</v>
      </c>
      <c r="C110" s="101">
        <v>6</v>
      </c>
      <c r="D110" s="101">
        <v>7</v>
      </c>
      <c r="E110" s="101">
        <v>1</v>
      </c>
      <c r="F110" s="101">
        <v>0</v>
      </c>
      <c r="G110" s="101">
        <v>43</v>
      </c>
      <c r="H110" s="101">
        <v>-6</v>
      </c>
      <c r="I110" s="101">
        <v>-1</v>
      </c>
      <c r="J110" s="102">
        <v>0.21</v>
      </c>
      <c r="K110" s="102">
        <v>0.50039999999999996</v>
      </c>
      <c r="L110" s="101">
        <v>12.1</v>
      </c>
      <c r="M110" s="101">
        <v>1.1000000000000001</v>
      </c>
      <c r="N110" s="101" t="s">
        <v>952</v>
      </c>
      <c r="O110" s="101">
        <v>2000</v>
      </c>
      <c r="P110" s="101" t="s">
        <v>867</v>
      </c>
      <c r="Q110" s="101">
        <v>287656</v>
      </c>
      <c r="R110" t="s">
        <v>814</v>
      </c>
      <c r="S110" t="s">
        <v>551</v>
      </c>
      <c r="T110"/>
      <c r="U110"/>
      <c r="V110"/>
      <c r="W110" s="223"/>
    </row>
    <row r="111" spans="1:23" x14ac:dyDescent="0.2">
      <c r="A111" s="253" t="s">
        <v>575</v>
      </c>
      <c r="B111" s="101">
        <v>6</v>
      </c>
      <c r="C111" s="101">
        <v>6</v>
      </c>
      <c r="D111" s="101">
        <v>7</v>
      </c>
      <c r="E111" s="101">
        <v>1</v>
      </c>
      <c r="F111" s="101">
        <v>0</v>
      </c>
      <c r="G111" s="101">
        <v>43</v>
      </c>
      <c r="H111" s="101">
        <v>-5</v>
      </c>
      <c r="I111" s="101">
        <v>-1</v>
      </c>
      <c r="J111" s="102">
        <v>0.21</v>
      </c>
      <c r="K111" s="102">
        <v>0.50060000000000004</v>
      </c>
      <c r="L111" s="101">
        <v>12.1</v>
      </c>
      <c r="M111" s="101">
        <v>1.1000000000000001</v>
      </c>
      <c r="N111" s="101" t="s">
        <v>952</v>
      </c>
      <c r="O111" s="101">
        <v>2000</v>
      </c>
      <c r="P111" s="101" t="s">
        <v>867</v>
      </c>
      <c r="Q111" s="101">
        <v>323485</v>
      </c>
      <c r="R111" t="s">
        <v>814</v>
      </c>
      <c r="S111" t="s">
        <v>551</v>
      </c>
      <c r="T111"/>
      <c r="U111"/>
      <c r="V111"/>
      <c r="W111" s="223"/>
    </row>
    <row r="112" spans="1:23" x14ac:dyDescent="0.2">
      <c r="A112" s="253" t="s">
        <v>569</v>
      </c>
      <c r="B112" s="101">
        <v>6</v>
      </c>
      <c r="C112" s="101">
        <v>6</v>
      </c>
      <c r="D112" s="101">
        <v>7</v>
      </c>
      <c r="E112" s="101">
        <v>1</v>
      </c>
      <c r="F112" s="101">
        <v>0</v>
      </c>
      <c r="G112" s="101">
        <v>43</v>
      </c>
      <c r="H112" s="101">
        <v>-6</v>
      </c>
      <c r="I112" s="101">
        <v>-1</v>
      </c>
      <c r="J112" s="102">
        <v>0.21</v>
      </c>
      <c r="K112" s="102">
        <v>0.50049999999999994</v>
      </c>
      <c r="L112" s="101">
        <v>12.1</v>
      </c>
      <c r="M112" s="101">
        <v>1.1000000000000001</v>
      </c>
      <c r="N112" s="101" t="s">
        <v>952</v>
      </c>
      <c r="O112" s="101">
        <v>2000</v>
      </c>
      <c r="P112" s="101" t="s">
        <v>867</v>
      </c>
      <c r="Q112" s="101">
        <v>359315</v>
      </c>
      <c r="R112" t="s">
        <v>814</v>
      </c>
      <c r="S112" t="s">
        <v>386</v>
      </c>
      <c r="T112"/>
      <c r="U112"/>
      <c r="V112"/>
      <c r="W112" s="223"/>
    </row>
    <row r="113" spans="1:23" x14ac:dyDescent="0.2">
      <c r="A113" s="253" t="s">
        <v>570</v>
      </c>
      <c r="B113" s="101">
        <v>6</v>
      </c>
      <c r="C113" s="101">
        <v>6</v>
      </c>
      <c r="D113" s="101">
        <v>7</v>
      </c>
      <c r="E113" s="101">
        <v>1</v>
      </c>
      <c r="F113" s="101">
        <v>0</v>
      </c>
      <c r="G113" s="101">
        <v>43</v>
      </c>
      <c r="H113" s="101">
        <v>-5</v>
      </c>
      <c r="I113" s="101">
        <v>-1</v>
      </c>
      <c r="J113" s="102">
        <v>0.21</v>
      </c>
      <c r="K113" s="102">
        <v>0.50049999999999994</v>
      </c>
      <c r="L113" s="101">
        <v>12.1</v>
      </c>
      <c r="M113" s="101">
        <v>1.1000000000000001</v>
      </c>
      <c r="N113" s="101" t="s">
        <v>952</v>
      </c>
      <c r="O113" s="101">
        <v>2000</v>
      </c>
      <c r="P113" s="101" t="s">
        <v>867</v>
      </c>
      <c r="Q113" s="101">
        <v>395145</v>
      </c>
      <c r="R113" t="s">
        <v>814</v>
      </c>
      <c r="S113" t="s">
        <v>386</v>
      </c>
      <c r="T113"/>
      <c r="U113"/>
      <c r="V113"/>
      <c r="W113" s="223"/>
    </row>
    <row r="114" spans="1:23" x14ac:dyDescent="0.2">
      <c r="A114" s="253" t="s">
        <v>564</v>
      </c>
      <c r="B114" s="101">
        <v>6</v>
      </c>
      <c r="C114" s="101">
        <v>6</v>
      </c>
      <c r="D114" s="101">
        <v>7</v>
      </c>
      <c r="E114" s="101">
        <v>1</v>
      </c>
      <c r="F114" s="101">
        <v>0</v>
      </c>
      <c r="G114" s="101">
        <v>43</v>
      </c>
      <c r="H114" s="101">
        <v>-5</v>
      </c>
      <c r="I114" s="101">
        <v>-1</v>
      </c>
      <c r="J114" s="102">
        <v>0.21</v>
      </c>
      <c r="K114" s="102">
        <v>0.50060000000000004</v>
      </c>
      <c r="L114" s="101">
        <v>12.1</v>
      </c>
      <c r="M114" s="101">
        <v>1.1000000000000001</v>
      </c>
      <c r="N114" s="101" t="s">
        <v>952</v>
      </c>
      <c r="O114" s="101">
        <v>2000</v>
      </c>
      <c r="P114" s="101" t="s">
        <v>867</v>
      </c>
      <c r="Q114" s="101">
        <v>430975</v>
      </c>
      <c r="R114" t="s">
        <v>814</v>
      </c>
      <c r="S114" t="s">
        <v>382</v>
      </c>
      <c r="T114"/>
      <c r="U114"/>
      <c r="V114"/>
      <c r="W114" s="223"/>
    </row>
    <row r="115" spans="1:23" x14ac:dyDescent="0.2">
      <c r="A115" s="253" t="s">
        <v>572</v>
      </c>
      <c r="B115" s="101">
        <v>6</v>
      </c>
      <c r="C115" s="101">
        <v>6</v>
      </c>
      <c r="D115" s="101">
        <v>6</v>
      </c>
      <c r="E115" s="101">
        <v>-2</v>
      </c>
      <c r="F115" s="101">
        <v>-6</v>
      </c>
      <c r="G115" s="101">
        <v>34</v>
      </c>
      <c r="H115" s="101">
        <v>-10</v>
      </c>
      <c r="I115" s="101">
        <v>-2</v>
      </c>
      <c r="J115" s="102">
        <v>0.21</v>
      </c>
      <c r="K115" s="102">
        <v>0.501</v>
      </c>
      <c r="L115" s="101">
        <v>13.4</v>
      </c>
      <c r="M115" s="101">
        <v>0.8</v>
      </c>
      <c r="N115" s="101" t="s">
        <v>952</v>
      </c>
      <c r="O115" s="101">
        <v>2000</v>
      </c>
      <c r="P115" s="101" t="s">
        <v>867</v>
      </c>
      <c r="Q115" s="101">
        <v>215996</v>
      </c>
      <c r="R115" t="s">
        <v>814</v>
      </c>
      <c r="S115" t="s">
        <v>551</v>
      </c>
      <c r="T115"/>
      <c r="U115"/>
      <c r="V115"/>
      <c r="W115" s="223"/>
    </row>
    <row r="116" spans="1:23" x14ac:dyDescent="0.2">
      <c r="A116" s="253" t="s">
        <v>175</v>
      </c>
      <c r="B116" s="101">
        <v>4</v>
      </c>
      <c r="C116" s="101">
        <v>4</v>
      </c>
      <c r="D116" s="101">
        <v>7</v>
      </c>
      <c r="E116" s="101">
        <v>3</v>
      </c>
      <c r="F116" s="101">
        <v>2</v>
      </c>
      <c r="G116" s="101">
        <v>30</v>
      </c>
      <c r="H116" s="101">
        <v>-9</v>
      </c>
      <c r="I116" s="101">
        <v>-2</v>
      </c>
      <c r="J116" s="102">
        <v>0.21</v>
      </c>
      <c r="K116" s="102">
        <v>0.4</v>
      </c>
      <c r="L116" s="101">
        <v>11.1</v>
      </c>
      <c r="M116" s="101">
        <v>0.8</v>
      </c>
      <c r="N116" s="101" t="s">
        <v>952</v>
      </c>
      <c r="O116" s="101">
        <v>2000</v>
      </c>
      <c r="P116" s="101" t="s">
        <v>867</v>
      </c>
      <c r="Q116" s="101">
        <v>941096</v>
      </c>
      <c r="R116" t="s">
        <v>892</v>
      </c>
      <c r="S116" t="s">
        <v>166</v>
      </c>
      <c r="T116" t="s">
        <v>953</v>
      </c>
      <c r="U116"/>
      <c r="V116"/>
      <c r="W116" s="223"/>
    </row>
    <row r="117" spans="1:23" x14ac:dyDescent="0.2">
      <c r="A117" s="253" t="s">
        <v>401</v>
      </c>
      <c r="B117" s="101">
        <v>5</v>
      </c>
      <c r="C117" s="101">
        <v>5</v>
      </c>
      <c r="D117" s="101">
        <v>5</v>
      </c>
      <c r="E117" s="101">
        <v>0</v>
      </c>
      <c r="F117" s="101">
        <v>-1</v>
      </c>
      <c r="G117" s="101">
        <v>36</v>
      </c>
      <c r="H117" s="101">
        <v>-9</v>
      </c>
      <c r="I117" s="101">
        <v>-2</v>
      </c>
      <c r="J117" s="102">
        <v>0.21</v>
      </c>
      <c r="K117" s="102">
        <v>0.48</v>
      </c>
      <c r="L117" s="101">
        <v>12.1</v>
      </c>
      <c r="M117" s="101">
        <v>0.9</v>
      </c>
      <c r="N117" s="101" t="s">
        <v>952</v>
      </c>
      <c r="O117" s="101">
        <v>2000</v>
      </c>
      <c r="P117" s="101" t="s">
        <v>867</v>
      </c>
      <c r="Q117" s="101">
        <v>778944</v>
      </c>
      <c r="R117" t="s">
        <v>810</v>
      </c>
      <c r="S117" t="s">
        <v>386</v>
      </c>
      <c r="T117"/>
      <c r="U117"/>
      <c r="V117"/>
      <c r="W117" s="223"/>
    </row>
    <row r="118" spans="1:23" x14ac:dyDescent="0.2">
      <c r="A118" s="253" t="s">
        <v>571</v>
      </c>
      <c r="B118" s="101">
        <v>6</v>
      </c>
      <c r="C118" s="101">
        <v>6</v>
      </c>
      <c r="D118" s="101">
        <v>5</v>
      </c>
      <c r="E118" s="101">
        <v>-2</v>
      </c>
      <c r="F118" s="101">
        <v>-6</v>
      </c>
      <c r="G118" s="101">
        <v>32</v>
      </c>
      <c r="H118" s="101">
        <v>-16</v>
      </c>
      <c r="I118" s="101">
        <v>-3</v>
      </c>
      <c r="J118" s="102">
        <v>0.21</v>
      </c>
      <c r="K118" s="102">
        <v>0.50170000000000003</v>
      </c>
      <c r="L118" s="101">
        <v>13.4</v>
      </c>
      <c r="M118" s="101">
        <v>0.8</v>
      </c>
      <c r="N118" s="101" t="s">
        <v>952</v>
      </c>
      <c r="O118" s="101">
        <v>2006</v>
      </c>
      <c r="P118" s="101" t="s">
        <v>867</v>
      </c>
      <c r="Q118" s="101">
        <v>167296</v>
      </c>
      <c r="R118" t="s">
        <v>814</v>
      </c>
      <c r="S118" t="s">
        <v>551</v>
      </c>
      <c r="T118"/>
      <c r="U118"/>
      <c r="V118"/>
      <c r="W118" s="223"/>
    </row>
    <row r="119" spans="1:23" x14ac:dyDescent="0.2">
      <c r="A119" s="253" t="s">
        <v>62</v>
      </c>
      <c r="B119" s="101">
        <v>4</v>
      </c>
      <c r="C119" s="101">
        <v>4</v>
      </c>
      <c r="D119" s="101">
        <v>3</v>
      </c>
      <c r="E119" s="101">
        <v>-5</v>
      </c>
      <c r="F119" s="101">
        <v>-6</v>
      </c>
      <c r="G119" s="101">
        <v>15</v>
      </c>
      <c r="H119" s="101">
        <v>-25</v>
      </c>
      <c r="I119" s="101">
        <v>-6</v>
      </c>
      <c r="J119" s="102">
        <v>0.21</v>
      </c>
      <c r="K119" s="102">
        <v>0.7</v>
      </c>
      <c r="L119" s="101">
        <v>14.5</v>
      </c>
      <c r="M119" s="101">
        <v>0.4</v>
      </c>
      <c r="N119" s="101" t="s">
        <v>952</v>
      </c>
      <c r="O119" s="101">
        <v>2000</v>
      </c>
      <c r="P119" s="101" t="s">
        <v>867</v>
      </c>
      <c r="Q119" s="101">
        <v>686030</v>
      </c>
      <c r="R119" t="s">
        <v>893</v>
      </c>
      <c r="S119" t="s">
        <v>49</v>
      </c>
      <c r="T119" t="s">
        <v>953</v>
      </c>
      <c r="U119"/>
      <c r="V119"/>
      <c r="W119" s="223"/>
    </row>
    <row r="120" spans="1:23" x14ac:dyDescent="0.2">
      <c r="A120" s="253" t="s">
        <v>950</v>
      </c>
      <c r="B120" s="101">
        <v>6</v>
      </c>
      <c r="C120" s="101">
        <v>6</v>
      </c>
      <c r="D120" s="101">
        <v>6</v>
      </c>
      <c r="E120" s="101">
        <v>-4</v>
      </c>
      <c r="F120" s="101">
        <v>-2</v>
      </c>
      <c r="G120" s="101">
        <v>24</v>
      </c>
      <c r="H120" s="101"/>
      <c r="I120" s="101"/>
      <c r="J120" s="102">
        <v>0.21</v>
      </c>
      <c r="K120" s="102">
        <v>0.6</v>
      </c>
      <c r="L120" s="101">
        <v>11.4</v>
      </c>
      <c r="M120" s="101">
        <v>0.6</v>
      </c>
      <c r="N120" s="101" t="s">
        <v>952</v>
      </c>
      <c r="O120" s="101">
        <v>2008</v>
      </c>
      <c r="P120" s="101" t="s">
        <v>867</v>
      </c>
      <c r="Q120" s="101">
        <v>823096</v>
      </c>
      <c r="R120" t="s">
        <v>927</v>
      </c>
      <c r="S120" t="s">
        <v>150</v>
      </c>
      <c r="T120"/>
      <c r="U120"/>
      <c r="V120"/>
      <c r="W120" s="223"/>
    </row>
    <row r="121" spans="1:23" x14ac:dyDescent="0.2">
      <c r="A121" s="253" t="s">
        <v>948</v>
      </c>
      <c r="B121" s="101">
        <v>2</v>
      </c>
      <c r="C121" s="101">
        <v>2</v>
      </c>
      <c r="D121" s="101">
        <v>2</v>
      </c>
      <c r="E121" s="101">
        <v>1</v>
      </c>
      <c r="F121" s="101">
        <v>1</v>
      </c>
      <c r="G121" s="101">
        <v>17</v>
      </c>
      <c r="H121" s="101"/>
      <c r="I121" s="101"/>
      <c r="J121" s="102">
        <v>0.21</v>
      </c>
      <c r="K121" s="102">
        <v>0.43566500000000002</v>
      </c>
      <c r="L121" s="101">
        <v>3.4</v>
      </c>
      <c r="M121" s="101">
        <v>1.4</v>
      </c>
      <c r="N121" s="101" t="s">
        <v>952</v>
      </c>
      <c r="O121" s="101">
        <v>2009</v>
      </c>
      <c r="P121" s="101" t="s">
        <v>742</v>
      </c>
      <c r="Q121" s="101">
        <v>891093</v>
      </c>
      <c r="R121" t="s">
        <v>787</v>
      </c>
      <c r="S121" t="s">
        <v>382</v>
      </c>
      <c r="T121"/>
      <c r="U121"/>
      <c r="V121"/>
      <c r="W121" s="223"/>
    </row>
    <row r="122" spans="1:23" x14ac:dyDescent="0.2">
      <c r="A122" s="253" t="s">
        <v>835</v>
      </c>
      <c r="B122" s="101">
        <v>7</v>
      </c>
      <c r="C122" s="101">
        <v>7</v>
      </c>
      <c r="D122" s="101">
        <v>5</v>
      </c>
      <c r="E122" s="101">
        <v>-2</v>
      </c>
      <c r="F122" s="101">
        <v>-8</v>
      </c>
      <c r="G122" s="101">
        <v>89</v>
      </c>
      <c r="H122" s="101">
        <v>-2</v>
      </c>
      <c r="I122" s="101">
        <v>0</v>
      </c>
      <c r="J122" s="102">
        <v>0.22</v>
      </c>
      <c r="K122" s="102">
        <v>0.71</v>
      </c>
      <c r="L122" s="101">
        <v>19.5</v>
      </c>
      <c r="M122" s="101">
        <v>1.2</v>
      </c>
      <c r="N122" s="101" t="s">
        <v>952</v>
      </c>
      <c r="O122" s="101">
        <v>2000</v>
      </c>
      <c r="P122" s="101" t="s">
        <v>867</v>
      </c>
      <c r="Q122" s="101">
        <v>721860</v>
      </c>
      <c r="R122" t="s">
        <v>893</v>
      </c>
      <c r="S122" t="s">
        <v>781</v>
      </c>
      <c r="T122" t="s">
        <v>953</v>
      </c>
      <c r="U122"/>
      <c r="V122"/>
      <c r="W122" s="223"/>
    </row>
    <row r="123" spans="1:23" x14ac:dyDescent="0.2">
      <c r="A123" s="253" t="s">
        <v>636</v>
      </c>
      <c r="B123" s="101">
        <v>7</v>
      </c>
      <c r="C123" s="101">
        <v>7</v>
      </c>
      <c r="D123" s="101">
        <v>4</v>
      </c>
      <c r="E123" s="101">
        <v>-4</v>
      </c>
      <c r="F123" s="101">
        <v>-10</v>
      </c>
      <c r="G123" s="101">
        <v>81</v>
      </c>
      <c r="H123" s="101">
        <v>-3</v>
      </c>
      <c r="I123" s="101">
        <v>-1</v>
      </c>
      <c r="J123" s="102">
        <v>0.22</v>
      </c>
      <c r="K123" s="102">
        <v>0.72</v>
      </c>
      <c r="L123" s="101">
        <v>19.100000000000001</v>
      </c>
      <c r="M123" s="101">
        <v>1.2</v>
      </c>
      <c r="N123" s="101" t="s">
        <v>952</v>
      </c>
      <c r="O123" s="101">
        <v>2003</v>
      </c>
      <c r="P123" s="101" t="s">
        <v>867</v>
      </c>
      <c r="Q123" s="101">
        <v>902783</v>
      </c>
      <c r="R123" t="s">
        <v>198</v>
      </c>
      <c r="S123" t="s">
        <v>781</v>
      </c>
      <c r="T123" t="s">
        <v>953</v>
      </c>
      <c r="U123"/>
      <c r="V123"/>
      <c r="W123" s="223"/>
    </row>
    <row r="124" spans="1:23" x14ac:dyDescent="0.2">
      <c r="A124" s="253" t="s">
        <v>562</v>
      </c>
      <c r="B124" s="101">
        <v>5</v>
      </c>
      <c r="C124" s="101">
        <v>5</v>
      </c>
      <c r="D124" s="101">
        <v>6</v>
      </c>
      <c r="E124" s="101">
        <v>0</v>
      </c>
      <c r="F124" s="101">
        <v>-1</v>
      </c>
      <c r="G124" s="101">
        <v>35</v>
      </c>
      <c r="H124" s="101">
        <v>-9</v>
      </c>
      <c r="I124" s="101">
        <v>-2</v>
      </c>
      <c r="J124" s="102">
        <v>0.22</v>
      </c>
      <c r="K124" s="102">
        <v>0.5</v>
      </c>
      <c r="L124" s="101">
        <v>12.4</v>
      </c>
      <c r="M124" s="101">
        <v>0.9</v>
      </c>
      <c r="N124" s="101" t="s">
        <v>952</v>
      </c>
      <c r="O124" s="101">
        <v>2000</v>
      </c>
      <c r="P124" s="101" t="s">
        <v>867</v>
      </c>
      <c r="Q124" s="101">
        <v>635623</v>
      </c>
      <c r="R124" t="s">
        <v>810</v>
      </c>
      <c r="S124" t="s">
        <v>551</v>
      </c>
      <c r="T124"/>
      <c r="U124"/>
      <c r="V124"/>
      <c r="W124" s="223"/>
    </row>
    <row r="125" spans="1:23" x14ac:dyDescent="0.2">
      <c r="A125" s="253" t="s">
        <v>339</v>
      </c>
      <c r="B125" s="101">
        <v>3</v>
      </c>
      <c r="C125" s="101">
        <v>3</v>
      </c>
      <c r="D125" s="101">
        <v>1</v>
      </c>
      <c r="E125" s="101">
        <v>-5</v>
      </c>
      <c r="F125" s="101">
        <v>-6</v>
      </c>
      <c r="G125" s="101">
        <v>-1</v>
      </c>
      <c r="H125" s="101">
        <v>-9</v>
      </c>
      <c r="I125" s="101">
        <v>-2</v>
      </c>
      <c r="J125" s="102">
        <v>0.22</v>
      </c>
      <c r="K125" s="102">
        <v>0.6</v>
      </c>
      <c r="L125" s="101">
        <v>9.5</v>
      </c>
      <c r="M125" s="101">
        <v>0</v>
      </c>
      <c r="N125" s="101" t="s">
        <v>952</v>
      </c>
      <c r="O125" s="101">
        <v>2000</v>
      </c>
      <c r="P125" s="101" t="s">
        <v>867</v>
      </c>
      <c r="Q125" s="101">
        <v>319822</v>
      </c>
      <c r="R125" t="s">
        <v>914</v>
      </c>
      <c r="S125" t="s">
        <v>338</v>
      </c>
      <c r="T125" t="s">
        <v>953</v>
      </c>
      <c r="U125"/>
      <c r="V125"/>
      <c r="W125" s="223"/>
    </row>
    <row r="126" spans="1:23" x14ac:dyDescent="0.2">
      <c r="A126" s="253" t="s">
        <v>577</v>
      </c>
      <c r="B126" s="101">
        <v>5</v>
      </c>
      <c r="C126" s="101">
        <v>5</v>
      </c>
      <c r="D126" s="101">
        <v>6</v>
      </c>
      <c r="E126" s="101">
        <v>0</v>
      </c>
      <c r="F126" s="101">
        <v>-1</v>
      </c>
      <c r="G126" s="101">
        <v>36</v>
      </c>
      <c r="H126" s="101">
        <v>-9</v>
      </c>
      <c r="I126" s="101">
        <v>-2</v>
      </c>
      <c r="J126" s="102">
        <v>0.22</v>
      </c>
      <c r="K126" s="102">
        <v>0.49</v>
      </c>
      <c r="L126" s="101">
        <v>12.4</v>
      </c>
      <c r="M126" s="101">
        <v>0.9</v>
      </c>
      <c r="N126" s="101" t="s">
        <v>952</v>
      </c>
      <c r="O126" s="101">
        <v>2000</v>
      </c>
      <c r="P126" s="101" t="s">
        <v>867</v>
      </c>
      <c r="Q126" s="101">
        <v>707281</v>
      </c>
      <c r="R126" t="s">
        <v>810</v>
      </c>
      <c r="S126" t="s">
        <v>386</v>
      </c>
      <c r="T126"/>
      <c r="U126"/>
      <c r="V126"/>
      <c r="W126" s="223"/>
    </row>
    <row r="127" spans="1:23" x14ac:dyDescent="0.2">
      <c r="A127" s="253" t="s">
        <v>400</v>
      </c>
      <c r="B127" s="101">
        <v>5</v>
      </c>
      <c r="C127" s="101">
        <v>5</v>
      </c>
      <c r="D127" s="101">
        <v>6</v>
      </c>
      <c r="E127" s="101">
        <v>0</v>
      </c>
      <c r="F127" s="101">
        <v>-1</v>
      </c>
      <c r="G127" s="101">
        <v>36</v>
      </c>
      <c r="H127" s="101">
        <v>-9</v>
      </c>
      <c r="I127" s="101">
        <v>-2</v>
      </c>
      <c r="J127" s="102">
        <v>0.22</v>
      </c>
      <c r="K127" s="102">
        <v>0.49</v>
      </c>
      <c r="L127" s="101">
        <v>12.4</v>
      </c>
      <c r="M127" s="101">
        <v>0.9</v>
      </c>
      <c r="N127" s="101" t="s">
        <v>952</v>
      </c>
      <c r="O127" s="101">
        <v>2000</v>
      </c>
      <c r="P127" s="101" t="s">
        <v>867</v>
      </c>
      <c r="Q127" s="101">
        <v>743112</v>
      </c>
      <c r="R127" t="s">
        <v>810</v>
      </c>
      <c r="S127" t="s">
        <v>386</v>
      </c>
      <c r="T127"/>
      <c r="U127"/>
      <c r="V127"/>
      <c r="W127" s="223"/>
    </row>
    <row r="128" spans="1:23" x14ac:dyDescent="0.2">
      <c r="A128" s="253" t="s">
        <v>179</v>
      </c>
      <c r="B128" s="101">
        <v>5</v>
      </c>
      <c r="C128" s="101">
        <v>5</v>
      </c>
      <c r="D128" s="101">
        <v>6</v>
      </c>
      <c r="E128" s="101">
        <v>1</v>
      </c>
      <c r="F128" s="101">
        <v>1</v>
      </c>
      <c r="G128" s="101">
        <v>28</v>
      </c>
      <c r="H128" s="101">
        <v>-11</v>
      </c>
      <c r="I128" s="101">
        <v>-2</v>
      </c>
      <c r="J128" s="102">
        <v>0.22</v>
      </c>
      <c r="K128" s="102">
        <v>0.71</v>
      </c>
      <c r="L128" s="101">
        <v>11.3</v>
      </c>
      <c r="M128" s="101">
        <v>0.7</v>
      </c>
      <c r="N128" s="101" t="s">
        <v>952</v>
      </c>
      <c r="O128" s="101">
        <v>2000</v>
      </c>
      <c r="P128" s="101" t="s">
        <v>867</v>
      </c>
      <c r="Q128" s="101">
        <v>399394</v>
      </c>
      <c r="R128" t="s">
        <v>893</v>
      </c>
      <c r="S128" t="s">
        <v>166</v>
      </c>
      <c r="T128" t="s">
        <v>953</v>
      </c>
      <c r="U128"/>
      <c r="V128"/>
      <c r="W128" s="223"/>
    </row>
    <row r="129" spans="1:23" x14ac:dyDescent="0.2">
      <c r="A129" s="253" t="s">
        <v>606</v>
      </c>
      <c r="B129" s="101">
        <v>4</v>
      </c>
      <c r="C129" s="101">
        <v>4</v>
      </c>
      <c r="D129" s="101">
        <v>5</v>
      </c>
      <c r="E129" s="101">
        <v>2</v>
      </c>
      <c r="F129" s="101">
        <v>2</v>
      </c>
      <c r="G129" s="101">
        <v>31</v>
      </c>
      <c r="H129" s="101">
        <v>-9</v>
      </c>
      <c r="I129" s="101">
        <v>-2</v>
      </c>
      <c r="J129" s="102">
        <v>0.22</v>
      </c>
      <c r="K129" s="102">
        <v>0.72</v>
      </c>
      <c r="L129" s="101">
        <v>10.5</v>
      </c>
      <c r="M129" s="101">
        <v>0.9</v>
      </c>
      <c r="N129" s="101" t="s">
        <v>952</v>
      </c>
      <c r="O129" s="101">
        <v>2003</v>
      </c>
      <c r="P129" s="101" t="s">
        <v>867</v>
      </c>
      <c r="Q129" s="101">
        <v>702381</v>
      </c>
      <c r="R129" t="s">
        <v>198</v>
      </c>
      <c r="S129" t="s">
        <v>166</v>
      </c>
      <c r="T129" t="s">
        <v>953</v>
      </c>
      <c r="U129"/>
      <c r="V129"/>
      <c r="W129" s="223"/>
    </row>
    <row r="130" spans="1:23" x14ac:dyDescent="0.2">
      <c r="A130" s="253" t="s">
        <v>576</v>
      </c>
      <c r="B130" s="101">
        <v>5</v>
      </c>
      <c r="C130" s="101">
        <v>5</v>
      </c>
      <c r="D130" s="101">
        <v>6</v>
      </c>
      <c r="E130" s="101">
        <v>0</v>
      </c>
      <c r="F130" s="101">
        <v>-1</v>
      </c>
      <c r="G130" s="101">
        <v>36</v>
      </c>
      <c r="H130" s="101">
        <v>-9</v>
      </c>
      <c r="I130" s="101">
        <v>-2</v>
      </c>
      <c r="J130" s="102">
        <v>0.22</v>
      </c>
      <c r="K130" s="102">
        <v>0.49</v>
      </c>
      <c r="L130" s="101">
        <v>12.4</v>
      </c>
      <c r="M130" s="101">
        <v>0.9</v>
      </c>
      <c r="N130" s="101" t="s">
        <v>952</v>
      </c>
      <c r="O130" s="101">
        <v>2000</v>
      </c>
      <c r="P130" s="101" t="s">
        <v>867</v>
      </c>
      <c r="Q130" s="101">
        <v>671453</v>
      </c>
      <c r="R130" t="s">
        <v>810</v>
      </c>
      <c r="S130" t="s">
        <v>551</v>
      </c>
      <c r="T130"/>
      <c r="U130"/>
      <c r="V130"/>
      <c r="W130" s="223"/>
    </row>
    <row r="131" spans="1:23" x14ac:dyDescent="0.2">
      <c r="A131" s="253" t="s">
        <v>409</v>
      </c>
      <c r="B131" s="101">
        <v>4</v>
      </c>
      <c r="C131" s="101">
        <v>4</v>
      </c>
      <c r="D131" s="101">
        <v>3</v>
      </c>
      <c r="E131" s="101">
        <v>-5</v>
      </c>
      <c r="F131" s="101">
        <v>-6</v>
      </c>
      <c r="G131" s="101">
        <v>23</v>
      </c>
      <c r="H131" s="101">
        <v>-21</v>
      </c>
      <c r="I131" s="101">
        <v>-5</v>
      </c>
      <c r="J131" s="102">
        <v>0.22</v>
      </c>
      <c r="K131" s="102">
        <v>0.48576900000000001</v>
      </c>
      <c r="L131" s="101">
        <v>13.8</v>
      </c>
      <c r="M131" s="101">
        <v>0.6</v>
      </c>
      <c r="N131" s="101" t="s">
        <v>952</v>
      </c>
      <c r="O131" s="101">
        <v>2000</v>
      </c>
      <c r="P131" s="101" t="s">
        <v>867</v>
      </c>
      <c r="Q131" s="101">
        <v>629543</v>
      </c>
      <c r="R131" t="s">
        <v>787</v>
      </c>
      <c r="S131" t="s">
        <v>108</v>
      </c>
      <c r="T131"/>
      <c r="U131"/>
      <c r="V131"/>
      <c r="W131" s="223"/>
    </row>
    <row r="132" spans="1:23" x14ac:dyDescent="0.2">
      <c r="A132" s="253" t="s">
        <v>262</v>
      </c>
      <c r="B132" s="101">
        <v>3</v>
      </c>
      <c r="C132" s="101">
        <v>3</v>
      </c>
      <c r="D132" s="101">
        <v>5</v>
      </c>
      <c r="E132" s="101">
        <v>-5</v>
      </c>
      <c r="F132" s="101">
        <v>-8</v>
      </c>
      <c r="G132" s="101">
        <v>-4</v>
      </c>
      <c r="H132" s="101">
        <v>-31</v>
      </c>
      <c r="I132" s="101">
        <v>-7</v>
      </c>
      <c r="J132" s="102">
        <v>0.22</v>
      </c>
      <c r="K132" s="102">
        <v>0.71</v>
      </c>
      <c r="L132" s="101">
        <v>14.7</v>
      </c>
      <c r="M132" s="101">
        <v>-0.1</v>
      </c>
      <c r="N132" s="101" t="s">
        <v>952</v>
      </c>
      <c r="O132" s="101">
        <v>2000</v>
      </c>
      <c r="P132" s="101" t="s">
        <v>867</v>
      </c>
      <c r="Q132" s="101">
        <v>506881</v>
      </c>
      <c r="R132" t="s">
        <v>893</v>
      </c>
      <c r="S132" t="s">
        <v>254</v>
      </c>
      <c r="T132" t="s">
        <v>953</v>
      </c>
      <c r="U132"/>
      <c r="V132"/>
      <c r="W132" s="223"/>
    </row>
    <row r="133" spans="1:23" x14ac:dyDescent="0.2">
      <c r="A133" s="253" t="s">
        <v>949</v>
      </c>
      <c r="B133" s="101">
        <v>5</v>
      </c>
      <c r="C133" s="101">
        <v>5</v>
      </c>
      <c r="D133" s="101">
        <v>5</v>
      </c>
      <c r="E133" s="101">
        <v>-1</v>
      </c>
      <c r="F133" s="101">
        <v>-6</v>
      </c>
      <c r="G133" s="101">
        <v>31</v>
      </c>
      <c r="H133" s="101"/>
      <c r="I133" s="101"/>
      <c r="J133" s="102">
        <v>0.22</v>
      </c>
      <c r="K133" s="102">
        <v>0.520061</v>
      </c>
      <c r="L133" s="101">
        <v>12.7</v>
      </c>
      <c r="M133" s="101">
        <v>0.8</v>
      </c>
      <c r="N133" s="101" t="s">
        <v>952</v>
      </c>
      <c r="O133" s="101">
        <v>2009</v>
      </c>
      <c r="P133" s="101" t="s">
        <v>742</v>
      </c>
      <c r="Q133" s="101">
        <v>747774</v>
      </c>
      <c r="R133" t="s">
        <v>787</v>
      </c>
      <c r="S133" t="s">
        <v>551</v>
      </c>
      <c r="T133"/>
      <c r="U133"/>
      <c r="V133"/>
      <c r="W133" s="223"/>
    </row>
    <row r="134" spans="1:23" x14ac:dyDescent="0.2">
      <c r="A134" s="253" t="s">
        <v>943</v>
      </c>
      <c r="B134" s="101">
        <v>5</v>
      </c>
      <c r="C134" s="101">
        <v>5</v>
      </c>
      <c r="D134" s="101">
        <v>5</v>
      </c>
      <c r="E134" s="101">
        <v>-1</v>
      </c>
      <c r="F134" s="101">
        <v>-6</v>
      </c>
      <c r="G134" s="101">
        <v>31</v>
      </c>
      <c r="H134" s="101"/>
      <c r="I134" s="101"/>
      <c r="J134" s="102">
        <v>0.22</v>
      </c>
      <c r="K134" s="102">
        <v>0.50805800000000001</v>
      </c>
      <c r="L134" s="101">
        <v>12.9</v>
      </c>
      <c r="M134" s="101">
        <v>0.8</v>
      </c>
      <c r="N134" s="101" t="s">
        <v>952</v>
      </c>
      <c r="O134" s="101">
        <v>2009</v>
      </c>
      <c r="P134" s="101" t="s">
        <v>742</v>
      </c>
      <c r="Q134" s="101">
        <v>783605</v>
      </c>
      <c r="R134" t="s">
        <v>787</v>
      </c>
      <c r="S134" t="s">
        <v>551</v>
      </c>
      <c r="T134"/>
      <c r="U134"/>
      <c r="V134"/>
      <c r="W134" s="223"/>
    </row>
    <row r="135" spans="1:23" x14ac:dyDescent="0.2">
      <c r="A135" s="253" t="s">
        <v>944</v>
      </c>
      <c r="B135" s="101">
        <v>5</v>
      </c>
      <c r="C135" s="101">
        <v>5</v>
      </c>
      <c r="D135" s="101">
        <v>5</v>
      </c>
      <c r="E135" s="101">
        <v>-1</v>
      </c>
      <c r="F135" s="101">
        <v>-6</v>
      </c>
      <c r="G135" s="101">
        <v>31</v>
      </c>
      <c r="H135" s="101"/>
      <c r="I135" s="101"/>
      <c r="J135" s="102">
        <v>0.22</v>
      </c>
      <c r="K135" s="102">
        <v>0.50744800000000001</v>
      </c>
      <c r="L135" s="101">
        <v>12.8</v>
      </c>
      <c r="M135" s="101">
        <v>0.8</v>
      </c>
      <c r="N135" s="101" t="s">
        <v>952</v>
      </c>
      <c r="O135" s="101">
        <v>2009</v>
      </c>
      <c r="P135" s="101" t="s">
        <v>742</v>
      </c>
      <c r="Q135" s="101">
        <v>819433</v>
      </c>
      <c r="R135" t="s">
        <v>787</v>
      </c>
      <c r="S135" t="s">
        <v>386</v>
      </c>
      <c r="T135"/>
      <c r="U135"/>
      <c r="V135"/>
      <c r="W135" s="223"/>
    </row>
    <row r="136" spans="1:23" x14ac:dyDescent="0.2">
      <c r="A136" s="253" t="s">
        <v>947</v>
      </c>
      <c r="B136" s="101">
        <v>4</v>
      </c>
      <c r="C136" s="101">
        <v>4</v>
      </c>
      <c r="D136" s="101">
        <v>4</v>
      </c>
      <c r="E136" s="101">
        <v>-1</v>
      </c>
      <c r="F136" s="101">
        <v>-4</v>
      </c>
      <c r="G136" s="101">
        <v>26</v>
      </c>
      <c r="H136" s="101"/>
      <c r="I136" s="101"/>
      <c r="J136" s="102">
        <v>0.22</v>
      </c>
      <c r="K136" s="102">
        <v>0.49144100000000002</v>
      </c>
      <c r="L136" s="101">
        <v>10</v>
      </c>
      <c r="M136" s="101">
        <v>0.8</v>
      </c>
      <c r="N136" s="101" t="s">
        <v>952</v>
      </c>
      <c r="O136" s="101">
        <v>2009</v>
      </c>
      <c r="P136" s="101" t="s">
        <v>742</v>
      </c>
      <c r="Q136" s="101">
        <v>855262</v>
      </c>
      <c r="R136" t="s">
        <v>787</v>
      </c>
      <c r="S136" t="s">
        <v>386</v>
      </c>
      <c r="T136"/>
      <c r="U136"/>
      <c r="V136"/>
      <c r="W136" s="223"/>
    </row>
    <row r="137" spans="1:23" x14ac:dyDescent="0.2">
      <c r="A137" s="253" t="s">
        <v>33</v>
      </c>
      <c r="B137" s="101">
        <v>-1</v>
      </c>
      <c r="C137" s="101">
        <v>-1</v>
      </c>
      <c r="D137" s="101">
        <v>2</v>
      </c>
      <c r="E137" s="101">
        <v>6</v>
      </c>
      <c r="F137" s="101">
        <v>11</v>
      </c>
      <c r="G137" s="101">
        <v>16</v>
      </c>
      <c r="H137" s="101">
        <v>34</v>
      </c>
      <c r="I137" s="101">
        <v>6</v>
      </c>
      <c r="J137" s="102">
        <v>0.23</v>
      </c>
      <c r="K137" s="102">
        <v>0.501807</v>
      </c>
      <c r="L137" s="101">
        <v>4.3</v>
      </c>
      <c r="M137" s="101">
        <v>1</v>
      </c>
      <c r="N137" s="101" t="s">
        <v>952</v>
      </c>
      <c r="O137" s="101">
        <v>2000</v>
      </c>
      <c r="P137" s="101" t="s">
        <v>867</v>
      </c>
      <c r="Q137" s="101">
        <v>325902</v>
      </c>
      <c r="R137" t="s">
        <v>974</v>
      </c>
      <c r="S137" t="s">
        <v>645</v>
      </c>
      <c r="T137"/>
      <c r="U137"/>
      <c r="V137"/>
      <c r="W137" s="223"/>
    </row>
    <row r="138" spans="1:23" x14ac:dyDescent="0.2">
      <c r="A138" s="253" t="s">
        <v>32</v>
      </c>
      <c r="B138" s="101">
        <v>-1</v>
      </c>
      <c r="C138" s="101">
        <v>-1</v>
      </c>
      <c r="D138" s="101">
        <v>2</v>
      </c>
      <c r="E138" s="101">
        <v>5</v>
      </c>
      <c r="F138" s="101">
        <v>10</v>
      </c>
      <c r="G138" s="101">
        <v>14</v>
      </c>
      <c r="H138" s="101">
        <v>34</v>
      </c>
      <c r="I138" s="101">
        <v>6</v>
      </c>
      <c r="J138" s="102">
        <v>0.23</v>
      </c>
      <c r="K138" s="102">
        <v>0.50170400000000004</v>
      </c>
      <c r="L138" s="101">
        <v>4.2</v>
      </c>
      <c r="M138" s="101">
        <v>0.8</v>
      </c>
      <c r="N138" s="101" t="s">
        <v>952</v>
      </c>
      <c r="O138" s="101">
        <v>2007</v>
      </c>
      <c r="P138" s="101" t="s">
        <v>867</v>
      </c>
      <c r="Q138" s="101">
        <v>554691</v>
      </c>
      <c r="R138" t="s">
        <v>974</v>
      </c>
      <c r="S138" t="s">
        <v>645</v>
      </c>
      <c r="T138"/>
      <c r="U138"/>
      <c r="V138"/>
      <c r="W138" s="223"/>
    </row>
    <row r="139" spans="1:23" x14ac:dyDescent="0.2">
      <c r="A139" s="253" t="s">
        <v>124</v>
      </c>
      <c r="B139" s="101">
        <v>0</v>
      </c>
      <c r="C139" s="101">
        <v>0</v>
      </c>
      <c r="D139" s="101">
        <v>2</v>
      </c>
      <c r="E139" s="101">
        <v>5</v>
      </c>
      <c r="F139" s="101">
        <v>10</v>
      </c>
      <c r="G139" s="101">
        <v>14</v>
      </c>
      <c r="H139" s="101">
        <v>27</v>
      </c>
      <c r="I139" s="101">
        <v>5</v>
      </c>
      <c r="J139" s="102">
        <v>0.23</v>
      </c>
      <c r="K139" s="102">
        <v>0.75</v>
      </c>
      <c r="L139" s="101">
        <v>3.3</v>
      </c>
      <c r="M139" s="101">
        <v>1</v>
      </c>
      <c r="N139" s="101" t="s">
        <v>952</v>
      </c>
      <c r="O139" s="101">
        <v>2000</v>
      </c>
      <c r="P139" s="101" t="s">
        <v>742</v>
      </c>
      <c r="Q139" s="101">
        <v>682377</v>
      </c>
      <c r="R139" t="s">
        <v>787</v>
      </c>
      <c r="S139" t="s">
        <v>645</v>
      </c>
      <c r="T139"/>
      <c r="U139"/>
      <c r="V139"/>
      <c r="W139" s="223"/>
    </row>
    <row r="140" spans="1:23" x14ac:dyDescent="0.2">
      <c r="A140" s="253" t="s">
        <v>580</v>
      </c>
      <c r="B140" s="101">
        <v>0</v>
      </c>
      <c r="C140" s="101">
        <v>0</v>
      </c>
      <c r="D140" s="101">
        <v>1</v>
      </c>
      <c r="E140" s="101">
        <v>1</v>
      </c>
      <c r="F140" s="101">
        <v>2</v>
      </c>
      <c r="G140" s="101">
        <v>4</v>
      </c>
      <c r="H140" s="101">
        <v>14</v>
      </c>
      <c r="I140" s="101">
        <v>3</v>
      </c>
      <c r="J140" s="102">
        <v>0.23</v>
      </c>
      <c r="K140" s="102">
        <v>0.48</v>
      </c>
      <c r="L140" s="101">
        <v>0.4</v>
      </c>
      <c r="M140" s="101">
        <v>1.3</v>
      </c>
      <c r="N140" s="101" t="s">
        <v>952</v>
      </c>
      <c r="O140" s="101">
        <v>2001</v>
      </c>
      <c r="P140" s="101" t="s">
        <v>867</v>
      </c>
      <c r="Q140" s="101">
        <v>134593</v>
      </c>
      <c r="R140" t="s">
        <v>815</v>
      </c>
      <c r="S140" t="s">
        <v>578</v>
      </c>
      <c r="T140"/>
      <c r="U140"/>
      <c r="V140"/>
      <c r="W140" s="223"/>
    </row>
    <row r="141" spans="1:23" x14ac:dyDescent="0.2">
      <c r="A141" s="253" t="s">
        <v>644</v>
      </c>
      <c r="B141" s="101">
        <v>0</v>
      </c>
      <c r="C141" s="101">
        <v>0</v>
      </c>
      <c r="D141" s="101">
        <v>0</v>
      </c>
      <c r="E141" s="101">
        <v>1</v>
      </c>
      <c r="F141" s="101">
        <v>1</v>
      </c>
      <c r="G141" s="101">
        <v>3</v>
      </c>
      <c r="H141" s="101">
        <v>10</v>
      </c>
      <c r="I141" s="101">
        <v>2</v>
      </c>
      <c r="J141" s="102">
        <v>0.23</v>
      </c>
      <c r="K141" s="102">
        <v>0.51217000000000001</v>
      </c>
      <c r="L141" s="101">
        <v>0.2</v>
      </c>
      <c r="M141" s="101">
        <v>0.7</v>
      </c>
      <c r="N141" s="101" t="s">
        <v>952</v>
      </c>
      <c r="O141" s="101">
        <v>2004</v>
      </c>
      <c r="P141" s="101" t="s">
        <v>867</v>
      </c>
      <c r="Q141" s="101">
        <v>654988</v>
      </c>
      <c r="R141" t="s">
        <v>785</v>
      </c>
      <c r="S141" t="s">
        <v>578</v>
      </c>
      <c r="T141"/>
      <c r="U141"/>
      <c r="V141"/>
      <c r="W141" s="223"/>
    </row>
    <row r="142" spans="1:23" x14ac:dyDescent="0.2">
      <c r="A142" s="253" t="s">
        <v>31</v>
      </c>
      <c r="B142" s="101">
        <v>0</v>
      </c>
      <c r="C142" s="101">
        <v>0</v>
      </c>
      <c r="D142" s="101">
        <v>0</v>
      </c>
      <c r="E142" s="101">
        <v>1</v>
      </c>
      <c r="F142" s="101">
        <v>2</v>
      </c>
      <c r="G142" s="101">
        <v>3</v>
      </c>
      <c r="H142" s="101">
        <v>12</v>
      </c>
      <c r="I142" s="101">
        <v>2</v>
      </c>
      <c r="J142" s="102">
        <v>0.23</v>
      </c>
      <c r="K142" s="102">
        <v>0.50105</v>
      </c>
      <c r="L142" s="101">
        <v>0.5</v>
      </c>
      <c r="M142" s="101">
        <v>0.4</v>
      </c>
      <c r="N142" s="101" t="s">
        <v>952</v>
      </c>
      <c r="O142" s="101">
        <v>2000</v>
      </c>
      <c r="P142" s="101" t="s">
        <v>867</v>
      </c>
      <c r="Q142" s="101">
        <v>361733</v>
      </c>
      <c r="R142" t="s">
        <v>974</v>
      </c>
      <c r="S142" t="s">
        <v>578</v>
      </c>
      <c r="T142"/>
      <c r="U142"/>
      <c r="V142"/>
      <c r="W142" s="223"/>
    </row>
    <row r="143" spans="1:23" x14ac:dyDescent="0.2">
      <c r="A143" s="253" t="s">
        <v>138</v>
      </c>
      <c r="B143" s="101">
        <v>1</v>
      </c>
      <c r="C143" s="101">
        <v>1</v>
      </c>
      <c r="D143" s="101">
        <v>2</v>
      </c>
      <c r="E143" s="101">
        <v>2</v>
      </c>
      <c r="F143" s="101">
        <v>4</v>
      </c>
      <c r="G143" s="101">
        <v>22</v>
      </c>
      <c r="H143" s="101">
        <v>11</v>
      </c>
      <c r="I143" s="101">
        <v>2</v>
      </c>
      <c r="J143" s="102">
        <v>0.23</v>
      </c>
      <c r="K143" s="102">
        <v>0.8</v>
      </c>
      <c r="L143" s="101">
        <v>3.3</v>
      </c>
      <c r="M143" s="101">
        <v>1.9</v>
      </c>
      <c r="N143" s="101" t="s">
        <v>952</v>
      </c>
      <c r="O143" s="101">
        <v>2004</v>
      </c>
      <c r="P143" s="101" t="s">
        <v>867</v>
      </c>
      <c r="Q143" s="101">
        <v>121780</v>
      </c>
      <c r="R143" t="s">
        <v>198</v>
      </c>
      <c r="S143" t="s">
        <v>329</v>
      </c>
      <c r="T143" t="s">
        <v>953</v>
      </c>
      <c r="U143"/>
      <c r="V143"/>
      <c r="W143" s="223"/>
    </row>
    <row r="144" spans="1:23" x14ac:dyDescent="0.2">
      <c r="A144" s="253" t="s">
        <v>973</v>
      </c>
      <c r="B144" s="101">
        <v>0</v>
      </c>
      <c r="C144" s="101">
        <v>0</v>
      </c>
      <c r="D144" s="101">
        <v>1</v>
      </c>
      <c r="E144" s="101">
        <v>1</v>
      </c>
      <c r="F144" s="101">
        <v>2</v>
      </c>
      <c r="G144" s="101">
        <v>2</v>
      </c>
      <c r="H144" s="101">
        <v>9</v>
      </c>
      <c r="I144" s="101">
        <v>2</v>
      </c>
      <c r="J144" s="102">
        <v>0.23</v>
      </c>
      <c r="K144" s="102">
        <v>0.5</v>
      </c>
      <c r="L144" s="101">
        <v>0.3</v>
      </c>
      <c r="M144" s="101">
        <v>-0.3</v>
      </c>
      <c r="N144" s="101" t="s">
        <v>952</v>
      </c>
      <c r="O144" s="101">
        <v>2000</v>
      </c>
      <c r="P144" s="101" t="s">
        <v>867</v>
      </c>
      <c r="Q144" s="101">
        <v>867606</v>
      </c>
      <c r="R144" t="s">
        <v>972</v>
      </c>
      <c r="S144" t="s">
        <v>578</v>
      </c>
      <c r="T144"/>
      <c r="U144"/>
      <c r="V144"/>
      <c r="W144" s="223"/>
    </row>
    <row r="145" spans="1:23" x14ac:dyDescent="0.2">
      <c r="A145" s="253" t="s">
        <v>971</v>
      </c>
      <c r="B145" s="101">
        <v>6</v>
      </c>
      <c r="C145" s="101">
        <v>6</v>
      </c>
      <c r="D145" s="101">
        <v>4</v>
      </c>
      <c r="E145" s="101">
        <v>-2</v>
      </c>
      <c r="F145" s="101">
        <v>-6</v>
      </c>
      <c r="G145" s="101">
        <v>83</v>
      </c>
      <c r="H145" s="101">
        <v>1</v>
      </c>
      <c r="I145" s="101">
        <v>0</v>
      </c>
      <c r="J145" s="102">
        <v>0.23</v>
      </c>
      <c r="K145" s="102">
        <v>0.4</v>
      </c>
      <c r="L145" s="101">
        <v>17.3</v>
      </c>
      <c r="M145" s="101">
        <v>1.3</v>
      </c>
      <c r="N145" s="101" t="s">
        <v>952</v>
      </c>
      <c r="O145" s="101">
        <v>2000</v>
      </c>
      <c r="P145" s="101" t="s">
        <v>867</v>
      </c>
      <c r="Q145" s="101">
        <v>760116</v>
      </c>
      <c r="R145" t="s">
        <v>972</v>
      </c>
      <c r="S145" t="s">
        <v>840</v>
      </c>
      <c r="T145"/>
      <c r="U145"/>
      <c r="V145"/>
      <c r="W145" s="223"/>
    </row>
    <row r="146" spans="1:23" x14ac:dyDescent="0.2">
      <c r="A146" s="253" t="s">
        <v>1125</v>
      </c>
      <c r="B146" s="101">
        <v>8</v>
      </c>
      <c r="C146" s="101">
        <v>8</v>
      </c>
      <c r="D146" s="101">
        <v>8</v>
      </c>
      <c r="E146" s="101">
        <v>-1</v>
      </c>
      <c r="F146" s="101">
        <v>-9</v>
      </c>
      <c r="G146" s="101">
        <v>75</v>
      </c>
      <c r="H146" s="101">
        <v>-2</v>
      </c>
      <c r="I146" s="101">
        <v>0</v>
      </c>
      <c r="J146" s="102">
        <v>0.23</v>
      </c>
      <c r="K146" s="102">
        <v>0.7</v>
      </c>
      <c r="L146" s="101">
        <v>19.899999999999999</v>
      </c>
      <c r="M146" s="101">
        <v>1.1000000000000001</v>
      </c>
      <c r="N146" s="101" t="s">
        <v>952</v>
      </c>
      <c r="O146" s="101">
        <v>2000</v>
      </c>
      <c r="P146" s="101" t="s">
        <v>867</v>
      </c>
      <c r="Q146" s="101">
        <v>104844</v>
      </c>
      <c r="R146" t="s">
        <v>914</v>
      </c>
      <c r="S146" t="s">
        <v>781</v>
      </c>
      <c r="T146" t="s">
        <v>953</v>
      </c>
      <c r="U146"/>
      <c r="V146"/>
      <c r="W146" s="223"/>
    </row>
    <row r="147" spans="1:23" x14ac:dyDescent="0.2">
      <c r="A147" s="253" t="s">
        <v>561</v>
      </c>
      <c r="B147" s="101">
        <v>5</v>
      </c>
      <c r="C147" s="101">
        <v>5</v>
      </c>
      <c r="D147" s="101">
        <v>6</v>
      </c>
      <c r="E147" s="101">
        <v>0</v>
      </c>
      <c r="F147" s="101">
        <v>-1</v>
      </c>
      <c r="G147" s="101">
        <v>34</v>
      </c>
      <c r="H147" s="101">
        <v>-10</v>
      </c>
      <c r="I147" s="101">
        <v>-2</v>
      </c>
      <c r="J147" s="102">
        <v>0.23</v>
      </c>
      <c r="K147" s="102">
        <v>0.56999999999999995</v>
      </c>
      <c r="L147" s="101">
        <v>12.3</v>
      </c>
      <c r="M147" s="101">
        <v>0.9</v>
      </c>
      <c r="N147" s="101" t="s">
        <v>952</v>
      </c>
      <c r="O147" s="101">
        <v>2001</v>
      </c>
      <c r="P147" s="101" t="s">
        <v>867</v>
      </c>
      <c r="Q147" s="101">
        <v>832360</v>
      </c>
      <c r="R147" t="s">
        <v>810</v>
      </c>
      <c r="S147" t="s">
        <v>551</v>
      </c>
      <c r="T147"/>
      <c r="U147"/>
      <c r="V147"/>
      <c r="W147" s="223"/>
    </row>
    <row r="148" spans="1:23" x14ac:dyDescent="0.2">
      <c r="A148" s="253" t="s">
        <v>650</v>
      </c>
      <c r="B148" s="101">
        <v>0</v>
      </c>
      <c r="C148" s="101">
        <v>0</v>
      </c>
      <c r="D148" s="101">
        <v>3</v>
      </c>
      <c r="E148" s="101">
        <v>6</v>
      </c>
      <c r="F148" s="101">
        <v>12</v>
      </c>
      <c r="G148" s="101">
        <v>17</v>
      </c>
      <c r="H148" s="101">
        <v>31</v>
      </c>
      <c r="I148" s="101">
        <v>6</v>
      </c>
      <c r="J148" s="102">
        <v>0.24</v>
      </c>
      <c r="K148" s="102">
        <v>0.6</v>
      </c>
      <c r="L148" s="101">
        <v>4.5</v>
      </c>
      <c r="M148" s="101">
        <v>1</v>
      </c>
      <c r="N148" s="101" t="s">
        <v>952</v>
      </c>
      <c r="O148" s="101">
        <v>2000</v>
      </c>
      <c r="P148" s="101" t="s">
        <v>867</v>
      </c>
      <c r="Q148" s="101">
        <v>726117</v>
      </c>
      <c r="R148" t="s">
        <v>791</v>
      </c>
      <c r="S148" t="s">
        <v>645</v>
      </c>
      <c r="T148"/>
      <c r="U148"/>
      <c r="V148"/>
      <c r="W148" s="223"/>
    </row>
    <row r="149" spans="1:23" x14ac:dyDescent="0.2">
      <c r="A149" s="253" t="s">
        <v>648</v>
      </c>
      <c r="B149" s="101">
        <v>0</v>
      </c>
      <c r="C149" s="101">
        <v>0</v>
      </c>
      <c r="D149" s="101">
        <v>2</v>
      </c>
      <c r="E149" s="101">
        <v>4</v>
      </c>
      <c r="F149" s="101">
        <v>8</v>
      </c>
      <c r="G149" s="101">
        <v>13</v>
      </c>
      <c r="H149" s="101">
        <v>25</v>
      </c>
      <c r="I149" s="101">
        <v>5</v>
      </c>
      <c r="J149" s="102">
        <v>0.24</v>
      </c>
      <c r="K149" s="102">
        <v>0.7</v>
      </c>
      <c r="L149" s="101">
        <v>2.5</v>
      </c>
      <c r="M149" s="101">
        <v>1.3</v>
      </c>
      <c r="N149" s="101" t="s">
        <v>952</v>
      </c>
      <c r="O149" s="101">
        <v>2002</v>
      </c>
      <c r="P149" s="101" t="s">
        <v>867</v>
      </c>
      <c r="Q149" s="101">
        <v>807453</v>
      </c>
      <c r="R149" t="s">
        <v>907</v>
      </c>
      <c r="S149" t="s">
        <v>645</v>
      </c>
      <c r="T149"/>
      <c r="U149"/>
      <c r="V149"/>
      <c r="W149" s="223"/>
    </row>
    <row r="150" spans="1:23" x14ac:dyDescent="0.2">
      <c r="A150" s="253" t="s">
        <v>720</v>
      </c>
      <c r="B150" s="101">
        <v>-1</v>
      </c>
      <c r="C150" s="101">
        <v>-1</v>
      </c>
      <c r="D150" s="101">
        <v>3</v>
      </c>
      <c r="E150" s="101">
        <v>6</v>
      </c>
      <c r="F150" s="101">
        <v>10</v>
      </c>
      <c r="G150" s="101">
        <v>20</v>
      </c>
      <c r="H150" s="101">
        <v>30</v>
      </c>
      <c r="I150" s="101">
        <v>5</v>
      </c>
      <c r="J150" s="102">
        <v>0.24</v>
      </c>
      <c r="K150" s="102">
        <v>0.6</v>
      </c>
      <c r="L150" s="101">
        <v>4.0999999999999996</v>
      </c>
      <c r="M150" s="101">
        <v>1.3</v>
      </c>
      <c r="N150" s="101" t="s">
        <v>952</v>
      </c>
      <c r="O150" s="101">
        <v>2001</v>
      </c>
      <c r="P150" s="101" t="s">
        <v>867</v>
      </c>
      <c r="Q150" s="101">
        <v>469817</v>
      </c>
      <c r="R150" t="s">
        <v>791</v>
      </c>
      <c r="S150" t="s">
        <v>717</v>
      </c>
      <c r="T150"/>
      <c r="U150"/>
      <c r="V150"/>
      <c r="W150" s="223"/>
    </row>
    <row r="151" spans="1:23" x14ac:dyDescent="0.2">
      <c r="A151" s="253" t="s">
        <v>649</v>
      </c>
      <c r="B151" s="101">
        <v>0</v>
      </c>
      <c r="C151" s="101">
        <v>0</v>
      </c>
      <c r="D151" s="101">
        <v>1</v>
      </c>
      <c r="E151" s="101">
        <v>1</v>
      </c>
      <c r="F151" s="101">
        <v>2</v>
      </c>
      <c r="G151" s="101">
        <v>4</v>
      </c>
      <c r="H151" s="101">
        <v>13</v>
      </c>
      <c r="I151" s="101">
        <v>3</v>
      </c>
      <c r="J151" s="102">
        <v>0.24</v>
      </c>
      <c r="K151" s="102">
        <v>0.7</v>
      </c>
      <c r="L151" s="101">
        <v>0.6</v>
      </c>
      <c r="M151" s="101">
        <v>0.9</v>
      </c>
      <c r="N151" s="101" t="s">
        <v>952</v>
      </c>
      <c r="O151" s="101">
        <v>2005</v>
      </c>
      <c r="P151" s="101" t="s">
        <v>867</v>
      </c>
      <c r="Q151" s="101">
        <v>413260</v>
      </c>
      <c r="R151" t="s">
        <v>907</v>
      </c>
      <c r="S151" t="s">
        <v>645</v>
      </c>
      <c r="T151"/>
      <c r="U151"/>
      <c r="V151"/>
      <c r="W151" s="223"/>
    </row>
    <row r="152" spans="1:23" x14ac:dyDescent="0.2">
      <c r="A152" s="253" t="s">
        <v>587</v>
      </c>
      <c r="B152" s="101">
        <v>0</v>
      </c>
      <c r="C152" s="101">
        <v>0</v>
      </c>
      <c r="D152" s="101">
        <v>0</v>
      </c>
      <c r="E152" s="101">
        <v>1</v>
      </c>
      <c r="F152" s="101">
        <v>2</v>
      </c>
      <c r="G152" s="101">
        <v>3</v>
      </c>
      <c r="H152" s="101">
        <v>11</v>
      </c>
      <c r="I152" s="101">
        <v>2</v>
      </c>
      <c r="J152" s="102">
        <v>0.24</v>
      </c>
      <c r="K152" s="102">
        <v>0.6</v>
      </c>
      <c r="L152" s="101">
        <v>0.4</v>
      </c>
      <c r="M152" s="101">
        <v>0.9</v>
      </c>
      <c r="N152" s="101" t="s">
        <v>952</v>
      </c>
      <c r="O152" s="101">
        <v>2000</v>
      </c>
      <c r="P152" s="101" t="s">
        <v>867</v>
      </c>
      <c r="Q152" s="101">
        <v>331983</v>
      </c>
      <c r="R152" t="s">
        <v>791</v>
      </c>
      <c r="S152" t="s">
        <v>578</v>
      </c>
      <c r="T152"/>
      <c r="U152"/>
      <c r="V152"/>
      <c r="W152" s="223"/>
    </row>
    <row r="153" spans="1:23" x14ac:dyDescent="0.2">
      <c r="A153" s="253" t="s">
        <v>550</v>
      </c>
      <c r="B153" s="101">
        <v>3</v>
      </c>
      <c r="C153" s="101">
        <v>3</v>
      </c>
      <c r="D153" s="101">
        <v>5</v>
      </c>
      <c r="E153" s="101">
        <v>3</v>
      </c>
      <c r="F153" s="101">
        <v>5</v>
      </c>
      <c r="G153" s="101">
        <v>33</v>
      </c>
      <c r="H153" s="101">
        <v>-1</v>
      </c>
      <c r="I153" s="101">
        <v>0</v>
      </c>
      <c r="J153" s="102">
        <v>0.24</v>
      </c>
      <c r="K153" s="102">
        <v>0.52</v>
      </c>
      <c r="L153" s="101">
        <v>7.8</v>
      </c>
      <c r="M153" s="101">
        <v>1.2</v>
      </c>
      <c r="N153" s="101" t="s">
        <v>952</v>
      </c>
      <c r="O153" s="101">
        <v>2000</v>
      </c>
      <c r="P153" s="101" t="s">
        <v>867</v>
      </c>
      <c r="Q153" s="101">
        <v>972679</v>
      </c>
      <c r="R153" t="s">
        <v>907</v>
      </c>
      <c r="S153" t="s">
        <v>386</v>
      </c>
      <c r="T153"/>
      <c r="U153"/>
      <c r="V153"/>
      <c r="W153" s="223"/>
    </row>
    <row r="154" spans="1:23" x14ac:dyDescent="0.2">
      <c r="A154" s="253" t="s">
        <v>552</v>
      </c>
      <c r="B154" s="101">
        <v>5</v>
      </c>
      <c r="C154" s="101">
        <v>5</v>
      </c>
      <c r="D154" s="101">
        <v>7</v>
      </c>
      <c r="E154" s="101">
        <v>3</v>
      </c>
      <c r="F154" s="101">
        <v>4</v>
      </c>
      <c r="G154" s="101">
        <v>38</v>
      </c>
      <c r="H154" s="101">
        <v>-8</v>
      </c>
      <c r="I154" s="101">
        <v>-2</v>
      </c>
      <c r="J154" s="102">
        <v>0.24</v>
      </c>
      <c r="K154" s="102">
        <v>0.52</v>
      </c>
      <c r="L154" s="101">
        <v>10.9</v>
      </c>
      <c r="M154" s="101">
        <v>1</v>
      </c>
      <c r="N154" s="101" t="s">
        <v>952</v>
      </c>
      <c r="O154" s="101">
        <v>2000</v>
      </c>
      <c r="P154" s="101" t="s">
        <v>867</v>
      </c>
      <c r="Q154" s="101">
        <v>901017</v>
      </c>
      <c r="R154" t="s">
        <v>907</v>
      </c>
      <c r="S154" t="s">
        <v>386</v>
      </c>
      <c r="T154"/>
      <c r="U154"/>
      <c r="V154"/>
      <c r="W154" s="223"/>
    </row>
    <row r="155" spans="1:23" x14ac:dyDescent="0.2">
      <c r="A155" s="253" t="s">
        <v>489</v>
      </c>
      <c r="B155" s="101">
        <v>-1</v>
      </c>
      <c r="C155" s="101">
        <v>-1</v>
      </c>
      <c r="D155" s="101">
        <v>3</v>
      </c>
      <c r="E155" s="101">
        <v>6</v>
      </c>
      <c r="F155" s="101">
        <v>10</v>
      </c>
      <c r="G155" s="101">
        <v>20</v>
      </c>
      <c r="H155" s="101">
        <v>29</v>
      </c>
      <c r="I155" s="101">
        <v>5</v>
      </c>
      <c r="J155" s="102">
        <v>0.25</v>
      </c>
      <c r="K155" s="102">
        <v>0.75</v>
      </c>
      <c r="L155" s="101">
        <v>4</v>
      </c>
      <c r="M155" s="101">
        <v>1.3</v>
      </c>
      <c r="N155" s="101" t="s">
        <v>952</v>
      </c>
      <c r="O155" s="101">
        <v>2003</v>
      </c>
      <c r="P155" s="101" t="s">
        <v>742</v>
      </c>
      <c r="Q155" s="101">
        <v>496497</v>
      </c>
      <c r="R155" t="s">
        <v>909</v>
      </c>
      <c r="S155" t="s">
        <v>717</v>
      </c>
      <c r="T155"/>
      <c r="U155"/>
      <c r="V155"/>
      <c r="W155" s="223"/>
    </row>
    <row r="156" spans="1:23" x14ac:dyDescent="0.2">
      <c r="A156" s="253" t="s">
        <v>731</v>
      </c>
      <c r="B156" s="101">
        <v>2</v>
      </c>
      <c r="C156" s="101">
        <v>2</v>
      </c>
      <c r="D156" s="101">
        <v>4</v>
      </c>
      <c r="E156" s="101">
        <v>3</v>
      </c>
      <c r="F156" s="101">
        <v>4</v>
      </c>
      <c r="G156" s="101">
        <v>11</v>
      </c>
      <c r="H156" s="101">
        <v>30</v>
      </c>
      <c r="I156" s="101">
        <v>5</v>
      </c>
      <c r="J156" s="102">
        <v>0.25</v>
      </c>
      <c r="K156" s="102">
        <v>0.8</v>
      </c>
      <c r="L156" s="101">
        <v>6.8</v>
      </c>
      <c r="M156" s="101">
        <v>0.3</v>
      </c>
      <c r="N156" s="101" t="s">
        <v>956</v>
      </c>
      <c r="O156" s="101">
        <v>2006</v>
      </c>
      <c r="P156" s="101" t="s">
        <v>742</v>
      </c>
      <c r="Q156" s="101">
        <v>252296</v>
      </c>
      <c r="R156" t="s">
        <v>913</v>
      </c>
      <c r="S156" t="s">
        <v>735</v>
      </c>
      <c r="T156"/>
      <c r="U156"/>
      <c r="V156"/>
      <c r="W156" s="223"/>
    </row>
    <row r="157" spans="1:23" x14ac:dyDescent="0.2">
      <c r="A157" s="253" t="s">
        <v>698</v>
      </c>
      <c r="B157" s="101">
        <v>0</v>
      </c>
      <c r="C157" s="101">
        <v>0</v>
      </c>
      <c r="D157" s="101">
        <v>1</v>
      </c>
      <c r="E157" s="101">
        <v>1</v>
      </c>
      <c r="F157" s="101">
        <v>3</v>
      </c>
      <c r="G157" s="101">
        <v>9</v>
      </c>
      <c r="H157" s="101">
        <v>16</v>
      </c>
      <c r="I157" s="101">
        <v>3</v>
      </c>
      <c r="J157" s="102">
        <v>0.25</v>
      </c>
      <c r="K157" s="102">
        <v>0.52</v>
      </c>
      <c r="L157" s="101">
        <v>0.6</v>
      </c>
      <c r="M157" s="101">
        <v>3.2</v>
      </c>
      <c r="N157" s="101" t="s">
        <v>952</v>
      </c>
      <c r="O157" s="101">
        <v>2003</v>
      </c>
      <c r="P157" s="101" t="s">
        <v>867</v>
      </c>
      <c r="Q157" s="101">
        <v>384750</v>
      </c>
      <c r="R157" t="s">
        <v>784</v>
      </c>
      <c r="S157" t="s">
        <v>645</v>
      </c>
      <c r="T157"/>
      <c r="U157"/>
      <c r="V157"/>
      <c r="W157" s="223"/>
    </row>
    <row r="158" spans="1:23" x14ac:dyDescent="0.2">
      <c r="A158" s="253" t="s">
        <v>195</v>
      </c>
      <c r="B158" s="101">
        <v>5</v>
      </c>
      <c r="C158" s="101">
        <v>5</v>
      </c>
      <c r="D158" s="101">
        <v>8</v>
      </c>
      <c r="E158" s="101">
        <v>10</v>
      </c>
      <c r="F158" s="101">
        <v>6</v>
      </c>
      <c r="G158" s="101">
        <v>45</v>
      </c>
      <c r="H158" s="101">
        <v>7</v>
      </c>
      <c r="I158" s="101">
        <v>1</v>
      </c>
      <c r="J158" s="102">
        <v>0.25</v>
      </c>
      <c r="K158" s="102">
        <v>0.65000800000000003</v>
      </c>
      <c r="L158" s="101">
        <v>13.5</v>
      </c>
      <c r="M158" s="101">
        <v>1</v>
      </c>
      <c r="N158" s="101" t="s">
        <v>952</v>
      </c>
      <c r="O158" s="101">
        <v>2006</v>
      </c>
      <c r="P158" s="101" t="s">
        <v>867</v>
      </c>
      <c r="Q158" s="101">
        <v>399865</v>
      </c>
      <c r="R158" t="s">
        <v>787</v>
      </c>
      <c r="S158" t="s">
        <v>293</v>
      </c>
      <c r="T158"/>
      <c r="U158"/>
      <c r="V158"/>
      <c r="W158" s="223"/>
    </row>
    <row r="159" spans="1:23" x14ac:dyDescent="0.2">
      <c r="A159" s="253" t="s">
        <v>975</v>
      </c>
      <c r="B159" s="101">
        <v>7</v>
      </c>
      <c r="C159" s="101">
        <v>7</v>
      </c>
      <c r="D159" s="101">
        <v>5</v>
      </c>
      <c r="E159" s="101">
        <v>-3</v>
      </c>
      <c r="F159" s="101">
        <v>-8</v>
      </c>
      <c r="G159" s="101">
        <v>82</v>
      </c>
      <c r="H159" s="101">
        <v>-2</v>
      </c>
      <c r="I159" s="101">
        <v>0</v>
      </c>
      <c r="J159" s="102">
        <v>0.25</v>
      </c>
      <c r="K159" s="102">
        <v>0.65</v>
      </c>
      <c r="L159" s="101">
        <v>17.8</v>
      </c>
      <c r="M159" s="101">
        <v>1.3</v>
      </c>
      <c r="N159" s="101" t="s">
        <v>952</v>
      </c>
      <c r="O159" s="101">
        <v>2009</v>
      </c>
      <c r="P159" s="101" t="s">
        <v>867</v>
      </c>
      <c r="Q159" s="101">
        <v>208496</v>
      </c>
      <c r="R159" t="s">
        <v>787</v>
      </c>
      <c r="S159" t="s">
        <v>840</v>
      </c>
      <c r="T159"/>
      <c r="U159"/>
      <c r="V159"/>
      <c r="W159" s="223"/>
    </row>
    <row r="160" spans="1:23" x14ac:dyDescent="0.2">
      <c r="A160" s="253" t="s">
        <v>841</v>
      </c>
      <c r="B160" s="101">
        <v>6</v>
      </c>
      <c r="C160" s="101">
        <v>6</v>
      </c>
      <c r="D160" s="101">
        <v>5</v>
      </c>
      <c r="E160" s="101">
        <v>-4</v>
      </c>
      <c r="F160" s="101">
        <v>-8</v>
      </c>
      <c r="G160" s="101">
        <v>85</v>
      </c>
      <c r="H160" s="101">
        <v>-1</v>
      </c>
      <c r="I160" s="101">
        <v>0</v>
      </c>
      <c r="J160" s="102">
        <v>0.25</v>
      </c>
      <c r="K160" s="102">
        <v>0.497143</v>
      </c>
      <c r="L160" s="101">
        <v>18.600000000000001</v>
      </c>
      <c r="M160" s="101">
        <v>1.3</v>
      </c>
      <c r="N160" s="101" t="s">
        <v>952</v>
      </c>
      <c r="O160" s="101">
        <v>2005</v>
      </c>
      <c r="P160" s="101" t="s">
        <v>867</v>
      </c>
      <c r="Q160" s="101">
        <v>577833</v>
      </c>
      <c r="R160" t="s">
        <v>795</v>
      </c>
      <c r="S160" t="s">
        <v>840</v>
      </c>
      <c r="T160" t="s">
        <v>953</v>
      </c>
      <c r="U160"/>
      <c r="V160"/>
      <c r="W160" s="223"/>
    </row>
    <row r="161" spans="1:23" x14ac:dyDescent="0.2">
      <c r="A161" s="253" t="s">
        <v>553</v>
      </c>
      <c r="B161" s="101">
        <v>4</v>
      </c>
      <c r="C161" s="101">
        <v>4</v>
      </c>
      <c r="D161" s="101">
        <v>7</v>
      </c>
      <c r="E161" s="101">
        <v>3</v>
      </c>
      <c r="F161" s="101">
        <v>4</v>
      </c>
      <c r="G161" s="101">
        <v>37</v>
      </c>
      <c r="H161" s="101">
        <v>-8</v>
      </c>
      <c r="I161" s="101">
        <v>-2</v>
      </c>
      <c r="J161" s="102">
        <v>0.25</v>
      </c>
      <c r="K161" s="102">
        <v>0.56000000000000005</v>
      </c>
      <c r="L161" s="101">
        <v>10.7</v>
      </c>
      <c r="M161" s="101">
        <v>1</v>
      </c>
      <c r="N161" s="101" t="s">
        <v>952</v>
      </c>
      <c r="O161" s="101">
        <v>2000</v>
      </c>
      <c r="P161" s="101" t="s">
        <v>867</v>
      </c>
      <c r="Q161" s="101">
        <v>829358</v>
      </c>
      <c r="R161" t="s">
        <v>907</v>
      </c>
      <c r="S161" t="s">
        <v>551</v>
      </c>
      <c r="T161"/>
      <c r="U161"/>
      <c r="V161"/>
      <c r="W161" s="223"/>
    </row>
    <row r="162" spans="1:23" x14ac:dyDescent="0.2">
      <c r="A162" s="253" t="s">
        <v>823</v>
      </c>
      <c r="B162" s="101">
        <v>3</v>
      </c>
      <c r="C162" s="101">
        <v>3</v>
      </c>
      <c r="D162" s="101">
        <v>5</v>
      </c>
      <c r="E162" s="101">
        <v>5</v>
      </c>
      <c r="F162" s="101">
        <v>8</v>
      </c>
      <c r="G162" s="101">
        <v>0</v>
      </c>
      <c r="H162" s="101"/>
      <c r="I162" s="101"/>
      <c r="J162" s="102">
        <v>0.25</v>
      </c>
      <c r="K162" s="102">
        <v>0.67</v>
      </c>
      <c r="L162" s="101">
        <v>5.4</v>
      </c>
      <c r="M162" s="101">
        <v>-0.2</v>
      </c>
      <c r="N162" s="101" t="s">
        <v>952</v>
      </c>
      <c r="O162" s="101">
        <v>2007</v>
      </c>
      <c r="P162" s="101" t="s">
        <v>867</v>
      </c>
      <c r="Q162" s="101">
        <v>396200</v>
      </c>
      <c r="R162" t="s">
        <v>425</v>
      </c>
      <c r="S162" t="s">
        <v>735</v>
      </c>
      <c r="T162"/>
      <c r="U162"/>
      <c r="V162"/>
      <c r="W162" s="223"/>
    </row>
    <row r="163" spans="1:23" x14ac:dyDescent="0.2">
      <c r="A163" s="253" t="s">
        <v>283</v>
      </c>
      <c r="B163" s="101">
        <v>2</v>
      </c>
      <c r="C163" s="101">
        <v>2</v>
      </c>
      <c r="D163" s="101">
        <v>1</v>
      </c>
      <c r="E163" s="101">
        <v>1</v>
      </c>
      <c r="F163" s="101">
        <v>8</v>
      </c>
      <c r="G163" s="101">
        <v>15</v>
      </c>
      <c r="H163" s="101">
        <v>34</v>
      </c>
      <c r="I163" s="101">
        <v>6</v>
      </c>
      <c r="J163" s="102">
        <v>0.26</v>
      </c>
      <c r="K163" s="102">
        <v>0.6</v>
      </c>
      <c r="L163" s="101">
        <v>6.5</v>
      </c>
      <c r="M163" s="101">
        <v>0.6</v>
      </c>
      <c r="N163" s="101" t="s">
        <v>956</v>
      </c>
      <c r="O163" s="101">
        <v>2001</v>
      </c>
      <c r="P163" s="101" t="s">
        <v>742</v>
      </c>
      <c r="Q163" s="101">
        <v>111518</v>
      </c>
      <c r="R163" t="s">
        <v>868</v>
      </c>
      <c r="S163" t="s">
        <v>735</v>
      </c>
      <c r="T163"/>
      <c r="U163"/>
      <c r="V163"/>
      <c r="W163" s="223"/>
    </row>
    <row r="164" spans="1:23" x14ac:dyDescent="0.2">
      <c r="A164" s="253" t="s">
        <v>722</v>
      </c>
      <c r="B164" s="101">
        <v>1</v>
      </c>
      <c r="C164" s="101">
        <v>1</v>
      </c>
      <c r="D164" s="101">
        <v>1</v>
      </c>
      <c r="E164" s="101">
        <v>1</v>
      </c>
      <c r="F164" s="101">
        <v>4</v>
      </c>
      <c r="G164" s="101">
        <v>-8</v>
      </c>
      <c r="H164" s="101">
        <v>19</v>
      </c>
      <c r="I164" s="101">
        <v>4</v>
      </c>
      <c r="J164" s="102">
        <v>0.26</v>
      </c>
      <c r="K164" s="102">
        <v>0.65</v>
      </c>
      <c r="L164" s="101">
        <v>8.9</v>
      </c>
      <c r="M164" s="101">
        <v>-0.4</v>
      </c>
      <c r="N164" s="101" t="s">
        <v>955</v>
      </c>
      <c r="O164" s="101">
        <v>2000</v>
      </c>
      <c r="P164" s="101" t="s">
        <v>742</v>
      </c>
      <c r="Q164" s="101">
        <v>426726</v>
      </c>
      <c r="R164" t="s">
        <v>880</v>
      </c>
      <c r="S164" t="s">
        <v>721</v>
      </c>
      <c r="T164"/>
      <c r="U164"/>
      <c r="V164"/>
      <c r="W164" s="223"/>
    </row>
    <row r="165" spans="1:23" x14ac:dyDescent="0.2">
      <c r="A165" s="253" t="s">
        <v>209</v>
      </c>
      <c r="B165" s="101">
        <v>6</v>
      </c>
      <c r="C165" s="101">
        <v>6</v>
      </c>
      <c r="D165" s="101">
        <v>4</v>
      </c>
      <c r="E165" s="101">
        <v>-2</v>
      </c>
      <c r="F165" s="101">
        <v>-7</v>
      </c>
      <c r="G165" s="101">
        <v>81</v>
      </c>
      <c r="H165" s="101">
        <v>0</v>
      </c>
      <c r="I165" s="101">
        <v>0</v>
      </c>
      <c r="J165" s="102">
        <v>0.26</v>
      </c>
      <c r="K165" s="102">
        <v>0.5</v>
      </c>
      <c r="L165" s="101">
        <v>17.2</v>
      </c>
      <c r="M165" s="101">
        <v>1.3</v>
      </c>
      <c r="N165" s="101" t="s">
        <v>952</v>
      </c>
      <c r="O165" s="101">
        <v>2000</v>
      </c>
      <c r="P165" s="101" t="s">
        <v>867</v>
      </c>
      <c r="Q165" s="101">
        <v>661124</v>
      </c>
      <c r="R165" t="s">
        <v>207</v>
      </c>
      <c r="S165" t="s">
        <v>840</v>
      </c>
      <c r="T165"/>
      <c r="U165"/>
      <c r="V165"/>
      <c r="W165" s="223"/>
    </row>
    <row r="166" spans="1:23" x14ac:dyDescent="0.2">
      <c r="A166" s="253" t="s">
        <v>924</v>
      </c>
      <c r="B166" s="101">
        <v>3</v>
      </c>
      <c r="C166" s="101">
        <v>3</v>
      </c>
      <c r="D166" s="101">
        <v>7</v>
      </c>
      <c r="E166" s="101">
        <v>2</v>
      </c>
      <c r="F166" s="101">
        <v>2</v>
      </c>
      <c r="G166" s="101">
        <v>25</v>
      </c>
      <c r="H166" s="101">
        <v>-13</v>
      </c>
      <c r="I166" s="101">
        <v>-3</v>
      </c>
      <c r="J166" s="102">
        <v>0.26</v>
      </c>
      <c r="K166" s="102">
        <v>0.5</v>
      </c>
      <c r="L166" s="101">
        <v>9.9</v>
      </c>
      <c r="M166" s="101">
        <v>0.8</v>
      </c>
      <c r="N166" s="101" t="s">
        <v>952</v>
      </c>
      <c r="O166" s="101">
        <v>2000</v>
      </c>
      <c r="P166" s="101" t="s">
        <v>867</v>
      </c>
      <c r="Q166" s="101">
        <v>252411</v>
      </c>
      <c r="R166" t="s">
        <v>502</v>
      </c>
      <c r="S166" t="s">
        <v>166</v>
      </c>
      <c r="T166"/>
      <c r="U166"/>
      <c r="V166"/>
      <c r="W166" s="223"/>
    </row>
    <row r="167" spans="1:23" x14ac:dyDescent="0.2">
      <c r="A167" s="253" t="s">
        <v>910</v>
      </c>
      <c r="B167" s="101">
        <v>11</v>
      </c>
      <c r="C167" s="101">
        <v>11</v>
      </c>
      <c r="D167" s="101">
        <v>1</v>
      </c>
      <c r="E167" s="101">
        <v>-6</v>
      </c>
      <c r="F167" s="101">
        <v>-20</v>
      </c>
      <c r="G167" s="101">
        <v>35</v>
      </c>
      <c r="H167" s="101">
        <v>-18</v>
      </c>
      <c r="I167" s="101">
        <v>-4</v>
      </c>
      <c r="J167" s="102">
        <v>0.26</v>
      </c>
      <c r="K167" s="102">
        <v>0.45400000000000001</v>
      </c>
      <c r="L167" s="101">
        <v>20.5</v>
      </c>
      <c r="M167" s="101">
        <v>0.6</v>
      </c>
      <c r="N167" s="101" t="s">
        <v>955</v>
      </c>
      <c r="O167" s="101">
        <v>2005</v>
      </c>
      <c r="P167" s="101" t="s">
        <v>742</v>
      </c>
      <c r="Q167" s="101">
        <v>133298</v>
      </c>
      <c r="R167" t="s">
        <v>112</v>
      </c>
      <c r="S167" t="s">
        <v>268</v>
      </c>
      <c r="T167" t="s">
        <v>953</v>
      </c>
      <c r="U167"/>
      <c r="V167"/>
      <c r="W167" s="223"/>
    </row>
    <row r="168" spans="1:23" x14ac:dyDescent="0.2">
      <c r="A168" s="253" t="s">
        <v>863</v>
      </c>
      <c r="B168" s="101">
        <v>5</v>
      </c>
      <c r="C168" s="101">
        <v>5</v>
      </c>
      <c r="D168" s="101">
        <v>2</v>
      </c>
      <c r="E168" s="101">
        <v>-5</v>
      </c>
      <c r="F168" s="101">
        <v>-6</v>
      </c>
      <c r="G168" s="101">
        <v>21</v>
      </c>
      <c r="H168" s="101">
        <v>-24</v>
      </c>
      <c r="I168" s="101">
        <v>-5</v>
      </c>
      <c r="J168" s="102">
        <v>0.26</v>
      </c>
      <c r="K168" s="102">
        <v>0.45500000000000002</v>
      </c>
      <c r="L168" s="101">
        <v>13.4</v>
      </c>
      <c r="M168" s="101">
        <v>0.5</v>
      </c>
      <c r="N168" s="101" t="s">
        <v>955</v>
      </c>
      <c r="O168" s="101">
        <v>2000</v>
      </c>
      <c r="P168" s="101" t="s">
        <v>742</v>
      </c>
      <c r="Q168" s="101">
        <v>515387</v>
      </c>
      <c r="R168" t="s">
        <v>112</v>
      </c>
      <c r="S168" t="s">
        <v>108</v>
      </c>
      <c r="T168" t="s">
        <v>953</v>
      </c>
      <c r="U168"/>
      <c r="V168"/>
      <c r="W168" s="223"/>
    </row>
    <row r="169" spans="1:23" x14ac:dyDescent="0.2">
      <c r="A169" s="253" t="s">
        <v>513</v>
      </c>
      <c r="B169" s="101">
        <v>6</v>
      </c>
      <c r="C169" s="101">
        <v>6</v>
      </c>
      <c r="D169" s="101">
        <v>6</v>
      </c>
      <c r="E169" s="101">
        <v>-2</v>
      </c>
      <c r="F169" s="101">
        <v>-5</v>
      </c>
      <c r="G169" s="101">
        <v>6</v>
      </c>
      <c r="H169" s="101">
        <v>-25</v>
      </c>
      <c r="I169" s="101">
        <v>-6</v>
      </c>
      <c r="J169" s="102">
        <v>0.26</v>
      </c>
      <c r="K169" s="102">
        <v>0.47399999999999998</v>
      </c>
      <c r="L169" s="101">
        <v>11.9</v>
      </c>
      <c r="M169" s="101">
        <v>0.2</v>
      </c>
      <c r="N169" s="101" t="s">
        <v>955</v>
      </c>
      <c r="O169" s="101">
        <v>2005</v>
      </c>
      <c r="P169" s="101" t="s">
        <v>742</v>
      </c>
      <c r="Q169" s="101">
        <v>997460</v>
      </c>
      <c r="R169" t="s">
        <v>112</v>
      </c>
      <c r="S169" t="s">
        <v>150</v>
      </c>
      <c r="T169" t="s">
        <v>953</v>
      </c>
      <c r="U169"/>
      <c r="V169"/>
      <c r="W169" s="223"/>
    </row>
    <row r="170" spans="1:23" x14ac:dyDescent="0.2">
      <c r="A170" s="253" t="s">
        <v>15</v>
      </c>
      <c r="B170" s="101">
        <v>6</v>
      </c>
      <c r="C170" s="101">
        <v>6</v>
      </c>
      <c r="D170" s="101">
        <v>5</v>
      </c>
      <c r="E170" s="101">
        <v>-2</v>
      </c>
      <c r="F170" s="101">
        <v>5</v>
      </c>
      <c r="G170" s="101"/>
      <c r="H170" s="101"/>
      <c r="I170" s="101"/>
      <c r="J170" s="102">
        <v>0.26</v>
      </c>
      <c r="K170" s="102">
        <v>0.72</v>
      </c>
      <c r="L170" s="101"/>
      <c r="M170" s="101"/>
      <c r="N170" s="101" t="s">
        <v>952</v>
      </c>
      <c r="O170" s="101">
        <v>2010</v>
      </c>
      <c r="P170" s="101" t="s">
        <v>867</v>
      </c>
      <c r="Q170" s="101">
        <v>110098</v>
      </c>
      <c r="R170" t="s">
        <v>787</v>
      </c>
      <c r="S170" t="s">
        <v>312</v>
      </c>
      <c r="T170"/>
      <c r="U170"/>
      <c r="V170"/>
      <c r="W170" s="223"/>
    </row>
    <row r="171" spans="1:23" x14ac:dyDescent="0.2">
      <c r="A171" s="253" t="s">
        <v>14</v>
      </c>
      <c r="B171" s="101">
        <v>0</v>
      </c>
      <c r="C171" s="101">
        <v>0</v>
      </c>
      <c r="D171" s="101">
        <v>1</v>
      </c>
      <c r="E171" s="101">
        <v>3</v>
      </c>
      <c r="F171" s="101">
        <v>6</v>
      </c>
      <c r="G171" s="101">
        <v>9</v>
      </c>
      <c r="H171" s="101">
        <v>23</v>
      </c>
      <c r="I171" s="101">
        <v>4</v>
      </c>
      <c r="J171" s="102">
        <v>0.27</v>
      </c>
      <c r="K171" s="102">
        <v>0.61</v>
      </c>
      <c r="L171" s="101">
        <v>3.3</v>
      </c>
      <c r="M171" s="101">
        <v>0.6</v>
      </c>
      <c r="N171" s="101" t="s">
        <v>952</v>
      </c>
      <c r="O171" s="101">
        <v>2000</v>
      </c>
      <c r="P171" s="101" t="s">
        <v>867</v>
      </c>
      <c r="Q171" s="101">
        <v>901603</v>
      </c>
      <c r="R171" t="s">
        <v>502</v>
      </c>
      <c r="S171" t="s">
        <v>645</v>
      </c>
      <c r="T171"/>
      <c r="U171"/>
      <c r="V171"/>
      <c r="W171" s="223"/>
    </row>
    <row r="172" spans="1:23" x14ac:dyDescent="0.2">
      <c r="A172" s="253" t="s">
        <v>1126</v>
      </c>
      <c r="B172" s="101">
        <v>10</v>
      </c>
      <c r="C172" s="101">
        <v>10</v>
      </c>
      <c r="D172" s="101">
        <v>7</v>
      </c>
      <c r="E172" s="101">
        <v>-4</v>
      </c>
      <c r="F172" s="101">
        <v>-3</v>
      </c>
      <c r="G172" s="101"/>
      <c r="H172" s="101"/>
      <c r="I172" s="101"/>
      <c r="J172" s="102">
        <v>0.27</v>
      </c>
      <c r="K172" s="102">
        <v>0.95</v>
      </c>
      <c r="L172" s="101"/>
      <c r="M172" s="101"/>
      <c r="N172" s="101" t="s">
        <v>952</v>
      </c>
      <c r="O172" s="101">
        <v>2011</v>
      </c>
      <c r="P172" s="101" t="s">
        <v>867</v>
      </c>
      <c r="Q172" s="101">
        <v>459891</v>
      </c>
      <c r="R172" t="s">
        <v>914</v>
      </c>
      <c r="S172" t="s">
        <v>183</v>
      </c>
      <c r="T172" t="s">
        <v>953</v>
      </c>
      <c r="U172"/>
      <c r="V172"/>
      <c r="W172" s="223"/>
    </row>
    <row r="173" spans="1:23" x14ac:dyDescent="0.2">
      <c r="A173" s="253" t="s">
        <v>1084</v>
      </c>
      <c r="B173" s="101">
        <v>0</v>
      </c>
      <c r="C173" s="101">
        <v>0</v>
      </c>
      <c r="D173" s="101">
        <v>2</v>
      </c>
      <c r="E173" s="101">
        <v>4</v>
      </c>
      <c r="F173" s="101">
        <v>8</v>
      </c>
      <c r="G173" s="101">
        <v>13</v>
      </c>
      <c r="H173" s="101">
        <v>25</v>
      </c>
      <c r="I173" s="101">
        <v>5</v>
      </c>
      <c r="J173" s="102">
        <v>0.28000000000000003</v>
      </c>
      <c r="K173" s="102">
        <v>0.73299999999999998</v>
      </c>
      <c r="L173" s="101">
        <v>2.4</v>
      </c>
      <c r="M173" s="101">
        <v>1.3</v>
      </c>
      <c r="N173" s="101" t="s">
        <v>952</v>
      </c>
      <c r="O173" s="101">
        <v>2003</v>
      </c>
      <c r="P173" s="101" t="s">
        <v>742</v>
      </c>
      <c r="Q173" s="101">
        <v>734558</v>
      </c>
      <c r="R173" t="s">
        <v>1083</v>
      </c>
      <c r="S173" t="s">
        <v>645</v>
      </c>
      <c r="T173"/>
      <c r="U173"/>
      <c r="V173"/>
      <c r="W173" s="223"/>
    </row>
    <row r="174" spans="1:23" x14ac:dyDescent="0.2">
      <c r="A174" s="253" t="s">
        <v>1085</v>
      </c>
      <c r="B174" s="101">
        <v>0</v>
      </c>
      <c r="C174" s="101">
        <v>0</v>
      </c>
      <c r="D174" s="101">
        <v>3</v>
      </c>
      <c r="E174" s="101">
        <v>6</v>
      </c>
      <c r="F174" s="101">
        <v>10</v>
      </c>
      <c r="G174" s="101">
        <v>15</v>
      </c>
      <c r="H174" s="101">
        <v>22</v>
      </c>
      <c r="I174" s="101">
        <v>4</v>
      </c>
      <c r="J174" s="102">
        <v>0.28000000000000003</v>
      </c>
      <c r="K174" s="102">
        <v>0.71099999999999997</v>
      </c>
      <c r="L174" s="101">
        <v>5.3</v>
      </c>
      <c r="M174" s="101">
        <v>0.7</v>
      </c>
      <c r="N174" s="101" t="s">
        <v>952</v>
      </c>
      <c r="O174" s="101">
        <v>2009</v>
      </c>
      <c r="P174" s="101" t="s">
        <v>867</v>
      </c>
      <c r="Q174" s="101">
        <v>189662</v>
      </c>
      <c r="R174" t="s">
        <v>877</v>
      </c>
      <c r="S174" t="s">
        <v>717</v>
      </c>
      <c r="T174"/>
      <c r="U174"/>
      <c r="V174"/>
      <c r="W174" s="223"/>
    </row>
    <row r="175" spans="1:23" x14ac:dyDescent="0.2">
      <c r="A175" s="253" t="s">
        <v>627</v>
      </c>
      <c r="B175" s="101">
        <v>1</v>
      </c>
      <c r="C175" s="101">
        <v>1</v>
      </c>
      <c r="D175" s="101">
        <v>3</v>
      </c>
      <c r="E175" s="101">
        <v>4</v>
      </c>
      <c r="F175" s="101">
        <v>6</v>
      </c>
      <c r="G175" s="101">
        <v>22</v>
      </c>
      <c r="H175" s="101">
        <v>14</v>
      </c>
      <c r="I175" s="101">
        <v>3</v>
      </c>
      <c r="J175" s="102">
        <v>0.28000000000000003</v>
      </c>
      <c r="K175" s="102">
        <v>1.22</v>
      </c>
      <c r="L175" s="101">
        <v>2.9</v>
      </c>
      <c r="M175" s="101">
        <v>2.1</v>
      </c>
      <c r="N175" s="101" t="s">
        <v>952</v>
      </c>
      <c r="O175" s="101">
        <v>2004</v>
      </c>
      <c r="P175" s="101" t="s">
        <v>867</v>
      </c>
      <c r="Q175" s="101">
        <v>855387</v>
      </c>
      <c r="R175" t="s">
        <v>198</v>
      </c>
      <c r="S175" t="s">
        <v>386</v>
      </c>
      <c r="T175"/>
      <c r="U175"/>
      <c r="V175"/>
      <c r="W175" s="223"/>
    </row>
    <row r="176" spans="1:23" x14ac:dyDescent="0.2">
      <c r="A176" s="253" t="s">
        <v>427</v>
      </c>
      <c r="B176" s="101">
        <v>0</v>
      </c>
      <c r="C176" s="101">
        <v>0</v>
      </c>
      <c r="D176" s="101">
        <v>1</v>
      </c>
      <c r="E176" s="101">
        <v>1</v>
      </c>
      <c r="F176" s="101">
        <v>2</v>
      </c>
      <c r="G176" s="101">
        <v>4</v>
      </c>
      <c r="H176" s="101">
        <v>12</v>
      </c>
      <c r="I176" s="101">
        <v>2</v>
      </c>
      <c r="J176" s="102">
        <v>0.28000000000000003</v>
      </c>
      <c r="K176" s="102">
        <v>0.6</v>
      </c>
      <c r="L176" s="101">
        <v>0.3</v>
      </c>
      <c r="M176" s="101">
        <v>1.9</v>
      </c>
      <c r="N176" s="101" t="s">
        <v>952</v>
      </c>
      <c r="O176" s="101">
        <v>2000</v>
      </c>
      <c r="P176" s="101" t="s">
        <v>867</v>
      </c>
      <c r="Q176" s="101">
        <v>308908</v>
      </c>
      <c r="R176" t="s">
        <v>782</v>
      </c>
      <c r="S176" t="s">
        <v>578</v>
      </c>
      <c r="T176" t="s">
        <v>953</v>
      </c>
      <c r="U176"/>
      <c r="V176"/>
      <c r="W176" s="223"/>
    </row>
    <row r="177" spans="1:23" x14ac:dyDescent="0.2">
      <c r="A177" s="253" t="s">
        <v>624</v>
      </c>
      <c r="B177" s="101">
        <v>2</v>
      </c>
      <c r="C177" s="101">
        <v>2</v>
      </c>
      <c r="D177" s="101">
        <v>3</v>
      </c>
      <c r="E177" s="101">
        <v>3</v>
      </c>
      <c r="F177" s="101">
        <v>4</v>
      </c>
      <c r="G177" s="101">
        <v>31</v>
      </c>
      <c r="H177" s="101">
        <v>5</v>
      </c>
      <c r="I177" s="101">
        <v>1</v>
      </c>
      <c r="J177" s="102">
        <v>0.28000000000000003</v>
      </c>
      <c r="K177" s="102">
        <v>1.22</v>
      </c>
      <c r="L177" s="101">
        <v>5.6</v>
      </c>
      <c r="M177" s="101">
        <v>1.6</v>
      </c>
      <c r="N177" s="101" t="s">
        <v>952</v>
      </c>
      <c r="O177" s="101">
        <v>2004</v>
      </c>
      <c r="P177" s="101" t="s">
        <v>867</v>
      </c>
      <c r="Q177" s="101">
        <v>819557</v>
      </c>
      <c r="R177" t="s">
        <v>198</v>
      </c>
      <c r="S177" t="s">
        <v>386</v>
      </c>
      <c r="T177"/>
      <c r="U177"/>
      <c r="V177"/>
      <c r="W177" s="223"/>
    </row>
    <row r="178" spans="1:23" x14ac:dyDescent="0.2">
      <c r="A178" s="253" t="s">
        <v>612</v>
      </c>
      <c r="B178" s="101">
        <v>3</v>
      </c>
      <c r="C178" s="101">
        <v>3</v>
      </c>
      <c r="D178" s="101">
        <v>4</v>
      </c>
      <c r="E178" s="101">
        <v>1</v>
      </c>
      <c r="F178" s="101">
        <v>1</v>
      </c>
      <c r="G178" s="101">
        <v>40</v>
      </c>
      <c r="H178" s="101">
        <v>-4</v>
      </c>
      <c r="I178" s="101">
        <v>-1</v>
      </c>
      <c r="J178" s="102">
        <v>0.28000000000000003</v>
      </c>
      <c r="K178" s="102">
        <v>1.22</v>
      </c>
      <c r="L178" s="101">
        <v>9.5</v>
      </c>
      <c r="M178" s="101">
        <v>1.2</v>
      </c>
      <c r="N178" s="101" t="s">
        <v>952</v>
      </c>
      <c r="O178" s="101">
        <v>2004</v>
      </c>
      <c r="P178" s="101" t="s">
        <v>867</v>
      </c>
      <c r="Q178" s="101">
        <v>783720</v>
      </c>
      <c r="R178" t="s">
        <v>198</v>
      </c>
      <c r="S178" t="s">
        <v>551</v>
      </c>
      <c r="T178"/>
      <c r="U178"/>
      <c r="V178"/>
      <c r="W178" s="223"/>
    </row>
    <row r="179" spans="1:23" x14ac:dyDescent="0.2">
      <c r="A179" s="253" t="s">
        <v>608</v>
      </c>
      <c r="B179" s="101">
        <v>4</v>
      </c>
      <c r="C179" s="101">
        <v>4</v>
      </c>
      <c r="D179" s="101">
        <v>4</v>
      </c>
      <c r="E179" s="101">
        <v>0</v>
      </c>
      <c r="F179" s="101">
        <v>-2</v>
      </c>
      <c r="G179" s="101">
        <v>41</v>
      </c>
      <c r="H179" s="101">
        <v>-8</v>
      </c>
      <c r="I179" s="101">
        <v>-2</v>
      </c>
      <c r="J179" s="102">
        <v>0.28000000000000003</v>
      </c>
      <c r="K179" s="102">
        <v>1.22</v>
      </c>
      <c r="L179" s="101">
        <v>11.4</v>
      </c>
      <c r="M179" s="101">
        <v>1.1000000000000001</v>
      </c>
      <c r="N179" s="101" t="s">
        <v>952</v>
      </c>
      <c r="O179" s="101">
        <v>2004</v>
      </c>
      <c r="P179" s="101" t="s">
        <v>867</v>
      </c>
      <c r="Q179" s="101">
        <v>747899</v>
      </c>
      <c r="R179" t="s">
        <v>198</v>
      </c>
      <c r="S179" t="s">
        <v>551</v>
      </c>
      <c r="T179"/>
      <c r="U179"/>
      <c r="V179"/>
      <c r="W179" s="223"/>
    </row>
    <row r="180" spans="1:23" x14ac:dyDescent="0.2">
      <c r="A180" s="253" t="s">
        <v>8</v>
      </c>
      <c r="B180" s="101">
        <v>4</v>
      </c>
      <c r="C180" s="101">
        <v>4</v>
      </c>
      <c r="D180" s="101">
        <v>7</v>
      </c>
      <c r="E180" s="101">
        <v>2</v>
      </c>
      <c r="F180" s="101">
        <v>1</v>
      </c>
      <c r="G180" s="101">
        <v>23</v>
      </c>
      <c r="H180" s="101">
        <v>-12</v>
      </c>
      <c r="I180" s="101">
        <v>-3</v>
      </c>
      <c r="J180" s="102">
        <v>0.28000000000000003</v>
      </c>
      <c r="K180" s="102">
        <v>0.56000000000000005</v>
      </c>
      <c r="L180" s="101">
        <v>10.3</v>
      </c>
      <c r="M180" s="101">
        <v>0.7</v>
      </c>
      <c r="N180" s="101" t="s">
        <v>952</v>
      </c>
      <c r="O180" s="101">
        <v>2002</v>
      </c>
      <c r="P180" s="101" t="s">
        <v>867</v>
      </c>
      <c r="Q180" s="101">
        <v>613729</v>
      </c>
      <c r="R180" t="s">
        <v>502</v>
      </c>
      <c r="S180" t="s">
        <v>166</v>
      </c>
      <c r="T180" t="s">
        <v>953</v>
      </c>
      <c r="U180"/>
      <c r="V180"/>
      <c r="W180" s="223"/>
    </row>
    <row r="181" spans="1:23" x14ac:dyDescent="0.2">
      <c r="A181" s="253" t="s">
        <v>1062</v>
      </c>
      <c r="B181" s="101">
        <v>0</v>
      </c>
      <c r="C181" s="101">
        <v>0</v>
      </c>
      <c r="D181" s="101">
        <v>0</v>
      </c>
      <c r="E181" s="101"/>
      <c r="F181" s="101"/>
      <c r="G181" s="101"/>
      <c r="H181" s="101"/>
      <c r="I181" s="101"/>
      <c r="J181" s="102">
        <v>0.28000000000000003</v>
      </c>
      <c r="K181" s="102">
        <v>0.75</v>
      </c>
      <c r="L181" s="101"/>
      <c r="M181" s="101"/>
      <c r="N181" s="101" t="s">
        <v>952</v>
      </c>
      <c r="O181" s="101">
        <v>2011</v>
      </c>
      <c r="P181" s="101" t="s">
        <v>742</v>
      </c>
      <c r="Q181" s="101">
        <v>191437</v>
      </c>
      <c r="R181" t="s">
        <v>450</v>
      </c>
      <c r="S181" t="s">
        <v>735</v>
      </c>
      <c r="T181"/>
      <c r="U181"/>
      <c r="V181"/>
      <c r="W181" s="223"/>
    </row>
    <row r="182" spans="1:23" x14ac:dyDescent="0.2">
      <c r="A182" s="253" t="s">
        <v>725</v>
      </c>
      <c r="B182" s="101">
        <v>4</v>
      </c>
      <c r="C182" s="101">
        <v>4</v>
      </c>
      <c r="D182" s="101">
        <v>1</v>
      </c>
      <c r="E182" s="101">
        <v>-6</v>
      </c>
      <c r="F182" s="101">
        <v>-2</v>
      </c>
      <c r="G182" s="101">
        <v>49</v>
      </c>
      <c r="H182" s="101">
        <v>25</v>
      </c>
      <c r="I182" s="101">
        <v>4</v>
      </c>
      <c r="J182" s="102">
        <v>0.28999999999999998</v>
      </c>
      <c r="K182" s="102">
        <v>1.3944000000000001</v>
      </c>
      <c r="L182" s="101">
        <v>12.9</v>
      </c>
      <c r="M182" s="101">
        <v>1</v>
      </c>
      <c r="N182" s="101" t="s">
        <v>955</v>
      </c>
      <c r="O182" s="101">
        <v>2001</v>
      </c>
      <c r="P182" s="101" t="s">
        <v>742</v>
      </c>
      <c r="Q182" s="101">
        <v>549972</v>
      </c>
      <c r="R182" t="s">
        <v>880</v>
      </c>
      <c r="S182" t="s">
        <v>721</v>
      </c>
      <c r="T182"/>
      <c r="U182"/>
      <c r="V182"/>
      <c r="W182" s="223"/>
    </row>
    <row r="183" spans="1:23" x14ac:dyDescent="0.2">
      <c r="A183" s="253" t="s">
        <v>431</v>
      </c>
      <c r="B183" s="101">
        <v>2</v>
      </c>
      <c r="C183" s="101">
        <v>2</v>
      </c>
      <c r="D183" s="101">
        <v>1</v>
      </c>
      <c r="E183" s="101">
        <v>-2</v>
      </c>
      <c r="F183" s="101">
        <v>2</v>
      </c>
      <c r="G183" s="101">
        <v>-1</v>
      </c>
      <c r="H183" s="101">
        <v>19</v>
      </c>
      <c r="I183" s="101">
        <v>4</v>
      </c>
      <c r="J183" s="102">
        <v>0.28999999999999998</v>
      </c>
      <c r="K183" s="102">
        <v>0.69</v>
      </c>
      <c r="L183" s="101">
        <v>8.3000000000000007</v>
      </c>
      <c r="M183" s="101">
        <v>-0.1</v>
      </c>
      <c r="N183" s="101" t="s">
        <v>955</v>
      </c>
      <c r="O183" s="101">
        <v>2010</v>
      </c>
      <c r="P183" s="101" t="s">
        <v>742</v>
      </c>
      <c r="Q183" s="101">
        <v>203000</v>
      </c>
      <c r="R183" t="s">
        <v>340</v>
      </c>
      <c r="S183" t="s">
        <v>721</v>
      </c>
      <c r="T183" t="s">
        <v>953</v>
      </c>
      <c r="U183"/>
      <c r="V183"/>
      <c r="W183" s="223"/>
    </row>
    <row r="184" spans="1:23" x14ac:dyDescent="0.2">
      <c r="A184" s="253" t="s">
        <v>330</v>
      </c>
      <c r="B184" s="101">
        <v>2</v>
      </c>
      <c r="C184" s="101">
        <v>2</v>
      </c>
      <c r="D184" s="101">
        <v>3</v>
      </c>
      <c r="E184" s="101">
        <v>2</v>
      </c>
      <c r="F184" s="101">
        <v>3</v>
      </c>
      <c r="G184" s="101">
        <v>27</v>
      </c>
      <c r="H184" s="101">
        <v>19</v>
      </c>
      <c r="I184" s="101">
        <v>3</v>
      </c>
      <c r="J184" s="102">
        <v>0.28999999999999998</v>
      </c>
      <c r="K184" s="102">
        <v>0.6</v>
      </c>
      <c r="L184" s="101">
        <v>3.9</v>
      </c>
      <c r="M184" s="101">
        <v>2</v>
      </c>
      <c r="N184" s="101" t="s">
        <v>952</v>
      </c>
      <c r="O184" s="101">
        <v>2000</v>
      </c>
      <c r="P184" s="101" t="s">
        <v>867</v>
      </c>
      <c r="Q184" s="101">
        <v>981175</v>
      </c>
      <c r="R184" t="s">
        <v>859</v>
      </c>
      <c r="S184" t="s">
        <v>329</v>
      </c>
      <c r="T184" t="s">
        <v>953</v>
      </c>
      <c r="U184"/>
      <c r="V184"/>
      <c r="W184" s="223"/>
    </row>
    <row r="185" spans="1:23" x14ac:dyDescent="0.2">
      <c r="A185" s="253" t="s">
        <v>331</v>
      </c>
      <c r="B185" s="101">
        <v>4</v>
      </c>
      <c r="C185" s="101">
        <v>4</v>
      </c>
      <c r="D185" s="101">
        <v>4</v>
      </c>
      <c r="E185" s="101">
        <v>0</v>
      </c>
      <c r="F185" s="101">
        <v>-2</v>
      </c>
      <c r="G185" s="101">
        <v>42</v>
      </c>
      <c r="H185" s="101">
        <v>7</v>
      </c>
      <c r="I185" s="101">
        <v>1</v>
      </c>
      <c r="J185" s="102">
        <v>0.28999999999999998</v>
      </c>
      <c r="K185" s="102">
        <v>0.6</v>
      </c>
      <c r="L185" s="101">
        <v>9.5</v>
      </c>
      <c r="M185" s="101">
        <v>1.3</v>
      </c>
      <c r="N185" s="101" t="s">
        <v>952</v>
      </c>
      <c r="O185" s="101">
        <v>2000</v>
      </c>
      <c r="P185" s="101" t="s">
        <v>867</v>
      </c>
      <c r="Q185" s="101">
        <v>117002</v>
      </c>
      <c r="R185" t="s">
        <v>859</v>
      </c>
      <c r="S185" t="s">
        <v>329</v>
      </c>
      <c r="T185" t="s">
        <v>953</v>
      </c>
      <c r="U185"/>
      <c r="V185"/>
      <c r="W185" s="223"/>
    </row>
    <row r="186" spans="1:23" x14ac:dyDescent="0.2">
      <c r="A186" s="253" t="s">
        <v>860</v>
      </c>
      <c r="B186" s="101">
        <v>5</v>
      </c>
      <c r="C186" s="101">
        <v>5</v>
      </c>
      <c r="D186" s="101">
        <v>5</v>
      </c>
      <c r="E186" s="101">
        <v>-2</v>
      </c>
      <c r="F186" s="101">
        <v>-5</v>
      </c>
      <c r="G186" s="101">
        <v>56</v>
      </c>
      <c r="H186" s="101">
        <v>-1</v>
      </c>
      <c r="I186" s="101">
        <v>0</v>
      </c>
      <c r="J186" s="102">
        <v>0.28999999999999998</v>
      </c>
      <c r="K186" s="102">
        <v>0.6</v>
      </c>
      <c r="L186" s="101">
        <v>13.8</v>
      </c>
      <c r="M186" s="101">
        <v>1.2</v>
      </c>
      <c r="N186" s="101" t="s">
        <v>952</v>
      </c>
      <c r="O186" s="101">
        <v>2000</v>
      </c>
      <c r="P186" s="101" t="s">
        <v>867</v>
      </c>
      <c r="Q186" s="101">
        <v>152835</v>
      </c>
      <c r="R186" t="s">
        <v>859</v>
      </c>
      <c r="S186" t="s">
        <v>843</v>
      </c>
      <c r="T186" t="s">
        <v>953</v>
      </c>
      <c r="U186"/>
      <c r="V186"/>
      <c r="W186" s="223"/>
    </row>
    <row r="187" spans="1:23" x14ac:dyDescent="0.2">
      <c r="A187" s="253" t="s">
        <v>503</v>
      </c>
      <c r="B187" s="101">
        <v>4</v>
      </c>
      <c r="C187" s="101">
        <v>4</v>
      </c>
      <c r="D187" s="101">
        <v>2</v>
      </c>
      <c r="E187" s="101">
        <v>-3</v>
      </c>
      <c r="F187" s="101">
        <v>-1</v>
      </c>
      <c r="G187" s="101"/>
      <c r="H187" s="101"/>
      <c r="I187" s="101"/>
      <c r="J187" s="102">
        <v>0.28999999999999998</v>
      </c>
      <c r="K187" s="102">
        <v>1.1495</v>
      </c>
      <c r="L187" s="101"/>
      <c r="M187" s="101"/>
      <c r="N187" s="101" t="s">
        <v>952</v>
      </c>
      <c r="O187" s="101">
        <v>2009</v>
      </c>
      <c r="P187" s="101" t="s">
        <v>742</v>
      </c>
      <c r="Q187" s="101">
        <v>959098</v>
      </c>
      <c r="R187" t="s">
        <v>880</v>
      </c>
      <c r="S187" t="s">
        <v>735</v>
      </c>
      <c r="T187"/>
      <c r="U187"/>
      <c r="V187"/>
      <c r="W187" s="223"/>
    </row>
    <row r="188" spans="1:23" x14ac:dyDescent="0.2">
      <c r="A188" s="253" t="s">
        <v>652</v>
      </c>
      <c r="B188" s="101">
        <v>-1</v>
      </c>
      <c r="C188" s="101">
        <v>-1</v>
      </c>
      <c r="D188" s="101">
        <v>2</v>
      </c>
      <c r="E188" s="101">
        <v>6</v>
      </c>
      <c r="F188" s="101">
        <v>10</v>
      </c>
      <c r="G188" s="101">
        <v>15</v>
      </c>
      <c r="H188" s="101">
        <v>28</v>
      </c>
      <c r="I188" s="101">
        <v>5</v>
      </c>
      <c r="J188" s="102">
        <v>0.3</v>
      </c>
      <c r="K188" s="102">
        <v>0.67</v>
      </c>
      <c r="L188" s="101">
        <v>5.3</v>
      </c>
      <c r="M188" s="101">
        <v>0.7</v>
      </c>
      <c r="N188" s="101" t="s">
        <v>952</v>
      </c>
      <c r="O188" s="101">
        <v>2005</v>
      </c>
      <c r="P188" s="101" t="s">
        <v>867</v>
      </c>
      <c r="Q188" s="101">
        <v>483099</v>
      </c>
      <c r="R188" t="s">
        <v>815</v>
      </c>
      <c r="S188" t="s">
        <v>645</v>
      </c>
      <c r="T188"/>
      <c r="U188"/>
      <c r="V188"/>
      <c r="W188" s="223"/>
    </row>
    <row r="189" spans="1:23" x14ac:dyDescent="0.2">
      <c r="A189" s="253" t="s">
        <v>734</v>
      </c>
      <c r="B189" s="101">
        <v>0</v>
      </c>
      <c r="C189" s="101">
        <v>0</v>
      </c>
      <c r="D189" s="101">
        <v>0</v>
      </c>
      <c r="E189" s="101">
        <v>2</v>
      </c>
      <c r="F189" s="101">
        <v>7</v>
      </c>
      <c r="G189" s="101">
        <v>-4</v>
      </c>
      <c r="H189" s="101">
        <v>23</v>
      </c>
      <c r="I189" s="101">
        <v>4</v>
      </c>
      <c r="J189" s="102">
        <v>0.3</v>
      </c>
      <c r="K189" s="102">
        <v>0.68</v>
      </c>
      <c r="L189" s="101">
        <v>8.1999999999999993</v>
      </c>
      <c r="M189" s="101">
        <v>-0.2</v>
      </c>
      <c r="N189" s="101" t="s">
        <v>955</v>
      </c>
      <c r="O189" s="101">
        <v>2000</v>
      </c>
      <c r="P189" s="101" t="s">
        <v>742</v>
      </c>
      <c r="Q189" s="101">
        <v>587634</v>
      </c>
      <c r="R189" t="s">
        <v>65</v>
      </c>
      <c r="S189" t="s">
        <v>721</v>
      </c>
      <c r="T189"/>
      <c r="U189"/>
      <c r="V189"/>
      <c r="W189" s="223"/>
    </row>
    <row r="190" spans="1:23" x14ac:dyDescent="0.2">
      <c r="A190" s="253" t="s">
        <v>590</v>
      </c>
      <c r="B190" s="101">
        <v>8</v>
      </c>
      <c r="C190" s="101">
        <v>8</v>
      </c>
      <c r="D190" s="101">
        <v>8</v>
      </c>
      <c r="E190" s="101">
        <v>-5</v>
      </c>
      <c r="F190" s="101">
        <v>-6</v>
      </c>
      <c r="G190" s="101">
        <v>58</v>
      </c>
      <c r="H190" s="101">
        <v>19</v>
      </c>
      <c r="I190" s="101">
        <v>4</v>
      </c>
      <c r="J190" s="102">
        <v>0.3</v>
      </c>
      <c r="K190" s="102">
        <v>1.43</v>
      </c>
      <c r="L190" s="101">
        <v>16.7</v>
      </c>
      <c r="M190" s="101">
        <v>1</v>
      </c>
      <c r="N190" s="101" t="s">
        <v>952</v>
      </c>
      <c r="O190" s="101">
        <v>2000</v>
      </c>
      <c r="P190" s="101" t="s">
        <v>867</v>
      </c>
      <c r="Q190" s="101">
        <v>104257</v>
      </c>
      <c r="R190" t="s">
        <v>198</v>
      </c>
      <c r="S190" t="s">
        <v>150</v>
      </c>
      <c r="T190"/>
      <c r="U190"/>
      <c r="V190"/>
      <c r="W190" s="223"/>
    </row>
    <row r="191" spans="1:23" x14ac:dyDescent="0.2">
      <c r="A191" s="253" t="s">
        <v>591</v>
      </c>
      <c r="B191" s="101">
        <v>5</v>
      </c>
      <c r="C191" s="101">
        <v>5</v>
      </c>
      <c r="D191" s="101">
        <v>7</v>
      </c>
      <c r="E191" s="101">
        <v>7</v>
      </c>
      <c r="F191" s="101">
        <v>6</v>
      </c>
      <c r="G191" s="101">
        <v>45</v>
      </c>
      <c r="H191" s="101">
        <v>15</v>
      </c>
      <c r="I191" s="101">
        <v>3</v>
      </c>
      <c r="J191" s="102">
        <v>0.3</v>
      </c>
      <c r="K191" s="102">
        <v>1.43</v>
      </c>
      <c r="L191" s="101">
        <v>12</v>
      </c>
      <c r="M191" s="101">
        <v>1</v>
      </c>
      <c r="N191" s="101" t="s">
        <v>952</v>
      </c>
      <c r="O191" s="101">
        <v>2000</v>
      </c>
      <c r="P191" s="101" t="s">
        <v>867</v>
      </c>
      <c r="Q191" s="101">
        <v>140087</v>
      </c>
      <c r="R191" t="s">
        <v>198</v>
      </c>
      <c r="S191" t="s">
        <v>293</v>
      </c>
      <c r="T191"/>
      <c r="U191"/>
      <c r="V191"/>
      <c r="W191" s="223"/>
    </row>
    <row r="192" spans="1:23" x14ac:dyDescent="0.2">
      <c r="A192" s="253" t="s">
        <v>596</v>
      </c>
      <c r="B192" s="101">
        <v>6</v>
      </c>
      <c r="C192" s="101">
        <v>6</v>
      </c>
      <c r="D192" s="101">
        <v>8</v>
      </c>
      <c r="E192" s="101">
        <v>10</v>
      </c>
      <c r="F192" s="101">
        <v>9</v>
      </c>
      <c r="G192" s="101">
        <v>45</v>
      </c>
      <c r="H192" s="101">
        <v>16</v>
      </c>
      <c r="I192" s="101">
        <v>3</v>
      </c>
      <c r="J192" s="102">
        <v>0.3</v>
      </c>
      <c r="K192" s="102">
        <v>1.43</v>
      </c>
      <c r="L192" s="101">
        <v>12.8</v>
      </c>
      <c r="M192" s="101">
        <v>1</v>
      </c>
      <c r="N192" s="101" t="s">
        <v>952</v>
      </c>
      <c r="O192" s="101">
        <v>2000</v>
      </c>
      <c r="P192" s="101" t="s">
        <v>867</v>
      </c>
      <c r="Q192" s="101">
        <v>283408</v>
      </c>
      <c r="R192" t="s">
        <v>198</v>
      </c>
      <c r="S192" t="s">
        <v>312</v>
      </c>
      <c r="T192"/>
      <c r="U192"/>
      <c r="V192"/>
      <c r="W192" s="223"/>
    </row>
    <row r="193" spans="1:23" x14ac:dyDescent="0.2">
      <c r="A193" s="253" t="s">
        <v>155</v>
      </c>
      <c r="B193" s="101">
        <v>9</v>
      </c>
      <c r="C193" s="101">
        <v>9</v>
      </c>
      <c r="D193" s="101">
        <v>7</v>
      </c>
      <c r="E193" s="101">
        <v>1</v>
      </c>
      <c r="F193" s="101">
        <v>1</v>
      </c>
      <c r="G193" s="101">
        <v>65</v>
      </c>
      <c r="H193" s="101">
        <v>9</v>
      </c>
      <c r="I193" s="101">
        <v>2</v>
      </c>
      <c r="J193" s="102">
        <v>0.3</v>
      </c>
      <c r="K193" s="102">
        <v>0.67881199999999997</v>
      </c>
      <c r="L193" s="101">
        <v>16.600000000000001</v>
      </c>
      <c r="M193" s="101">
        <v>1.1000000000000001</v>
      </c>
      <c r="N193" s="101" t="s">
        <v>952</v>
      </c>
      <c r="O193" s="101">
        <v>2000</v>
      </c>
      <c r="P193" s="101" t="s">
        <v>867</v>
      </c>
      <c r="Q193" s="101">
        <v>642298</v>
      </c>
      <c r="R193" t="s">
        <v>795</v>
      </c>
      <c r="S193" t="s">
        <v>150</v>
      </c>
      <c r="T193" t="s">
        <v>953</v>
      </c>
      <c r="U193"/>
      <c r="V193"/>
      <c r="W193" s="223"/>
    </row>
    <row r="194" spans="1:23" x14ac:dyDescent="0.2">
      <c r="A194" s="253" t="s">
        <v>628</v>
      </c>
      <c r="B194" s="101">
        <v>9</v>
      </c>
      <c r="C194" s="101">
        <v>9</v>
      </c>
      <c r="D194" s="101">
        <v>9</v>
      </c>
      <c r="E194" s="101">
        <v>1</v>
      </c>
      <c r="F194" s="101">
        <v>-4</v>
      </c>
      <c r="G194" s="101">
        <v>105</v>
      </c>
      <c r="H194" s="101">
        <v>3</v>
      </c>
      <c r="I194" s="101">
        <v>1</v>
      </c>
      <c r="J194" s="102">
        <v>0.3</v>
      </c>
      <c r="K194" s="102">
        <v>1.43</v>
      </c>
      <c r="L194" s="101">
        <v>20.100000000000001</v>
      </c>
      <c r="M194" s="101">
        <v>1.3</v>
      </c>
      <c r="N194" s="101" t="s">
        <v>952</v>
      </c>
      <c r="O194" s="101">
        <v>2000</v>
      </c>
      <c r="P194" s="101" t="s">
        <v>867</v>
      </c>
      <c r="Q194" s="101">
        <v>856682</v>
      </c>
      <c r="R194" t="s">
        <v>198</v>
      </c>
      <c r="S194" t="s">
        <v>837</v>
      </c>
      <c r="T194"/>
      <c r="U194"/>
      <c r="V194"/>
      <c r="W194" s="223"/>
    </row>
    <row r="195" spans="1:23" x14ac:dyDescent="0.2">
      <c r="A195" s="253" t="s">
        <v>779</v>
      </c>
      <c r="B195" s="101">
        <v>6</v>
      </c>
      <c r="C195" s="101">
        <v>6</v>
      </c>
      <c r="D195" s="101">
        <v>5</v>
      </c>
      <c r="E195" s="101">
        <v>-3</v>
      </c>
      <c r="F195" s="101">
        <v>-8</v>
      </c>
      <c r="G195" s="101">
        <v>83</v>
      </c>
      <c r="H195" s="101">
        <v>-2</v>
      </c>
      <c r="I195" s="101">
        <v>0</v>
      </c>
      <c r="J195" s="102">
        <v>0.3</v>
      </c>
      <c r="K195" s="102">
        <v>0.61363699999999999</v>
      </c>
      <c r="L195" s="101">
        <v>17.5</v>
      </c>
      <c r="M195" s="101">
        <v>1.3</v>
      </c>
      <c r="N195" s="101" t="s">
        <v>952</v>
      </c>
      <c r="O195" s="101">
        <v>2000</v>
      </c>
      <c r="P195" s="101" t="s">
        <v>867</v>
      </c>
      <c r="Q195" s="101">
        <v>838441</v>
      </c>
      <c r="R195" t="s">
        <v>785</v>
      </c>
      <c r="S195" t="s">
        <v>840</v>
      </c>
      <c r="T195"/>
      <c r="U195"/>
      <c r="V195"/>
      <c r="W195" s="223"/>
    </row>
    <row r="196" spans="1:23" x14ac:dyDescent="0.2">
      <c r="A196" s="253" t="s">
        <v>599</v>
      </c>
      <c r="B196" s="101">
        <v>3</v>
      </c>
      <c r="C196" s="101">
        <v>3</v>
      </c>
      <c r="D196" s="101">
        <v>9</v>
      </c>
      <c r="E196" s="101">
        <v>11</v>
      </c>
      <c r="F196" s="101">
        <v>9</v>
      </c>
      <c r="G196" s="101">
        <v>36</v>
      </c>
      <c r="H196" s="101">
        <v>1</v>
      </c>
      <c r="I196" s="101">
        <v>0</v>
      </c>
      <c r="J196" s="102">
        <v>0.3</v>
      </c>
      <c r="K196" s="102">
        <v>1.42</v>
      </c>
      <c r="L196" s="101">
        <v>11.7</v>
      </c>
      <c r="M196" s="101">
        <v>0.9</v>
      </c>
      <c r="N196" s="101" t="s">
        <v>952</v>
      </c>
      <c r="O196" s="101">
        <v>2000</v>
      </c>
      <c r="P196" s="101" t="s">
        <v>867</v>
      </c>
      <c r="Q196" s="101">
        <v>319236</v>
      </c>
      <c r="R196" t="s">
        <v>198</v>
      </c>
      <c r="S196" t="s">
        <v>114</v>
      </c>
      <c r="T196"/>
      <c r="U196"/>
      <c r="V196"/>
      <c r="W196" s="223"/>
    </row>
    <row r="197" spans="1:23" x14ac:dyDescent="0.2">
      <c r="A197" s="253" t="s">
        <v>637</v>
      </c>
      <c r="B197" s="101">
        <v>1</v>
      </c>
      <c r="C197" s="101">
        <v>1</v>
      </c>
      <c r="D197" s="101">
        <v>9</v>
      </c>
      <c r="E197" s="101">
        <v>9</v>
      </c>
      <c r="F197" s="101">
        <v>17</v>
      </c>
      <c r="G197" s="101">
        <v>11</v>
      </c>
      <c r="H197" s="101">
        <v>-2</v>
      </c>
      <c r="I197" s="101">
        <v>0</v>
      </c>
      <c r="J197" s="102">
        <v>0.3</v>
      </c>
      <c r="K197" s="102">
        <v>1.43</v>
      </c>
      <c r="L197" s="101">
        <v>10.199999999999999</v>
      </c>
      <c r="M197" s="101">
        <v>0.3</v>
      </c>
      <c r="N197" s="101" t="s">
        <v>952</v>
      </c>
      <c r="O197" s="101">
        <v>2000</v>
      </c>
      <c r="P197" s="101" t="s">
        <v>867</v>
      </c>
      <c r="Q197" s="101">
        <v>928341</v>
      </c>
      <c r="R197" t="s">
        <v>198</v>
      </c>
      <c r="S197" t="s">
        <v>302</v>
      </c>
      <c r="T197"/>
      <c r="U197"/>
      <c r="V197"/>
      <c r="W197" s="223"/>
    </row>
    <row r="198" spans="1:23" x14ac:dyDescent="0.2">
      <c r="A198" s="253" t="s">
        <v>639</v>
      </c>
      <c r="B198" s="101">
        <v>10</v>
      </c>
      <c r="C198" s="101">
        <v>10</v>
      </c>
      <c r="D198" s="101">
        <v>9</v>
      </c>
      <c r="E198" s="101">
        <v>-3</v>
      </c>
      <c r="F198" s="101">
        <v>-11</v>
      </c>
      <c r="G198" s="101">
        <v>99</v>
      </c>
      <c r="H198" s="101">
        <v>2</v>
      </c>
      <c r="I198" s="101">
        <v>0</v>
      </c>
      <c r="J198" s="102">
        <v>0.3</v>
      </c>
      <c r="K198" s="102">
        <v>1.43</v>
      </c>
      <c r="L198" s="101">
        <v>22.9</v>
      </c>
      <c r="M198" s="101">
        <v>1.1000000000000001</v>
      </c>
      <c r="N198" s="101" t="s">
        <v>952</v>
      </c>
      <c r="O198" s="101">
        <v>2001</v>
      </c>
      <c r="P198" s="101" t="s">
        <v>867</v>
      </c>
      <c r="Q198" s="101">
        <v>939850</v>
      </c>
      <c r="R198" t="s">
        <v>198</v>
      </c>
      <c r="S198" t="s">
        <v>781</v>
      </c>
      <c r="T198"/>
      <c r="U198"/>
      <c r="V198"/>
      <c r="W198" s="223"/>
    </row>
    <row r="199" spans="1:23" x14ac:dyDescent="0.2">
      <c r="A199" s="253" t="s">
        <v>592</v>
      </c>
      <c r="B199" s="101">
        <v>5</v>
      </c>
      <c r="C199" s="101">
        <v>5</v>
      </c>
      <c r="D199" s="101">
        <v>5</v>
      </c>
      <c r="E199" s="101">
        <v>-1</v>
      </c>
      <c r="F199" s="101">
        <v>-4</v>
      </c>
      <c r="G199" s="101">
        <v>51</v>
      </c>
      <c r="H199" s="101">
        <v>-6</v>
      </c>
      <c r="I199" s="101">
        <v>-1</v>
      </c>
      <c r="J199" s="102">
        <v>0.3</v>
      </c>
      <c r="K199" s="102">
        <v>1.43</v>
      </c>
      <c r="L199" s="101">
        <v>13.8</v>
      </c>
      <c r="M199" s="101">
        <v>1.1000000000000001</v>
      </c>
      <c r="N199" s="101" t="s">
        <v>952</v>
      </c>
      <c r="O199" s="101">
        <v>2000</v>
      </c>
      <c r="P199" s="101" t="s">
        <v>867</v>
      </c>
      <c r="Q199" s="101">
        <v>175919</v>
      </c>
      <c r="R199" t="s">
        <v>198</v>
      </c>
      <c r="S199" t="s">
        <v>843</v>
      </c>
      <c r="T199"/>
      <c r="U199"/>
      <c r="V199"/>
      <c r="W199" s="223"/>
    </row>
    <row r="200" spans="1:23" x14ac:dyDescent="0.2">
      <c r="A200" s="253" t="s">
        <v>602</v>
      </c>
      <c r="B200" s="101">
        <v>6</v>
      </c>
      <c r="C200" s="101">
        <v>6</v>
      </c>
      <c r="D200" s="101">
        <v>5</v>
      </c>
      <c r="E200" s="101">
        <v>0</v>
      </c>
      <c r="F200" s="101">
        <v>-4</v>
      </c>
      <c r="G200" s="101">
        <v>55</v>
      </c>
      <c r="H200" s="101">
        <v>-7</v>
      </c>
      <c r="I200" s="101">
        <v>-1</v>
      </c>
      <c r="J200" s="102">
        <v>0.3</v>
      </c>
      <c r="K200" s="102">
        <v>1.43</v>
      </c>
      <c r="L200" s="101">
        <v>13.9</v>
      </c>
      <c r="M200" s="101">
        <v>1.1000000000000001</v>
      </c>
      <c r="N200" s="101" t="s">
        <v>952</v>
      </c>
      <c r="O200" s="101">
        <v>2000</v>
      </c>
      <c r="P200" s="101" t="s">
        <v>867</v>
      </c>
      <c r="Q200" s="101">
        <v>641704</v>
      </c>
      <c r="R200" t="s">
        <v>198</v>
      </c>
      <c r="S200" t="s">
        <v>843</v>
      </c>
      <c r="T200" t="s">
        <v>953</v>
      </c>
      <c r="U200"/>
      <c r="V200"/>
      <c r="W200" s="223"/>
    </row>
    <row r="201" spans="1:23" x14ac:dyDescent="0.2">
      <c r="A201" s="253" t="s">
        <v>117</v>
      </c>
      <c r="B201" s="101">
        <v>4</v>
      </c>
      <c r="C201" s="101">
        <v>4</v>
      </c>
      <c r="D201" s="101">
        <v>9</v>
      </c>
      <c r="E201" s="101">
        <v>9</v>
      </c>
      <c r="F201" s="101">
        <v>9</v>
      </c>
      <c r="G201" s="101">
        <v>37</v>
      </c>
      <c r="H201" s="101">
        <v>-9</v>
      </c>
      <c r="I201" s="101">
        <v>-2</v>
      </c>
      <c r="J201" s="102">
        <v>0.3</v>
      </c>
      <c r="K201" s="102">
        <v>0.68523900000000004</v>
      </c>
      <c r="L201" s="101">
        <v>11.7</v>
      </c>
      <c r="M201" s="101">
        <v>0.9</v>
      </c>
      <c r="N201" s="101" t="s">
        <v>952</v>
      </c>
      <c r="O201" s="101">
        <v>2000</v>
      </c>
      <c r="P201" s="101" t="s">
        <v>867</v>
      </c>
      <c r="Q201" s="101">
        <v>678128</v>
      </c>
      <c r="R201" t="s">
        <v>795</v>
      </c>
      <c r="S201" t="s">
        <v>114</v>
      </c>
      <c r="T201" t="s">
        <v>953</v>
      </c>
      <c r="U201"/>
      <c r="V201"/>
      <c r="W201" s="223"/>
    </row>
    <row r="202" spans="1:23" x14ac:dyDescent="0.2">
      <c r="A202" s="253" t="s">
        <v>625</v>
      </c>
      <c r="B202" s="101">
        <v>7</v>
      </c>
      <c r="C202" s="101">
        <v>7</v>
      </c>
      <c r="D202" s="101">
        <v>4</v>
      </c>
      <c r="E202" s="101">
        <v>-3</v>
      </c>
      <c r="F202" s="101">
        <v>-9</v>
      </c>
      <c r="G202" s="101">
        <v>52</v>
      </c>
      <c r="H202" s="101">
        <v>-12</v>
      </c>
      <c r="I202" s="101">
        <v>-2</v>
      </c>
      <c r="J202" s="102">
        <v>0.3</v>
      </c>
      <c r="K202" s="102">
        <v>1.43</v>
      </c>
      <c r="L202" s="101">
        <v>16.8</v>
      </c>
      <c r="M202" s="101">
        <v>0.9</v>
      </c>
      <c r="N202" s="101" t="s">
        <v>952</v>
      </c>
      <c r="O202" s="101">
        <v>2000</v>
      </c>
      <c r="P202" s="101" t="s">
        <v>867</v>
      </c>
      <c r="Q202" s="101">
        <v>820852</v>
      </c>
      <c r="R202" t="s">
        <v>198</v>
      </c>
      <c r="S202" t="s">
        <v>861</v>
      </c>
      <c r="T202"/>
      <c r="U202"/>
      <c r="V202"/>
      <c r="W202" s="223"/>
    </row>
    <row r="203" spans="1:23" x14ac:dyDescent="0.2">
      <c r="A203" s="253" t="s">
        <v>629</v>
      </c>
      <c r="B203" s="101">
        <v>12</v>
      </c>
      <c r="C203" s="101">
        <v>12</v>
      </c>
      <c r="D203" s="101">
        <v>7</v>
      </c>
      <c r="E203" s="101">
        <v>-6</v>
      </c>
      <c r="F203" s="101">
        <v>-9</v>
      </c>
      <c r="G203" s="101">
        <v>81</v>
      </c>
      <c r="H203" s="101">
        <v>-8</v>
      </c>
      <c r="I203" s="101">
        <v>-2</v>
      </c>
      <c r="J203" s="102">
        <v>0.3</v>
      </c>
      <c r="K203" s="102">
        <v>1.43</v>
      </c>
      <c r="L203" s="101">
        <v>20</v>
      </c>
      <c r="M203" s="101">
        <v>1.1000000000000001</v>
      </c>
      <c r="N203" s="101" t="s">
        <v>952</v>
      </c>
      <c r="O203" s="101">
        <v>2000</v>
      </c>
      <c r="P203" s="101" t="s">
        <v>867</v>
      </c>
      <c r="Q203" s="101">
        <v>860932</v>
      </c>
      <c r="R203" t="s">
        <v>198</v>
      </c>
      <c r="S203" t="s">
        <v>861</v>
      </c>
      <c r="T203"/>
      <c r="U203"/>
      <c r="V203"/>
      <c r="W203" s="223"/>
    </row>
    <row r="204" spans="1:23" x14ac:dyDescent="0.2">
      <c r="A204" s="253" t="s">
        <v>641</v>
      </c>
      <c r="B204" s="101">
        <v>6</v>
      </c>
      <c r="C204" s="101">
        <v>6</v>
      </c>
      <c r="D204" s="101">
        <v>6</v>
      </c>
      <c r="E204" s="101">
        <v>2</v>
      </c>
      <c r="F204" s="101">
        <v>5</v>
      </c>
      <c r="G204" s="101">
        <v>61</v>
      </c>
      <c r="H204" s="101">
        <v>-13</v>
      </c>
      <c r="I204" s="101">
        <v>-3</v>
      </c>
      <c r="J204" s="102">
        <v>0.3</v>
      </c>
      <c r="K204" s="102">
        <v>1.43</v>
      </c>
      <c r="L204" s="101">
        <v>12.3</v>
      </c>
      <c r="M204" s="101">
        <v>1.3</v>
      </c>
      <c r="N204" s="101" t="s">
        <v>952</v>
      </c>
      <c r="O204" s="101">
        <v>2000</v>
      </c>
      <c r="P204" s="101" t="s">
        <v>867</v>
      </c>
      <c r="Q204" s="101">
        <v>968420</v>
      </c>
      <c r="R204" t="s">
        <v>198</v>
      </c>
      <c r="S204" t="s">
        <v>312</v>
      </c>
      <c r="T204"/>
      <c r="U204"/>
      <c r="V204"/>
      <c r="W204" s="223"/>
    </row>
    <row r="205" spans="1:23" x14ac:dyDescent="0.2">
      <c r="A205" s="253" t="s">
        <v>626</v>
      </c>
      <c r="B205" s="101">
        <v>15</v>
      </c>
      <c r="C205" s="101">
        <v>15</v>
      </c>
      <c r="D205" s="101">
        <v>8</v>
      </c>
      <c r="E205" s="101">
        <v>-9</v>
      </c>
      <c r="F205" s="101">
        <v>-7</v>
      </c>
      <c r="G205" s="101">
        <v>104</v>
      </c>
      <c r="H205" s="101">
        <v>-16</v>
      </c>
      <c r="I205" s="101">
        <v>-3</v>
      </c>
      <c r="J205" s="102">
        <v>0.3</v>
      </c>
      <c r="K205" s="102">
        <v>1.43</v>
      </c>
      <c r="L205" s="101">
        <v>27.4</v>
      </c>
      <c r="M205" s="101">
        <v>1</v>
      </c>
      <c r="N205" s="101" t="s">
        <v>952</v>
      </c>
      <c r="O205" s="101">
        <v>2000</v>
      </c>
      <c r="P205" s="101" t="s">
        <v>867</v>
      </c>
      <c r="Q205" s="101">
        <v>825109</v>
      </c>
      <c r="R205" t="s">
        <v>198</v>
      </c>
      <c r="S205" t="s">
        <v>234</v>
      </c>
      <c r="T205"/>
      <c r="U205"/>
      <c r="V205"/>
      <c r="W205" s="223"/>
    </row>
    <row r="206" spans="1:23" x14ac:dyDescent="0.2">
      <c r="A206" s="253" t="s">
        <v>601</v>
      </c>
      <c r="B206" s="101">
        <v>11</v>
      </c>
      <c r="C206" s="101">
        <v>11</v>
      </c>
      <c r="D206" s="101">
        <v>5</v>
      </c>
      <c r="E206" s="101">
        <v>-7</v>
      </c>
      <c r="F206" s="101">
        <v>-14</v>
      </c>
      <c r="G206" s="101">
        <v>10</v>
      </c>
      <c r="H206" s="101">
        <v>-20</v>
      </c>
      <c r="I206" s="101">
        <v>-4</v>
      </c>
      <c r="J206" s="102">
        <v>0.3</v>
      </c>
      <c r="K206" s="102">
        <v>1.43</v>
      </c>
      <c r="L206" s="101">
        <v>15.9</v>
      </c>
      <c r="M206" s="101">
        <v>0.3</v>
      </c>
      <c r="N206" s="101" t="s">
        <v>952</v>
      </c>
      <c r="O206" s="101">
        <v>2006</v>
      </c>
      <c r="P206" s="101" t="s">
        <v>867</v>
      </c>
      <c r="Q206" s="101">
        <v>384693</v>
      </c>
      <c r="R206" t="s">
        <v>198</v>
      </c>
      <c r="S206" t="s">
        <v>166</v>
      </c>
      <c r="T206"/>
      <c r="U206"/>
      <c r="V206"/>
      <c r="W206" s="223"/>
    </row>
    <row r="207" spans="1:23" x14ac:dyDescent="0.2">
      <c r="A207" s="253" t="s">
        <v>111</v>
      </c>
      <c r="B207" s="101">
        <v>4</v>
      </c>
      <c r="C207" s="101">
        <v>4</v>
      </c>
      <c r="D207" s="101">
        <v>3</v>
      </c>
      <c r="E207" s="101">
        <v>-6</v>
      </c>
      <c r="F207" s="101">
        <v>-7</v>
      </c>
      <c r="G207" s="101">
        <v>17</v>
      </c>
      <c r="H207" s="101">
        <v>-26</v>
      </c>
      <c r="I207" s="101">
        <v>-6</v>
      </c>
      <c r="J207" s="102">
        <v>0.3</v>
      </c>
      <c r="K207" s="102">
        <v>0.67871000000000004</v>
      </c>
      <c r="L207" s="101">
        <v>13.8</v>
      </c>
      <c r="M207" s="101">
        <v>0.5</v>
      </c>
      <c r="N207" s="101" t="s">
        <v>952</v>
      </c>
      <c r="O207" s="101">
        <v>2000</v>
      </c>
      <c r="P207" s="101" t="s">
        <v>867</v>
      </c>
      <c r="Q207" s="101">
        <v>570630</v>
      </c>
      <c r="R207" t="s">
        <v>795</v>
      </c>
      <c r="S207" t="s">
        <v>108</v>
      </c>
      <c r="T207" t="s">
        <v>953</v>
      </c>
      <c r="U207"/>
      <c r="V207"/>
      <c r="W207" s="223"/>
    </row>
    <row r="208" spans="1:23" x14ac:dyDescent="0.2">
      <c r="A208" s="253" t="s">
        <v>267</v>
      </c>
      <c r="B208" s="101">
        <v>4</v>
      </c>
      <c r="C208" s="101">
        <v>4</v>
      </c>
      <c r="D208" s="101">
        <v>5</v>
      </c>
      <c r="E208" s="101">
        <v>-3</v>
      </c>
      <c r="F208" s="101">
        <v>-7</v>
      </c>
      <c r="G208" s="101">
        <v>-6</v>
      </c>
      <c r="H208" s="101">
        <v>-32</v>
      </c>
      <c r="I208" s="101">
        <v>-7</v>
      </c>
      <c r="J208" s="102">
        <v>0.3</v>
      </c>
      <c r="K208" s="102">
        <v>0.68218199999999996</v>
      </c>
      <c r="L208" s="101">
        <v>15.2</v>
      </c>
      <c r="M208" s="101">
        <v>-0.1</v>
      </c>
      <c r="N208" s="101" t="s">
        <v>952</v>
      </c>
      <c r="O208" s="101">
        <v>2000</v>
      </c>
      <c r="P208" s="101" t="s">
        <v>867</v>
      </c>
      <c r="Q208" s="101">
        <v>606467</v>
      </c>
      <c r="R208" t="s">
        <v>795</v>
      </c>
      <c r="S208" t="s">
        <v>254</v>
      </c>
      <c r="T208" t="s">
        <v>953</v>
      </c>
      <c r="U208"/>
      <c r="V208"/>
      <c r="W208" s="223"/>
    </row>
    <row r="209" spans="1:23" x14ac:dyDescent="0.2">
      <c r="A209" s="253" t="s">
        <v>594</v>
      </c>
      <c r="B209" s="101">
        <v>3</v>
      </c>
      <c r="C209" s="101">
        <v>3</v>
      </c>
      <c r="D209" s="101">
        <v>5</v>
      </c>
      <c r="E209" s="101">
        <v>-5</v>
      </c>
      <c r="F209" s="101">
        <v>-8</v>
      </c>
      <c r="G209" s="101">
        <v>-4</v>
      </c>
      <c r="H209" s="101">
        <v>-32</v>
      </c>
      <c r="I209" s="101">
        <v>-7</v>
      </c>
      <c r="J209" s="102">
        <v>0.3</v>
      </c>
      <c r="K209" s="102">
        <v>1.43</v>
      </c>
      <c r="L209" s="101">
        <v>14.6</v>
      </c>
      <c r="M209" s="101">
        <v>-0.1</v>
      </c>
      <c r="N209" s="101" t="s">
        <v>952</v>
      </c>
      <c r="O209" s="101">
        <v>2000</v>
      </c>
      <c r="P209" s="101" t="s">
        <v>867</v>
      </c>
      <c r="Q209" s="101">
        <v>211748</v>
      </c>
      <c r="R209" t="s">
        <v>198</v>
      </c>
      <c r="S209" t="s">
        <v>254</v>
      </c>
      <c r="T209"/>
      <c r="U209"/>
      <c r="V209"/>
      <c r="W209" s="223"/>
    </row>
    <row r="210" spans="1:23" x14ac:dyDescent="0.2">
      <c r="A210" s="253" t="s">
        <v>635</v>
      </c>
      <c r="B210" s="101">
        <v>9</v>
      </c>
      <c r="C210" s="101">
        <v>9</v>
      </c>
      <c r="D210" s="101">
        <v>4</v>
      </c>
      <c r="E210" s="101">
        <v>-10</v>
      </c>
      <c r="F210" s="101">
        <v>-14</v>
      </c>
      <c r="G210" s="101">
        <v>39</v>
      </c>
      <c r="H210" s="101">
        <v>-31</v>
      </c>
      <c r="I210" s="101">
        <v>-7</v>
      </c>
      <c r="J210" s="102">
        <v>0.3</v>
      </c>
      <c r="K210" s="102">
        <v>1.43</v>
      </c>
      <c r="L210" s="101">
        <v>17.7</v>
      </c>
      <c r="M210" s="101">
        <v>0.7</v>
      </c>
      <c r="N210" s="101" t="s">
        <v>952</v>
      </c>
      <c r="O210" s="101">
        <v>2000</v>
      </c>
      <c r="P210" s="101" t="s">
        <v>867</v>
      </c>
      <c r="Q210" s="101">
        <v>896761</v>
      </c>
      <c r="R210" t="s">
        <v>198</v>
      </c>
      <c r="S210" t="s">
        <v>104</v>
      </c>
      <c r="T210"/>
      <c r="U210"/>
      <c r="V210"/>
      <c r="W210" s="223"/>
    </row>
    <row r="211" spans="1:23" x14ac:dyDescent="0.2">
      <c r="A211" s="253" t="s">
        <v>638</v>
      </c>
      <c r="B211" s="101">
        <v>9</v>
      </c>
      <c r="C211" s="101">
        <v>9</v>
      </c>
      <c r="D211" s="101">
        <v>10</v>
      </c>
      <c r="E211" s="101">
        <v>-2</v>
      </c>
      <c r="F211" s="101">
        <v>-14</v>
      </c>
      <c r="G211" s="101">
        <v>33</v>
      </c>
      <c r="H211" s="101">
        <v>-37</v>
      </c>
      <c r="I211" s="101">
        <v>-9</v>
      </c>
      <c r="J211" s="102">
        <v>0.3</v>
      </c>
      <c r="K211" s="102">
        <v>1.43</v>
      </c>
      <c r="L211" s="101">
        <v>22</v>
      </c>
      <c r="M211" s="101">
        <v>0.5</v>
      </c>
      <c r="N211" s="101" t="s">
        <v>952</v>
      </c>
      <c r="O211" s="101">
        <v>2000</v>
      </c>
      <c r="P211" s="101" t="s">
        <v>867</v>
      </c>
      <c r="Q211" s="101">
        <v>932590</v>
      </c>
      <c r="R211" t="s">
        <v>198</v>
      </c>
      <c r="S211" t="s">
        <v>312</v>
      </c>
      <c r="T211"/>
      <c r="U211"/>
      <c r="V211"/>
      <c r="W211" s="223"/>
    </row>
    <row r="212" spans="1:23" x14ac:dyDescent="0.2">
      <c r="A212" s="253" t="s">
        <v>595</v>
      </c>
      <c r="B212" s="101">
        <v>9</v>
      </c>
      <c r="C212" s="101">
        <v>9</v>
      </c>
      <c r="D212" s="101">
        <v>6</v>
      </c>
      <c r="E212" s="101">
        <v>-4</v>
      </c>
      <c r="F212" s="101">
        <v>-14</v>
      </c>
      <c r="G212" s="101">
        <v>17</v>
      </c>
      <c r="H212" s="101">
        <v>-52</v>
      </c>
      <c r="I212" s="101">
        <v>-14</v>
      </c>
      <c r="J212" s="102">
        <v>0.3</v>
      </c>
      <c r="K212" s="102">
        <v>1.43</v>
      </c>
      <c r="L212" s="101">
        <v>21.3</v>
      </c>
      <c r="M212" s="101">
        <v>0.4</v>
      </c>
      <c r="N212" s="101" t="s">
        <v>952</v>
      </c>
      <c r="O212" s="101">
        <v>2000</v>
      </c>
      <c r="P212" s="101" t="s">
        <v>867</v>
      </c>
      <c r="Q212" s="101">
        <v>247577</v>
      </c>
      <c r="R212" t="s">
        <v>198</v>
      </c>
      <c r="S212" t="s">
        <v>312</v>
      </c>
      <c r="T212"/>
      <c r="U212"/>
      <c r="V212"/>
      <c r="W212" s="223"/>
    </row>
    <row r="213" spans="1:23" x14ac:dyDescent="0.2">
      <c r="A213" s="253" t="s">
        <v>172</v>
      </c>
      <c r="B213" s="101">
        <v>-1</v>
      </c>
      <c r="C213" s="101">
        <v>-1</v>
      </c>
      <c r="D213" s="101">
        <v>3</v>
      </c>
      <c r="E213" s="101">
        <v>3</v>
      </c>
      <c r="F213" s="101">
        <v>11</v>
      </c>
      <c r="G213" s="101">
        <v>35</v>
      </c>
      <c r="H213" s="101">
        <v>26</v>
      </c>
      <c r="I213" s="101">
        <v>5</v>
      </c>
      <c r="J213" s="102">
        <v>0.31</v>
      </c>
      <c r="K213" s="102">
        <v>0.60399999999999998</v>
      </c>
      <c r="L213" s="101">
        <v>9.3000000000000007</v>
      </c>
      <c r="M213" s="101">
        <v>1.1000000000000001</v>
      </c>
      <c r="N213" s="101" t="s">
        <v>955</v>
      </c>
      <c r="O213" s="101">
        <v>2000</v>
      </c>
      <c r="P213" s="101" t="s">
        <v>742</v>
      </c>
      <c r="Q213" s="101">
        <v>479550</v>
      </c>
      <c r="R213" t="s">
        <v>112</v>
      </c>
      <c r="S213" t="s">
        <v>166</v>
      </c>
      <c r="T213"/>
      <c r="U213"/>
      <c r="V213"/>
      <c r="W213" s="223"/>
    </row>
    <row r="214" spans="1:23" x14ac:dyDescent="0.2">
      <c r="A214" s="253" t="s">
        <v>653</v>
      </c>
      <c r="B214" s="101">
        <v>0</v>
      </c>
      <c r="C214" s="101">
        <v>0</v>
      </c>
      <c r="D214" s="101">
        <v>1</v>
      </c>
      <c r="E214" s="101">
        <v>1</v>
      </c>
      <c r="F214" s="101">
        <v>4</v>
      </c>
      <c r="G214" s="101">
        <v>12</v>
      </c>
      <c r="H214" s="101">
        <v>20</v>
      </c>
      <c r="I214" s="101">
        <v>4</v>
      </c>
      <c r="J214" s="102">
        <v>0.31</v>
      </c>
      <c r="K214" s="102">
        <v>0.74203600000000003</v>
      </c>
      <c r="L214" s="101">
        <v>0.9</v>
      </c>
      <c r="M214" s="101">
        <v>3.2</v>
      </c>
      <c r="N214" s="101" t="s">
        <v>952</v>
      </c>
      <c r="O214" s="101">
        <v>2000</v>
      </c>
      <c r="P214" s="101" t="s">
        <v>867</v>
      </c>
      <c r="Q214" s="101">
        <v>112755</v>
      </c>
      <c r="R214" t="s">
        <v>785</v>
      </c>
      <c r="S214" t="s">
        <v>645</v>
      </c>
      <c r="T214"/>
      <c r="U214"/>
      <c r="V214"/>
      <c r="W214" s="223"/>
    </row>
    <row r="215" spans="1:23" x14ac:dyDescent="0.2">
      <c r="A215" s="253" t="s">
        <v>309</v>
      </c>
      <c r="B215" s="101">
        <v>-1</v>
      </c>
      <c r="C215" s="101">
        <v>-1</v>
      </c>
      <c r="D215" s="101">
        <v>9</v>
      </c>
      <c r="E215" s="101">
        <v>9</v>
      </c>
      <c r="F215" s="101">
        <v>21</v>
      </c>
      <c r="G215" s="101">
        <v>14</v>
      </c>
      <c r="H215" s="101">
        <v>18</v>
      </c>
      <c r="I215" s="101">
        <v>3</v>
      </c>
      <c r="J215" s="102">
        <v>0.31</v>
      </c>
      <c r="K215" s="102">
        <v>0.61099999999999999</v>
      </c>
      <c r="L215" s="101">
        <v>10.5</v>
      </c>
      <c r="M215" s="101">
        <v>0.4</v>
      </c>
      <c r="N215" s="101" t="s">
        <v>955</v>
      </c>
      <c r="O215" s="101">
        <v>2001</v>
      </c>
      <c r="P215" s="101" t="s">
        <v>742</v>
      </c>
      <c r="Q215" s="101">
        <v>416982</v>
      </c>
      <c r="R215" t="s">
        <v>112</v>
      </c>
      <c r="S215" t="s">
        <v>302</v>
      </c>
      <c r="T215"/>
      <c r="U215"/>
      <c r="V215"/>
      <c r="W215" s="223"/>
    </row>
    <row r="216" spans="1:23" x14ac:dyDescent="0.2">
      <c r="A216" s="253" t="s">
        <v>210</v>
      </c>
      <c r="B216" s="101">
        <v>2</v>
      </c>
      <c r="C216" s="101">
        <v>2</v>
      </c>
      <c r="D216" s="101">
        <v>3</v>
      </c>
      <c r="E216" s="101">
        <v>2</v>
      </c>
      <c r="F216" s="101">
        <v>1</v>
      </c>
      <c r="G216" s="101">
        <v>33</v>
      </c>
      <c r="H216" s="101">
        <v>-1</v>
      </c>
      <c r="I216" s="101">
        <v>0</v>
      </c>
      <c r="J216" s="102">
        <v>0.31</v>
      </c>
      <c r="K216" s="102">
        <v>1.51</v>
      </c>
      <c r="L216" s="101">
        <v>7.3</v>
      </c>
      <c r="M216" s="101">
        <v>1.4</v>
      </c>
      <c r="N216" s="101" t="s">
        <v>952</v>
      </c>
      <c r="O216" s="101">
        <v>2004</v>
      </c>
      <c r="P216" s="101" t="s">
        <v>867</v>
      </c>
      <c r="Q216" s="101">
        <v>985952</v>
      </c>
      <c r="R216" t="s">
        <v>198</v>
      </c>
      <c r="S216" t="s">
        <v>329</v>
      </c>
      <c r="T216" t="s">
        <v>953</v>
      </c>
      <c r="U216"/>
      <c r="V216"/>
      <c r="W216" s="223"/>
    </row>
    <row r="217" spans="1:23" x14ac:dyDescent="0.2">
      <c r="A217" s="253" t="s">
        <v>370</v>
      </c>
      <c r="B217" s="101">
        <v>2</v>
      </c>
      <c r="C217" s="101">
        <v>2</v>
      </c>
      <c r="D217" s="101">
        <v>3</v>
      </c>
      <c r="E217" s="101">
        <v>1</v>
      </c>
      <c r="F217" s="101">
        <v>5</v>
      </c>
      <c r="G217" s="101">
        <v>22</v>
      </c>
      <c r="H217" s="101">
        <v>34</v>
      </c>
      <c r="I217" s="101">
        <v>6</v>
      </c>
      <c r="J217" s="102">
        <v>0.32</v>
      </c>
      <c r="K217" s="102">
        <v>1.27</v>
      </c>
      <c r="L217" s="101">
        <v>3</v>
      </c>
      <c r="M217" s="101">
        <v>2</v>
      </c>
      <c r="N217" s="101" t="s">
        <v>952</v>
      </c>
      <c r="O217" s="101">
        <v>2010</v>
      </c>
      <c r="P217" s="101" t="s">
        <v>742</v>
      </c>
      <c r="Q217" s="101">
        <v>537639</v>
      </c>
      <c r="R217" t="s">
        <v>1000</v>
      </c>
      <c r="S217" t="s">
        <v>735</v>
      </c>
      <c r="T217"/>
      <c r="U217"/>
      <c r="V217"/>
      <c r="W217" s="223"/>
    </row>
    <row r="218" spans="1:23" x14ac:dyDescent="0.2">
      <c r="A218" s="253" t="s">
        <v>908</v>
      </c>
      <c r="B218" s="101">
        <v>4</v>
      </c>
      <c r="C218" s="101">
        <v>4</v>
      </c>
      <c r="D218" s="101">
        <v>4</v>
      </c>
      <c r="E218" s="101">
        <v>-1</v>
      </c>
      <c r="F218" s="101">
        <v>-3</v>
      </c>
      <c r="G218" s="101">
        <v>29</v>
      </c>
      <c r="H218" s="101"/>
      <c r="I218" s="101"/>
      <c r="J218" s="102">
        <v>0.32</v>
      </c>
      <c r="K218" s="102">
        <v>0.88</v>
      </c>
      <c r="L218" s="101">
        <v>10.3</v>
      </c>
      <c r="M218" s="101">
        <v>0.9</v>
      </c>
      <c r="N218" s="101" t="s">
        <v>952</v>
      </c>
      <c r="O218" s="101">
        <v>2007</v>
      </c>
      <c r="P218" s="101" t="s">
        <v>742</v>
      </c>
      <c r="Q218" s="101">
        <v>537696</v>
      </c>
      <c r="R218" t="s">
        <v>909</v>
      </c>
      <c r="S218" t="s">
        <v>551</v>
      </c>
      <c r="T218"/>
      <c r="U218"/>
      <c r="V218"/>
      <c r="W218" s="223"/>
    </row>
    <row r="219" spans="1:23" x14ac:dyDescent="0.2">
      <c r="A219" s="253" t="s">
        <v>16</v>
      </c>
      <c r="B219" s="101">
        <v>0</v>
      </c>
      <c r="C219" s="101">
        <v>0</v>
      </c>
      <c r="D219" s="101">
        <v>5</v>
      </c>
      <c r="E219" s="101">
        <v>10</v>
      </c>
      <c r="F219" s="101">
        <v>12</v>
      </c>
      <c r="G219" s="101">
        <v>-3</v>
      </c>
      <c r="H219" s="101">
        <v>35</v>
      </c>
      <c r="I219" s="101">
        <v>6</v>
      </c>
      <c r="J219" s="102">
        <v>0.33</v>
      </c>
      <c r="K219" s="102">
        <v>0.8</v>
      </c>
      <c r="L219" s="101">
        <v>11.3</v>
      </c>
      <c r="M219" s="101">
        <v>-0.2</v>
      </c>
      <c r="N219" s="101" t="s">
        <v>957</v>
      </c>
      <c r="O219" s="101">
        <v>2003</v>
      </c>
      <c r="P219" s="101" t="s">
        <v>742</v>
      </c>
      <c r="Q219" s="101">
        <v>316752</v>
      </c>
      <c r="R219" t="s">
        <v>490</v>
      </c>
      <c r="S219" t="s">
        <v>735</v>
      </c>
      <c r="T219"/>
      <c r="U219"/>
      <c r="V219"/>
      <c r="W219" s="223"/>
    </row>
    <row r="220" spans="1:23" x14ac:dyDescent="0.2">
      <c r="A220" s="253" t="s">
        <v>1063</v>
      </c>
      <c r="B220" s="101">
        <v>4</v>
      </c>
      <c r="C220" s="101">
        <v>4</v>
      </c>
      <c r="D220" s="101">
        <v>4</v>
      </c>
      <c r="E220" s="101">
        <v>-4</v>
      </c>
      <c r="F220" s="101">
        <v>-9</v>
      </c>
      <c r="G220" s="101">
        <v>74</v>
      </c>
      <c r="H220" s="101">
        <v>-4</v>
      </c>
      <c r="I220" s="101">
        <v>-1</v>
      </c>
      <c r="J220" s="102">
        <v>0.33</v>
      </c>
      <c r="K220" s="102">
        <v>0.8</v>
      </c>
      <c r="L220" s="101">
        <v>18.2</v>
      </c>
      <c r="M220" s="101">
        <v>1.1000000000000001</v>
      </c>
      <c r="N220" s="101" t="s">
        <v>952</v>
      </c>
      <c r="O220" s="101">
        <v>2000</v>
      </c>
      <c r="P220" s="101" t="s">
        <v>742</v>
      </c>
      <c r="Q220" s="101">
        <v>585216</v>
      </c>
      <c r="R220" t="s">
        <v>387</v>
      </c>
      <c r="S220" t="s">
        <v>840</v>
      </c>
      <c r="T220"/>
      <c r="U220"/>
      <c r="V220"/>
      <c r="W220" s="223"/>
    </row>
    <row r="221" spans="1:23" x14ac:dyDescent="0.2">
      <c r="A221" s="253" t="s">
        <v>481</v>
      </c>
      <c r="B221" s="101">
        <v>7</v>
      </c>
      <c r="C221" s="101">
        <v>7</v>
      </c>
      <c r="D221" s="101">
        <v>4</v>
      </c>
      <c r="E221" s="101">
        <v>-4</v>
      </c>
      <c r="F221" s="101">
        <v>-10</v>
      </c>
      <c r="G221" s="101">
        <v>79</v>
      </c>
      <c r="H221" s="101">
        <v>-11</v>
      </c>
      <c r="I221" s="101">
        <v>-2</v>
      </c>
      <c r="J221" s="102">
        <v>0.33</v>
      </c>
      <c r="K221" s="102">
        <v>1.71</v>
      </c>
      <c r="L221" s="101">
        <v>19</v>
      </c>
      <c r="M221" s="101">
        <v>1.2</v>
      </c>
      <c r="N221" s="101" t="s">
        <v>952</v>
      </c>
      <c r="O221" s="101">
        <v>2007</v>
      </c>
      <c r="P221" s="101" t="s">
        <v>867</v>
      </c>
      <c r="Q221" s="101">
        <v>853499</v>
      </c>
      <c r="R221" t="s">
        <v>198</v>
      </c>
      <c r="S221" t="s">
        <v>781</v>
      </c>
      <c r="T221" t="s">
        <v>953</v>
      </c>
      <c r="U221"/>
      <c r="V221"/>
      <c r="W221" s="223"/>
    </row>
    <row r="222" spans="1:23" x14ac:dyDescent="0.2">
      <c r="A222" s="253" t="s">
        <v>978</v>
      </c>
      <c r="B222" s="101">
        <v>6</v>
      </c>
      <c r="C222" s="101">
        <v>6</v>
      </c>
      <c r="D222" s="101">
        <v>7</v>
      </c>
      <c r="E222" s="101">
        <v>-1</v>
      </c>
      <c r="F222" s="101">
        <v>6</v>
      </c>
      <c r="G222" s="101">
        <v>95</v>
      </c>
      <c r="H222" s="101">
        <v>-17</v>
      </c>
      <c r="I222" s="101">
        <v>-4</v>
      </c>
      <c r="J222" s="102">
        <v>0.33</v>
      </c>
      <c r="K222" s="102">
        <v>1.71</v>
      </c>
      <c r="L222" s="101">
        <v>18.7</v>
      </c>
      <c r="M222" s="101">
        <v>1.3</v>
      </c>
      <c r="N222" s="101" t="s">
        <v>952</v>
      </c>
      <c r="O222" s="101">
        <v>2007</v>
      </c>
      <c r="P222" s="101" t="s">
        <v>867</v>
      </c>
      <c r="Q222" s="101">
        <v>766667</v>
      </c>
      <c r="R222" t="s">
        <v>198</v>
      </c>
      <c r="S222" t="s">
        <v>837</v>
      </c>
      <c r="T222"/>
      <c r="U222"/>
      <c r="V222"/>
      <c r="W222" s="223"/>
    </row>
    <row r="223" spans="1:23" x14ac:dyDescent="0.2">
      <c r="A223" s="253" t="s">
        <v>77</v>
      </c>
      <c r="B223" s="101">
        <v>5</v>
      </c>
      <c r="C223" s="101">
        <v>5</v>
      </c>
      <c r="D223" s="101">
        <v>2</v>
      </c>
      <c r="E223" s="101">
        <v>-4</v>
      </c>
      <c r="F223" s="101">
        <v>-6</v>
      </c>
      <c r="G223" s="101">
        <v>13</v>
      </c>
      <c r="H223" s="101">
        <v>-26</v>
      </c>
      <c r="I223" s="101">
        <v>-6</v>
      </c>
      <c r="J223" s="102">
        <v>0.33</v>
      </c>
      <c r="K223" s="102">
        <v>1.73</v>
      </c>
      <c r="L223" s="101">
        <v>13.4</v>
      </c>
      <c r="M223" s="101">
        <v>0.4</v>
      </c>
      <c r="N223" s="101" t="s">
        <v>952</v>
      </c>
      <c r="O223" s="101">
        <v>2004</v>
      </c>
      <c r="P223" s="101" t="s">
        <v>867</v>
      </c>
      <c r="Q223" s="101">
        <v>914291</v>
      </c>
      <c r="R223" t="s">
        <v>198</v>
      </c>
      <c r="S223" t="s">
        <v>49</v>
      </c>
      <c r="T223" t="s">
        <v>953</v>
      </c>
      <c r="U223"/>
      <c r="V223"/>
      <c r="W223" s="223"/>
    </row>
    <row r="224" spans="1:23" x14ac:dyDescent="0.2">
      <c r="A224" s="253" t="s">
        <v>1064</v>
      </c>
      <c r="B224" s="101">
        <v>4</v>
      </c>
      <c r="C224" s="101">
        <v>4</v>
      </c>
      <c r="D224" s="101">
        <v>-1</v>
      </c>
      <c r="E224" s="101">
        <v>-12</v>
      </c>
      <c r="F224" s="101">
        <v>-18</v>
      </c>
      <c r="G224" s="101">
        <v>-4</v>
      </c>
      <c r="H224" s="101">
        <v>-38</v>
      </c>
      <c r="I224" s="101">
        <v>-9</v>
      </c>
      <c r="J224" s="102">
        <v>0.33</v>
      </c>
      <c r="K224" s="102">
        <v>0.8</v>
      </c>
      <c r="L224" s="101">
        <v>18.899999999999999</v>
      </c>
      <c r="M224" s="101">
        <v>0</v>
      </c>
      <c r="N224" s="101" t="s">
        <v>955</v>
      </c>
      <c r="O224" s="101">
        <v>2004</v>
      </c>
      <c r="P224" s="101" t="s">
        <v>742</v>
      </c>
      <c r="Q224" s="101">
        <v>844464</v>
      </c>
      <c r="R224" t="s">
        <v>387</v>
      </c>
      <c r="S224" t="s">
        <v>108</v>
      </c>
      <c r="T224"/>
      <c r="U224"/>
      <c r="V224"/>
      <c r="W224" s="223"/>
    </row>
    <row r="225" spans="1:23" x14ac:dyDescent="0.2">
      <c r="A225" s="253" t="s">
        <v>257</v>
      </c>
      <c r="B225" s="101">
        <v>1</v>
      </c>
      <c r="C225" s="101">
        <v>1</v>
      </c>
      <c r="D225" s="101">
        <v>1</v>
      </c>
      <c r="E225" s="101">
        <v>3</v>
      </c>
      <c r="F225" s="101">
        <v>5</v>
      </c>
      <c r="G225" s="101">
        <v>7</v>
      </c>
      <c r="H225" s="101"/>
      <c r="I225" s="101"/>
      <c r="J225" s="102">
        <v>0.33</v>
      </c>
      <c r="K225" s="102">
        <v>0.95</v>
      </c>
      <c r="L225" s="101">
        <v>4.0999999999999996</v>
      </c>
      <c r="M225" s="101">
        <v>0.3</v>
      </c>
      <c r="N225" s="101" t="s">
        <v>952</v>
      </c>
      <c r="O225" s="101">
        <v>2007</v>
      </c>
      <c r="P225" s="101" t="s">
        <v>867</v>
      </c>
      <c r="Q225" s="101">
        <v>360370</v>
      </c>
      <c r="R225" t="s">
        <v>425</v>
      </c>
      <c r="S225" t="s">
        <v>735</v>
      </c>
      <c r="T225"/>
      <c r="U225"/>
      <c r="V225"/>
      <c r="W225" s="223"/>
    </row>
    <row r="226" spans="1:23" x14ac:dyDescent="0.2">
      <c r="A226" s="253" t="s">
        <v>727</v>
      </c>
      <c r="B226" s="101">
        <v>1</v>
      </c>
      <c r="C226" s="101">
        <v>1</v>
      </c>
      <c r="D226" s="101">
        <v>2</v>
      </c>
      <c r="E226" s="101">
        <v>3</v>
      </c>
      <c r="F226" s="101">
        <v>5</v>
      </c>
      <c r="G226" s="101">
        <v>-1</v>
      </c>
      <c r="H226" s="101">
        <v>-4</v>
      </c>
      <c r="I226" s="101">
        <v>-1</v>
      </c>
      <c r="J226" s="102">
        <v>0.34</v>
      </c>
      <c r="K226" s="102">
        <v>0.9</v>
      </c>
      <c r="L226" s="101">
        <v>9.4</v>
      </c>
      <c r="M226" s="101">
        <v>-0.1</v>
      </c>
      <c r="N226" s="101" t="s">
        <v>955</v>
      </c>
      <c r="O226" s="101">
        <v>2000</v>
      </c>
      <c r="P226" s="101" t="s">
        <v>742</v>
      </c>
      <c r="Q226" s="101">
        <v>203836</v>
      </c>
      <c r="R226" t="s">
        <v>899</v>
      </c>
      <c r="S226" t="s">
        <v>721</v>
      </c>
      <c r="T226"/>
      <c r="U226"/>
      <c r="V226"/>
      <c r="W226" s="223"/>
    </row>
    <row r="227" spans="1:23" x14ac:dyDescent="0.2">
      <c r="A227" s="253" t="s">
        <v>600</v>
      </c>
      <c r="B227" s="101">
        <v>8</v>
      </c>
      <c r="C227" s="101">
        <v>8</v>
      </c>
      <c r="D227" s="101">
        <v>8</v>
      </c>
      <c r="E227" s="101">
        <v>-5</v>
      </c>
      <c r="F227" s="101">
        <v>-10</v>
      </c>
      <c r="G227" s="101">
        <v>39</v>
      </c>
      <c r="H227" s="101">
        <v>9</v>
      </c>
      <c r="I227" s="101">
        <v>2</v>
      </c>
      <c r="J227" s="102">
        <v>0.35</v>
      </c>
      <c r="K227" s="102">
        <v>1.84</v>
      </c>
      <c r="L227" s="101">
        <v>16.399999999999999</v>
      </c>
      <c r="M227" s="101">
        <v>0.7</v>
      </c>
      <c r="N227" s="101" t="s">
        <v>952</v>
      </c>
      <c r="O227" s="101">
        <v>2006</v>
      </c>
      <c r="P227" s="101" t="s">
        <v>867</v>
      </c>
      <c r="Q227" s="101">
        <v>348862</v>
      </c>
      <c r="R227" t="s">
        <v>198</v>
      </c>
      <c r="S227" t="s">
        <v>416</v>
      </c>
      <c r="T227"/>
      <c r="U227"/>
      <c r="V227"/>
      <c r="W227" s="223"/>
    </row>
    <row r="228" spans="1:23" x14ac:dyDescent="0.2">
      <c r="A228" s="253" t="s">
        <v>739</v>
      </c>
      <c r="B228" s="101">
        <v>0</v>
      </c>
      <c r="C228" s="101">
        <v>0</v>
      </c>
      <c r="D228" s="101">
        <v>1</v>
      </c>
      <c r="E228" s="101">
        <v>2</v>
      </c>
      <c r="F228" s="101">
        <v>7</v>
      </c>
      <c r="G228" s="101">
        <v>-3</v>
      </c>
      <c r="H228" s="101">
        <v>25</v>
      </c>
      <c r="I228" s="101">
        <v>5</v>
      </c>
      <c r="J228" s="102">
        <v>0.36</v>
      </c>
      <c r="K228" s="102">
        <v>0.83</v>
      </c>
      <c r="L228" s="101">
        <v>8.1</v>
      </c>
      <c r="M228" s="101">
        <v>-0.2</v>
      </c>
      <c r="N228" s="101" t="s">
        <v>955</v>
      </c>
      <c r="O228" s="101">
        <v>2000</v>
      </c>
      <c r="P228" s="101" t="s">
        <v>742</v>
      </c>
      <c r="Q228" s="101">
        <v>515973</v>
      </c>
      <c r="R228" t="s">
        <v>65</v>
      </c>
      <c r="S228" t="s">
        <v>735</v>
      </c>
      <c r="T228"/>
      <c r="U228"/>
      <c r="V228"/>
      <c r="W228" s="223"/>
    </row>
    <row r="229" spans="1:23" x14ac:dyDescent="0.2">
      <c r="A229" s="253" t="s">
        <v>794</v>
      </c>
      <c r="B229" s="101">
        <v>9</v>
      </c>
      <c r="C229" s="101">
        <v>9</v>
      </c>
      <c r="D229" s="101">
        <v>9</v>
      </c>
      <c r="E229" s="101">
        <v>-2</v>
      </c>
      <c r="F229" s="101">
        <v>-10</v>
      </c>
      <c r="G229" s="101">
        <v>130</v>
      </c>
      <c r="H229" s="101">
        <v>21</v>
      </c>
      <c r="I229" s="101">
        <v>4</v>
      </c>
      <c r="J229" s="102">
        <v>0.36</v>
      </c>
      <c r="K229" s="102">
        <v>1.22</v>
      </c>
      <c r="L229" s="101">
        <v>22.7</v>
      </c>
      <c r="M229" s="101">
        <v>1.4</v>
      </c>
      <c r="N229" s="101" t="s">
        <v>952</v>
      </c>
      <c r="O229" s="101">
        <v>2000</v>
      </c>
      <c r="P229" s="101" t="s">
        <v>867</v>
      </c>
      <c r="Q229" s="101">
        <v>291906</v>
      </c>
      <c r="R229" t="s">
        <v>793</v>
      </c>
      <c r="S229" t="s">
        <v>781</v>
      </c>
      <c r="T229"/>
      <c r="U229"/>
      <c r="V229"/>
      <c r="W229" s="223"/>
    </row>
    <row r="230" spans="1:23" x14ac:dyDescent="0.2">
      <c r="A230" s="253" t="s">
        <v>741</v>
      </c>
      <c r="B230" s="101">
        <v>-2</v>
      </c>
      <c r="C230" s="101">
        <v>-2</v>
      </c>
      <c r="D230" s="101">
        <v>6</v>
      </c>
      <c r="E230" s="101">
        <v>12</v>
      </c>
      <c r="F230" s="101">
        <v>12</v>
      </c>
      <c r="G230" s="101">
        <v>-4</v>
      </c>
      <c r="H230" s="101">
        <v>25</v>
      </c>
      <c r="I230" s="101">
        <v>4</v>
      </c>
      <c r="J230" s="102">
        <v>0.36</v>
      </c>
      <c r="K230" s="102">
        <v>0.85</v>
      </c>
      <c r="L230" s="101">
        <v>14.5</v>
      </c>
      <c r="M230" s="101">
        <v>-0.1</v>
      </c>
      <c r="N230" s="101" t="s">
        <v>957</v>
      </c>
      <c r="O230" s="101">
        <v>2000</v>
      </c>
      <c r="P230" s="101" t="s">
        <v>742</v>
      </c>
      <c r="Q230" s="101">
        <v>551804</v>
      </c>
      <c r="R230" t="s">
        <v>65</v>
      </c>
      <c r="S230" t="s">
        <v>735</v>
      </c>
      <c r="T230"/>
      <c r="U230"/>
      <c r="V230"/>
      <c r="W230" s="223"/>
    </row>
    <row r="231" spans="1:23" x14ac:dyDescent="0.2">
      <c r="A231" s="253" t="s">
        <v>979</v>
      </c>
      <c r="B231" s="101">
        <v>1</v>
      </c>
      <c r="C231" s="101">
        <v>1</v>
      </c>
      <c r="D231" s="101">
        <v>2</v>
      </c>
      <c r="E231" s="101">
        <v>2</v>
      </c>
      <c r="F231" s="101">
        <v>3</v>
      </c>
      <c r="G231" s="101">
        <v>17</v>
      </c>
      <c r="H231" s="101">
        <v>15</v>
      </c>
      <c r="I231" s="101">
        <v>3</v>
      </c>
      <c r="J231" s="102">
        <v>0.36</v>
      </c>
      <c r="K231" s="102">
        <v>0.9</v>
      </c>
      <c r="L231" s="101">
        <v>2.2000000000000002</v>
      </c>
      <c r="M231" s="101">
        <v>2.1</v>
      </c>
      <c r="N231" s="101" t="s">
        <v>952</v>
      </c>
      <c r="O231" s="101">
        <v>2000</v>
      </c>
      <c r="P231" s="101" t="s">
        <v>867</v>
      </c>
      <c r="Q231" s="101">
        <v>403642</v>
      </c>
      <c r="R231" t="s">
        <v>791</v>
      </c>
      <c r="S231" t="s">
        <v>329</v>
      </c>
      <c r="T231"/>
      <c r="U231"/>
      <c r="V231"/>
      <c r="W231" s="223"/>
    </row>
    <row r="232" spans="1:23" x14ac:dyDescent="0.2">
      <c r="A232" s="253" t="s">
        <v>39</v>
      </c>
      <c r="B232" s="101">
        <v>-1</v>
      </c>
      <c r="C232" s="101">
        <v>-1</v>
      </c>
      <c r="D232" s="101">
        <v>6</v>
      </c>
      <c r="E232" s="101">
        <v>7</v>
      </c>
      <c r="F232" s="101">
        <v>10</v>
      </c>
      <c r="G232" s="101">
        <v>-1</v>
      </c>
      <c r="H232" s="101">
        <v>35</v>
      </c>
      <c r="I232" s="101">
        <v>6</v>
      </c>
      <c r="J232" s="102">
        <v>0.37</v>
      </c>
      <c r="K232" s="102">
        <v>0.87767499999999998</v>
      </c>
      <c r="L232" s="101">
        <v>9.8000000000000007</v>
      </c>
      <c r="M232" s="101">
        <v>-0.1</v>
      </c>
      <c r="N232" s="101" t="s">
        <v>957</v>
      </c>
      <c r="O232" s="101">
        <v>2000</v>
      </c>
      <c r="P232" s="101" t="s">
        <v>742</v>
      </c>
      <c r="Q232" s="101">
        <v>483800</v>
      </c>
      <c r="R232" t="s">
        <v>504</v>
      </c>
      <c r="S232" t="s">
        <v>735</v>
      </c>
      <c r="T232"/>
      <c r="U232"/>
      <c r="V232"/>
      <c r="W232" s="223"/>
    </row>
    <row r="233" spans="1:23" x14ac:dyDescent="0.2">
      <c r="A233" s="253" t="s">
        <v>811</v>
      </c>
      <c r="B233" s="101">
        <v>8</v>
      </c>
      <c r="C233" s="101">
        <v>8</v>
      </c>
      <c r="D233" s="101">
        <v>6</v>
      </c>
      <c r="E233" s="101">
        <v>0</v>
      </c>
      <c r="F233" s="101">
        <v>-6</v>
      </c>
      <c r="G233" s="101">
        <v>85</v>
      </c>
      <c r="H233" s="101">
        <v>5</v>
      </c>
      <c r="I233" s="101">
        <v>1</v>
      </c>
      <c r="J233" s="102">
        <v>0.37</v>
      </c>
      <c r="K233" s="102">
        <v>1.3</v>
      </c>
      <c r="L233" s="101">
        <v>17.399999999999999</v>
      </c>
      <c r="M233" s="101">
        <v>1.3</v>
      </c>
      <c r="N233" s="101" t="s">
        <v>952</v>
      </c>
      <c r="O233" s="101">
        <v>2000</v>
      </c>
      <c r="P233" s="101" t="s">
        <v>867</v>
      </c>
      <c r="Q233" s="101">
        <v>528133</v>
      </c>
      <c r="R233" t="s">
        <v>810</v>
      </c>
      <c r="S233" t="s">
        <v>781</v>
      </c>
      <c r="T233"/>
      <c r="U233"/>
      <c r="V233"/>
      <c r="W233" s="223"/>
    </row>
    <row r="234" spans="1:23" x14ac:dyDescent="0.2">
      <c r="A234" s="253" t="s">
        <v>647</v>
      </c>
      <c r="B234" s="101">
        <v>4</v>
      </c>
      <c r="C234" s="101">
        <v>4</v>
      </c>
      <c r="D234" s="101">
        <v>1</v>
      </c>
      <c r="E234" s="101">
        <v>-2</v>
      </c>
      <c r="F234" s="101">
        <v>2</v>
      </c>
      <c r="G234" s="101">
        <v>34</v>
      </c>
      <c r="H234" s="101">
        <v>4</v>
      </c>
      <c r="I234" s="101">
        <v>1</v>
      </c>
      <c r="J234" s="102">
        <v>0.37</v>
      </c>
      <c r="K234" s="102">
        <v>1.0254190000000001</v>
      </c>
      <c r="L234" s="101">
        <v>6.5</v>
      </c>
      <c r="M234" s="101">
        <v>1.4</v>
      </c>
      <c r="N234" s="101" t="s">
        <v>952</v>
      </c>
      <c r="O234" s="101">
        <v>2004</v>
      </c>
      <c r="P234" s="101" t="s">
        <v>867</v>
      </c>
      <c r="Q234" s="101">
        <v>104786</v>
      </c>
      <c r="R234" t="s">
        <v>795</v>
      </c>
      <c r="S234" t="s">
        <v>645</v>
      </c>
      <c r="T234"/>
      <c r="U234"/>
      <c r="V234"/>
      <c r="W234" s="223"/>
    </row>
    <row r="235" spans="1:23" x14ac:dyDescent="0.2">
      <c r="A235" s="253" t="s">
        <v>1118</v>
      </c>
      <c r="B235" s="101">
        <v>0</v>
      </c>
      <c r="C235" s="101">
        <v>0</v>
      </c>
      <c r="D235" s="101">
        <v>4</v>
      </c>
      <c r="E235" s="101">
        <v>4</v>
      </c>
      <c r="F235" s="101">
        <v>6</v>
      </c>
      <c r="G235" s="101">
        <v>0</v>
      </c>
      <c r="H235" s="101">
        <v>-7</v>
      </c>
      <c r="I235" s="101">
        <v>-1</v>
      </c>
      <c r="J235" s="102">
        <v>0.37</v>
      </c>
      <c r="K235" s="102">
        <v>1.03</v>
      </c>
      <c r="L235" s="101">
        <v>11</v>
      </c>
      <c r="M235" s="101">
        <v>-0.1</v>
      </c>
      <c r="N235" s="101" t="s">
        <v>958</v>
      </c>
      <c r="O235" s="101">
        <v>2006</v>
      </c>
      <c r="P235" s="101" t="s">
        <v>742</v>
      </c>
      <c r="Q235" s="101">
        <v>551093</v>
      </c>
      <c r="R235" t="s">
        <v>866</v>
      </c>
      <c r="S235" t="s">
        <v>721</v>
      </c>
      <c r="T235"/>
      <c r="U235"/>
      <c r="V235"/>
      <c r="W235" s="223"/>
    </row>
    <row r="236" spans="1:23" x14ac:dyDescent="0.2">
      <c r="A236" s="253" t="s">
        <v>817</v>
      </c>
      <c r="B236" s="101">
        <v>8</v>
      </c>
      <c r="C236" s="101">
        <v>8</v>
      </c>
      <c r="D236" s="101">
        <v>5</v>
      </c>
      <c r="E236" s="101">
        <v>-4</v>
      </c>
      <c r="F236" s="101">
        <v>-9</v>
      </c>
      <c r="G236" s="101">
        <v>73</v>
      </c>
      <c r="H236" s="101">
        <v>-4</v>
      </c>
      <c r="I236" s="101">
        <v>-1</v>
      </c>
      <c r="J236" s="102">
        <v>0.37</v>
      </c>
      <c r="K236" s="102">
        <v>1.41</v>
      </c>
      <c r="L236" s="101">
        <v>18.3</v>
      </c>
      <c r="M236" s="101">
        <v>1.2</v>
      </c>
      <c r="N236" s="101" t="s">
        <v>952</v>
      </c>
      <c r="O236" s="101">
        <v>2003</v>
      </c>
      <c r="P236" s="101" t="s">
        <v>867</v>
      </c>
      <c r="Q236" s="101">
        <v>254185</v>
      </c>
      <c r="R236" t="s">
        <v>814</v>
      </c>
      <c r="S236" t="s">
        <v>781</v>
      </c>
      <c r="T236"/>
      <c r="U236"/>
      <c r="V236"/>
      <c r="W236" s="223"/>
    </row>
    <row r="237" spans="1:23" x14ac:dyDescent="0.2">
      <c r="A237" s="253" t="s">
        <v>901</v>
      </c>
      <c r="B237" s="101">
        <v>1</v>
      </c>
      <c r="C237" s="101">
        <v>1</v>
      </c>
      <c r="D237" s="101">
        <v>1</v>
      </c>
      <c r="E237" s="101">
        <v>3</v>
      </c>
      <c r="F237" s="101">
        <v>8</v>
      </c>
      <c r="G237" s="101">
        <v>-1</v>
      </c>
      <c r="H237" s="101">
        <v>-9</v>
      </c>
      <c r="I237" s="101">
        <v>-2</v>
      </c>
      <c r="J237" s="102">
        <v>0.37</v>
      </c>
      <c r="K237" s="102">
        <v>1</v>
      </c>
      <c r="L237" s="101">
        <v>8</v>
      </c>
      <c r="M237" s="101">
        <v>-0.1</v>
      </c>
      <c r="N237" s="101" t="s">
        <v>955</v>
      </c>
      <c r="O237" s="101">
        <v>2000</v>
      </c>
      <c r="P237" s="101" t="s">
        <v>742</v>
      </c>
      <c r="Q237" s="101">
        <v>132175</v>
      </c>
      <c r="R237" t="s">
        <v>899</v>
      </c>
      <c r="S237" t="s">
        <v>735</v>
      </c>
      <c r="T237"/>
      <c r="U237"/>
      <c r="V237"/>
      <c r="W237" s="223"/>
    </row>
    <row r="238" spans="1:23" x14ac:dyDescent="0.2">
      <c r="A238" s="253" t="s">
        <v>505</v>
      </c>
      <c r="B238" s="101">
        <v>8</v>
      </c>
      <c r="C238" s="101">
        <v>8</v>
      </c>
      <c r="D238" s="101">
        <v>5</v>
      </c>
      <c r="E238" s="101">
        <v>-3</v>
      </c>
      <c r="F238" s="101">
        <v>-8</v>
      </c>
      <c r="G238" s="101">
        <v>56</v>
      </c>
      <c r="H238" s="101">
        <v>-9</v>
      </c>
      <c r="I238" s="101">
        <v>-2</v>
      </c>
      <c r="J238" s="102">
        <v>0.37</v>
      </c>
      <c r="K238" s="102">
        <v>1.41</v>
      </c>
      <c r="L238" s="101">
        <v>16.399999999999999</v>
      </c>
      <c r="M238" s="101">
        <v>1</v>
      </c>
      <c r="N238" s="101" t="s">
        <v>952</v>
      </c>
      <c r="O238" s="101">
        <v>2000</v>
      </c>
      <c r="P238" s="101" t="s">
        <v>867</v>
      </c>
      <c r="Q238" s="101">
        <v>363564</v>
      </c>
      <c r="R238" t="s">
        <v>814</v>
      </c>
      <c r="S238" t="s">
        <v>781</v>
      </c>
      <c r="T238"/>
      <c r="U238"/>
      <c r="V238"/>
      <c r="W238" s="223"/>
    </row>
    <row r="239" spans="1:23" x14ac:dyDescent="0.2">
      <c r="A239" s="253" t="s">
        <v>903</v>
      </c>
      <c r="B239" s="101">
        <v>8</v>
      </c>
      <c r="C239" s="101">
        <v>8</v>
      </c>
      <c r="D239" s="101">
        <v>5</v>
      </c>
      <c r="E239" s="101">
        <v>-5</v>
      </c>
      <c r="F239" s="101">
        <v>-11</v>
      </c>
      <c r="G239" s="101">
        <v>46</v>
      </c>
      <c r="H239" s="101">
        <v>-12</v>
      </c>
      <c r="I239" s="101">
        <v>-3</v>
      </c>
      <c r="J239" s="102">
        <v>0.37</v>
      </c>
      <c r="K239" s="102">
        <v>1.41</v>
      </c>
      <c r="L239" s="101">
        <v>17.8</v>
      </c>
      <c r="M239" s="101">
        <v>0.8</v>
      </c>
      <c r="N239" s="101" t="s">
        <v>952</v>
      </c>
      <c r="O239" s="101">
        <v>2008</v>
      </c>
      <c r="P239" s="101" t="s">
        <v>867</v>
      </c>
      <c r="Q239" s="101">
        <v>552869</v>
      </c>
      <c r="R239" t="s">
        <v>814</v>
      </c>
      <c r="S239" t="s">
        <v>861</v>
      </c>
      <c r="T239"/>
      <c r="U239"/>
      <c r="V239"/>
      <c r="W239" s="223"/>
    </row>
    <row r="240" spans="1:23" x14ac:dyDescent="0.2">
      <c r="A240" s="253" t="s">
        <v>1065</v>
      </c>
      <c r="B240" s="101">
        <v>10</v>
      </c>
      <c r="C240" s="101">
        <v>10</v>
      </c>
      <c r="D240" s="101">
        <v>2</v>
      </c>
      <c r="E240" s="101">
        <v>-11</v>
      </c>
      <c r="F240" s="101">
        <v>-18</v>
      </c>
      <c r="G240" s="101"/>
      <c r="H240" s="101"/>
      <c r="I240" s="101"/>
      <c r="J240" s="102">
        <v>0.37</v>
      </c>
      <c r="K240" s="102">
        <v>1</v>
      </c>
      <c r="L240" s="101"/>
      <c r="M240" s="101"/>
      <c r="N240" s="101" t="s">
        <v>952</v>
      </c>
      <c r="O240" s="101">
        <v>2009</v>
      </c>
      <c r="P240" s="101" t="s">
        <v>742</v>
      </c>
      <c r="Q240" s="101">
        <v>908095</v>
      </c>
      <c r="R240" t="s">
        <v>387</v>
      </c>
      <c r="S240" t="s">
        <v>861</v>
      </c>
      <c r="T240"/>
      <c r="U240"/>
      <c r="V240"/>
      <c r="W240" s="223"/>
    </row>
    <row r="241" spans="1:23" x14ac:dyDescent="0.2">
      <c r="A241" s="253" t="s">
        <v>404</v>
      </c>
      <c r="B241" s="101">
        <v>5</v>
      </c>
      <c r="C241" s="101">
        <v>5</v>
      </c>
      <c r="D241" s="101">
        <v>7</v>
      </c>
      <c r="E241" s="101">
        <v>2</v>
      </c>
      <c r="F241" s="101">
        <v>9</v>
      </c>
      <c r="G241" s="101">
        <v>64</v>
      </c>
      <c r="H241" s="101"/>
      <c r="I241" s="101"/>
      <c r="J241" s="102">
        <v>0.37</v>
      </c>
      <c r="K241" s="102">
        <v>0.97</v>
      </c>
      <c r="L241" s="101">
        <v>14.9</v>
      </c>
      <c r="M241" s="101">
        <v>1.1000000000000001</v>
      </c>
      <c r="N241" s="101" t="s">
        <v>958</v>
      </c>
      <c r="O241" s="101">
        <v>2007</v>
      </c>
      <c r="P241" s="101" t="s">
        <v>742</v>
      </c>
      <c r="Q241" s="101">
        <v>800664</v>
      </c>
      <c r="R241" t="s">
        <v>410</v>
      </c>
      <c r="S241" t="s">
        <v>166</v>
      </c>
      <c r="T241"/>
      <c r="U241"/>
      <c r="V241"/>
      <c r="W241" s="223"/>
    </row>
    <row r="242" spans="1:23" x14ac:dyDescent="0.2">
      <c r="A242" s="253" t="s">
        <v>315</v>
      </c>
      <c r="B242" s="101">
        <v>10</v>
      </c>
      <c r="C242" s="101">
        <v>10</v>
      </c>
      <c r="D242" s="101">
        <v>6</v>
      </c>
      <c r="E242" s="101">
        <v>-3</v>
      </c>
      <c r="F242" s="101">
        <v>-6</v>
      </c>
      <c r="G242" s="101">
        <v>115</v>
      </c>
      <c r="H242" s="101">
        <v>13</v>
      </c>
      <c r="I242" s="101">
        <v>2</v>
      </c>
      <c r="J242" s="102">
        <v>0.38</v>
      </c>
      <c r="K242" s="102">
        <v>1.31</v>
      </c>
      <c r="L242" s="101">
        <v>19.5</v>
      </c>
      <c r="M242" s="101">
        <v>1.4</v>
      </c>
      <c r="N242" s="101" t="s">
        <v>952</v>
      </c>
      <c r="O242" s="101">
        <v>2001</v>
      </c>
      <c r="P242" s="101" t="s">
        <v>867</v>
      </c>
      <c r="Q242" s="101">
        <v>313742</v>
      </c>
      <c r="R242" t="s">
        <v>810</v>
      </c>
      <c r="S242" t="s">
        <v>312</v>
      </c>
      <c r="T242"/>
      <c r="U242"/>
      <c r="V242"/>
      <c r="W242" s="223"/>
    </row>
    <row r="243" spans="1:23" x14ac:dyDescent="0.2">
      <c r="A243" s="253" t="s">
        <v>1146</v>
      </c>
      <c r="B243" s="101">
        <v>8</v>
      </c>
      <c r="C243" s="101">
        <v>8</v>
      </c>
      <c r="D243" s="101">
        <v>7</v>
      </c>
      <c r="E243" s="101">
        <v>1</v>
      </c>
      <c r="F243" s="101">
        <v>-4</v>
      </c>
      <c r="G243" s="101">
        <v>83</v>
      </c>
      <c r="H243" s="101">
        <v>3</v>
      </c>
      <c r="I243" s="101">
        <v>1</v>
      </c>
      <c r="J243" s="102">
        <v>0.38</v>
      </c>
      <c r="K243" s="102">
        <v>1.5</v>
      </c>
      <c r="L243" s="101">
        <v>17.8</v>
      </c>
      <c r="M243" s="101">
        <v>1.3</v>
      </c>
      <c r="N243" s="101" t="s">
        <v>952</v>
      </c>
      <c r="O243" s="101">
        <v>2008</v>
      </c>
      <c r="P243" s="101" t="s">
        <v>867</v>
      </c>
      <c r="Q243" s="101">
        <v>203067</v>
      </c>
      <c r="R243" t="s">
        <v>814</v>
      </c>
      <c r="S243" t="s">
        <v>781</v>
      </c>
      <c r="T243" t="s">
        <v>953</v>
      </c>
      <c r="U243"/>
      <c r="V243"/>
      <c r="W243" s="223"/>
    </row>
    <row r="244" spans="1:23" x14ac:dyDescent="0.2">
      <c r="A244" s="253" t="s">
        <v>350</v>
      </c>
      <c r="B244" s="101">
        <v>7</v>
      </c>
      <c r="C244" s="101">
        <v>7</v>
      </c>
      <c r="D244" s="101">
        <v>1</v>
      </c>
      <c r="E244" s="101">
        <v>-12</v>
      </c>
      <c r="F244" s="101">
        <v>-11</v>
      </c>
      <c r="G244" s="101">
        <v>40</v>
      </c>
      <c r="H244" s="101">
        <v>29</v>
      </c>
      <c r="I244" s="101">
        <v>5</v>
      </c>
      <c r="J244" s="102">
        <v>0.39</v>
      </c>
      <c r="K244" s="102">
        <v>1</v>
      </c>
      <c r="L244" s="101">
        <v>15.4</v>
      </c>
      <c r="M244" s="101">
        <v>0.7</v>
      </c>
      <c r="N244" s="101" t="s">
        <v>955</v>
      </c>
      <c r="O244" s="101">
        <v>2010</v>
      </c>
      <c r="P244" s="101" t="s">
        <v>742</v>
      </c>
      <c r="Q244" s="101">
        <v>955435</v>
      </c>
      <c r="R244" t="s">
        <v>340</v>
      </c>
      <c r="S244" t="s">
        <v>721</v>
      </c>
      <c r="T244" t="s">
        <v>953</v>
      </c>
      <c r="U244"/>
      <c r="V244"/>
      <c r="W244" s="223"/>
    </row>
    <row r="245" spans="1:23" x14ac:dyDescent="0.2">
      <c r="A245" s="253" t="s">
        <v>433</v>
      </c>
      <c r="B245" s="101">
        <v>6</v>
      </c>
      <c r="C245" s="101">
        <v>6</v>
      </c>
      <c r="D245" s="101">
        <v>4</v>
      </c>
      <c r="E245" s="101">
        <v>-1</v>
      </c>
      <c r="F245" s="101">
        <v>-8</v>
      </c>
      <c r="G245" s="101">
        <v>76</v>
      </c>
      <c r="H245" s="101">
        <v>4</v>
      </c>
      <c r="I245" s="101">
        <v>1</v>
      </c>
      <c r="J245" s="102">
        <v>0.39</v>
      </c>
      <c r="K245" s="102">
        <v>1.4</v>
      </c>
      <c r="L245" s="101">
        <v>17</v>
      </c>
      <c r="M245" s="101">
        <v>1.2</v>
      </c>
      <c r="N245" s="101" t="s">
        <v>952</v>
      </c>
      <c r="O245" s="101">
        <v>2000</v>
      </c>
      <c r="P245" s="101" t="s">
        <v>867</v>
      </c>
      <c r="Q245" s="101">
        <v>393314</v>
      </c>
      <c r="R245" t="s">
        <v>1000</v>
      </c>
      <c r="S245" t="s">
        <v>781</v>
      </c>
      <c r="T245"/>
      <c r="U245"/>
      <c r="V245"/>
      <c r="W245" s="223"/>
    </row>
    <row r="246" spans="1:23" x14ac:dyDescent="0.2">
      <c r="A246" s="253" t="s">
        <v>118</v>
      </c>
      <c r="B246" s="101">
        <v>4</v>
      </c>
      <c r="C246" s="101">
        <v>4</v>
      </c>
      <c r="D246" s="101">
        <v>10</v>
      </c>
      <c r="E246" s="101">
        <v>10</v>
      </c>
      <c r="F246" s="101">
        <v>10</v>
      </c>
      <c r="G246" s="101">
        <v>30</v>
      </c>
      <c r="H246" s="101">
        <v>-5</v>
      </c>
      <c r="I246" s="101">
        <v>-1</v>
      </c>
      <c r="J246" s="102">
        <v>0.39</v>
      </c>
      <c r="K246" s="102">
        <v>1.56</v>
      </c>
      <c r="L246" s="101">
        <v>11.3</v>
      </c>
      <c r="M246" s="101">
        <v>0.8</v>
      </c>
      <c r="N246" s="101" t="s">
        <v>952</v>
      </c>
      <c r="O246" s="101">
        <v>2001</v>
      </c>
      <c r="P246" s="101" t="s">
        <v>867</v>
      </c>
      <c r="Q246" s="101">
        <v>684795</v>
      </c>
      <c r="R246" t="s">
        <v>814</v>
      </c>
      <c r="S246" t="s">
        <v>114</v>
      </c>
      <c r="T246"/>
      <c r="U246"/>
      <c r="V246"/>
      <c r="W246" s="223"/>
    </row>
    <row r="247" spans="1:23" x14ac:dyDescent="0.2">
      <c r="A247" s="253" t="s">
        <v>51</v>
      </c>
      <c r="B247" s="101">
        <v>6</v>
      </c>
      <c r="C247" s="101">
        <v>6</v>
      </c>
      <c r="D247" s="101">
        <v>4</v>
      </c>
      <c r="E247" s="101">
        <v>-7</v>
      </c>
      <c r="F247" s="101">
        <v>-11</v>
      </c>
      <c r="G247" s="101">
        <v>18</v>
      </c>
      <c r="H247" s="101">
        <v>-17</v>
      </c>
      <c r="I247" s="101">
        <v>-4</v>
      </c>
      <c r="J247" s="102">
        <v>0.39</v>
      </c>
      <c r="K247" s="102">
        <v>1.55</v>
      </c>
      <c r="L247" s="101">
        <v>15.1</v>
      </c>
      <c r="M247" s="101">
        <v>0.5</v>
      </c>
      <c r="N247" s="101" t="s">
        <v>952</v>
      </c>
      <c r="O247" s="101">
        <v>2001</v>
      </c>
      <c r="P247" s="101" t="s">
        <v>867</v>
      </c>
      <c r="Q247" s="101">
        <v>577304</v>
      </c>
      <c r="R247" t="s">
        <v>814</v>
      </c>
      <c r="S247" t="s">
        <v>49</v>
      </c>
      <c r="T247"/>
      <c r="U247"/>
      <c r="V247"/>
      <c r="W247" s="223"/>
    </row>
    <row r="248" spans="1:23" x14ac:dyDescent="0.2">
      <c r="A248" s="253" t="s">
        <v>317</v>
      </c>
      <c r="B248" s="101">
        <v>7</v>
      </c>
      <c r="C248" s="101">
        <v>7</v>
      </c>
      <c r="D248" s="101">
        <v>6</v>
      </c>
      <c r="E248" s="101">
        <v>-5</v>
      </c>
      <c r="F248" s="101">
        <v>-9</v>
      </c>
      <c r="G248" s="101">
        <v>7</v>
      </c>
      <c r="H248" s="101">
        <v>-28</v>
      </c>
      <c r="I248" s="101">
        <v>-6</v>
      </c>
      <c r="J248" s="102">
        <v>0.39</v>
      </c>
      <c r="K248" s="102">
        <v>1.54</v>
      </c>
      <c r="L248" s="101">
        <v>14.1</v>
      </c>
      <c r="M248" s="101">
        <v>0.2</v>
      </c>
      <c r="N248" s="101" t="s">
        <v>952</v>
      </c>
      <c r="O248" s="101">
        <v>2000</v>
      </c>
      <c r="P248" s="101" t="s">
        <v>867</v>
      </c>
      <c r="Q248" s="101">
        <v>144337</v>
      </c>
      <c r="R248" t="s">
        <v>814</v>
      </c>
      <c r="S248" t="s">
        <v>312</v>
      </c>
      <c r="T248"/>
      <c r="U248"/>
      <c r="V248"/>
      <c r="W248" s="223"/>
    </row>
    <row r="249" spans="1:23" x14ac:dyDescent="0.2">
      <c r="A249" s="253" t="s">
        <v>52</v>
      </c>
      <c r="B249" s="101">
        <v>7</v>
      </c>
      <c r="C249" s="101">
        <v>7</v>
      </c>
      <c r="D249" s="101">
        <v>4</v>
      </c>
      <c r="E249" s="101">
        <v>-10</v>
      </c>
      <c r="F249" s="101">
        <v>-12</v>
      </c>
      <c r="G249" s="101">
        <v>11</v>
      </c>
      <c r="H249" s="101">
        <v>-30</v>
      </c>
      <c r="I249" s="101">
        <v>-7</v>
      </c>
      <c r="J249" s="102">
        <v>0.39</v>
      </c>
      <c r="K249" s="102">
        <v>1.53</v>
      </c>
      <c r="L249" s="101">
        <v>16.2</v>
      </c>
      <c r="M249" s="101">
        <v>0.3</v>
      </c>
      <c r="N249" s="101" t="s">
        <v>952</v>
      </c>
      <c r="O249" s="101">
        <v>2000</v>
      </c>
      <c r="P249" s="101" t="s">
        <v>867</v>
      </c>
      <c r="Q249" s="101">
        <v>108506</v>
      </c>
      <c r="R249" t="s">
        <v>814</v>
      </c>
      <c r="S249" t="s">
        <v>49</v>
      </c>
      <c r="T249"/>
      <c r="U249"/>
      <c r="V249"/>
      <c r="W249" s="223"/>
    </row>
    <row r="250" spans="1:23" x14ac:dyDescent="0.2">
      <c r="A250" s="253" t="s">
        <v>153</v>
      </c>
      <c r="B250" s="101">
        <v>8</v>
      </c>
      <c r="C250" s="101">
        <v>8</v>
      </c>
      <c r="D250" s="101">
        <v>6</v>
      </c>
      <c r="E250" s="101">
        <v>-6</v>
      </c>
      <c r="F250" s="101">
        <v>-5</v>
      </c>
      <c r="G250" s="101">
        <v>61</v>
      </c>
      <c r="H250" s="101">
        <v>13</v>
      </c>
      <c r="I250" s="101">
        <v>2</v>
      </c>
      <c r="J250" s="102">
        <v>0.4</v>
      </c>
      <c r="K250" s="102">
        <v>1.6</v>
      </c>
      <c r="L250" s="101">
        <v>17.3</v>
      </c>
      <c r="M250" s="101">
        <v>1</v>
      </c>
      <c r="N250" s="101" t="s">
        <v>952</v>
      </c>
      <c r="O250" s="101">
        <v>2001</v>
      </c>
      <c r="P250" s="101" t="s">
        <v>867</v>
      </c>
      <c r="Q250" s="101">
        <v>720623</v>
      </c>
      <c r="R250" t="s">
        <v>814</v>
      </c>
      <c r="S250" t="s">
        <v>150</v>
      </c>
      <c r="T250"/>
      <c r="U250"/>
      <c r="V250"/>
      <c r="W250" s="223"/>
    </row>
    <row r="251" spans="1:23" x14ac:dyDescent="0.2">
      <c r="A251" s="253" t="s">
        <v>173</v>
      </c>
      <c r="B251" s="101">
        <v>7</v>
      </c>
      <c r="C251" s="101">
        <v>7</v>
      </c>
      <c r="D251" s="101">
        <v>7</v>
      </c>
      <c r="E251" s="101">
        <v>1</v>
      </c>
      <c r="F251" s="101">
        <v>0</v>
      </c>
      <c r="G251" s="101">
        <v>56</v>
      </c>
      <c r="H251" s="101">
        <v>11</v>
      </c>
      <c r="I251" s="101">
        <v>2</v>
      </c>
      <c r="J251" s="102">
        <v>0.4</v>
      </c>
      <c r="K251" s="102">
        <v>1</v>
      </c>
      <c r="L251" s="101">
        <v>14.5</v>
      </c>
      <c r="M251" s="101">
        <v>1</v>
      </c>
      <c r="N251" s="101" t="s">
        <v>956</v>
      </c>
      <c r="O251" s="101">
        <v>2002</v>
      </c>
      <c r="P251" s="101" t="s">
        <v>742</v>
      </c>
      <c r="Q251" s="101">
        <v>984187</v>
      </c>
      <c r="R251" t="s">
        <v>913</v>
      </c>
      <c r="S251" t="s">
        <v>166</v>
      </c>
      <c r="T251"/>
      <c r="U251"/>
      <c r="V251"/>
      <c r="W251" s="223"/>
    </row>
    <row r="252" spans="1:23" x14ac:dyDescent="0.2">
      <c r="A252" s="253" t="s">
        <v>597</v>
      </c>
      <c r="B252" s="101">
        <v>10</v>
      </c>
      <c r="C252" s="101">
        <v>10</v>
      </c>
      <c r="D252" s="101">
        <v>8</v>
      </c>
      <c r="E252" s="101">
        <v>-2</v>
      </c>
      <c r="F252" s="101">
        <v>-3</v>
      </c>
      <c r="G252" s="101">
        <v>66</v>
      </c>
      <c r="H252" s="101">
        <v>11</v>
      </c>
      <c r="I252" s="101">
        <v>2</v>
      </c>
      <c r="J252" s="102">
        <v>0.4</v>
      </c>
      <c r="K252" s="102">
        <v>1.6</v>
      </c>
      <c r="L252" s="101">
        <v>16.399999999999999</v>
      </c>
      <c r="M252" s="101">
        <v>1.1000000000000001</v>
      </c>
      <c r="N252" s="101" t="s">
        <v>952</v>
      </c>
      <c r="O252" s="101">
        <v>2007</v>
      </c>
      <c r="P252" s="101" t="s">
        <v>742</v>
      </c>
      <c r="Q252" s="101">
        <v>286294</v>
      </c>
      <c r="R252" t="s">
        <v>598</v>
      </c>
      <c r="S252" t="s">
        <v>861</v>
      </c>
      <c r="T252"/>
      <c r="U252"/>
      <c r="V252"/>
      <c r="W252" s="223"/>
    </row>
    <row r="253" spans="1:23" x14ac:dyDescent="0.2">
      <c r="A253" s="253" t="s">
        <v>790</v>
      </c>
      <c r="B253" s="101">
        <v>8</v>
      </c>
      <c r="C253" s="101">
        <v>8</v>
      </c>
      <c r="D253" s="101">
        <v>6</v>
      </c>
      <c r="E253" s="101">
        <v>0</v>
      </c>
      <c r="F253" s="101">
        <v>-6</v>
      </c>
      <c r="G253" s="101">
        <v>73</v>
      </c>
      <c r="H253" s="101">
        <v>0</v>
      </c>
      <c r="I253" s="101">
        <v>0</v>
      </c>
      <c r="J253" s="102">
        <v>0.4</v>
      </c>
      <c r="K253" s="102">
        <v>1.42</v>
      </c>
      <c r="L253" s="101">
        <v>17.600000000000001</v>
      </c>
      <c r="M253" s="101">
        <v>1.2</v>
      </c>
      <c r="N253" s="101" t="s">
        <v>952</v>
      </c>
      <c r="O253" s="101">
        <v>2003</v>
      </c>
      <c r="P253" s="101" t="s">
        <v>867</v>
      </c>
      <c r="Q253" s="101">
        <v>403584</v>
      </c>
      <c r="R253" t="s">
        <v>810</v>
      </c>
      <c r="S253" t="s">
        <v>781</v>
      </c>
      <c r="T253"/>
      <c r="U253"/>
      <c r="V253"/>
      <c r="W253" s="223"/>
    </row>
    <row r="254" spans="1:23" x14ac:dyDescent="0.2">
      <c r="A254" s="253" t="s">
        <v>263</v>
      </c>
      <c r="B254" s="101">
        <v>4</v>
      </c>
      <c r="C254" s="101">
        <v>4</v>
      </c>
      <c r="D254" s="101">
        <v>7</v>
      </c>
      <c r="E254" s="101">
        <v>-3</v>
      </c>
      <c r="F254" s="101">
        <v>-2</v>
      </c>
      <c r="G254" s="101">
        <v>3</v>
      </c>
      <c r="H254" s="101">
        <v>-28</v>
      </c>
      <c r="I254" s="101">
        <v>-6</v>
      </c>
      <c r="J254" s="102">
        <v>0.4</v>
      </c>
      <c r="K254" s="102">
        <v>1.6</v>
      </c>
      <c r="L254" s="101">
        <v>13.9</v>
      </c>
      <c r="M254" s="101">
        <v>0.1</v>
      </c>
      <c r="N254" s="101" t="s">
        <v>952</v>
      </c>
      <c r="O254" s="101">
        <v>2001</v>
      </c>
      <c r="P254" s="101" t="s">
        <v>867</v>
      </c>
      <c r="Q254" s="101">
        <v>756452</v>
      </c>
      <c r="R254" t="s">
        <v>814</v>
      </c>
      <c r="S254" t="s">
        <v>254</v>
      </c>
      <c r="T254"/>
      <c r="U254"/>
      <c r="V254"/>
      <c r="W254" s="223"/>
    </row>
    <row r="255" spans="1:23" x14ac:dyDescent="0.2">
      <c r="A255" s="253" t="s">
        <v>846</v>
      </c>
      <c r="B255" s="101">
        <v>4</v>
      </c>
      <c r="C255" s="101">
        <v>4</v>
      </c>
      <c r="D255" s="101">
        <v>3</v>
      </c>
      <c r="E255" s="101">
        <v>0</v>
      </c>
      <c r="F255" s="101">
        <v>4</v>
      </c>
      <c r="G255" s="101"/>
      <c r="H255" s="101"/>
      <c r="I255" s="101"/>
      <c r="J255" s="102">
        <v>0.4</v>
      </c>
      <c r="K255" s="102">
        <v>1.03</v>
      </c>
      <c r="L255" s="101"/>
      <c r="M255" s="101"/>
      <c r="N255" s="101" t="s">
        <v>952</v>
      </c>
      <c r="O255" s="101">
        <v>2009</v>
      </c>
      <c r="P255" s="101" t="s">
        <v>742</v>
      </c>
      <c r="Q255" s="101">
        <v>408898</v>
      </c>
      <c r="R255" t="s">
        <v>801</v>
      </c>
      <c r="S255" t="s">
        <v>735</v>
      </c>
      <c r="T255"/>
      <c r="U255"/>
      <c r="V255"/>
      <c r="W255" s="223"/>
    </row>
    <row r="256" spans="1:23" x14ac:dyDescent="0.2">
      <c r="A256" s="253" t="s">
        <v>800</v>
      </c>
      <c r="B256" s="101">
        <v>10</v>
      </c>
      <c r="C256" s="101">
        <v>10</v>
      </c>
      <c r="D256" s="101">
        <v>10</v>
      </c>
      <c r="E256" s="101">
        <v>0</v>
      </c>
      <c r="F256" s="101">
        <v>-7</v>
      </c>
      <c r="G256" s="101">
        <v>139</v>
      </c>
      <c r="H256" s="101"/>
      <c r="I256" s="101"/>
      <c r="J256" s="102">
        <v>0.4</v>
      </c>
      <c r="K256" s="102">
        <v>1.4</v>
      </c>
      <c r="L256" s="101">
        <v>22.2</v>
      </c>
      <c r="M256" s="101">
        <v>1.4</v>
      </c>
      <c r="N256" s="101" t="s">
        <v>952</v>
      </c>
      <c r="O256" s="101">
        <v>2009</v>
      </c>
      <c r="P256" s="101" t="s">
        <v>867</v>
      </c>
      <c r="Q256" s="101">
        <v>140491</v>
      </c>
      <c r="R256" t="s">
        <v>793</v>
      </c>
      <c r="S256" t="s">
        <v>861</v>
      </c>
      <c r="T256"/>
      <c r="U256"/>
      <c r="V256"/>
      <c r="W256" s="223"/>
    </row>
    <row r="257" spans="1:23" x14ac:dyDescent="0.2">
      <c r="A257" s="253" t="s">
        <v>388</v>
      </c>
      <c r="B257" s="101">
        <v>0</v>
      </c>
      <c r="C257" s="101">
        <v>0</v>
      </c>
      <c r="D257" s="101">
        <v>0</v>
      </c>
      <c r="E257" s="101">
        <v>0</v>
      </c>
      <c r="F257" s="101">
        <v>-1</v>
      </c>
      <c r="G257" s="101"/>
      <c r="H257" s="101"/>
      <c r="I257" s="101"/>
      <c r="J257" s="102">
        <v>0.4</v>
      </c>
      <c r="K257" s="102">
        <v>1.1499999999999999</v>
      </c>
      <c r="L257" s="101"/>
      <c r="M257" s="101"/>
      <c r="N257" s="101" t="s">
        <v>957</v>
      </c>
      <c r="O257" s="101">
        <v>2009</v>
      </c>
      <c r="P257" s="101" t="s">
        <v>742</v>
      </c>
      <c r="Q257" s="101">
        <v>339069</v>
      </c>
      <c r="R257" t="s">
        <v>930</v>
      </c>
      <c r="S257" t="s">
        <v>735</v>
      </c>
      <c r="T257"/>
      <c r="U257"/>
      <c r="V257"/>
      <c r="W257" s="223"/>
    </row>
    <row r="258" spans="1:23" x14ac:dyDescent="0.2">
      <c r="A258" s="253" t="s">
        <v>334</v>
      </c>
      <c r="B258" s="101">
        <v>3</v>
      </c>
      <c r="C258" s="101">
        <v>3</v>
      </c>
      <c r="D258" s="101">
        <v>5</v>
      </c>
      <c r="E258" s="101">
        <v>3</v>
      </c>
      <c r="F258" s="101">
        <v>3</v>
      </c>
      <c r="G258" s="101">
        <v>39</v>
      </c>
      <c r="H258" s="101">
        <v>3</v>
      </c>
      <c r="I258" s="101">
        <v>1</v>
      </c>
      <c r="J258" s="102">
        <v>0.41</v>
      </c>
      <c r="K258" s="102">
        <v>1.26</v>
      </c>
      <c r="L258" s="101">
        <v>8.4</v>
      </c>
      <c r="M258" s="101">
        <v>1.3</v>
      </c>
      <c r="N258" s="101" t="s">
        <v>952</v>
      </c>
      <c r="O258" s="101">
        <v>2002</v>
      </c>
      <c r="P258" s="101" t="s">
        <v>867</v>
      </c>
      <c r="Q258" s="101">
        <v>879114</v>
      </c>
      <c r="R258" t="s">
        <v>907</v>
      </c>
      <c r="S258" t="s">
        <v>329</v>
      </c>
      <c r="T258"/>
      <c r="U258"/>
      <c r="V258"/>
      <c r="W258" s="223"/>
    </row>
    <row r="259" spans="1:23" x14ac:dyDescent="0.2">
      <c r="A259" s="253" t="s">
        <v>437</v>
      </c>
      <c r="B259" s="101">
        <v>5</v>
      </c>
      <c r="C259" s="101">
        <v>5</v>
      </c>
      <c r="D259" s="101">
        <v>3</v>
      </c>
      <c r="E259" s="101">
        <v>-3</v>
      </c>
      <c r="F259" s="101">
        <v>-7</v>
      </c>
      <c r="G259" s="101">
        <v>67</v>
      </c>
      <c r="H259" s="101">
        <v>0</v>
      </c>
      <c r="I259" s="101">
        <v>0</v>
      </c>
      <c r="J259" s="102">
        <v>0.41</v>
      </c>
      <c r="K259" s="102">
        <v>1.52</v>
      </c>
      <c r="L259" s="101">
        <v>15.8</v>
      </c>
      <c r="M259" s="101">
        <v>1.2</v>
      </c>
      <c r="N259" s="101" t="s">
        <v>952</v>
      </c>
      <c r="O259" s="101">
        <v>2000</v>
      </c>
      <c r="P259" s="101" t="s">
        <v>867</v>
      </c>
      <c r="Q259" s="101">
        <v>357483</v>
      </c>
      <c r="R259" t="s">
        <v>1000</v>
      </c>
      <c r="S259" t="s">
        <v>843</v>
      </c>
      <c r="T259"/>
      <c r="U259"/>
      <c r="V259"/>
      <c r="W259" s="223"/>
    </row>
    <row r="260" spans="1:23" x14ac:dyDescent="0.2">
      <c r="A260" s="253" t="s">
        <v>436</v>
      </c>
      <c r="B260" s="101">
        <v>4</v>
      </c>
      <c r="C260" s="101">
        <v>4</v>
      </c>
      <c r="D260" s="101">
        <v>6</v>
      </c>
      <c r="E260" s="101">
        <v>2</v>
      </c>
      <c r="F260" s="101">
        <v>3</v>
      </c>
      <c r="G260" s="101">
        <v>31</v>
      </c>
      <c r="H260" s="101">
        <v>-21</v>
      </c>
      <c r="I260" s="101">
        <v>-5</v>
      </c>
      <c r="J260" s="102">
        <v>0.41</v>
      </c>
      <c r="K260" s="102">
        <v>1.5</v>
      </c>
      <c r="L260" s="101">
        <v>12</v>
      </c>
      <c r="M260" s="101">
        <v>0.8</v>
      </c>
      <c r="N260" s="101" t="s">
        <v>952</v>
      </c>
      <c r="O260" s="101">
        <v>2000</v>
      </c>
      <c r="P260" s="101" t="s">
        <v>867</v>
      </c>
      <c r="Q260" s="101">
        <v>321653</v>
      </c>
      <c r="R260" t="s">
        <v>1000</v>
      </c>
      <c r="S260" t="s">
        <v>166</v>
      </c>
      <c r="T260"/>
      <c r="U260"/>
      <c r="V260"/>
      <c r="W260" s="223"/>
    </row>
    <row r="261" spans="1:23" x14ac:dyDescent="0.2">
      <c r="A261" s="253" t="s">
        <v>726</v>
      </c>
      <c r="B261" s="101">
        <v>0</v>
      </c>
      <c r="C261" s="101">
        <v>0</v>
      </c>
      <c r="D261" s="101">
        <v>-1</v>
      </c>
      <c r="E261" s="101">
        <v>1</v>
      </c>
      <c r="F261" s="101"/>
      <c r="G261" s="101"/>
      <c r="H261" s="101"/>
      <c r="I261" s="101"/>
      <c r="J261" s="102">
        <v>0.41</v>
      </c>
      <c r="K261" s="102">
        <v>0.9</v>
      </c>
      <c r="L261" s="101"/>
      <c r="M261" s="101"/>
      <c r="N261" s="101" t="s">
        <v>955</v>
      </c>
      <c r="O261" s="101">
        <v>2011</v>
      </c>
      <c r="P261" s="101" t="s">
        <v>742</v>
      </c>
      <c r="Q261" s="101">
        <v>288001</v>
      </c>
      <c r="R261" t="s">
        <v>140</v>
      </c>
      <c r="S261" t="s">
        <v>721</v>
      </c>
      <c r="T261"/>
      <c r="U261"/>
      <c r="V261"/>
      <c r="W261" s="223"/>
    </row>
    <row r="262" spans="1:23" x14ac:dyDescent="0.2">
      <c r="A262" s="253" t="s">
        <v>93</v>
      </c>
      <c r="B262" s="101">
        <v>-1</v>
      </c>
      <c r="C262" s="101">
        <v>-1</v>
      </c>
      <c r="D262" s="101">
        <v>-4</v>
      </c>
      <c r="E262" s="101">
        <v>-5</v>
      </c>
      <c r="F262" s="101">
        <v>-4</v>
      </c>
      <c r="G262" s="101">
        <v>-24</v>
      </c>
      <c r="H262" s="101"/>
      <c r="I262" s="101"/>
      <c r="J262" s="102">
        <v>0.41</v>
      </c>
      <c r="K262" s="102">
        <v>0.89</v>
      </c>
      <c r="L262" s="101">
        <v>10.3</v>
      </c>
      <c r="M262" s="101">
        <v>-0.9</v>
      </c>
      <c r="N262" s="101" t="s">
        <v>955</v>
      </c>
      <c r="O262" s="101">
        <v>2009</v>
      </c>
      <c r="P262" s="101" t="s">
        <v>742</v>
      </c>
      <c r="Q262" s="101">
        <v>785436</v>
      </c>
      <c r="R262" t="s">
        <v>92</v>
      </c>
      <c r="S262" t="s">
        <v>312</v>
      </c>
      <c r="T262"/>
      <c r="U262"/>
      <c r="V262"/>
      <c r="W262" s="223"/>
    </row>
    <row r="263" spans="1:23" x14ac:dyDescent="0.2">
      <c r="A263" s="253" t="s">
        <v>805</v>
      </c>
      <c r="B263" s="101">
        <v>9</v>
      </c>
      <c r="C263" s="101">
        <v>9</v>
      </c>
      <c r="D263" s="101">
        <v>10</v>
      </c>
      <c r="E263" s="101">
        <v>5</v>
      </c>
      <c r="F263" s="101">
        <v>-3</v>
      </c>
      <c r="G263" s="101">
        <v>116</v>
      </c>
      <c r="H263" s="101">
        <v>12</v>
      </c>
      <c r="I263" s="101">
        <v>2</v>
      </c>
      <c r="J263" s="102">
        <v>0.42</v>
      </c>
      <c r="K263" s="102">
        <v>1.5</v>
      </c>
      <c r="L263" s="101">
        <v>21.5</v>
      </c>
      <c r="M263" s="101">
        <v>1.3</v>
      </c>
      <c r="N263" s="101" t="s">
        <v>952</v>
      </c>
      <c r="O263" s="101">
        <v>2000</v>
      </c>
      <c r="P263" s="101" t="s">
        <v>867</v>
      </c>
      <c r="Q263" s="101">
        <v>952010</v>
      </c>
      <c r="R263" t="s">
        <v>787</v>
      </c>
      <c r="S263" t="s">
        <v>837</v>
      </c>
      <c r="T263"/>
      <c r="U263"/>
      <c r="V263"/>
      <c r="W263" s="223"/>
    </row>
    <row r="264" spans="1:23" x14ac:dyDescent="0.2">
      <c r="A264" s="253" t="s">
        <v>898</v>
      </c>
      <c r="B264" s="101">
        <v>7</v>
      </c>
      <c r="C264" s="101">
        <v>7</v>
      </c>
      <c r="D264" s="101">
        <v>5</v>
      </c>
      <c r="E264" s="101">
        <v>-2</v>
      </c>
      <c r="F264" s="101">
        <v>-8</v>
      </c>
      <c r="G264" s="101">
        <v>84</v>
      </c>
      <c r="H264" s="101">
        <v>2</v>
      </c>
      <c r="I264" s="101">
        <v>0</v>
      </c>
      <c r="J264" s="102">
        <v>0.42</v>
      </c>
      <c r="K264" s="102">
        <v>1.481727</v>
      </c>
      <c r="L264" s="101">
        <v>18</v>
      </c>
      <c r="M264" s="101">
        <v>1.3</v>
      </c>
      <c r="N264" s="101" t="s">
        <v>952</v>
      </c>
      <c r="O264" s="101">
        <v>2000</v>
      </c>
      <c r="P264" s="101" t="s">
        <v>867</v>
      </c>
      <c r="Q264" s="101">
        <v>916189</v>
      </c>
      <c r="R264" t="s">
        <v>787</v>
      </c>
      <c r="S264" t="s">
        <v>781</v>
      </c>
      <c r="T264"/>
      <c r="U264"/>
      <c r="V264"/>
      <c r="W264" s="223"/>
    </row>
    <row r="265" spans="1:23" x14ac:dyDescent="0.2">
      <c r="A265" s="253" t="s">
        <v>301</v>
      </c>
      <c r="B265" s="101">
        <v>6</v>
      </c>
      <c r="C265" s="101">
        <v>6</v>
      </c>
      <c r="D265" s="101">
        <v>6</v>
      </c>
      <c r="E265" s="101">
        <v>5</v>
      </c>
      <c r="F265" s="101">
        <v>2</v>
      </c>
      <c r="G265" s="101">
        <v>40</v>
      </c>
      <c r="H265" s="101">
        <v>0</v>
      </c>
      <c r="I265" s="101">
        <v>0</v>
      </c>
      <c r="J265" s="102">
        <v>0.42</v>
      </c>
      <c r="K265" s="102">
        <v>1.55</v>
      </c>
      <c r="L265" s="101">
        <v>13.6</v>
      </c>
      <c r="M265" s="101">
        <v>0.8</v>
      </c>
      <c r="N265" s="101" t="s">
        <v>952</v>
      </c>
      <c r="O265" s="101">
        <v>2000</v>
      </c>
      <c r="P265" s="101" t="s">
        <v>867</v>
      </c>
      <c r="Q265" s="101">
        <v>126094</v>
      </c>
      <c r="R265" t="s">
        <v>810</v>
      </c>
      <c r="S265" t="s">
        <v>293</v>
      </c>
      <c r="T265"/>
      <c r="U265"/>
      <c r="V265"/>
      <c r="W265" s="223"/>
    </row>
    <row r="266" spans="1:23" x14ac:dyDescent="0.2">
      <c r="A266" s="253" t="s">
        <v>299</v>
      </c>
      <c r="B266" s="101">
        <v>5</v>
      </c>
      <c r="C266" s="101">
        <v>5</v>
      </c>
      <c r="D266" s="101">
        <v>4</v>
      </c>
      <c r="E266" s="101">
        <v>-2</v>
      </c>
      <c r="F266" s="101">
        <v>-7</v>
      </c>
      <c r="G266" s="101">
        <v>68</v>
      </c>
      <c r="H266" s="101">
        <v>-7</v>
      </c>
      <c r="I266" s="101">
        <v>-1</v>
      </c>
      <c r="J266" s="102">
        <v>0.42</v>
      </c>
      <c r="K266" s="102">
        <v>1.3</v>
      </c>
      <c r="L266" s="101">
        <v>16.5</v>
      </c>
      <c r="M266" s="101">
        <v>1.2</v>
      </c>
      <c r="N266" s="101" t="s">
        <v>952</v>
      </c>
      <c r="O266" s="101">
        <v>2002</v>
      </c>
      <c r="P266" s="101" t="s">
        <v>867</v>
      </c>
      <c r="Q266" s="101">
        <v>158261</v>
      </c>
      <c r="R266" t="s">
        <v>907</v>
      </c>
      <c r="S266" t="s">
        <v>781</v>
      </c>
      <c r="T266"/>
      <c r="U266"/>
      <c r="V266"/>
      <c r="W266" s="223"/>
    </row>
    <row r="267" spans="1:23" x14ac:dyDescent="0.2">
      <c r="A267" s="253" t="s">
        <v>129</v>
      </c>
      <c r="B267" s="101">
        <v>2</v>
      </c>
      <c r="C267" s="101">
        <v>2</v>
      </c>
      <c r="D267" s="101">
        <v>8</v>
      </c>
      <c r="E267" s="101">
        <v>8</v>
      </c>
      <c r="F267" s="101">
        <v>10</v>
      </c>
      <c r="G267" s="101">
        <v>21</v>
      </c>
      <c r="H267" s="101">
        <v>-3</v>
      </c>
      <c r="I267" s="101">
        <v>-1</v>
      </c>
      <c r="J267" s="102">
        <v>0.42</v>
      </c>
      <c r="K267" s="102">
        <v>1.54</v>
      </c>
      <c r="L267" s="101">
        <v>10</v>
      </c>
      <c r="M267" s="101">
        <v>0.6</v>
      </c>
      <c r="N267" s="101" t="s">
        <v>952</v>
      </c>
      <c r="O267" s="101">
        <v>2000</v>
      </c>
      <c r="P267" s="101" t="s">
        <v>867</v>
      </c>
      <c r="Q267" s="101">
        <v>456475</v>
      </c>
      <c r="R267" t="s">
        <v>810</v>
      </c>
      <c r="S267" t="s">
        <v>114</v>
      </c>
      <c r="T267"/>
      <c r="U267"/>
      <c r="V267"/>
      <c r="W267" s="223"/>
    </row>
    <row r="268" spans="1:23" x14ac:dyDescent="0.2">
      <c r="A268" s="253" t="s">
        <v>1006</v>
      </c>
      <c r="B268" s="101">
        <v>4</v>
      </c>
      <c r="C268" s="101">
        <v>4</v>
      </c>
      <c r="D268" s="101">
        <v>7</v>
      </c>
      <c r="E268" s="101">
        <v>2</v>
      </c>
      <c r="F268" s="101">
        <v>4</v>
      </c>
      <c r="G268" s="101">
        <v>16</v>
      </c>
      <c r="H268" s="101">
        <v>-7</v>
      </c>
      <c r="I268" s="101">
        <v>-1</v>
      </c>
      <c r="J268" s="102">
        <v>0.42</v>
      </c>
      <c r="K268" s="102">
        <v>1.6</v>
      </c>
      <c r="L268" s="101">
        <v>9.8000000000000007</v>
      </c>
      <c r="M268" s="101">
        <v>0.5</v>
      </c>
      <c r="N268" s="101" t="s">
        <v>952</v>
      </c>
      <c r="O268" s="101">
        <v>2000</v>
      </c>
      <c r="P268" s="101" t="s">
        <v>742</v>
      </c>
      <c r="Q268" s="101">
        <v>384818</v>
      </c>
      <c r="R268" t="s">
        <v>878</v>
      </c>
      <c r="S268" t="s">
        <v>166</v>
      </c>
      <c r="T268"/>
      <c r="U268"/>
      <c r="V268"/>
      <c r="W268" s="223"/>
    </row>
    <row r="269" spans="1:23" x14ac:dyDescent="0.2">
      <c r="A269" s="253" t="s">
        <v>1034</v>
      </c>
      <c r="B269" s="101">
        <v>3</v>
      </c>
      <c r="C269" s="101">
        <v>3</v>
      </c>
      <c r="D269" s="101">
        <v>-1</v>
      </c>
      <c r="E269" s="101">
        <v>-12</v>
      </c>
      <c r="F269" s="101">
        <v>-13</v>
      </c>
      <c r="G269" s="101">
        <v>46</v>
      </c>
      <c r="H269" s="101">
        <v>-3</v>
      </c>
      <c r="I269" s="101">
        <v>-1</v>
      </c>
      <c r="J269" s="102">
        <v>0.42</v>
      </c>
      <c r="K269" s="102">
        <v>2</v>
      </c>
      <c r="L269" s="101">
        <v>15.2</v>
      </c>
      <c r="M269" s="101">
        <v>0.9</v>
      </c>
      <c r="N269" s="101" t="s">
        <v>956</v>
      </c>
      <c r="O269" s="101">
        <v>2008</v>
      </c>
      <c r="P269" s="101" t="s">
        <v>742</v>
      </c>
      <c r="Q269" s="101">
        <v>571695</v>
      </c>
      <c r="R269" t="s">
        <v>981</v>
      </c>
      <c r="S269" t="s">
        <v>49</v>
      </c>
      <c r="T269" t="s">
        <v>953</v>
      </c>
      <c r="U269"/>
      <c r="V269"/>
      <c r="W269" s="223"/>
    </row>
    <row r="270" spans="1:23" x14ac:dyDescent="0.2">
      <c r="A270" s="253" t="s">
        <v>170</v>
      </c>
      <c r="B270" s="101">
        <v>7</v>
      </c>
      <c r="C270" s="101">
        <v>7</v>
      </c>
      <c r="D270" s="101">
        <v>10</v>
      </c>
      <c r="E270" s="101">
        <v>5</v>
      </c>
      <c r="F270" s="101">
        <v>4</v>
      </c>
      <c r="G270" s="101">
        <v>23</v>
      </c>
      <c r="H270" s="101">
        <v>-9</v>
      </c>
      <c r="I270" s="101">
        <v>-2</v>
      </c>
      <c r="J270" s="102">
        <v>0.42</v>
      </c>
      <c r="K270" s="102">
        <v>1.53</v>
      </c>
      <c r="L270" s="101">
        <v>11</v>
      </c>
      <c r="M270" s="101">
        <v>0.7</v>
      </c>
      <c r="N270" s="101" t="s">
        <v>952</v>
      </c>
      <c r="O270" s="101">
        <v>2004</v>
      </c>
      <c r="P270" s="101" t="s">
        <v>867</v>
      </c>
      <c r="Q270" s="101">
        <v>522581</v>
      </c>
      <c r="R270" t="s">
        <v>810</v>
      </c>
      <c r="S270" t="s">
        <v>166</v>
      </c>
      <c r="T270"/>
      <c r="U270"/>
      <c r="V270"/>
      <c r="W270" s="223"/>
    </row>
    <row r="271" spans="1:23" x14ac:dyDescent="0.2">
      <c r="A271" s="253" t="s">
        <v>332</v>
      </c>
      <c r="B271" s="101">
        <v>4</v>
      </c>
      <c r="C271" s="101">
        <v>4</v>
      </c>
      <c r="D271" s="101">
        <v>4</v>
      </c>
      <c r="E271" s="101">
        <v>1</v>
      </c>
      <c r="F271" s="101">
        <v>1</v>
      </c>
      <c r="G271" s="101">
        <v>20</v>
      </c>
      <c r="H271" s="101">
        <v>-9</v>
      </c>
      <c r="I271" s="101">
        <v>-2</v>
      </c>
      <c r="J271" s="102">
        <v>0.42</v>
      </c>
      <c r="K271" s="102">
        <v>1.52</v>
      </c>
      <c r="L271" s="101">
        <v>6.5</v>
      </c>
      <c r="M271" s="101">
        <v>0.9</v>
      </c>
      <c r="N271" s="101" t="s">
        <v>952</v>
      </c>
      <c r="O271" s="101">
        <v>2000</v>
      </c>
      <c r="P271" s="101" t="s">
        <v>867</v>
      </c>
      <c r="Q271" s="101">
        <v>599795</v>
      </c>
      <c r="R271" t="s">
        <v>810</v>
      </c>
      <c r="S271" t="s">
        <v>329</v>
      </c>
      <c r="T271"/>
      <c r="U271"/>
      <c r="V271"/>
      <c r="W271" s="223"/>
    </row>
    <row r="272" spans="1:23" x14ac:dyDescent="0.2">
      <c r="A272" s="253" t="s">
        <v>519</v>
      </c>
      <c r="B272" s="101">
        <v>4</v>
      </c>
      <c r="C272" s="101">
        <v>4</v>
      </c>
      <c r="D272" s="101">
        <v>6</v>
      </c>
      <c r="E272" s="101">
        <v>-1</v>
      </c>
      <c r="F272" s="101">
        <v>-2</v>
      </c>
      <c r="G272" s="101">
        <v>12</v>
      </c>
      <c r="H272" s="101">
        <v>-8</v>
      </c>
      <c r="I272" s="101">
        <v>-2</v>
      </c>
      <c r="J272" s="102">
        <v>0.42</v>
      </c>
      <c r="K272" s="102">
        <v>1.6</v>
      </c>
      <c r="L272" s="101">
        <v>9.8000000000000007</v>
      </c>
      <c r="M272" s="101">
        <v>0.4</v>
      </c>
      <c r="N272" s="101" t="s">
        <v>952</v>
      </c>
      <c r="O272" s="101">
        <v>2008</v>
      </c>
      <c r="P272" s="101" t="s">
        <v>742</v>
      </c>
      <c r="Q272" s="101">
        <v>106492</v>
      </c>
      <c r="R272" t="s">
        <v>878</v>
      </c>
      <c r="S272" t="s">
        <v>166</v>
      </c>
      <c r="T272" t="s">
        <v>953</v>
      </c>
      <c r="U272"/>
      <c r="V272"/>
      <c r="W272" s="223"/>
    </row>
    <row r="273" spans="1:23" x14ac:dyDescent="0.2">
      <c r="A273" s="253" t="s">
        <v>1031</v>
      </c>
      <c r="B273" s="101">
        <v>9</v>
      </c>
      <c r="C273" s="101">
        <v>9</v>
      </c>
      <c r="D273" s="101">
        <v>2</v>
      </c>
      <c r="E273" s="101">
        <v>-12</v>
      </c>
      <c r="F273" s="101">
        <v>-21</v>
      </c>
      <c r="G273" s="101">
        <v>56</v>
      </c>
      <c r="H273" s="101">
        <v>-11</v>
      </c>
      <c r="I273" s="101">
        <v>-2</v>
      </c>
      <c r="J273" s="102">
        <v>0.42</v>
      </c>
      <c r="K273" s="102">
        <v>2</v>
      </c>
      <c r="L273" s="101">
        <v>20.8</v>
      </c>
      <c r="M273" s="101">
        <v>0.8</v>
      </c>
      <c r="N273" s="101" t="s">
        <v>956</v>
      </c>
      <c r="O273" s="101">
        <v>2008</v>
      </c>
      <c r="P273" s="101" t="s">
        <v>742</v>
      </c>
      <c r="Q273" s="101">
        <v>388298</v>
      </c>
      <c r="R273" t="s">
        <v>981</v>
      </c>
      <c r="S273" t="s">
        <v>861</v>
      </c>
      <c r="T273" t="s">
        <v>953</v>
      </c>
      <c r="U273"/>
      <c r="V273"/>
      <c r="W273" s="223"/>
    </row>
    <row r="274" spans="1:23" x14ac:dyDescent="0.2">
      <c r="A274" s="253" t="s">
        <v>171</v>
      </c>
      <c r="B274" s="101">
        <v>6</v>
      </c>
      <c r="C274" s="101">
        <v>6</v>
      </c>
      <c r="D274" s="101">
        <v>6</v>
      </c>
      <c r="E274" s="101">
        <v>0</v>
      </c>
      <c r="F274" s="101">
        <v>-2</v>
      </c>
      <c r="G274" s="101">
        <v>30</v>
      </c>
      <c r="H274" s="101">
        <v>-13</v>
      </c>
      <c r="I274" s="101">
        <v>-3</v>
      </c>
      <c r="J274" s="102">
        <v>0.42</v>
      </c>
      <c r="K274" s="102">
        <v>1.52</v>
      </c>
      <c r="L274" s="101">
        <v>12.4</v>
      </c>
      <c r="M274" s="101">
        <v>0.8</v>
      </c>
      <c r="N274" s="101" t="s">
        <v>952</v>
      </c>
      <c r="O274" s="101">
        <v>2000</v>
      </c>
      <c r="P274" s="101" t="s">
        <v>867</v>
      </c>
      <c r="Q274" s="101">
        <v>563965</v>
      </c>
      <c r="R274" t="s">
        <v>810</v>
      </c>
      <c r="S274" t="s">
        <v>166</v>
      </c>
      <c r="T274"/>
      <c r="U274"/>
      <c r="V274"/>
      <c r="W274" s="223"/>
    </row>
    <row r="275" spans="1:23" x14ac:dyDescent="0.2">
      <c r="A275" s="253" t="s">
        <v>45</v>
      </c>
      <c r="B275" s="101">
        <v>6</v>
      </c>
      <c r="C275" s="101">
        <v>6</v>
      </c>
      <c r="D275" s="101">
        <v>3</v>
      </c>
      <c r="E275" s="101">
        <v>-7</v>
      </c>
      <c r="F275" s="101">
        <v>-14</v>
      </c>
      <c r="G275" s="101">
        <v>34</v>
      </c>
      <c r="H275" s="101">
        <v>-18</v>
      </c>
      <c r="I275" s="101">
        <v>-4</v>
      </c>
      <c r="J275" s="102">
        <v>0.42</v>
      </c>
      <c r="K275" s="102">
        <v>1.3</v>
      </c>
      <c r="L275" s="101">
        <v>16.899999999999999</v>
      </c>
      <c r="M275" s="101">
        <v>0.7</v>
      </c>
      <c r="N275" s="101" t="s">
        <v>952</v>
      </c>
      <c r="O275" s="101">
        <v>2005</v>
      </c>
      <c r="P275" s="101" t="s">
        <v>867</v>
      </c>
      <c r="Q275" s="101">
        <v>484923</v>
      </c>
      <c r="R275" t="s">
        <v>907</v>
      </c>
      <c r="S275" t="s">
        <v>861</v>
      </c>
      <c r="T275"/>
      <c r="U275"/>
      <c r="V275"/>
      <c r="W275" s="223"/>
    </row>
    <row r="276" spans="1:23" x14ac:dyDescent="0.2">
      <c r="A276" s="253" t="s">
        <v>1005</v>
      </c>
      <c r="B276" s="101">
        <v>5</v>
      </c>
      <c r="C276" s="101">
        <v>5</v>
      </c>
      <c r="D276" s="101">
        <v>3</v>
      </c>
      <c r="E276" s="101">
        <v>-8</v>
      </c>
      <c r="F276" s="101">
        <v>-12</v>
      </c>
      <c r="G276" s="101">
        <v>32</v>
      </c>
      <c r="H276" s="101">
        <v>-17</v>
      </c>
      <c r="I276" s="101">
        <v>-4</v>
      </c>
      <c r="J276" s="102">
        <v>0.42</v>
      </c>
      <c r="K276" s="102">
        <v>1.6</v>
      </c>
      <c r="L276" s="101">
        <v>15.5</v>
      </c>
      <c r="M276" s="101">
        <v>0.7</v>
      </c>
      <c r="N276" s="101" t="s">
        <v>952</v>
      </c>
      <c r="O276" s="101">
        <v>2000</v>
      </c>
      <c r="P276" s="101" t="s">
        <v>742</v>
      </c>
      <c r="Q276" s="101">
        <v>348987</v>
      </c>
      <c r="R276" t="s">
        <v>878</v>
      </c>
      <c r="S276" t="s">
        <v>861</v>
      </c>
      <c r="T276"/>
      <c r="U276"/>
      <c r="V276"/>
      <c r="W276" s="223"/>
    </row>
    <row r="277" spans="1:23" x14ac:dyDescent="0.2">
      <c r="A277" s="253" t="s">
        <v>610</v>
      </c>
      <c r="B277" s="101">
        <v>13</v>
      </c>
      <c r="C277" s="101">
        <v>13</v>
      </c>
      <c r="D277" s="101">
        <v>6</v>
      </c>
      <c r="E277" s="101">
        <v>-14</v>
      </c>
      <c r="F277" s="101">
        <v>-13</v>
      </c>
      <c r="G277" s="101">
        <v>154</v>
      </c>
      <c r="H277" s="101">
        <v>-20</v>
      </c>
      <c r="I277" s="101">
        <v>-4</v>
      </c>
      <c r="J277" s="102">
        <v>0.42</v>
      </c>
      <c r="K277" s="102">
        <v>2.46</v>
      </c>
      <c r="L277" s="101">
        <v>33.200000000000003</v>
      </c>
      <c r="M277" s="101">
        <v>1.1000000000000001</v>
      </c>
      <c r="N277" s="101" t="s">
        <v>952</v>
      </c>
      <c r="O277" s="101">
        <v>2001</v>
      </c>
      <c r="P277" s="101" t="s">
        <v>867</v>
      </c>
      <c r="Q277" s="101">
        <v>752204</v>
      </c>
      <c r="R277" t="s">
        <v>198</v>
      </c>
      <c r="S277" t="s">
        <v>417</v>
      </c>
      <c r="T277"/>
      <c r="U277"/>
      <c r="V277"/>
      <c r="W277" s="223"/>
    </row>
    <row r="278" spans="1:23" x14ac:dyDescent="0.2">
      <c r="A278" s="253" t="s">
        <v>1004</v>
      </c>
      <c r="B278" s="101">
        <v>4</v>
      </c>
      <c r="C278" s="101">
        <v>4</v>
      </c>
      <c r="D278" s="101">
        <v>3</v>
      </c>
      <c r="E278" s="101">
        <v>-2</v>
      </c>
      <c r="F278" s="101">
        <v>-1</v>
      </c>
      <c r="G278" s="101">
        <v>25</v>
      </c>
      <c r="H278" s="101">
        <v>-25</v>
      </c>
      <c r="I278" s="101">
        <v>-6</v>
      </c>
      <c r="J278" s="102">
        <v>0.42</v>
      </c>
      <c r="K278" s="102">
        <v>1.6</v>
      </c>
      <c r="L278" s="101">
        <v>10.6</v>
      </c>
      <c r="M278" s="101">
        <v>0.8</v>
      </c>
      <c r="N278" s="101" t="s">
        <v>952</v>
      </c>
      <c r="O278" s="101">
        <v>2000</v>
      </c>
      <c r="P278" s="101" t="s">
        <v>742</v>
      </c>
      <c r="Q278" s="101">
        <v>241497</v>
      </c>
      <c r="R278" t="s">
        <v>878</v>
      </c>
      <c r="S278" t="s">
        <v>49</v>
      </c>
      <c r="T278"/>
      <c r="U278"/>
      <c r="V278"/>
      <c r="W278" s="223"/>
    </row>
    <row r="279" spans="1:23" x14ac:dyDescent="0.2">
      <c r="A279" s="253" t="s">
        <v>61</v>
      </c>
      <c r="B279" s="101">
        <v>2</v>
      </c>
      <c r="C279" s="101">
        <v>2</v>
      </c>
      <c r="D279" s="101">
        <v>0</v>
      </c>
      <c r="E279" s="101">
        <v>-6</v>
      </c>
      <c r="F279" s="101">
        <v>-6</v>
      </c>
      <c r="G279" s="101">
        <v>14</v>
      </c>
      <c r="H279" s="101">
        <v>-30</v>
      </c>
      <c r="I279" s="101">
        <v>-7</v>
      </c>
      <c r="J279" s="102">
        <v>0.42</v>
      </c>
      <c r="K279" s="102">
        <v>1.53</v>
      </c>
      <c r="L279" s="101">
        <v>13.6</v>
      </c>
      <c r="M279" s="101">
        <v>0.4</v>
      </c>
      <c r="N279" s="101" t="s">
        <v>952</v>
      </c>
      <c r="O279" s="101">
        <v>2000</v>
      </c>
      <c r="P279" s="101" t="s">
        <v>867</v>
      </c>
      <c r="Q279" s="101">
        <v>492306</v>
      </c>
      <c r="R279" t="s">
        <v>810</v>
      </c>
      <c r="S279" t="s">
        <v>49</v>
      </c>
      <c r="T279"/>
      <c r="U279"/>
      <c r="V279"/>
      <c r="W279" s="223"/>
    </row>
    <row r="280" spans="1:23" x14ac:dyDescent="0.2">
      <c r="A280" s="253" t="s">
        <v>593</v>
      </c>
      <c r="B280" s="101">
        <v>17</v>
      </c>
      <c r="C280" s="101">
        <v>17</v>
      </c>
      <c r="D280" s="101">
        <v>3</v>
      </c>
      <c r="E280" s="101">
        <v>-12</v>
      </c>
      <c r="F280" s="101">
        <v>-24</v>
      </c>
      <c r="G280" s="101">
        <v>18</v>
      </c>
      <c r="H280" s="101">
        <v>-52</v>
      </c>
      <c r="I280" s="101">
        <v>-14</v>
      </c>
      <c r="J280" s="102">
        <v>0.42</v>
      </c>
      <c r="K280" s="102">
        <v>2.4500000000000002</v>
      </c>
      <c r="L280" s="101">
        <v>27.3</v>
      </c>
      <c r="M280" s="101">
        <v>0.3</v>
      </c>
      <c r="N280" s="101" t="s">
        <v>952</v>
      </c>
      <c r="O280" s="101">
        <v>2006</v>
      </c>
      <c r="P280" s="101" t="s">
        <v>867</v>
      </c>
      <c r="Q280" s="101">
        <v>201293</v>
      </c>
      <c r="R280" t="s">
        <v>198</v>
      </c>
      <c r="S280" t="s">
        <v>234</v>
      </c>
      <c r="T280"/>
      <c r="U280"/>
      <c r="V280"/>
      <c r="W280" s="223"/>
    </row>
    <row r="281" spans="1:23" x14ac:dyDescent="0.2">
      <c r="A281" s="253" t="s">
        <v>514</v>
      </c>
      <c r="B281" s="101">
        <v>8</v>
      </c>
      <c r="C281" s="101">
        <v>8</v>
      </c>
      <c r="D281" s="101">
        <v>7</v>
      </c>
      <c r="E281" s="101">
        <v>0</v>
      </c>
      <c r="F281" s="101">
        <v>-5</v>
      </c>
      <c r="G281" s="101"/>
      <c r="H281" s="101"/>
      <c r="I281" s="101"/>
      <c r="J281" s="102">
        <v>0.42</v>
      </c>
      <c r="K281" s="102">
        <v>1.6</v>
      </c>
      <c r="L281" s="101"/>
      <c r="M281" s="101"/>
      <c r="N281" s="101" t="s">
        <v>952</v>
      </c>
      <c r="O281" s="101">
        <v>2010</v>
      </c>
      <c r="P281" s="101" t="s">
        <v>742</v>
      </c>
      <c r="Q281" s="101">
        <v>721035</v>
      </c>
      <c r="R281" t="s">
        <v>878</v>
      </c>
      <c r="S281" t="s">
        <v>837</v>
      </c>
      <c r="T281"/>
      <c r="U281"/>
      <c r="V281"/>
      <c r="W281" s="223"/>
    </row>
    <row r="282" spans="1:23" x14ac:dyDescent="0.2">
      <c r="A282" s="253" t="s">
        <v>515</v>
      </c>
      <c r="B282" s="101">
        <v>8</v>
      </c>
      <c r="C282" s="101">
        <v>8</v>
      </c>
      <c r="D282" s="101">
        <v>5</v>
      </c>
      <c r="E282" s="101">
        <v>-3</v>
      </c>
      <c r="F282" s="101">
        <v>-10</v>
      </c>
      <c r="G282" s="101"/>
      <c r="H282" s="101"/>
      <c r="I282" s="101"/>
      <c r="J282" s="102">
        <v>0.42</v>
      </c>
      <c r="K282" s="102">
        <v>1.6</v>
      </c>
      <c r="L282" s="101"/>
      <c r="M282" s="101"/>
      <c r="N282" s="101" t="s">
        <v>952</v>
      </c>
      <c r="O282" s="101">
        <v>2010</v>
      </c>
      <c r="P282" s="101" t="s">
        <v>742</v>
      </c>
      <c r="Q282" s="101">
        <v>792697</v>
      </c>
      <c r="R282" t="s">
        <v>878</v>
      </c>
      <c r="S282" t="s">
        <v>781</v>
      </c>
      <c r="T282"/>
      <c r="U282"/>
      <c r="V282"/>
      <c r="W282" s="223"/>
    </row>
    <row r="283" spans="1:23" x14ac:dyDescent="0.2">
      <c r="A283" s="253" t="s">
        <v>668</v>
      </c>
      <c r="B283" s="101">
        <v>10</v>
      </c>
      <c r="C283" s="101">
        <v>10</v>
      </c>
      <c r="D283" s="101">
        <v>10</v>
      </c>
      <c r="E283" s="101">
        <v>4</v>
      </c>
      <c r="F283" s="101">
        <v>0</v>
      </c>
      <c r="G283" s="101">
        <v>73</v>
      </c>
      <c r="H283" s="101">
        <v>47</v>
      </c>
      <c r="I283" s="101">
        <v>8</v>
      </c>
      <c r="J283" s="102">
        <v>0.43</v>
      </c>
      <c r="K283" s="102">
        <v>1.75</v>
      </c>
      <c r="L283" s="101">
        <v>19.100000000000001</v>
      </c>
      <c r="M283" s="101">
        <v>1.1000000000000001</v>
      </c>
      <c r="N283" s="101" t="s">
        <v>952</v>
      </c>
      <c r="O283" s="101">
        <v>2008</v>
      </c>
      <c r="P283" s="101" t="s">
        <v>867</v>
      </c>
      <c r="Q283" s="101">
        <v>588699</v>
      </c>
      <c r="R283" t="s">
        <v>814</v>
      </c>
      <c r="S283" t="s">
        <v>418</v>
      </c>
      <c r="T283"/>
      <c r="U283"/>
      <c r="V283"/>
      <c r="W283" s="223"/>
    </row>
    <row r="284" spans="1:23" x14ac:dyDescent="0.2">
      <c r="A284" s="253" t="s">
        <v>737</v>
      </c>
      <c r="B284" s="101">
        <v>0</v>
      </c>
      <c r="C284" s="101">
        <v>0</v>
      </c>
      <c r="D284" s="101">
        <v>5</v>
      </c>
      <c r="E284" s="101">
        <v>5</v>
      </c>
      <c r="F284" s="101">
        <v>10</v>
      </c>
      <c r="G284" s="101">
        <v>5</v>
      </c>
      <c r="H284" s="101">
        <v>38</v>
      </c>
      <c r="I284" s="101">
        <v>7</v>
      </c>
      <c r="J284" s="102">
        <v>0.43</v>
      </c>
      <c r="K284" s="102">
        <v>1.26</v>
      </c>
      <c r="L284" s="101">
        <v>8.9</v>
      </c>
      <c r="M284" s="101">
        <v>0.1</v>
      </c>
      <c r="N284" s="101" t="s">
        <v>957</v>
      </c>
      <c r="O284" s="101">
        <v>2000</v>
      </c>
      <c r="P284" s="101" t="s">
        <v>742</v>
      </c>
      <c r="Q284" s="101">
        <v>370239</v>
      </c>
      <c r="R284" t="s">
        <v>403</v>
      </c>
      <c r="S284" t="s">
        <v>735</v>
      </c>
      <c r="T284"/>
      <c r="U284"/>
      <c r="V284"/>
      <c r="W284" s="223"/>
    </row>
    <row r="285" spans="1:23" x14ac:dyDescent="0.2">
      <c r="A285" s="253" t="s">
        <v>11</v>
      </c>
      <c r="B285" s="101">
        <v>3</v>
      </c>
      <c r="C285" s="101">
        <v>3</v>
      </c>
      <c r="D285" s="101">
        <v>3</v>
      </c>
      <c r="E285" s="101">
        <v>1</v>
      </c>
      <c r="F285" s="101">
        <v>0</v>
      </c>
      <c r="G285" s="101">
        <v>26</v>
      </c>
      <c r="H285" s="101">
        <v>16</v>
      </c>
      <c r="I285" s="101">
        <v>3</v>
      </c>
      <c r="J285" s="102">
        <v>0.43</v>
      </c>
      <c r="K285" s="102">
        <v>1</v>
      </c>
      <c r="L285" s="101">
        <v>4.4000000000000004</v>
      </c>
      <c r="M285" s="101">
        <v>1.7</v>
      </c>
      <c r="N285" s="101" t="s">
        <v>952</v>
      </c>
      <c r="O285" s="101">
        <v>2005</v>
      </c>
      <c r="P285" s="101" t="s">
        <v>867</v>
      </c>
      <c r="Q285" s="101">
        <v>963462</v>
      </c>
      <c r="R285" t="s">
        <v>502</v>
      </c>
      <c r="S285" t="s">
        <v>329</v>
      </c>
      <c r="T285"/>
      <c r="U285"/>
      <c r="V285"/>
      <c r="W285" s="223"/>
    </row>
    <row r="286" spans="1:23" x14ac:dyDescent="0.2">
      <c r="A286" s="253" t="s">
        <v>164</v>
      </c>
      <c r="B286" s="101">
        <v>8</v>
      </c>
      <c r="C286" s="101">
        <v>8</v>
      </c>
      <c r="D286" s="101">
        <v>6</v>
      </c>
      <c r="E286" s="101">
        <v>-7</v>
      </c>
      <c r="F286" s="101">
        <v>-5</v>
      </c>
      <c r="G286" s="101">
        <v>55</v>
      </c>
      <c r="H286" s="101">
        <v>6</v>
      </c>
      <c r="I286" s="101">
        <v>1</v>
      </c>
      <c r="J286" s="102">
        <v>0.43</v>
      </c>
      <c r="K286" s="102">
        <v>1.6</v>
      </c>
      <c r="L286" s="101">
        <v>16</v>
      </c>
      <c r="M286" s="101">
        <v>1</v>
      </c>
      <c r="N286" s="101" t="s">
        <v>952</v>
      </c>
      <c r="O286" s="101">
        <v>2001</v>
      </c>
      <c r="P286" s="101" t="s">
        <v>867</v>
      </c>
      <c r="Q286" s="101">
        <v>385401</v>
      </c>
      <c r="R286" t="s">
        <v>810</v>
      </c>
      <c r="S286" t="s">
        <v>150</v>
      </c>
      <c r="T286"/>
      <c r="U286"/>
      <c r="V286"/>
      <c r="W286" s="223"/>
    </row>
    <row r="287" spans="1:23" x14ac:dyDescent="0.2">
      <c r="A287" s="253" t="s">
        <v>258</v>
      </c>
      <c r="B287" s="101">
        <v>7</v>
      </c>
      <c r="C287" s="101">
        <v>7</v>
      </c>
      <c r="D287" s="101">
        <v>1</v>
      </c>
      <c r="E287" s="101">
        <v>-9</v>
      </c>
      <c r="F287" s="101">
        <v>-3</v>
      </c>
      <c r="G287" s="101">
        <v>61</v>
      </c>
      <c r="H287" s="101">
        <v>2</v>
      </c>
      <c r="I287" s="101">
        <v>0</v>
      </c>
      <c r="J287" s="102">
        <v>0.43</v>
      </c>
      <c r="K287" s="102">
        <v>1.05</v>
      </c>
      <c r="L287" s="101">
        <v>17</v>
      </c>
      <c r="M287" s="101">
        <v>1</v>
      </c>
      <c r="N287" s="101" t="s">
        <v>955</v>
      </c>
      <c r="O287" s="101">
        <v>2007</v>
      </c>
      <c r="P287" s="101" t="s">
        <v>742</v>
      </c>
      <c r="Q287" s="101">
        <v>335463</v>
      </c>
      <c r="R287" t="s">
        <v>411</v>
      </c>
      <c r="S287" t="s">
        <v>735</v>
      </c>
      <c r="T287"/>
      <c r="U287"/>
      <c r="V287"/>
      <c r="W287" s="223"/>
    </row>
    <row r="288" spans="1:23" x14ac:dyDescent="0.2">
      <c r="A288" s="253" t="s">
        <v>415</v>
      </c>
      <c r="B288" s="101">
        <v>3</v>
      </c>
      <c r="C288" s="101">
        <v>3</v>
      </c>
      <c r="D288" s="101">
        <v>4</v>
      </c>
      <c r="E288" s="101">
        <v>0</v>
      </c>
      <c r="F288" s="101">
        <v>-2</v>
      </c>
      <c r="G288" s="101">
        <v>21</v>
      </c>
      <c r="H288" s="101">
        <v>0</v>
      </c>
      <c r="I288" s="101">
        <v>0</v>
      </c>
      <c r="J288" s="102">
        <v>0.43</v>
      </c>
      <c r="K288" s="102">
        <v>1.4000079999999999</v>
      </c>
      <c r="L288" s="101">
        <v>6.4</v>
      </c>
      <c r="M288" s="101">
        <v>1</v>
      </c>
      <c r="N288" s="101" t="s">
        <v>952</v>
      </c>
      <c r="O288" s="101">
        <v>2000</v>
      </c>
      <c r="P288" s="101" t="s">
        <v>867</v>
      </c>
      <c r="Q288" s="101">
        <v>665372</v>
      </c>
      <c r="R288" t="s">
        <v>787</v>
      </c>
      <c r="S288" t="s">
        <v>329</v>
      </c>
      <c r="T288"/>
      <c r="U288"/>
      <c r="V288"/>
      <c r="W288" s="223"/>
    </row>
    <row r="289" spans="1:23" x14ac:dyDescent="0.2">
      <c r="A289" s="253" t="s">
        <v>1066</v>
      </c>
      <c r="B289" s="101">
        <v>0</v>
      </c>
      <c r="C289" s="101">
        <v>0</v>
      </c>
      <c r="D289" s="101">
        <v>1</v>
      </c>
      <c r="E289" s="101"/>
      <c r="F289" s="101"/>
      <c r="G289" s="101"/>
      <c r="H289" s="101"/>
      <c r="I289" s="101"/>
      <c r="J289" s="102">
        <v>0.43</v>
      </c>
      <c r="K289" s="102">
        <v>1.2</v>
      </c>
      <c r="L289" s="101"/>
      <c r="M289" s="101"/>
      <c r="N289" s="101" t="s">
        <v>952</v>
      </c>
      <c r="O289" s="101">
        <v>2011</v>
      </c>
      <c r="P289" s="101" t="s">
        <v>742</v>
      </c>
      <c r="Q289" s="101">
        <v>155606</v>
      </c>
      <c r="R289" t="s">
        <v>450</v>
      </c>
      <c r="S289" t="s">
        <v>338</v>
      </c>
      <c r="T289"/>
      <c r="U289"/>
      <c r="V289"/>
      <c r="W289" s="223"/>
    </row>
    <row r="290" spans="1:23" x14ac:dyDescent="0.2">
      <c r="A290" s="253" t="s">
        <v>959</v>
      </c>
      <c r="B290" s="101">
        <v>0</v>
      </c>
      <c r="C290" s="101">
        <v>0</v>
      </c>
      <c r="D290" s="101">
        <v>-2</v>
      </c>
      <c r="E290" s="101">
        <v>-3</v>
      </c>
      <c r="F290" s="101"/>
      <c r="G290" s="101"/>
      <c r="H290" s="101"/>
      <c r="I290" s="101"/>
      <c r="J290" s="102">
        <v>0.43</v>
      </c>
      <c r="K290" s="102">
        <v>0.88</v>
      </c>
      <c r="L290" s="101"/>
      <c r="M290" s="101"/>
      <c r="N290" s="101" t="s">
        <v>955</v>
      </c>
      <c r="O290" s="101">
        <v>2011</v>
      </c>
      <c r="P290" s="101" t="s">
        <v>742</v>
      </c>
      <c r="Q290" s="101">
        <v>857037</v>
      </c>
      <c r="R290" t="s">
        <v>140</v>
      </c>
      <c r="S290" t="s">
        <v>338</v>
      </c>
      <c r="T290"/>
      <c r="U290"/>
      <c r="V290"/>
      <c r="W290" s="223"/>
    </row>
    <row r="291" spans="1:23" x14ac:dyDescent="0.2">
      <c r="A291" s="253" t="s">
        <v>482</v>
      </c>
      <c r="B291" s="101">
        <v>5</v>
      </c>
      <c r="C291" s="101">
        <v>5</v>
      </c>
      <c r="D291" s="101">
        <v>7</v>
      </c>
      <c r="E291" s="101"/>
      <c r="F291" s="101"/>
      <c r="G291" s="101"/>
      <c r="H291" s="101"/>
      <c r="I291" s="101"/>
      <c r="J291" s="102">
        <v>0.43</v>
      </c>
      <c r="K291" s="102">
        <v>1.6</v>
      </c>
      <c r="L291" s="101"/>
      <c r="M291" s="101"/>
      <c r="N291" s="101" t="s">
        <v>952</v>
      </c>
      <c r="O291" s="101">
        <v>2011</v>
      </c>
      <c r="P291" s="101" t="s">
        <v>867</v>
      </c>
      <c r="Q291" s="101">
        <v>541235</v>
      </c>
      <c r="R291" t="s">
        <v>793</v>
      </c>
      <c r="S291" t="s">
        <v>166</v>
      </c>
      <c r="T291"/>
      <c r="U291"/>
      <c r="V291"/>
      <c r="W291" s="223"/>
    </row>
    <row r="292" spans="1:23" x14ac:dyDescent="0.2">
      <c r="A292" s="253" t="s">
        <v>405</v>
      </c>
      <c r="B292" s="101">
        <v>12</v>
      </c>
      <c r="C292" s="101">
        <v>12</v>
      </c>
      <c r="D292" s="101">
        <v>9</v>
      </c>
      <c r="E292" s="101">
        <v>0</v>
      </c>
      <c r="F292" s="101">
        <v>-3</v>
      </c>
      <c r="G292" s="101">
        <v>89</v>
      </c>
      <c r="H292" s="101">
        <v>53</v>
      </c>
      <c r="I292" s="101">
        <v>9</v>
      </c>
      <c r="J292" s="102">
        <v>0.44</v>
      </c>
      <c r="K292" s="102">
        <v>1.6015079999999999</v>
      </c>
      <c r="L292" s="101">
        <v>19.2</v>
      </c>
      <c r="M292" s="101">
        <v>1.2</v>
      </c>
      <c r="N292" s="101" t="s">
        <v>952</v>
      </c>
      <c r="O292" s="101">
        <v>2006</v>
      </c>
      <c r="P292" s="101" t="s">
        <v>867</v>
      </c>
      <c r="Q292" s="101">
        <v>679837</v>
      </c>
      <c r="R292" t="s">
        <v>787</v>
      </c>
      <c r="S292" t="s">
        <v>418</v>
      </c>
      <c r="T292"/>
      <c r="U292"/>
      <c r="V292"/>
      <c r="W292" s="223"/>
    </row>
    <row r="293" spans="1:23" x14ac:dyDescent="0.2">
      <c r="A293" s="253" t="s">
        <v>412</v>
      </c>
      <c r="B293" s="101">
        <v>9</v>
      </c>
      <c r="C293" s="101">
        <v>9</v>
      </c>
      <c r="D293" s="101">
        <v>5</v>
      </c>
      <c r="E293" s="101">
        <v>-8</v>
      </c>
      <c r="F293" s="101">
        <v>-8</v>
      </c>
      <c r="G293" s="101">
        <v>62</v>
      </c>
      <c r="H293" s="101">
        <v>14</v>
      </c>
      <c r="I293" s="101">
        <v>3</v>
      </c>
      <c r="J293" s="102">
        <v>0.44</v>
      </c>
      <c r="K293" s="102">
        <v>1.6027899999999999</v>
      </c>
      <c r="L293" s="101">
        <v>17.899999999999999</v>
      </c>
      <c r="M293" s="101">
        <v>1</v>
      </c>
      <c r="N293" s="101" t="s">
        <v>952</v>
      </c>
      <c r="O293" s="101">
        <v>2000</v>
      </c>
      <c r="P293" s="101" t="s">
        <v>867</v>
      </c>
      <c r="Q293" s="101">
        <v>987842</v>
      </c>
      <c r="R293" t="s">
        <v>787</v>
      </c>
      <c r="S293" t="s">
        <v>183</v>
      </c>
      <c r="T293"/>
      <c r="U293"/>
      <c r="V293"/>
      <c r="W293" s="223"/>
    </row>
    <row r="294" spans="1:23" x14ac:dyDescent="0.2">
      <c r="A294" s="253" t="s">
        <v>655</v>
      </c>
      <c r="B294" s="101">
        <v>16</v>
      </c>
      <c r="C294" s="101">
        <v>16</v>
      </c>
      <c r="D294" s="101">
        <v>5</v>
      </c>
      <c r="E294" s="101">
        <v>-7</v>
      </c>
      <c r="F294" s="101">
        <v>-13</v>
      </c>
      <c r="G294" s="101">
        <v>48</v>
      </c>
      <c r="H294" s="101">
        <v>7</v>
      </c>
      <c r="I294" s="101">
        <v>1</v>
      </c>
      <c r="J294" s="102">
        <v>0.44</v>
      </c>
      <c r="K294" s="102">
        <v>1.85</v>
      </c>
      <c r="L294" s="101">
        <v>22.7</v>
      </c>
      <c r="M294" s="101">
        <v>0.7</v>
      </c>
      <c r="N294" s="101" t="s">
        <v>952</v>
      </c>
      <c r="O294" s="101">
        <v>2008</v>
      </c>
      <c r="P294" s="101" t="s">
        <v>742</v>
      </c>
      <c r="Q294" s="101">
        <v>167239</v>
      </c>
      <c r="R294" t="s">
        <v>598</v>
      </c>
      <c r="S294" t="s">
        <v>183</v>
      </c>
      <c r="T294"/>
      <c r="U294"/>
      <c r="V294"/>
      <c r="W294" s="223"/>
    </row>
    <row r="295" spans="1:23" x14ac:dyDescent="0.2">
      <c r="A295" s="253" t="s">
        <v>123</v>
      </c>
      <c r="B295" s="101">
        <v>7</v>
      </c>
      <c r="C295" s="101">
        <v>7</v>
      </c>
      <c r="D295" s="101">
        <v>5</v>
      </c>
      <c r="E295" s="101">
        <v>-7</v>
      </c>
      <c r="F295" s="101">
        <v>-10</v>
      </c>
      <c r="G295" s="101">
        <v>34</v>
      </c>
      <c r="H295" s="101">
        <v>3</v>
      </c>
      <c r="I295" s="101">
        <v>1</v>
      </c>
      <c r="J295" s="102">
        <v>0.44</v>
      </c>
      <c r="K295" s="102">
        <v>1.85</v>
      </c>
      <c r="L295" s="101">
        <v>17.399999999999999</v>
      </c>
      <c r="M295" s="101">
        <v>0.7</v>
      </c>
      <c r="N295" s="101" t="s">
        <v>952</v>
      </c>
      <c r="O295" s="101">
        <v>2007</v>
      </c>
      <c r="P295" s="101" t="s">
        <v>742</v>
      </c>
      <c r="Q295" s="101">
        <v>653097</v>
      </c>
      <c r="R295" t="s">
        <v>598</v>
      </c>
      <c r="S295" t="s">
        <v>416</v>
      </c>
      <c r="T295"/>
      <c r="U295"/>
      <c r="V295"/>
      <c r="W295" s="223"/>
    </row>
    <row r="296" spans="1:23" x14ac:dyDescent="0.2">
      <c r="A296" s="253" t="s">
        <v>362</v>
      </c>
      <c r="B296" s="101">
        <v>6</v>
      </c>
      <c r="C296" s="101">
        <v>6</v>
      </c>
      <c r="D296" s="101">
        <v>5</v>
      </c>
      <c r="E296" s="101">
        <v>2</v>
      </c>
      <c r="F296" s="101">
        <v>-1</v>
      </c>
      <c r="G296" s="101">
        <v>46</v>
      </c>
      <c r="H296" s="101">
        <v>3</v>
      </c>
      <c r="I296" s="101">
        <v>1</v>
      </c>
      <c r="J296" s="102">
        <v>0.44</v>
      </c>
      <c r="K296" s="102">
        <v>1.69</v>
      </c>
      <c r="L296" s="101">
        <v>11.9</v>
      </c>
      <c r="M296" s="101">
        <v>1.2</v>
      </c>
      <c r="N296" s="101" t="s">
        <v>952</v>
      </c>
      <c r="O296" s="101">
        <v>2000</v>
      </c>
      <c r="P296" s="101" t="s">
        <v>742</v>
      </c>
      <c r="Q296" s="101">
        <v>159509</v>
      </c>
      <c r="R296" t="s">
        <v>1000</v>
      </c>
      <c r="S296" t="s">
        <v>329</v>
      </c>
      <c r="T296"/>
      <c r="U296"/>
      <c r="V296"/>
      <c r="W296" s="223"/>
    </row>
    <row r="297" spans="1:23" x14ac:dyDescent="0.2">
      <c r="A297" s="253" t="s">
        <v>197</v>
      </c>
      <c r="B297" s="101">
        <v>2</v>
      </c>
      <c r="C297" s="101">
        <v>2</v>
      </c>
      <c r="D297" s="101">
        <v>11</v>
      </c>
      <c r="E297" s="101">
        <v>8</v>
      </c>
      <c r="F297" s="101">
        <v>13</v>
      </c>
      <c r="G297" s="101">
        <v>14</v>
      </c>
      <c r="H297" s="101">
        <v>1</v>
      </c>
      <c r="I297" s="101">
        <v>0</v>
      </c>
      <c r="J297" s="102">
        <v>0.44</v>
      </c>
      <c r="K297" s="102">
        <v>1.5859220000000001</v>
      </c>
      <c r="L297" s="101">
        <v>10.1</v>
      </c>
      <c r="M297" s="101">
        <v>0.4</v>
      </c>
      <c r="N297" s="101" t="s">
        <v>952</v>
      </c>
      <c r="O297" s="101">
        <v>2006</v>
      </c>
      <c r="P297" s="101" t="s">
        <v>867</v>
      </c>
      <c r="Q297" s="101">
        <v>644005</v>
      </c>
      <c r="R297" t="s">
        <v>787</v>
      </c>
      <c r="S297" t="s">
        <v>302</v>
      </c>
      <c r="T297"/>
      <c r="U297"/>
      <c r="V297"/>
      <c r="W297" s="223"/>
    </row>
    <row r="298" spans="1:23" x14ac:dyDescent="0.2">
      <c r="A298" s="253" t="s">
        <v>439</v>
      </c>
      <c r="B298" s="101">
        <v>4</v>
      </c>
      <c r="C298" s="101">
        <v>4</v>
      </c>
      <c r="D298" s="101">
        <v>10</v>
      </c>
      <c r="E298" s="101">
        <v>7</v>
      </c>
      <c r="F298" s="101">
        <v>7</v>
      </c>
      <c r="G298" s="101">
        <v>39</v>
      </c>
      <c r="H298" s="101">
        <v>2</v>
      </c>
      <c r="I298" s="101">
        <v>0</v>
      </c>
      <c r="J298" s="102">
        <v>0.44</v>
      </c>
      <c r="K298" s="102">
        <v>1.6</v>
      </c>
      <c r="L298" s="101">
        <v>11.7</v>
      </c>
      <c r="M298" s="101">
        <v>1</v>
      </c>
      <c r="N298" s="101" t="s">
        <v>952</v>
      </c>
      <c r="O298" s="101">
        <v>2011</v>
      </c>
      <c r="P298" s="101" t="s">
        <v>867</v>
      </c>
      <c r="Q298" s="101">
        <v>840033</v>
      </c>
      <c r="R298" t="s">
        <v>787</v>
      </c>
      <c r="S298" t="s">
        <v>114</v>
      </c>
      <c r="T298"/>
      <c r="U298"/>
      <c r="V298"/>
      <c r="W298" s="223"/>
    </row>
    <row r="299" spans="1:23" x14ac:dyDescent="0.2">
      <c r="A299" s="253" t="s">
        <v>122</v>
      </c>
      <c r="B299" s="101">
        <v>15</v>
      </c>
      <c r="C299" s="101">
        <v>15</v>
      </c>
      <c r="D299" s="101">
        <v>0</v>
      </c>
      <c r="E299" s="101">
        <v>-13</v>
      </c>
      <c r="F299" s="101">
        <v>-14</v>
      </c>
      <c r="G299" s="101">
        <v>52</v>
      </c>
      <c r="H299" s="101">
        <v>-4</v>
      </c>
      <c r="I299" s="101">
        <v>-1</v>
      </c>
      <c r="J299" s="102">
        <v>0.44</v>
      </c>
      <c r="K299" s="102">
        <v>1.85</v>
      </c>
      <c r="L299" s="101">
        <v>27.8</v>
      </c>
      <c r="M299" s="101">
        <v>0.6</v>
      </c>
      <c r="N299" s="101" t="s">
        <v>952</v>
      </c>
      <c r="O299" s="101">
        <v>2007</v>
      </c>
      <c r="P299" s="101" t="s">
        <v>742</v>
      </c>
      <c r="Q299" s="101">
        <v>469692</v>
      </c>
      <c r="R299" t="s">
        <v>598</v>
      </c>
      <c r="S299" t="s">
        <v>150</v>
      </c>
      <c r="T299"/>
      <c r="U299"/>
      <c r="V299"/>
      <c r="W299" s="223"/>
    </row>
    <row r="300" spans="1:23" x14ac:dyDescent="0.2">
      <c r="A300" s="253" t="s">
        <v>402</v>
      </c>
      <c r="B300" s="101">
        <v>7</v>
      </c>
      <c r="C300" s="101">
        <v>7</v>
      </c>
      <c r="D300" s="101">
        <v>4</v>
      </c>
      <c r="E300" s="101">
        <v>-5</v>
      </c>
      <c r="F300" s="101">
        <v>-11</v>
      </c>
      <c r="G300" s="101">
        <v>56</v>
      </c>
      <c r="H300" s="101">
        <v>-7</v>
      </c>
      <c r="I300" s="101">
        <v>-1</v>
      </c>
      <c r="J300" s="102">
        <v>0.44</v>
      </c>
      <c r="K300" s="102">
        <v>1.600001</v>
      </c>
      <c r="L300" s="101">
        <v>16.899999999999999</v>
      </c>
      <c r="M300" s="101">
        <v>1</v>
      </c>
      <c r="N300" s="101" t="s">
        <v>952</v>
      </c>
      <c r="O300" s="101">
        <v>2000</v>
      </c>
      <c r="P300" s="101" t="s">
        <v>867</v>
      </c>
      <c r="Q300" s="101">
        <v>811117</v>
      </c>
      <c r="R300" t="s">
        <v>787</v>
      </c>
      <c r="S300" t="s">
        <v>861</v>
      </c>
      <c r="T300"/>
      <c r="U300"/>
      <c r="V300"/>
      <c r="W300" s="223"/>
    </row>
    <row r="301" spans="1:23" x14ac:dyDescent="0.2">
      <c r="A301" s="253" t="s">
        <v>857</v>
      </c>
      <c r="B301" s="101">
        <v>4</v>
      </c>
      <c r="C301" s="101">
        <v>4</v>
      </c>
      <c r="D301" s="101">
        <v>6</v>
      </c>
      <c r="E301" s="101">
        <v>3</v>
      </c>
      <c r="F301" s="101">
        <v>2</v>
      </c>
      <c r="G301" s="101">
        <v>52</v>
      </c>
      <c r="H301" s="101">
        <v>-7</v>
      </c>
      <c r="I301" s="101">
        <v>-1</v>
      </c>
      <c r="J301" s="102">
        <v>0.44</v>
      </c>
      <c r="K301" s="102">
        <v>1.4</v>
      </c>
      <c r="L301" s="101">
        <v>12.3</v>
      </c>
      <c r="M301" s="101">
        <v>1.2</v>
      </c>
      <c r="N301" s="101" t="s">
        <v>952</v>
      </c>
      <c r="O301" s="101">
        <v>2002</v>
      </c>
      <c r="P301" s="101" t="s">
        <v>867</v>
      </c>
      <c r="Q301" s="101">
        <v>301580</v>
      </c>
      <c r="R301" t="s">
        <v>907</v>
      </c>
      <c r="S301" t="s">
        <v>843</v>
      </c>
      <c r="T301"/>
      <c r="U301"/>
      <c r="V301"/>
      <c r="W301" s="223"/>
    </row>
    <row r="302" spans="1:23" x14ac:dyDescent="0.2">
      <c r="A302" s="253" t="s">
        <v>1007</v>
      </c>
      <c r="B302" s="101">
        <v>3</v>
      </c>
      <c r="C302" s="101">
        <v>3</v>
      </c>
      <c r="D302" s="101">
        <v>10</v>
      </c>
      <c r="E302" s="101">
        <v>6</v>
      </c>
      <c r="F302" s="101">
        <v>12</v>
      </c>
      <c r="G302" s="101">
        <v>8</v>
      </c>
      <c r="H302" s="101">
        <v>-8</v>
      </c>
      <c r="I302" s="101">
        <v>-2</v>
      </c>
      <c r="J302" s="102">
        <v>0.44</v>
      </c>
      <c r="K302" s="102">
        <v>1.7</v>
      </c>
      <c r="L302" s="101">
        <v>9.8000000000000007</v>
      </c>
      <c r="M302" s="101">
        <v>0.2</v>
      </c>
      <c r="N302" s="101" t="s">
        <v>952</v>
      </c>
      <c r="O302" s="101">
        <v>2000</v>
      </c>
      <c r="P302" s="101" t="s">
        <v>742</v>
      </c>
      <c r="Q302" s="101">
        <v>313155</v>
      </c>
      <c r="R302" t="s">
        <v>878</v>
      </c>
      <c r="S302" t="s">
        <v>302</v>
      </c>
      <c r="T302"/>
      <c r="U302"/>
      <c r="V302"/>
      <c r="W302" s="223"/>
    </row>
    <row r="303" spans="1:23" x14ac:dyDescent="0.2">
      <c r="A303" s="253" t="s">
        <v>897</v>
      </c>
      <c r="B303" s="101">
        <v>6</v>
      </c>
      <c r="C303" s="101">
        <v>6</v>
      </c>
      <c r="D303" s="101">
        <v>8</v>
      </c>
      <c r="E303" s="101">
        <v>1</v>
      </c>
      <c r="F303" s="101">
        <v>-1</v>
      </c>
      <c r="G303" s="101">
        <v>27</v>
      </c>
      <c r="H303" s="101">
        <v>-11</v>
      </c>
      <c r="I303" s="101">
        <v>-2</v>
      </c>
      <c r="J303" s="102">
        <v>0.44</v>
      </c>
      <c r="K303" s="102">
        <v>1.6</v>
      </c>
      <c r="L303" s="101">
        <v>11.4</v>
      </c>
      <c r="M303" s="101">
        <v>0.8</v>
      </c>
      <c r="N303" s="101" t="s">
        <v>952</v>
      </c>
      <c r="O303" s="101">
        <v>2000</v>
      </c>
      <c r="P303" s="101" t="s">
        <v>867</v>
      </c>
      <c r="Q303" s="101">
        <v>123679</v>
      </c>
      <c r="R303" t="s">
        <v>787</v>
      </c>
      <c r="S303" t="s">
        <v>166</v>
      </c>
      <c r="T303"/>
      <c r="U303"/>
      <c r="V303"/>
      <c r="W303" s="223"/>
    </row>
    <row r="304" spans="1:23" x14ac:dyDescent="0.2">
      <c r="A304" s="253" t="s">
        <v>192</v>
      </c>
      <c r="B304" s="101">
        <v>12</v>
      </c>
      <c r="C304" s="101">
        <v>12</v>
      </c>
      <c r="D304" s="101">
        <v>8</v>
      </c>
      <c r="E304" s="101">
        <v>-5</v>
      </c>
      <c r="F304" s="101">
        <v>-13</v>
      </c>
      <c r="G304" s="101">
        <v>77</v>
      </c>
      <c r="H304" s="101">
        <v>-12</v>
      </c>
      <c r="I304" s="101">
        <v>-3</v>
      </c>
      <c r="J304" s="102">
        <v>0.44</v>
      </c>
      <c r="K304" s="102">
        <v>1.6</v>
      </c>
      <c r="L304" s="101">
        <v>21</v>
      </c>
      <c r="M304" s="101">
        <v>1</v>
      </c>
      <c r="N304" s="101" t="s">
        <v>952</v>
      </c>
      <c r="O304" s="101">
        <v>2006</v>
      </c>
      <c r="P304" s="101" t="s">
        <v>867</v>
      </c>
      <c r="Q304" s="101">
        <v>751495</v>
      </c>
      <c r="R304" t="s">
        <v>787</v>
      </c>
      <c r="S304" t="s">
        <v>861</v>
      </c>
      <c r="T304"/>
      <c r="U304"/>
      <c r="V304"/>
      <c r="W304" s="223"/>
    </row>
    <row r="305" spans="1:23" x14ac:dyDescent="0.2">
      <c r="A305" s="253" t="s">
        <v>126</v>
      </c>
      <c r="B305" s="101">
        <v>6</v>
      </c>
      <c r="C305" s="101">
        <v>6</v>
      </c>
      <c r="D305" s="101">
        <v>6</v>
      </c>
      <c r="E305" s="101">
        <v>-8</v>
      </c>
      <c r="F305" s="101">
        <v>-5</v>
      </c>
      <c r="G305" s="101">
        <v>25</v>
      </c>
      <c r="H305" s="101">
        <v>-16</v>
      </c>
      <c r="I305" s="101">
        <v>-3</v>
      </c>
      <c r="J305" s="102">
        <v>0.44</v>
      </c>
      <c r="K305" s="102">
        <v>1.6</v>
      </c>
      <c r="L305" s="101">
        <v>14.3</v>
      </c>
      <c r="M305" s="101">
        <v>0.6</v>
      </c>
      <c r="N305" s="101" t="s">
        <v>957</v>
      </c>
      <c r="O305" s="101">
        <v>2003</v>
      </c>
      <c r="P305" s="101" t="s">
        <v>742</v>
      </c>
      <c r="Q305" s="101">
        <v>919787</v>
      </c>
      <c r="R305" t="s">
        <v>787</v>
      </c>
      <c r="S305" t="s">
        <v>150</v>
      </c>
      <c r="T305"/>
      <c r="U305"/>
      <c r="V305"/>
      <c r="W305" s="223"/>
    </row>
    <row r="306" spans="1:23" x14ac:dyDescent="0.2">
      <c r="A306" s="253" t="s">
        <v>121</v>
      </c>
      <c r="B306" s="101">
        <v>12</v>
      </c>
      <c r="C306" s="101">
        <v>12</v>
      </c>
      <c r="D306" s="101">
        <v>4</v>
      </c>
      <c r="E306" s="101">
        <v>-16</v>
      </c>
      <c r="F306" s="101">
        <v>-17</v>
      </c>
      <c r="G306" s="101">
        <v>119</v>
      </c>
      <c r="H306" s="101">
        <v>-17</v>
      </c>
      <c r="I306" s="101">
        <v>-4</v>
      </c>
      <c r="J306" s="102">
        <v>0.44</v>
      </c>
      <c r="K306" s="102">
        <v>1.85</v>
      </c>
      <c r="L306" s="101">
        <v>34.700000000000003</v>
      </c>
      <c r="M306" s="101">
        <v>1</v>
      </c>
      <c r="N306" s="101" t="s">
        <v>952</v>
      </c>
      <c r="O306" s="101">
        <v>2007</v>
      </c>
      <c r="P306" s="101" t="s">
        <v>742</v>
      </c>
      <c r="Q306" s="101">
        <v>433862</v>
      </c>
      <c r="R306" t="s">
        <v>598</v>
      </c>
      <c r="S306" t="s">
        <v>417</v>
      </c>
      <c r="T306"/>
      <c r="U306"/>
      <c r="V306"/>
      <c r="W306" s="223"/>
    </row>
    <row r="307" spans="1:23" x14ac:dyDescent="0.2">
      <c r="A307" s="253" t="s">
        <v>414</v>
      </c>
      <c r="B307" s="101">
        <v>2</v>
      </c>
      <c r="C307" s="101">
        <v>2</v>
      </c>
      <c r="D307" s="101">
        <v>5</v>
      </c>
      <c r="E307" s="101">
        <v>-3</v>
      </c>
      <c r="F307" s="101">
        <v>-7</v>
      </c>
      <c r="G307" s="101">
        <v>-6</v>
      </c>
      <c r="H307" s="101">
        <v>-32</v>
      </c>
      <c r="I307" s="101">
        <v>-7</v>
      </c>
      <c r="J307" s="102">
        <v>0.44</v>
      </c>
      <c r="K307" s="102">
        <v>1.5998250000000001</v>
      </c>
      <c r="L307" s="101">
        <v>14.2</v>
      </c>
      <c r="M307" s="101">
        <v>-0.1</v>
      </c>
      <c r="N307" s="101" t="s">
        <v>952</v>
      </c>
      <c r="O307" s="101">
        <v>2003</v>
      </c>
      <c r="P307" s="101" t="s">
        <v>867</v>
      </c>
      <c r="Q307" s="101">
        <v>203182</v>
      </c>
      <c r="R307" t="s">
        <v>787</v>
      </c>
      <c r="S307" t="s">
        <v>254</v>
      </c>
      <c r="T307"/>
      <c r="U307"/>
      <c r="V307"/>
      <c r="W307" s="223"/>
    </row>
    <row r="308" spans="1:23" x14ac:dyDescent="0.2">
      <c r="A308" s="253" t="s">
        <v>54</v>
      </c>
      <c r="B308" s="101">
        <v>5</v>
      </c>
      <c r="C308" s="101">
        <v>5</v>
      </c>
      <c r="D308" s="101">
        <v>4</v>
      </c>
      <c r="E308" s="101">
        <v>-4</v>
      </c>
      <c r="F308" s="101">
        <v>-6</v>
      </c>
      <c r="G308" s="101">
        <v>20</v>
      </c>
      <c r="H308" s="101">
        <v>-35</v>
      </c>
      <c r="I308" s="101">
        <v>-8</v>
      </c>
      <c r="J308" s="102">
        <v>0.44</v>
      </c>
      <c r="K308" s="102">
        <v>1.4</v>
      </c>
      <c r="L308" s="101">
        <v>13.6</v>
      </c>
      <c r="M308" s="101">
        <v>0.5</v>
      </c>
      <c r="N308" s="101" t="s">
        <v>952</v>
      </c>
      <c r="O308" s="101">
        <v>2002</v>
      </c>
      <c r="P308" s="101" t="s">
        <v>867</v>
      </c>
      <c r="Q308" s="101">
        <v>122432</v>
      </c>
      <c r="R308" t="s">
        <v>907</v>
      </c>
      <c r="S308" t="s">
        <v>49</v>
      </c>
      <c r="T308"/>
      <c r="U308"/>
      <c r="V308"/>
      <c r="W308" s="223"/>
    </row>
    <row r="309" spans="1:23" x14ac:dyDescent="0.2">
      <c r="A309" s="253" t="s">
        <v>441</v>
      </c>
      <c r="B309" s="101">
        <v>9</v>
      </c>
      <c r="C309" s="101">
        <v>9</v>
      </c>
      <c r="D309" s="101">
        <v>8</v>
      </c>
      <c r="E309" s="101">
        <v>-5</v>
      </c>
      <c r="F309" s="101">
        <v>-10</v>
      </c>
      <c r="G309" s="101">
        <v>33</v>
      </c>
      <c r="H309" s="101">
        <v>-4</v>
      </c>
      <c r="I309" s="101">
        <v>-1</v>
      </c>
      <c r="J309" s="102">
        <v>0.45</v>
      </c>
      <c r="K309" s="102">
        <v>1.72</v>
      </c>
      <c r="L309" s="101">
        <v>16.3</v>
      </c>
      <c r="M309" s="101">
        <v>0.7</v>
      </c>
      <c r="N309" s="101" t="s">
        <v>952</v>
      </c>
      <c r="O309" s="101">
        <v>2000</v>
      </c>
      <c r="P309" s="101" t="s">
        <v>867</v>
      </c>
      <c r="Q309" s="101">
        <v>285825</v>
      </c>
      <c r="R309" t="s">
        <v>1000</v>
      </c>
      <c r="S309" t="s">
        <v>183</v>
      </c>
      <c r="T309"/>
      <c r="U309"/>
      <c r="V309"/>
      <c r="W309" s="223"/>
    </row>
    <row r="310" spans="1:23" x14ac:dyDescent="0.2">
      <c r="A310" s="253" t="s">
        <v>194</v>
      </c>
      <c r="B310" s="101">
        <v>15</v>
      </c>
      <c r="C310" s="101">
        <v>15</v>
      </c>
      <c r="D310" s="101">
        <v>6</v>
      </c>
      <c r="E310" s="101">
        <v>-13</v>
      </c>
      <c r="F310" s="101">
        <v>-11</v>
      </c>
      <c r="G310" s="101">
        <v>94</v>
      </c>
      <c r="H310" s="101">
        <v>-15</v>
      </c>
      <c r="I310" s="101">
        <v>-3</v>
      </c>
      <c r="J310" s="102">
        <v>0.45</v>
      </c>
      <c r="K310" s="102">
        <v>1.63378</v>
      </c>
      <c r="L310" s="101">
        <v>26.9</v>
      </c>
      <c r="M310" s="101">
        <v>1</v>
      </c>
      <c r="N310" s="101" t="s">
        <v>952</v>
      </c>
      <c r="O310" s="101">
        <v>2006</v>
      </c>
      <c r="P310" s="101" t="s">
        <v>867</v>
      </c>
      <c r="Q310" s="101">
        <v>715664</v>
      </c>
      <c r="R310" t="s">
        <v>787</v>
      </c>
      <c r="S310" t="s">
        <v>234</v>
      </c>
      <c r="T310"/>
      <c r="U310"/>
      <c r="V310"/>
      <c r="W310" s="223"/>
    </row>
    <row r="311" spans="1:23" x14ac:dyDescent="0.2">
      <c r="A311" s="253" t="s">
        <v>538</v>
      </c>
      <c r="B311" s="101">
        <v>4</v>
      </c>
      <c r="C311" s="101">
        <v>4</v>
      </c>
      <c r="D311" s="101">
        <v>1</v>
      </c>
      <c r="E311" s="101">
        <v>-15</v>
      </c>
      <c r="F311" s="101">
        <v>-14</v>
      </c>
      <c r="G311" s="101">
        <v>11</v>
      </c>
      <c r="H311" s="101">
        <v>-40</v>
      </c>
      <c r="I311" s="101">
        <v>-10</v>
      </c>
      <c r="J311" s="102">
        <v>0.45</v>
      </c>
      <c r="K311" s="102">
        <v>1.2737000000000001</v>
      </c>
      <c r="L311" s="101">
        <v>13.7</v>
      </c>
      <c r="M311" s="101">
        <v>0.3</v>
      </c>
      <c r="N311" s="101" t="s">
        <v>955</v>
      </c>
      <c r="O311" s="101">
        <v>2011</v>
      </c>
      <c r="P311" s="101" t="s">
        <v>742</v>
      </c>
      <c r="Q311" s="101">
        <v>891036</v>
      </c>
      <c r="R311" t="s">
        <v>504</v>
      </c>
      <c r="S311" t="s">
        <v>104</v>
      </c>
      <c r="T311"/>
      <c r="U311"/>
      <c r="V311"/>
      <c r="W311" s="223"/>
    </row>
    <row r="312" spans="1:23" x14ac:dyDescent="0.2">
      <c r="A312" s="253" t="s">
        <v>960</v>
      </c>
      <c r="B312" s="101">
        <v>4</v>
      </c>
      <c r="C312" s="101">
        <v>4</v>
      </c>
      <c r="D312" s="101">
        <v>-3</v>
      </c>
      <c r="E312" s="101">
        <v>-13</v>
      </c>
      <c r="F312" s="101"/>
      <c r="G312" s="101"/>
      <c r="H312" s="101"/>
      <c r="I312" s="101"/>
      <c r="J312" s="102">
        <v>0.45</v>
      </c>
      <c r="K312" s="102">
        <v>1.2</v>
      </c>
      <c r="L312" s="101"/>
      <c r="M312" s="101"/>
      <c r="N312" s="101" t="s">
        <v>952</v>
      </c>
      <c r="O312" s="101">
        <v>2011</v>
      </c>
      <c r="P312" s="101" t="s">
        <v>742</v>
      </c>
      <c r="Q312" s="101">
        <v>507236</v>
      </c>
      <c r="R312" t="s">
        <v>961</v>
      </c>
      <c r="S312" t="s">
        <v>735</v>
      </c>
      <c r="T312"/>
      <c r="U312"/>
      <c r="V312"/>
      <c r="W312" s="223"/>
    </row>
    <row r="313" spans="1:23" x14ac:dyDescent="0.2">
      <c r="A313" s="253" t="s">
        <v>516</v>
      </c>
      <c r="B313" s="101">
        <v>6</v>
      </c>
      <c r="C313" s="101">
        <v>6</v>
      </c>
      <c r="D313" s="101">
        <v>10</v>
      </c>
      <c r="E313" s="101">
        <v>3</v>
      </c>
      <c r="F313" s="101">
        <v>8</v>
      </c>
      <c r="G313" s="101"/>
      <c r="H313" s="101"/>
      <c r="I313" s="101"/>
      <c r="J313" s="102">
        <v>0.45</v>
      </c>
      <c r="K313" s="102">
        <v>1</v>
      </c>
      <c r="L313" s="101"/>
      <c r="M313" s="101"/>
      <c r="N313" s="101" t="s">
        <v>952</v>
      </c>
      <c r="O313" s="101">
        <v>2011</v>
      </c>
      <c r="P313" s="101" t="s">
        <v>867</v>
      </c>
      <c r="Q313" s="101">
        <v>255836</v>
      </c>
      <c r="R313" t="s">
        <v>517</v>
      </c>
      <c r="S313" t="s">
        <v>302</v>
      </c>
      <c r="T313"/>
      <c r="U313"/>
      <c r="V313"/>
      <c r="W313" s="223"/>
    </row>
    <row r="314" spans="1:23" x14ac:dyDescent="0.2">
      <c r="A314" s="253" t="s">
        <v>435</v>
      </c>
      <c r="B314" s="101">
        <v>0</v>
      </c>
      <c r="C314" s="101">
        <v>0</v>
      </c>
      <c r="D314" s="101">
        <v>2</v>
      </c>
      <c r="E314" s="101">
        <v>1</v>
      </c>
      <c r="F314" s="101">
        <v>2</v>
      </c>
      <c r="G314" s="101"/>
      <c r="H314" s="101"/>
      <c r="I314" s="101"/>
      <c r="J314" s="102">
        <v>0.45</v>
      </c>
      <c r="K314" s="102">
        <v>1</v>
      </c>
      <c r="L314" s="101"/>
      <c r="M314" s="101"/>
      <c r="N314" s="101" t="s">
        <v>952</v>
      </c>
      <c r="O314" s="101">
        <v>2011</v>
      </c>
      <c r="P314" s="101" t="s">
        <v>742</v>
      </c>
      <c r="Q314" s="101">
        <v>272831</v>
      </c>
      <c r="R314" t="s">
        <v>527</v>
      </c>
      <c r="S314" t="s">
        <v>166</v>
      </c>
      <c r="T314"/>
      <c r="U314"/>
      <c r="V314"/>
      <c r="W314" s="223"/>
    </row>
    <row r="315" spans="1:23" x14ac:dyDescent="0.2">
      <c r="A315" s="253" t="s">
        <v>1117</v>
      </c>
      <c r="B315" s="101">
        <v>4</v>
      </c>
      <c r="C315" s="101">
        <v>4</v>
      </c>
      <c r="D315" s="101">
        <v>10</v>
      </c>
      <c r="E315" s="101">
        <v>1</v>
      </c>
      <c r="F315" s="101">
        <v>5</v>
      </c>
      <c r="G315" s="101">
        <v>-6</v>
      </c>
      <c r="H315" s="101">
        <v>24</v>
      </c>
      <c r="I315" s="101">
        <v>4</v>
      </c>
      <c r="J315" s="102">
        <v>0.46</v>
      </c>
      <c r="K315" s="102">
        <v>1.37</v>
      </c>
      <c r="L315" s="101">
        <v>11</v>
      </c>
      <c r="M315" s="101">
        <v>-0.3</v>
      </c>
      <c r="N315" s="101" t="s">
        <v>958</v>
      </c>
      <c r="O315" s="101">
        <v>2006</v>
      </c>
      <c r="P315" s="101" t="s">
        <v>742</v>
      </c>
      <c r="Q315" s="101">
        <v>479436</v>
      </c>
      <c r="R315" t="s">
        <v>866</v>
      </c>
      <c r="S315" t="s">
        <v>735</v>
      </c>
      <c r="T315"/>
      <c r="U315"/>
      <c r="V315"/>
      <c r="W315" s="223"/>
    </row>
    <row r="316" spans="1:23" x14ac:dyDescent="0.2">
      <c r="A316" s="253" t="s">
        <v>796</v>
      </c>
      <c r="B316" s="101">
        <v>5</v>
      </c>
      <c r="C316" s="101">
        <v>5</v>
      </c>
      <c r="D316" s="101">
        <v>5</v>
      </c>
      <c r="E316" s="101">
        <v>-4</v>
      </c>
      <c r="F316" s="101">
        <v>-8</v>
      </c>
      <c r="G316" s="101">
        <v>84</v>
      </c>
      <c r="H316" s="101">
        <v>2</v>
      </c>
      <c r="I316" s="101">
        <v>0</v>
      </c>
      <c r="J316" s="102">
        <v>0.46</v>
      </c>
      <c r="K316" s="102">
        <v>1.2178899999999999</v>
      </c>
      <c r="L316" s="101">
        <v>18.2</v>
      </c>
      <c r="M316" s="101">
        <v>1.3</v>
      </c>
      <c r="N316" s="101" t="s">
        <v>952</v>
      </c>
      <c r="O316" s="101">
        <v>2000</v>
      </c>
      <c r="P316" s="101" t="s">
        <v>867</v>
      </c>
      <c r="Q316" s="101">
        <v>928937</v>
      </c>
      <c r="R316" t="s">
        <v>795</v>
      </c>
      <c r="S316" t="s">
        <v>781</v>
      </c>
      <c r="T316"/>
      <c r="U316"/>
      <c r="V316"/>
      <c r="W316" s="223"/>
    </row>
    <row r="317" spans="1:23" x14ac:dyDescent="0.2">
      <c r="A317" s="253" t="s">
        <v>203</v>
      </c>
      <c r="B317" s="101">
        <v>10</v>
      </c>
      <c r="C317" s="101">
        <v>10</v>
      </c>
      <c r="D317" s="101">
        <v>5</v>
      </c>
      <c r="E317" s="101">
        <v>-7</v>
      </c>
      <c r="F317" s="101">
        <v>-3</v>
      </c>
      <c r="G317" s="101">
        <v>57</v>
      </c>
      <c r="H317" s="101">
        <v>-8</v>
      </c>
      <c r="I317" s="101">
        <v>-2</v>
      </c>
      <c r="J317" s="102">
        <v>0.46</v>
      </c>
      <c r="K317" s="102">
        <v>1.76</v>
      </c>
      <c r="L317" s="101">
        <v>19.5</v>
      </c>
      <c r="M317" s="101">
        <v>0.9</v>
      </c>
      <c r="N317" s="101" t="s">
        <v>952</v>
      </c>
      <c r="O317" s="101">
        <v>2001</v>
      </c>
      <c r="P317" s="101" t="s">
        <v>867</v>
      </c>
      <c r="Q317" s="101">
        <v>206250</v>
      </c>
      <c r="R317" t="s">
        <v>810</v>
      </c>
      <c r="S317" t="s">
        <v>183</v>
      </c>
      <c r="T317"/>
      <c r="U317"/>
      <c r="V317"/>
      <c r="W317" s="223"/>
    </row>
    <row r="318" spans="1:23" x14ac:dyDescent="0.2">
      <c r="A318" s="253" t="s">
        <v>438</v>
      </c>
      <c r="B318" s="101">
        <v>5</v>
      </c>
      <c r="C318" s="101">
        <v>5</v>
      </c>
      <c r="D318" s="101">
        <v>8</v>
      </c>
      <c r="E318" s="101">
        <v>0</v>
      </c>
      <c r="F318" s="101">
        <v>2</v>
      </c>
      <c r="G318" s="101">
        <v>23</v>
      </c>
      <c r="H318" s="101">
        <v>-14</v>
      </c>
      <c r="I318" s="101">
        <v>-3</v>
      </c>
      <c r="J318" s="102">
        <v>0.46</v>
      </c>
      <c r="K318" s="102">
        <v>1.48</v>
      </c>
      <c r="L318" s="101">
        <v>11.5</v>
      </c>
      <c r="M318" s="101">
        <v>0.6</v>
      </c>
      <c r="N318" s="101" t="s">
        <v>952</v>
      </c>
      <c r="O318" s="101">
        <v>2005</v>
      </c>
      <c r="P318" s="101" t="s">
        <v>867</v>
      </c>
      <c r="Q318" s="101">
        <v>520759</v>
      </c>
      <c r="R318" t="s">
        <v>907</v>
      </c>
      <c r="S318" t="s">
        <v>166</v>
      </c>
      <c r="T318"/>
      <c r="U318"/>
      <c r="V318"/>
      <c r="W318" s="223"/>
    </row>
    <row r="319" spans="1:23" x14ac:dyDescent="0.2">
      <c r="A319" s="253" t="s">
        <v>434</v>
      </c>
      <c r="B319" s="101">
        <v>0</v>
      </c>
      <c r="C319" s="101">
        <v>0</v>
      </c>
      <c r="D319" s="101">
        <v>1</v>
      </c>
      <c r="E319" s="101">
        <v>3</v>
      </c>
      <c r="F319" s="101">
        <v>7</v>
      </c>
      <c r="G319" s="101"/>
      <c r="H319" s="101"/>
      <c r="I319" s="101"/>
      <c r="J319" s="102">
        <v>0.46</v>
      </c>
      <c r="K319" s="102">
        <v>1.19</v>
      </c>
      <c r="L319" s="101"/>
      <c r="M319" s="101"/>
      <c r="N319" s="101" t="s">
        <v>955</v>
      </c>
      <c r="O319" s="101">
        <v>2010</v>
      </c>
      <c r="P319" s="101" t="s">
        <v>742</v>
      </c>
      <c r="Q319" s="101">
        <v>259499</v>
      </c>
      <c r="R319" t="s">
        <v>99</v>
      </c>
      <c r="S319" t="s">
        <v>735</v>
      </c>
      <c r="T319"/>
      <c r="U319"/>
      <c r="V319"/>
      <c r="W319" s="223"/>
    </row>
    <row r="320" spans="1:23" x14ac:dyDescent="0.2">
      <c r="A320" s="253" t="s">
        <v>297</v>
      </c>
      <c r="B320" s="101">
        <v>5</v>
      </c>
      <c r="C320" s="101">
        <v>5</v>
      </c>
      <c r="D320" s="101">
        <v>6</v>
      </c>
      <c r="E320" s="101">
        <v>8</v>
      </c>
      <c r="F320" s="101">
        <v>5</v>
      </c>
      <c r="G320" s="101">
        <v>50</v>
      </c>
      <c r="H320" s="101">
        <v>14</v>
      </c>
      <c r="I320" s="101">
        <v>3</v>
      </c>
      <c r="J320" s="102">
        <v>0.47</v>
      </c>
      <c r="K320" s="102">
        <v>1.5</v>
      </c>
      <c r="L320" s="101">
        <v>13.7</v>
      </c>
      <c r="M320" s="101">
        <v>1</v>
      </c>
      <c r="N320" s="101" t="s">
        <v>952</v>
      </c>
      <c r="O320" s="101">
        <v>2002</v>
      </c>
      <c r="P320" s="101" t="s">
        <v>867</v>
      </c>
      <c r="Q320" s="101">
        <v>194092</v>
      </c>
      <c r="R320" t="s">
        <v>907</v>
      </c>
      <c r="S320" t="s">
        <v>293</v>
      </c>
      <c r="T320"/>
      <c r="U320"/>
      <c r="V320"/>
      <c r="W320" s="223"/>
    </row>
    <row r="321" spans="1:23" x14ac:dyDescent="0.2">
      <c r="A321" s="253" t="s">
        <v>697</v>
      </c>
      <c r="B321" s="101">
        <v>9</v>
      </c>
      <c r="C321" s="101">
        <v>9</v>
      </c>
      <c r="D321" s="101">
        <v>9</v>
      </c>
      <c r="E321" s="101">
        <v>-2</v>
      </c>
      <c r="F321" s="101">
        <v>-4</v>
      </c>
      <c r="G321" s="101">
        <v>59</v>
      </c>
      <c r="H321" s="101">
        <v>16</v>
      </c>
      <c r="I321" s="101">
        <v>3</v>
      </c>
      <c r="J321" s="102">
        <v>0.47</v>
      </c>
      <c r="K321" s="102">
        <v>2</v>
      </c>
      <c r="L321" s="101">
        <v>16.8</v>
      </c>
      <c r="M321" s="101">
        <v>1</v>
      </c>
      <c r="N321" s="101" t="s">
        <v>952</v>
      </c>
      <c r="O321" s="101">
        <v>2008</v>
      </c>
      <c r="P321" s="101" t="s">
        <v>742</v>
      </c>
      <c r="Q321" s="101">
        <v>995571</v>
      </c>
      <c r="R321" t="s">
        <v>598</v>
      </c>
      <c r="S321" t="s">
        <v>183</v>
      </c>
      <c r="T321"/>
      <c r="U321"/>
      <c r="V321"/>
      <c r="W321" s="223"/>
    </row>
    <row r="322" spans="1:23" x14ac:dyDescent="0.2">
      <c r="A322" s="253" t="s">
        <v>736</v>
      </c>
      <c r="B322" s="101">
        <v>0</v>
      </c>
      <c r="C322" s="101">
        <v>0</v>
      </c>
      <c r="D322" s="101">
        <v>0</v>
      </c>
      <c r="E322" s="101">
        <v>-1</v>
      </c>
      <c r="F322" s="101">
        <v>2</v>
      </c>
      <c r="G322" s="101">
        <v>-9</v>
      </c>
      <c r="H322" s="101">
        <v>12</v>
      </c>
      <c r="I322" s="101">
        <v>2</v>
      </c>
      <c r="J322" s="102">
        <v>0.47</v>
      </c>
      <c r="K322" s="102">
        <v>1.1662779999999999</v>
      </c>
      <c r="L322" s="101">
        <v>7.6</v>
      </c>
      <c r="M322" s="101">
        <v>-0.5</v>
      </c>
      <c r="N322" s="101" t="s">
        <v>955</v>
      </c>
      <c r="O322" s="101">
        <v>2004</v>
      </c>
      <c r="P322" s="101" t="s">
        <v>742</v>
      </c>
      <c r="Q322" s="101">
        <v>808634</v>
      </c>
      <c r="R322" t="s">
        <v>945</v>
      </c>
      <c r="S322" t="s">
        <v>735</v>
      </c>
      <c r="T322"/>
      <c r="U322"/>
      <c r="V322"/>
      <c r="W322" s="223"/>
    </row>
    <row r="323" spans="1:23" x14ac:dyDescent="0.2">
      <c r="A323" s="253" t="s">
        <v>310</v>
      </c>
      <c r="B323" s="101">
        <v>0</v>
      </c>
      <c r="C323" s="101">
        <v>0</v>
      </c>
      <c r="D323" s="101">
        <v>8</v>
      </c>
      <c r="E323" s="101">
        <v>7</v>
      </c>
      <c r="F323" s="101">
        <v>17</v>
      </c>
      <c r="G323" s="101">
        <v>12</v>
      </c>
      <c r="H323" s="101">
        <v>2</v>
      </c>
      <c r="I323" s="101">
        <v>0</v>
      </c>
      <c r="J323" s="102">
        <v>0.47</v>
      </c>
      <c r="K323" s="102">
        <v>1.5</v>
      </c>
      <c r="L323" s="101">
        <v>10.199999999999999</v>
      </c>
      <c r="M323" s="101">
        <v>0.3</v>
      </c>
      <c r="N323" s="101" t="s">
        <v>952</v>
      </c>
      <c r="O323" s="101">
        <v>2002</v>
      </c>
      <c r="P323" s="101" t="s">
        <v>867</v>
      </c>
      <c r="Q323" s="101">
        <v>229922</v>
      </c>
      <c r="R323" t="s">
        <v>907</v>
      </c>
      <c r="S323" t="s">
        <v>302</v>
      </c>
      <c r="T323"/>
      <c r="U323"/>
      <c r="V323"/>
      <c r="W323" s="223"/>
    </row>
    <row r="324" spans="1:23" x14ac:dyDescent="0.2">
      <c r="A324" s="253" t="s">
        <v>1086</v>
      </c>
      <c r="B324" s="101">
        <v>6</v>
      </c>
      <c r="C324" s="101">
        <v>6</v>
      </c>
      <c r="D324" s="101">
        <v>4</v>
      </c>
      <c r="E324" s="101">
        <v>-4</v>
      </c>
      <c r="F324" s="101">
        <v>-11</v>
      </c>
      <c r="G324" s="101">
        <v>77</v>
      </c>
      <c r="H324" s="101">
        <v>1</v>
      </c>
      <c r="I324" s="101">
        <v>0</v>
      </c>
      <c r="J324" s="102">
        <v>0.47</v>
      </c>
      <c r="K324" s="102">
        <v>1.25</v>
      </c>
      <c r="L324" s="101">
        <v>18.100000000000001</v>
      </c>
      <c r="M324" s="101">
        <v>1.2</v>
      </c>
      <c r="N324" s="101" t="s">
        <v>952</v>
      </c>
      <c r="O324" s="101">
        <v>2000</v>
      </c>
      <c r="P324" s="101" t="s">
        <v>867</v>
      </c>
      <c r="Q324" s="101">
        <v>730366</v>
      </c>
      <c r="R324" t="s">
        <v>877</v>
      </c>
      <c r="S324" t="s">
        <v>781</v>
      </c>
      <c r="T324" t="s">
        <v>953</v>
      </c>
      <c r="U324"/>
      <c r="V324"/>
      <c r="W324" s="223"/>
    </row>
    <row r="325" spans="1:23" x14ac:dyDescent="0.2">
      <c r="A325" s="253" t="s">
        <v>962</v>
      </c>
      <c r="B325" s="101">
        <v>3</v>
      </c>
      <c r="C325" s="101">
        <v>3</v>
      </c>
      <c r="D325" s="101">
        <v>9</v>
      </c>
      <c r="E325" s="101">
        <v>10</v>
      </c>
      <c r="F325" s="101">
        <v>9</v>
      </c>
      <c r="G325" s="101">
        <v>31</v>
      </c>
      <c r="H325" s="101">
        <v>-7</v>
      </c>
      <c r="I325" s="101">
        <v>-2</v>
      </c>
      <c r="J325" s="102">
        <v>0.47</v>
      </c>
      <c r="K325" s="102">
        <v>1.5</v>
      </c>
      <c r="L325" s="101">
        <v>11.3</v>
      </c>
      <c r="M325" s="101">
        <v>0.8</v>
      </c>
      <c r="N325" s="101" t="s">
        <v>952</v>
      </c>
      <c r="O325" s="101">
        <v>2002</v>
      </c>
      <c r="P325" s="101" t="s">
        <v>867</v>
      </c>
      <c r="Q325" s="101">
        <v>986604</v>
      </c>
      <c r="R325" t="s">
        <v>907</v>
      </c>
      <c r="S325" t="s">
        <v>114</v>
      </c>
      <c r="T325"/>
      <c r="U325"/>
      <c r="V325"/>
      <c r="W325" s="223"/>
    </row>
    <row r="326" spans="1:23" x14ac:dyDescent="0.2">
      <c r="A326" s="253" t="s">
        <v>1087</v>
      </c>
      <c r="B326" s="101">
        <v>3</v>
      </c>
      <c r="C326" s="101">
        <v>3</v>
      </c>
      <c r="D326" s="101">
        <v>6</v>
      </c>
      <c r="E326" s="101">
        <v>1</v>
      </c>
      <c r="F326" s="101">
        <v>1</v>
      </c>
      <c r="G326" s="101">
        <v>34</v>
      </c>
      <c r="H326" s="101">
        <v>-8</v>
      </c>
      <c r="I326" s="101">
        <v>-2</v>
      </c>
      <c r="J326" s="102">
        <v>0.47</v>
      </c>
      <c r="K326" s="102">
        <v>1.25</v>
      </c>
      <c r="L326" s="101">
        <v>11.1</v>
      </c>
      <c r="M326" s="101">
        <v>0.9</v>
      </c>
      <c r="N326" s="101" t="s">
        <v>952</v>
      </c>
      <c r="O326" s="101">
        <v>2003</v>
      </c>
      <c r="P326" s="101" t="s">
        <v>867</v>
      </c>
      <c r="Q326" s="101">
        <v>936781</v>
      </c>
      <c r="R326" t="s">
        <v>877</v>
      </c>
      <c r="S326" t="s">
        <v>166</v>
      </c>
      <c r="T326" t="s">
        <v>953</v>
      </c>
      <c r="U326"/>
      <c r="V326"/>
      <c r="W326" s="223"/>
    </row>
    <row r="327" spans="1:23" x14ac:dyDescent="0.2">
      <c r="A327" s="253" t="s">
        <v>408</v>
      </c>
      <c r="B327" s="101">
        <v>3</v>
      </c>
      <c r="C327" s="101">
        <v>3</v>
      </c>
      <c r="D327" s="101">
        <v>7</v>
      </c>
      <c r="E327" s="101">
        <v>-1</v>
      </c>
      <c r="F327" s="101">
        <v>-4</v>
      </c>
      <c r="G327" s="101">
        <v>-5</v>
      </c>
      <c r="H327" s="101">
        <v>-34</v>
      </c>
      <c r="I327" s="101">
        <v>-8</v>
      </c>
      <c r="J327" s="102">
        <v>0.47</v>
      </c>
      <c r="K327" s="102">
        <v>1.52</v>
      </c>
      <c r="L327" s="101">
        <v>15.6</v>
      </c>
      <c r="M327" s="101">
        <v>-0.1</v>
      </c>
      <c r="N327" s="101" t="s">
        <v>952</v>
      </c>
      <c r="O327" s="101">
        <v>2005</v>
      </c>
      <c r="P327" s="101" t="s">
        <v>867</v>
      </c>
      <c r="Q327" s="101">
        <v>377432</v>
      </c>
      <c r="R327" t="s">
        <v>907</v>
      </c>
      <c r="S327" t="s">
        <v>254</v>
      </c>
      <c r="T327"/>
      <c r="U327"/>
      <c r="V327"/>
      <c r="W327" s="223"/>
    </row>
    <row r="328" spans="1:23" x14ac:dyDescent="0.2">
      <c r="A328" s="253" t="s">
        <v>12</v>
      </c>
      <c r="B328" s="101">
        <v>4</v>
      </c>
      <c r="C328" s="101">
        <v>4</v>
      </c>
      <c r="D328" s="101">
        <v>4</v>
      </c>
      <c r="E328" s="101">
        <v>0</v>
      </c>
      <c r="F328" s="101">
        <v>-1</v>
      </c>
      <c r="G328" s="101">
        <v>40</v>
      </c>
      <c r="H328" s="101">
        <v>16</v>
      </c>
      <c r="I328" s="101">
        <v>3</v>
      </c>
      <c r="J328" s="102">
        <v>0.48</v>
      </c>
      <c r="K328" s="102">
        <v>1.18</v>
      </c>
      <c r="L328" s="101">
        <v>7.7</v>
      </c>
      <c r="M328" s="101">
        <v>1.5</v>
      </c>
      <c r="N328" s="101" t="s">
        <v>952</v>
      </c>
      <c r="O328" s="101">
        <v>2005</v>
      </c>
      <c r="P328" s="101" t="s">
        <v>867</v>
      </c>
      <c r="Q328" s="101">
        <v>927632</v>
      </c>
      <c r="R328" t="s">
        <v>502</v>
      </c>
      <c r="S328" t="s">
        <v>329</v>
      </c>
      <c r="T328"/>
      <c r="U328"/>
      <c r="V328"/>
      <c r="W328" s="223"/>
    </row>
    <row r="329" spans="1:23" x14ac:dyDescent="0.2">
      <c r="A329" s="253" t="s">
        <v>443</v>
      </c>
      <c r="B329" s="101">
        <v>7</v>
      </c>
      <c r="C329" s="101">
        <v>7</v>
      </c>
      <c r="D329" s="101">
        <v>6</v>
      </c>
      <c r="E329" s="101">
        <v>-6</v>
      </c>
      <c r="F329" s="101">
        <v>-11</v>
      </c>
      <c r="G329" s="101">
        <v>13</v>
      </c>
      <c r="H329" s="101">
        <v>-6</v>
      </c>
      <c r="I329" s="101">
        <v>-1</v>
      </c>
      <c r="J329" s="102">
        <v>0.48</v>
      </c>
      <c r="K329" s="102">
        <v>1.9</v>
      </c>
      <c r="L329" s="101">
        <v>17.899999999999999</v>
      </c>
      <c r="M329" s="101">
        <v>0.2</v>
      </c>
      <c r="N329" s="101" t="s">
        <v>952</v>
      </c>
      <c r="O329" s="101">
        <v>2004</v>
      </c>
      <c r="P329" s="101" t="s">
        <v>867</v>
      </c>
      <c r="Q329" s="101">
        <v>838383</v>
      </c>
      <c r="R329" t="s">
        <v>1000</v>
      </c>
      <c r="S329" t="s">
        <v>416</v>
      </c>
      <c r="T329"/>
      <c r="U329"/>
      <c r="V329"/>
      <c r="W329" s="223"/>
    </row>
    <row r="330" spans="1:23" x14ac:dyDescent="0.2">
      <c r="A330" s="253" t="s">
        <v>1088</v>
      </c>
      <c r="B330" s="101">
        <v>9</v>
      </c>
      <c r="C330" s="101">
        <v>9</v>
      </c>
      <c r="D330" s="101">
        <v>2</v>
      </c>
      <c r="E330" s="101">
        <v>-8</v>
      </c>
      <c r="F330" s="101">
        <v>-16</v>
      </c>
      <c r="G330" s="101">
        <v>55</v>
      </c>
      <c r="H330" s="101">
        <v>-7</v>
      </c>
      <c r="I330" s="101">
        <v>-1</v>
      </c>
      <c r="J330" s="102">
        <v>0.48</v>
      </c>
      <c r="K330" s="102">
        <v>1.3109999999999999</v>
      </c>
      <c r="L330" s="101">
        <v>18.399999999999999</v>
      </c>
      <c r="M330" s="101">
        <v>0.9</v>
      </c>
      <c r="N330" s="101" t="s">
        <v>952</v>
      </c>
      <c r="O330" s="101">
        <v>2010</v>
      </c>
      <c r="P330" s="101" t="s">
        <v>742</v>
      </c>
      <c r="Q330" s="101">
        <v>242495</v>
      </c>
      <c r="R330" t="s">
        <v>1083</v>
      </c>
      <c r="S330" t="s">
        <v>861</v>
      </c>
      <c r="T330"/>
      <c r="U330"/>
      <c r="V330"/>
      <c r="W330" s="223"/>
    </row>
    <row r="331" spans="1:23" x14ac:dyDescent="0.2">
      <c r="A331" s="253" t="s">
        <v>1090</v>
      </c>
      <c r="B331" s="101">
        <v>6</v>
      </c>
      <c r="C331" s="101">
        <v>6</v>
      </c>
      <c r="D331" s="101">
        <v>5</v>
      </c>
      <c r="E331" s="101">
        <v>-8</v>
      </c>
      <c r="F331" s="101">
        <v>-4</v>
      </c>
      <c r="G331" s="101">
        <v>60</v>
      </c>
      <c r="H331" s="101">
        <v>22</v>
      </c>
      <c r="I331" s="101">
        <v>4</v>
      </c>
      <c r="J331" s="102">
        <v>0.49</v>
      </c>
      <c r="K331" s="102">
        <v>1.3169999999999999</v>
      </c>
      <c r="L331" s="101">
        <v>16</v>
      </c>
      <c r="M331" s="101">
        <v>1</v>
      </c>
      <c r="N331" s="101" t="s">
        <v>952</v>
      </c>
      <c r="O331" s="101">
        <v>2003</v>
      </c>
      <c r="P331" s="101" t="s">
        <v>742</v>
      </c>
      <c r="Q331" s="101">
        <v>586982</v>
      </c>
      <c r="R331" t="s">
        <v>1083</v>
      </c>
      <c r="S331" t="s">
        <v>150</v>
      </c>
      <c r="T331"/>
      <c r="U331"/>
      <c r="V331"/>
      <c r="W331" s="223"/>
    </row>
    <row r="332" spans="1:23" x14ac:dyDescent="0.2">
      <c r="A332" s="253" t="s">
        <v>839</v>
      </c>
      <c r="B332" s="101">
        <v>6</v>
      </c>
      <c r="C332" s="101">
        <v>6</v>
      </c>
      <c r="D332" s="101">
        <v>8</v>
      </c>
      <c r="E332" s="101">
        <v>1</v>
      </c>
      <c r="F332" s="101">
        <v>-4</v>
      </c>
      <c r="G332" s="101">
        <v>104</v>
      </c>
      <c r="H332" s="101">
        <v>12</v>
      </c>
      <c r="I332" s="101">
        <v>2</v>
      </c>
      <c r="J332" s="102">
        <v>0.49</v>
      </c>
      <c r="K332" s="102">
        <v>1.4</v>
      </c>
      <c r="L332" s="101">
        <v>20</v>
      </c>
      <c r="M332" s="101">
        <v>1.3</v>
      </c>
      <c r="N332" s="101" t="s">
        <v>952</v>
      </c>
      <c r="O332" s="101">
        <v>2002</v>
      </c>
      <c r="P332" s="101" t="s">
        <v>867</v>
      </c>
      <c r="Q332" s="101">
        <v>103606</v>
      </c>
      <c r="R332" t="s">
        <v>791</v>
      </c>
      <c r="S332" t="s">
        <v>837</v>
      </c>
      <c r="T332"/>
      <c r="U332"/>
      <c r="V332"/>
      <c r="W332" s="223"/>
    </row>
    <row r="333" spans="1:23" x14ac:dyDescent="0.2">
      <c r="A333" s="253" t="s">
        <v>296</v>
      </c>
      <c r="B333" s="101">
        <v>6</v>
      </c>
      <c r="C333" s="101">
        <v>6</v>
      </c>
      <c r="D333" s="101">
        <v>10</v>
      </c>
      <c r="E333" s="101">
        <v>10</v>
      </c>
      <c r="F333" s="101">
        <v>10</v>
      </c>
      <c r="G333" s="101">
        <v>70</v>
      </c>
      <c r="H333" s="101">
        <v>12</v>
      </c>
      <c r="I333" s="101">
        <v>2</v>
      </c>
      <c r="J333" s="102">
        <v>0.49</v>
      </c>
      <c r="K333" s="102">
        <v>1.4</v>
      </c>
      <c r="L333" s="101">
        <v>12.3</v>
      </c>
      <c r="M333" s="101">
        <v>1.5</v>
      </c>
      <c r="N333" s="101" t="s">
        <v>952</v>
      </c>
      <c r="O333" s="101">
        <v>2000</v>
      </c>
      <c r="P333" s="101" t="s">
        <v>867</v>
      </c>
      <c r="Q333" s="101">
        <v>439471</v>
      </c>
      <c r="R333" t="s">
        <v>791</v>
      </c>
      <c r="S333" t="s">
        <v>293</v>
      </c>
      <c r="T333"/>
      <c r="U333"/>
      <c r="V333"/>
      <c r="W333" s="223"/>
    </row>
    <row r="334" spans="1:23" x14ac:dyDescent="0.2">
      <c r="A334" s="253" t="s">
        <v>984</v>
      </c>
      <c r="B334" s="101">
        <v>2</v>
      </c>
      <c r="C334" s="101">
        <v>2</v>
      </c>
      <c r="D334" s="101">
        <v>3</v>
      </c>
      <c r="E334" s="101">
        <v>0</v>
      </c>
      <c r="F334" s="101">
        <v>-2</v>
      </c>
      <c r="G334" s="101">
        <v>28</v>
      </c>
      <c r="H334" s="101">
        <v>6</v>
      </c>
      <c r="I334" s="101">
        <v>1</v>
      </c>
      <c r="J334" s="102">
        <v>0.49</v>
      </c>
      <c r="K334" s="102">
        <v>1.4</v>
      </c>
      <c r="L334" s="101">
        <v>6.4</v>
      </c>
      <c r="M334" s="101">
        <v>1.3</v>
      </c>
      <c r="N334" s="101" t="s">
        <v>952</v>
      </c>
      <c r="O334" s="101">
        <v>2000</v>
      </c>
      <c r="P334" s="101" t="s">
        <v>867</v>
      </c>
      <c r="Q334" s="101">
        <v>546960</v>
      </c>
      <c r="R334" t="s">
        <v>791</v>
      </c>
      <c r="S334" t="s">
        <v>329</v>
      </c>
      <c r="T334"/>
      <c r="U334"/>
      <c r="V334"/>
      <c r="W334" s="223"/>
    </row>
    <row r="335" spans="1:23" x14ac:dyDescent="0.2">
      <c r="A335" s="253" t="s">
        <v>792</v>
      </c>
      <c r="B335" s="101">
        <v>6</v>
      </c>
      <c r="C335" s="101">
        <v>6</v>
      </c>
      <c r="D335" s="101">
        <v>3</v>
      </c>
      <c r="E335" s="101">
        <v>-6</v>
      </c>
      <c r="F335" s="101">
        <v>-14</v>
      </c>
      <c r="G335" s="101">
        <v>72</v>
      </c>
      <c r="H335" s="101">
        <v>-3</v>
      </c>
      <c r="I335" s="101">
        <v>-1</v>
      </c>
      <c r="J335" s="102">
        <v>0.49</v>
      </c>
      <c r="K335" s="102">
        <v>1.4</v>
      </c>
      <c r="L335" s="101">
        <v>18.399999999999999</v>
      </c>
      <c r="M335" s="101">
        <v>1.1000000000000001</v>
      </c>
      <c r="N335" s="101" t="s">
        <v>952</v>
      </c>
      <c r="O335" s="101">
        <v>2000</v>
      </c>
      <c r="P335" s="101" t="s">
        <v>867</v>
      </c>
      <c r="Q335" s="101">
        <v>690289</v>
      </c>
      <c r="R335" t="s">
        <v>791</v>
      </c>
      <c r="S335" t="s">
        <v>781</v>
      </c>
      <c r="T335"/>
      <c r="U335"/>
      <c r="V335"/>
      <c r="W335" s="223"/>
    </row>
    <row r="336" spans="1:23" x14ac:dyDescent="0.2">
      <c r="A336" s="253" t="s">
        <v>279</v>
      </c>
      <c r="B336" s="101">
        <v>6</v>
      </c>
      <c r="C336" s="101">
        <v>6</v>
      </c>
      <c r="D336" s="101">
        <v>2</v>
      </c>
      <c r="E336" s="101">
        <v>-12</v>
      </c>
      <c r="F336" s="101">
        <v>-12</v>
      </c>
      <c r="G336" s="101">
        <v>79</v>
      </c>
      <c r="H336" s="101">
        <v>-4</v>
      </c>
      <c r="I336" s="101">
        <v>-1</v>
      </c>
      <c r="J336" s="102">
        <v>0.49</v>
      </c>
      <c r="K336" s="102">
        <v>1.2</v>
      </c>
      <c r="L336" s="101">
        <v>23.3</v>
      </c>
      <c r="M336" s="101">
        <v>1</v>
      </c>
      <c r="N336" s="101" t="s">
        <v>956</v>
      </c>
      <c r="O336" s="101">
        <v>2001</v>
      </c>
      <c r="P336" s="101" t="s">
        <v>742</v>
      </c>
      <c r="Q336" s="101">
        <v>183178</v>
      </c>
      <c r="R336" t="s">
        <v>868</v>
      </c>
      <c r="S336" t="s">
        <v>268</v>
      </c>
      <c r="T336"/>
      <c r="U336"/>
      <c r="V336"/>
      <c r="W336" s="223"/>
    </row>
    <row r="337" spans="1:23" x14ac:dyDescent="0.2">
      <c r="A337" s="253" t="s">
        <v>983</v>
      </c>
      <c r="B337" s="101">
        <v>5</v>
      </c>
      <c r="C337" s="101">
        <v>5</v>
      </c>
      <c r="D337" s="101">
        <v>4</v>
      </c>
      <c r="E337" s="101">
        <v>-3</v>
      </c>
      <c r="F337" s="101">
        <v>-8</v>
      </c>
      <c r="G337" s="101">
        <v>50</v>
      </c>
      <c r="H337" s="101">
        <v>-7</v>
      </c>
      <c r="I337" s="101">
        <v>-1</v>
      </c>
      <c r="J337" s="102">
        <v>0.49</v>
      </c>
      <c r="K337" s="102">
        <v>1.4</v>
      </c>
      <c r="L337" s="101">
        <v>14</v>
      </c>
      <c r="M337" s="101">
        <v>1</v>
      </c>
      <c r="N337" s="101" t="s">
        <v>952</v>
      </c>
      <c r="O337" s="101">
        <v>2000</v>
      </c>
      <c r="P337" s="101" t="s">
        <v>867</v>
      </c>
      <c r="Q337" s="101">
        <v>367813</v>
      </c>
      <c r="R337" t="s">
        <v>791</v>
      </c>
      <c r="S337" t="s">
        <v>843</v>
      </c>
      <c r="T337"/>
      <c r="U337"/>
      <c r="V337"/>
      <c r="W337" s="223"/>
    </row>
    <row r="338" spans="1:23" x14ac:dyDescent="0.2">
      <c r="A338" s="253" t="s">
        <v>1089</v>
      </c>
      <c r="B338" s="101">
        <v>3</v>
      </c>
      <c r="C338" s="101">
        <v>3</v>
      </c>
      <c r="D338" s="101">
        <v>3</v>
      </c>
      <c r="E338" s="101">
        <v>-3</v>
      </c>
      <c r="F338" s="101">
        <v>-2</v>
      </c>
      <c r="G338" s="101">
        <v>31</v>
      </c>
      <c r="H338" s="101">
        <v>-12</v>
      </c>
      <c r="I338" s="101">
        <v>-2</v>
      </c>
      <c r="J338" s="102">
        <v>0.49</v>
      </c>
      <c r="K338" s="102">
        <v>1.35</v>
      </c>
      <c r="L338" s="101">
        <v>10.7</v>
      </c>
      <c r="M338" s="101">
        <v>0.9</v>
      </c>
      <c r="N338" s="101" t="s">
        <v>952</v>
      </c>
      <c r="O338" s="101">
        <v>2011</v>
      </c>
      <c r="P338" s="101" t="s">
        <v>742</v>
      </c>
      <c r="Q338" s="101">
        <v>503573</v>
      </c>
      <c r="R338" t="s">
        <v>1083</v>
      </c>
      <c r="S338" t="s">
        <v>166</v>
      </c>
      <c r="T338" t="s">
        <v>953</v>
      </c>
      <c r="U338"/>
      <c r="V338"/>
      <c r="W338" s="223"/>
    </row>
    <row r="339" spans="1:23" x14ac:dyDescent="0.2">
      <c r="A339" s="253" t="s">
        <v>182</v>
      </c>
      <c r="B339" s="101">
        <v>6</v>
      </c>
      <c r="C339" s="101">
        <v>6</v>
      </c>
      <c r="D339" s="101">
        <v>7</v>
      </c>
      <c r="E339" s="101">
        <v>1</v>
      </c>
      <c r="F339" s="101">
        <v>-1</v>
      </c>
      <c r="G339" s="101">
        <v>30</v>
      </c>
      <c r="H339" s="101">
        <v>-16</v>
      </c>
      <c r="I339" s="101">
        <v>-3</v>
      </c>
      <c r="J339" s="102">
        <v>0.49</v>
      </c>
      <c r="K339" s="102">
        <v>1.4</v>
      </c>
      <c r="L339" s="101">
        <v>11.4</v>
      </c>
      <c r="M339" s="101">
        <v>0.8</v>
      </c>
      <c r="N339" s="101" t="s">
        <v>952</v>
      </c>
      <c r="O339" s="101">
        <v>2000</v>
      </c>
      <c r="P339" s="101" t="s">
        <v>867</v>
      </c>
      <c r="Q339" s="101">
        <v>475301</v>
      </c>
      <c r="R339" t="s">
        <v>791</v>
      </c>
      <c r="S339" t="s">
        <v>166</v>
      </c>
      <c r="T339"/>
      <c r="U339"/>
      <c r="V339"/>
      <c r="W339" s="223"/>
    </row>
    <row r="340" spans="1:23" x14ac:dyDescent="0.2">
      <c r="A340" s="253" t="s">
        <v>128</v>
      </c>
      <c r="B340" s="101">
        <v>3</v>
      </c>
      <c r="C340" s="101">
        <v>3</v>
      </c>
      <c r="D340" s="101">
        <v>8</v>
      </c>
      <c r="E340" s="101">
        <v>9</v>
      </c>
      <c r="F340" s="101">
        <v>9</v>
      </c>
      <c r="G340" s="101">
        <v>29</v>
      </c>
      <c r="H340" s="101">
        <v>-13</v>
      </c>
      <c r="I340" s="101">
        <v>-3</v>
      </c>
      <c r="J340" s="102">
        <v>0.49</v>
      </c>
      <c r="K340" s="102">
        <v>1.4</v>
      </c>
      <c r="L340" s="101">
        <v>11.2</v>
      </c>
      <c r="M340" s="101">
        <v>0.7</v>
      </c>
      <c r="N340" s="101" t="s">
        <v>952</v>
      </c>
      <c r="O340" s="101">
        <v>2000</v>
      </c>
      <c r="P340" s="101" t="s">
        <v>867</v>
      </c>
      <c r="Q340" s="101">
        <v>511139</v>
      </c>
      <c r="R340" t="s">
        <v>791</v>
      </c>
      <c r="S340" t="s">
        <v>114</v>
      </c>
      <c r="T340"/>
      <c r="U340"/>
      <c r="V340"/>
      <c r="W340" s="223"/>
    </row>
    <row r="341" spans="1:23" x14ac:dyDescent="0.2">
      <c r="A341" s="253" t="s">
        <v>266</v>
      </c>
      <c r="B341" s="101">
        <v>3</v>
      </c>
      <c r="C341" s="101">
        <v>3</v>
      </c>
      <c r="D341" s="101">
        <v>5</v>
      </c>
      <c r="E341" s="101">
        <v>-4</v>
      </c>
      <c r="F341" s="101">
        <v>-8</v>
      </c>
      <c r="G341" s="101">
        <v>-3</v>
      </c>
      <c r="H341" s="101">
        <v>-30</v>
      </c>
      <c r="I341" s="101">
        <v>-7</v>
      </c>
      <c r="J341" s="102">
        <v>0.49</v>
      </c>
      <c r="K341" s="102">
        <v>1.4</v>
      </c>
      <c r="L341" s="101">
        <v>15.9</v>
      </c>
      <c r="M341" s="101">
        <v>0</v>
      </c>
      <c r="N341" s="101" t="s">
        <v>952</v>
      </c>
      <c r="O341" s="101">
        <v>2000</v>
      </c>
      <c r="P341" s="101" t="s">
        <v>867</v>
      </c>
      <c r="Q341" s="101">
        <v>582791</v>
      </c>
      <c r="R341" t="s">
        <v>791</v>
      </c>
      <c r="S341" t="s">
        <v>254</v>
      </c>
      <c r="T341"/>
      <c r="U341"/>
      <c r="V341"/>
      <c r="W341" s="223"/>
    </row>
    <row r="342" spans="1:23" x14ac:dyDescent="0.2">
      <c r="A342" s="253" t="s">
        <v>56</v>
      </c>
      <c r="B342" s="101">
        <v>6</v>
      </c>
      <c r="C342" s="101">
        <v>6</v>
      </c>
      <c r="D342" s="101">
        <v>3</v>
      </c>
      <c r="E342" s="101">
        <v>-7</v>
      </c>
      <c r="F342" s="101">
        <v>-10</v>
      </c>
      <c r="G342" s="101">
        <v>19</v>
      </c>
      <c r="H342" s="101">
        <v>-29</v>
      </c>
      <c r="I342" s="101">
        <v>-7</v>
      </c>
      <c r="J342" s="102">
        <v>0.49</v>
      </c>
      <c r="K342" s="102">
        <v>1.4</v>
      </c>
      <c r="L342" s="101">
        <v>15.3</v>
      </c>
      <c r="M342" s="101">
        <v>0.4</v>
      </c>
      <c r="N342" s="101" t="s">
        <v>952</v>
      </c>
      <c r="O342" s="101">
        <v>2000</v>
      </c>
      <c r="P342" s="101" t="s">
        <v>867</v>
      </c>
      <c r="Q342" s="101">
        <v>654459</v>
      </c>
      <c r="R342" t="s">
        <v>791</v>
      </c>
      <c r="S342" t="s">
        <v>49</v>
      </c>
      <c r="T342"/>
      <c r="U342"/>
      <c r="V342"/>
      <c r="W342" s="223"/>
    </row>
    <row r="343" spans="1:23" x14ac:dyDescent="0.2">
      <c r="A343" s="253" t="s">
        <v>986</v>
      </c>
      <c r="B343" s="101">
        <v>8</v>
      </c>
      <c r="C343" s="101">
        <v>8</v>
      </c>
      <c r="D343" s="101">
        <v>8</v>
      </c>
      <c r="E343" s="101">
        <v>-7</v>
      </c>
      <c r="F343" s="101">
        <v>-9</v>
      </c>
      <c r="G343" s="101">
        <v>38</v>
      </c>
      <c r="H343" s="101"/>
      <c r="I343" s="101"/>
      <c r="J343" s="102">
        <v>0.49</v>
      </c>
      <c r="K343" s="102">
        <v>1.8575349999999999</v>
      </c>
      <c r="L343" s="101">
        <v>16.2</v>
      </c>
      <c r="M343" s="101">
        <v>0.7</v>
      </c>
      <c r="N343" s="101" t="s">
        <v>952</v>
      </c>
      <c r="O343" s="101">
        <v>2009</v>
      </c>
      <c r="P343" s="101" t="s">
        <v>742</v>
      </c>
      <c r="Q343" s="101">
        <v>425892</v>
      </c>
      <c r="R343" t="s">
        <v>787</v>
      </c>
      <c r="S343" t="s">
        <v>416</v>
      </c>
      <c r="T343"/>
      <c r="U343"/>
      <c r="V343"/>
      <c r="W343" s="223"/>
    </row>
    <row r="344" spans="1:23" x14ac:dyDescent="0.2">
      <c r="A344" s="253" t="s">
        <v>616</v>
      </c>
      <c r="B344" s="101">
        <v>9</v>
      </c>
      <c r="C344" s="101">
        <v>9</v>
      </c>
      <c r="D344" s="101">
        <v>5</v>
      </c>
      <c r="E344" s="101">
        <v>-3</v>
      </c>
      <c r="F344" s="101">
        <v>-2</v>
      </c>
      <c r="G344" s="101">
        <v>28</v>
      </c>
      <c r="H344" s="101"/>
      <c r="I344" s="101"/>
      <c r="J344" s="102">
        <v>0.49</v>
      </c>
      <c r="K344" s="102">
        <v>1.42</v>
      </c>
      <c r="L344" s="101">
        <v>12.7</v>
      </c>
      <c r="M344" s="101">
        <v>0.7</v>
      </c>
      <c r="N344" s="101" t="s">
        <v>952</v>
      </c>
      <c r="O344" s="101">
        <v>2007</v>
      </c>
      <c r="P344" s="101" t="s">
        <v>867</v>
      </c>
      <c r="Q344" s="101">
        <v>432039</v>
      </c>
      <c r="R344" t="s">
        <v>425</v>
      </c>
      <c r="S344" t="s">
        <v>166</v>
      </c>
      <c r="T344"/>
      <c r="U344"/>
      <c r="V344"/>
      <c r="W344" s="223"/>
    </row>
    <row r="345" spans="1:23" x14ac:dyDescent="0.2">
      <c r="A345" s="253" t="s">
        <v>440</v>
      </c>
      <c r="B345" s="101">
        <v>1</v>
      </c>
      <c r="C345" s="101">
        <v>1</v>
      </c>
      <c r="D345" s="101">
        <v>4</v>
      </c>
      <c r="E345" s="101">
        <v>1</v>
      </c>
      <c r="F345" s="101">
        <v>6</v>
      </c>
      <c r="G345" s="101">
        <v>27</v>
      </c>
      <c r="H345" s="101"/>
      <c r="I345" s="101"/>
      <c r="J345" s="102">
        <v>0.49</v>
      </c>
      <c r="K345" s="102">
        <v>1.1299999999999999</v>
      </c>
      <c r="L345" s="101">
        <v>6.9</v>
      </c>
      <c r="M345" s="101">
        <v>1.1000000000000001</v>
      </c>
      <c r="N345" s="101" t="s">
        <v>955</v>
      </c>
      <c r="O345" s="101">
        <v>2009</v>
      </c>
      <c r="P345" s="101" t="s">
        <v>742</v>
      </c>
      <c r="Q345" s="101">
        <v>118000</v>
      </c>
      <c r="R345" t="s">
        <v>65</v>
      </c>
      <c r="S345" t="s">
        <v>166</v>
      </c>
      <c r="T345"/>
      <c r="U345"/>
      <c r="V345"/>
      <c r="W345" s="223"/>
    </row>
    <row r="346" spans="1:23" x14ac:dyDescent="0.2">
      <c r="A346" s="253" t="s">
        <v>432</v>
      </c>
      <c r="B346" s="101">
        <v>-2</v>
      </c>
      <c r="C346" s="101">
        <v>-2</v>
      </c>
      <c r="D346" s="101">
        <v>1</v>
      </c>
      <c r="E346" s="101">
        <v>-1</v>
      </c>
      <c r="F346" s="101">
        <v>2</v>
      </c>
      <c r="G346" s="101">
        <v>1</v>
      </c>
      <c r="H346" s="101">
        <v>37</v>
      </c>
      <c r="I346" s="101">
        <v>7</v>
      </c>
      <c r="J346" s="102">
        <v>0.5</v>
      </c>
      <c r="K346" s="102">
        <v>1.1499999999999999</v>
      </c>
      <c r="L346" s="101">
        <v>8.6</v>
      </c>
      <c r="M346" s="101">
        <v>0</v>
      </c>
      <c r="N346" s="101" t="s">
        <v>952</v>
      </c>
      <c r="O346" s="101">
        <v>2011</v>
      </c>
      <c r="P346" s="101" t="s">
        <v>742</v>
      </c>
      <c r="Q346" s="101">
        <v>639633</v>
      </c>
      <c r="R346" t="s">
        <v>909</v>
      </c>
      <c r="S346" t="s">
        <v>338</v>
      </c>
      <c r="T346"/>
      <c r="U346"/>
      <c r="V346"/>
      <c r="W346" s="223"/>
    </row>
    <row r="347" spans="1:23" x14ac:dyDescent="0.2">
      <c r="A347" s="253" t="s">
        <v>886</v>
      </c>
      <c r="B347" s="101">
        <v>4</v>
      </c>
      <c r="C347" s="101">
        <v>4</v>
      </c>
      <c r="D347" s="101">
        <v>4</v>
      </c>
      <c r="E347" s="101">
        <v>0</v>
      </c>
      <c r="F347" s="101">
        <v>0</v>
      </c>
      <c r="G347" s="101">
        <v>20</v>
      </c>
      <c r="H347" s="101">
        <v>15</v>
      </c>
      <c r="I347" s="101">
        <v>3</v>
      </c>
      <c r="J347" s="102">
        <v>0.5</v>
      </c>
      <c r="K347" s="102">
        <v>1.25</v>
      </c>
      <c r="L347" s="101">
        <v>8.1</v>
      </c>
      <c r="M347" s="101">
        <v>0.7</v>
      </c>
      <c r="N347" s="101" t="s">
        <v>955</v>
      </c>
      <c r="O347" s="101">
        <v>2008</v>
      </c>
      <c r="P347" s="101" t="s">
        <v>742</v>
      </c>
      <c r="Q347" s="101">
        <v>945162</v>
      </c>
      <c r="R347" t="s">
        <v>882</v>
      </c>
      <c r="S347" t="s">
        <v>735</v>
      </c>
      <c r="T347"/>
      <c r="U347"/>
      <c r="V347"/>
      <c r="W347" s="223"/>
    </row>
    <row r="348" spans="1:23" x14ac:dyDescent="0.2">
      <c r="A348" s="253" t="s">
        <v>211</v>
      </c>
      <c r="B348" s="101">
        <v>2</v>
      </c>
      <c r="C348" s="101">
        <v>2</v>
      </c>
      <c r="D348" s="101">
        <v>2</v>
      </c>
      <c r="E348" s="101">
        <v>2</v>
      </c>
      <c r="F348" s="101">
        <v>5</v>
      </c>
      <c r="G348" s="101">
        <v>-6</v>
      </c>
      <c r="H348" s="101">
        <v>11</v>
      </c>
      <c r="I348" s="101">
        <v>2</v>
      </c>
      <c r="J348" s="102">
        <v>0.5</v>
      </c>
      <c r="K348" s="102">
        <v>1.25</v>
      </c>
      <c r="L348" s="101">
        <v>7.9</v>
      </c>
      <c r="M348" s="101">
        <v>-0.3</v>
      </c>
      <c r="N348" s="101" t="s">
        <v>955</v>
      </c>
      <c r="O348" s="101">
        <v>2003</v>
      </c>
      <c r="P348" s="101" t="s">
        <v>742</v>
      </c>
      <c r="Q348" s="101">
        <v>280925</v>
      </c>
      <c r="R348" t="s">
        <v>490</v>
      </c>
      <c r="S348" t="s">
        <v>721</v>
      </c>
      <c r="T348"/>
      <c r="U348"/>
      <c r="V348"/>
      <c r="W348" s="223"/>
    </row>
    <row r="349" spans="1:23" x14ac:dyDescent="0.2">
      <c r="A349" s="253" t="s">
        <v>1127</v>
      </c>
      <c r="B349" s="101">
        <v>10</v>
      </c>
      <c r="C349" s="101">
        <v>10</v>
      </c>
      <c r="D349" s="101">
        <v>7</v>
      </c>
      <c r="E349" s="101">
        <v>-5</v>
      </c>
      <c r="F349" s="101">
        <v>-2</v>
      </c>
      <c r="G349" s="101">
        <v>93</v>
      </c>
      <c r="H349" s="101">
        <v>5</v>
      </c>
      <c r="I349" s="101">
        <v>1</v>
      </c>
      <c r="J349" s="102">
        <v>0.5</v>
      </c>
      <c r="K349" s="102">
        <v>1.51</v>
      </c>
      <c r="L349" s="101">
        <v>23.6</v>
      </c>
      <c r="M349" s="101">
        <v>1</v>
      </c>
      <c r="N349" s="101" t="s">
        <v>955</v>
      </c>
      <c r="O349" s="101">
        <v>2006</v>
      </c>
      <c r="P349" s="101" t="s">
        <v>742</v>
      </c>
      <c r="Q349" s="101">
        <v>900894</v>
      </c>
      <c r="R349" t="s">
        <v>866</v>
      </c>
      <c r="S349" t="s">
        <v>721</v>
      </c>
      <c r="T349"/>
      <c r="U349"/>
      <c r="V349"/>
      <c r="W349" s="223"/>
    </row>
    <row r="350" spans="1:23" x14ac:dyDescent="0.2">
      <c r="A350" s="253" t="s">
        <v>700</v>
      </c>
      <c r="B350" s="101">
        <v>5</v>
      </c>
      <c r="C350" s="101">
        <v>5</v>
      </c>
      <c r="D350" s="101">
        <v>7</v>
      </c>
      <c r="E350" s="101">
        <v>-2</v>
      </c>
      <c r="F350" s="101">
        <v>-3</v>
      </c>
      <c r="G350" s="101">
        <v>22</v>
      </c>
      <c r="H350" s="101">
        <v>-15</v>
      </c>
      <c r="I350" s="101">
        <v>-3</v>
      </c>
      <c r="J350" s="102">
        <v>0.5</v>
      </c>
      <c r="K350" s="102">
        <v>1.1486419999999999</v>
      </c>
      <c r="L350" s="101">
        <v>13</v>
      </c>
      <c r="M350" s="101">
        <v>0.5</v>
      </c>
      <c r="N350" s="101" t="s">
        <v>957</v>
      </c>
      <c r="O350" s="101">
        <v>2000</v>
      </c>
      <c r="P350" s="101" t="s">
        <v>742</v>
      </c>
      <c r="Q350" s="101">
        <v>555466</v>
      </c>
      <c r="R350" t="s">
        <v>504</v>
      </c>
      <c r="S350" t="s">
        <v>166</v>
      </c>
      <c r="T350"/>
      <c r="U350"/>
      <c r="V350"/>
      <c r="W350" s="223"/>
    </row>
    <row r="351" spans="1:23" x14ac:dyDescent="0.2">
      <c r="A351" s="253" t="s">
        <v>58</v>
      </c>
      <c r="B351" s="101">
        <v>5</v>
      </c>
      <c r="C351" s="101">
        <v>5</v>
      </c>
      <c r="D351" s="101">
        <v>2</v>
      </c>
      <c r="E351" s="101">
        <v>-7</v>
      </c>
      <c r="F351" s="101">
        <v>-10</v>
      </c>
      <c r="G351" s="101">
        <v>14</v>
      </c>
      <c r="H351" s="101">
        <v>-28</v>
      </c>
      <c r="I351" s="101">
        <v>-6</v>
      </c>
      <c r="J351" s="102">
        <v>0.5</v>
      </c>
      <c r="K351" s="102">
        <v>1.8833219999999999</v>
      </c>
      <c r="L351" s="101">
        <v>14.5</v>
      </c>
      <c r="M351" s="101">
        <v>0.4</v>
      </c>
      <c r="N351" s="101" t="s">
        <v>955</v>
      </c>
      <c r="O351" s="101">
        <v>2000</v>
      </c>
      <c r="P351" s="101" t="s">
        <v>742</v>
      </c>
      <c r="Q351" s="101">
        <v>327734</v>
      </c>
      <c r="R351" t="s">
        <v>57</v>
      </c>
      <c r="S351" t="s">
        <v>49</v>
      </c>
      <c r="T351"/>
      <c r="U351"/>
      <c r="V351"/>
      <c r="W351" s="223"/>
    </row>
    <row r="352" spans="1:23" x14ac:dyDescent="0.2">
      <c r="A352" s="253" t="s">
        <v>389</v>
      </c>
      <c r="B352" s="101">
        <v>0</v>
      </c>
      <c r="C352" s="101">
        <v>0</v>
      </c>
      <c r="D352" s="101">
        <v>0</v>
      </c>
      <c r="E352" s="101">
        <v>0</v>
      </c>
      <c r="F352" s="101">
        <v>1</v>
      </c>
      <c r="G352" s="101"/>
      <c r="H352" s="101"/>
      <c r="I352" s="101"/>
      <c r="J352" s="102">
        <v>0.5</v>
      </c>
      <c r="K352" s="102">
        <v>1.35</v>
      </c>
      <c r="L352" s="101"/>
      <c r="M352" s="101"/>
      <c r="N352" s="101" t="s">
        <v>955</v>
      </c>
      <c r="O352" s="101">
        <v>2009</v>
      </c>
      <c r="P352" s="101" t="s">
        <v>742</v>
      </c>
      <c r="Q352" s="101">
        <v>374892</v>
      </c>
      <c r="R352" t="s">
        <v>930</v>
      </c>
      <c r="S352" t="s">
        <v>96</v>
      </c>
      <c r="T352"/>
      <c r="U352"/>
      <c r="V352"/>
      <c r="W352" s="223"/>
    </row>
    <row r="353" spans="1:23" x14ac:dyDescent="0.2">
      <c r="A353" s="253" t="s">
        <v>630</v>
      </c>
      <c r="B353" s="101">
        <v>-2</v>
      </c>
      <c r="C353" s="101">
        <v>-2</v>
      </c>
      <c r="D353" s="101">
        <v>7</v>
      </c>
      <c r="E353" s="101">
        <v>13</v>
      </c>
      <c r="F353" s="101">
        <v>10</v>
      </c>
      <c r="G353" s="101"/>
      <c r="H353" s="101"/>
      <c r="I353" s="101"/>
      <c r="J353" s="102">
        <v>0.5</v>
      </c>
      <c r="K353" s="102">
        <v>1.35</v>
      </c>
      <c r="L353" s="101"/>
      <c r="M353" s="101"/>
      <c r="N353" s="101" t="s">
        <v>957</v>
      </c>
      <c r="O353" s="101">
        <v>2009</v>
      </c>
      <c r="P353" s="101" t="s">
        <v>742</v>
      </c>
      <c r="Q353" s="101">
        <v>303230</v>
      </c>
      <c r="R353" t="s">
        <v>930</v>
      </c>
      <c r="S353" t="s">
        <v>166</v>
      </c>
      <c r="T353"/>
      <c r="U353"/>
      <c r="V353"/>
      <c r="W353" s="223"/>
    </row>
    <row r="354" spans="1:23" x14ac:dyDescent="0.2">
      <c r="A354" s="253" t="s">
        <v>10</v>
      </c>
      <c r="B354" s="101">
        <v>6</v>
      </c>
      <c r="C354" s="101">
        <v>6</v>
      </c>
      <c r="D354" s="101">
        <v>4</v>
      </c>
      <c r="E354" s="101">
        <v>3</v>
      </c>
      <c r="F354" s="101">
        <v>2</v>
      </c>
      <c r="G354" s="101">
        <v>67</v>
      </c>
      <c r="H354" s="101">
        <v>22</v>
      </c>
      <c r="I354" s="101">
        <v>4</v>
      </c>
      <c r="J354" s="102">
        <v>0.51</v>
      </c>
      <c r="K354" s="102">
        <v>1.27</v>
      </c>
      <c r="L354" s="101">
        <v>10.5</v>
      </c>
      <c r="M354" s="101">
        <v>1.7</v>
      </c>
      <c r="N354" s="101" t="s">
        <v>952</v>
      </c>
      <c r="O354" s="101">
        <v>2000</v>
      </c>
      <c r="P354" s="101" t="s">
        <v>867</v>
      </c>
      <c r="Q354" s="101">
        <v>829945</v>
      </c>
      <c r="R354" t="s">
        <v>502</v>
      </c>
      <c r="S354" t="s">
        <v>328</v>
      </c>
      <c r="T354"/>
      <c r="U354"/>
      <c r="V354"/>
      <c r="W354" s="223"/>
    </row>
    <row r="355" spans="1:23" x14ac:dyDescent="0.2">
      <c r="A355" s="253" t="s">
        <v>119</v>
      </c>
      <c r="B355" s="101">
        <v>2</v>
      </c>
      <c r="C355" s="101">
        <v>2</v>
      </c>
      <c r="D355" s="101">
        <v>7</v>
      </c>
      <c r="E355" s="101">
        <v>6</v>
      </c>
      <c r="F355" s="101">
        <v>5</v>
      </c>
      <c r="G355" s="101">
        <v>21</v>
      </c>
      <c r="H355" s="101">
        <v>-1</v>
      </c>
      <c r="I355" s="101">
        <v>0</v>
      </c>
      <c r="J355" s="102">
        <v>0.51</v>
      </c>
      <c r="K355" s="102">
        <v>1.19</v>
      </c>
      <c r="L355" s="101">
        <v>9.6999999999999993</v>
      </c>
      <c r="M355" s="101">
        <v>0.7</v>
      </c>
      <c r="N355" s="101" t="s">
        <v>957</v>
      </c>
      <c r="O355" s="101">
        <v>2000</v>
      </c>
      <c r="P355" s="101" t="s">
        <v>742</v>
      </c>
      <c r="Q355" s="101">
        <v>300996</v>
      </c>
      <c r="R355" t="s">
        <v>65</v>
      </c>
      <c r="S355" t="s">
        <v>114</v>
      </c>
      <c r="T355"/>
      <c r="U355"/>
      <c r="V355"/>
      <c r="W355" s="223"/>
    </row>
    <row r="356" spans="1:23" x14ac:dyDescent="0.2">
      <c r="A356" s="253" t="s">
        <v>369</v>
      </c>
      <c r="B356" s="101">
        <v>6</v>
      </c>
      <c r="C356" s="101">
        <v>6</v>
      </c>
      <c r="D356" s="101">
        <v>5</v>
      </c>
      <c r="E356" s="101">
        <v>0</v>
      </c>
      <c r="F356" s="101">
        <v>-9</v>
      </c>
      <c r="G356" s="101">
        <v>70</v>
      </c>
      <c r="H356" s="101">
        <v>-5</v>
      </c>
      <c r="I356" s="101">
        <v>-1</v>
      </c>
      <c r="J356" s="102">
        <v>0.51</v>
      </c>
      <c r="K356" s="102">
        <v>2.0499999999999998</v>
      </c>
      <c r="L356" s="101">
        <v>17.100000000000001</v>
      </c>
      <c r="M356" s="101">
        <v>1.2</v>
      </c>
      <c r="N356" s="101" t="s">
        <v>952</v>
      </c>
      <c r="O356" s="101">
        <v>2003</v>
      </c>
      <c r="P356" s="101" t="s">
        <v>867</v>
      </c>
      <c r="Q356" s="101">
        <v>386581</v>
      </c>
      <c r="R356" t="s">
        <v>1000</v>
      </c>
      <c r="S356" t="s">
        <v>781</v>
      </c>
      <c r="T356"/>
      <c r="U356"/>
      <c r="V356"/>
      <c r="W356" s="223"/>
    </row>
    <row r="357" spans="1:23" x14ac:dyDescent="0.2">
      <c r="A357" s="253" t="s">
        <v>1003</v>
      </c>
      <c r="B357" s="101">
        <v>1</v>
      </c>
      <c r="C357" s="101">
        <v>1</v>
      </c>
      <c r="D357" s="101">
        <v>1</v>
      </c>
      <c r="E357" s="101">
        <v>-1</v>
      </c>
      <c r="F357" s="101">
        <v>-7</v>
      </c>
      <c r="G357" s="101">
        <v>4</v>
      </c>
      <c r="H357" s="101">
        <v>-6</v>
      </c>
      <c r="I357" s="101">
        <v>-1</v>
      </c>
      <c r="J357" s="102">
        <v>0.51</v>
      </c>
      <c r="K357" s="102">
        <v>1.5</v>
      </c>
      <c r="L357" s="101">
        <v>6.6</v>
      </c>
      <c r="M357" s="101">
        <v>0.2</v>
      </c>
      <c r="N357" s="101" t="s">
        <v>952</v>
      </c>
      <c r="O357" s="101">
        <v>2005</v>
      </c>
      <c r="P357" s="101" t="s">
        <v>742</v>
      </c>
      <c r="Q357" s="101">
        <v>887554</v>
      </c>
      <c r="R357" t="s">
        <v>878</v>
      </c>
      <c r="S357" t="s">
        <v>328</v>
      </c>
      <c r="T357"/>
      <c r="U357"/>
      <c r="V357"/>
      <c r="W357" s="223"/>
    </row>
    <row r="358" spans="1:23" x14ac:dyDescent="0.2">
      <c r="A358" s="253" t="s">
        <v>701</v>
      </c>
      <c r="B358" s="101">
        <v>10</v>
      </c>
      <c r="C358" s="101">
        <v>10</v>
      </c>
      <c r="D358" s="101">
        <v>4</v>
      </c>
      <c r="E358" s="101">
        <v>-12</v>
      </c>
      <c r="F358" s="101">
        <v>-16</v>
      </c>
      <c r="G358" s="101">
        <v>31</v>
      </c>
      <c r="H358" s="101">
        <v>-9</v>
      </c>
      <c r="I358" s="101">
        <v>-2</v>
      </c>
      <c r="J358" s="102">
        <v>0.51</v>
      </c>
      <c r="K358" s="102">
        <v>1.1694089999999999</v>
      </c>
      <c r="L358" s="101">
        <v>18.2</v>
      </c>
      <c r="M358" s="101">
        <v>0.5</v>
      </c>
      <c r="N358" s="101" t="s">
        <v>957</v>
      </c>
      <c r="O358" s="101">
        <v>2000</v>
      </c>
      <c r="P358" s="101" t="s">
        <v>742</v>
      </c>
      <c r="Q358" s="101">
        <v>232991</v>
      </c>
      <c r="R358" t="s">
        <v>504</v>
      </c>
      <c r="S358" t="s">
        <v>183</v>
      </c>
      <c r="T358"/>
      <c r="U358"/>
      <c r="V358"/>
      <c r="W358" s="223"/>
    </row>
    <row r="359" spans="1:23" x14ac:dyDescent="0.2">
      <c r="A359" s="253" t="s">
        <v>375</v>
      </c>
      <c r="B359" s="101">
        <v>2</v>
      </c>
      <c r="C359" s="101">
        <v>2</v>
      </c>
      <c r="D359" s="101">
        <v>5</v>
      </c>
      <c r="E359" s="101">
        <v>2</v>
      </c>
      <c r="F359" s="101">
        <v>-4</v>
      </c>
      <c r="G359" s="101">
        <v>37</v>
      </c>
      <c r="H359" s="101">
        <v>-9</v>
      </c>
      <c r="I359" s="101">
        <v>-2</v>
      </c>
      <c r="J359" s="102">
        <v>0.51</v>
      </c>
      <c r="K359" s="102">
        <v>2.0499999999999998</v>
      </c>
      <c r="L359" s="101">
        <v>12.2</v>
      </c>
      <c r="M359" s="101">
        <v>0.9</v>
      </c>
      <c r="N359" s="101" t="s">
        <v>952</v>
      </c>
      <c r="O359" s="101">
        <v>2000</v>
      </c>
      <c r="P359" s="101" t="s">
        <v>742</v>
      </c>
      <c r="Q359" s="101">
        <v>914358</v>
      </c>
      <c r="R359" t="s">
        <v>1000</v>
      </c>
      <c r="S359" t="s">
        <v>293</v>
      </c>
      <c r="T359"/>
      <c r="U359"/>
      <c r="V359"/>
      <c r="W359" s="223"/>
    </row>
    <row r="360" spans="1:23" x14ac:dyDescent="0.2">
      <c r="A360" s="253" t="s">
        <v>113</v>
      </c>
      <c r="B360" s="101">
        <v>5</v>
      </c>
      <c r="C360" s="101">
        <v>5</v>
      </c>
      <c r="D360" s="101">
        <v>0</v>
      </c>
      <c r="E360" s="101">
        <v>-11</v>
      </c>
      <c r="F360" s="101">
        <v>-17</v>
      </c>
      <c r="G360" s="101">
        <v>-2</v>
      </c>
      <c r="H360" s="101">
        <v>-36</v>
      </c>
      <c r="I360" s="101">
        <v>-8</v>
      </c>
      <c r="J360" s="102">
        <v>0.51</v>
      </c>
      <c r="K360" s="102">
        <v>1.26</v>
      </c>
      <c r="L360" s="101">
        <v>21</v>
      </c>
      <c r="M360" s="101">
        <v>0.1</v>
      </c>
      <c r="N360" s="101" t="s">
        <v>955</v>
      </c>
      <c r="O360" s="101">
        <v>2000</v>
      </c>
      <c r="P360" s="101" t="s">
        <v>742</v>
      </c>
      <c r="Q360" s="101">
        <v>507475</v>
      </c>
      <c r="R360" t="s">
        <v>99</v>
      </c>
      <c r="S360" t="s">
        <v>108</v>
      </c>
      <c r="T360"/>
      <c r="U360"/>
      <c r="V360"/>
      <c r="W360" s="223"/>
    </row>
    <row r="361" spans="1:23" x14ac:dyDescent="0.2">
      <c r="A361" s="253" t="s">
        <v>740</v>
      </c>
      <c r="B361" s="101">
        <v>4</v>
      </c>
      <c r="C361" s="101">
        <v>4</v>
      </c>
      <c r="D361" s="101">
        <v>2</v>
      </c>
      <c r="E361" s="101">
        <v>-3</v>
      </c>
      <c r="F361" s="101">
        <v>1</v>
      </c>
      <c r="G361" s="101">
        <v>51</v>
      </c>
      <c r="H361" s="101">
        <v>44</v>
      </c>
      <c r="I361" s="101">
        <v>8</v>
      </c>
      <c r="J361" s="102">
        <v>0.52</v>
      </c>
      <c r="K361" s="102">
        <v>1.59</v>
      </c>
      <c r="L361" s="101">
        <v>14.1</v>
      </c>
      <c r="M361" s="101">
        <v>1</v>
      </c>
      <c r="N361" s="101" t="s">
        <v>955</v>
      </c>
      <c r="O361" s="101">
        <v>2003</v>
      </c>
      <c r="P361" s="101" t="s">
        <v>742</v>
      </c>
      <c r="Q361" s="101">
        <v>753384</v>
      </c>
      <c r="R361" t="s">
        <v>403</v>
      </c>
      <c r="S361" t="s">
        <v>735</v>
      </c>
      <c r="T361"/>
      <c r="U361"/>
      <c r="V361"/>
      <c r="W361" s="223"/>
    </row>
    <row r="362" spans="1:23" x14ac:dyDescent="0.2">
      <c r="A362" s="253" t="s">
        <v>738</v>
      </c>
      <c r="B362" s="101">
        <v>2</v>
      </c>
      <c r="C362" s="101">
        <v>2</v>
      </c>
      <c r="D362" s="101">
        <v>9</v>
      </c>
      <c r="E362" s="101">
        <v>5</v>
      </c>
      <c r="F362" s="101">
        <v>5</v>
      </c>
      <c r="G362" s="101">
        <v>33</v>
      </c>
      <c r="H362" s="101">
        <v>19</v>
      </c>
      <c r="I362" s="101">
        <v>4</v>
      </c>
      <c r="J362" s="102">
        <v>0.52</v>
      </c>
      <c r="K362" s="102">
        <v>1.59</v>
      </c>
      <c r="L362" s="101">
        <v>10</v>
      </c>
      <c r="M362" s="101">
        <v>0.8</v>
      </c>
      <c r="N362" s="101" t="s">
        <v>957</v>
      </c>
      <c r="O362" s="101">
        <v>2000</v>
      </c>
      <c r="P362" s="101" t="s">
        <v>742</v>
      </c>
      <c r="Q362" s="101">
        <v>298570</v>
      </c>
      <c r="R362" t="s">
        <v>403</v>
      </c>
      <c r="S362" t="s">
        <v>735</v>
      </c>
      <c r="T362"/>
      <c r="U362"/>
      <c r="V362"/>
      <c r="W362" s="223"/>
    </row>
    <row r="363" spans="1:23" x14ac:dyDescent="0.2">
      <c r="A363" s="253" t="s">
        <v>495</v>
      </c>
      <c r="B363" s="101">
        <v>2</v>
      </c>
      <c r="C363" s="101">
        <v>2</v>
      </c>
      <c r="D363" s="101">
        <v>5</v>
      </c>
      <c r="E363" s="101">
        <v>1</v>
      </c>
      <c r="F363" s="101">
        <v>3</v>
      </c>
      <c r="G363" s="101">
        <v>26</v>
      </c>
      <c r="H363" s="101">
        <v>4</v>
      </c>
      <c r="I363" s="101">
        <v>1</v>
      </c>
      <c r="J363" s="102">
        <v>0.52</v>
      </c>
      <c r="K363" s="102">
        <v>1.22</v>
      </c>
      <c r="L363" s="101">
        <v>8.1999999999999993</v>
      </c>
      <c r="M363" s="101">
        <v>0.9</v>
      </c>
      <c r="N363" s="101" t="s">
        <v>955</v>
      </c>
      <c r="O363" s="101">
        <v>2004</v>
      </c>
      <c r="P363" s="101" t="s">
        <v>742</v>
      </c>
      <c r="Q363" s="101">
        <v>320358</v>
      </c>
      <c r="R363" t="s">
        <v>65</v>
      </c>
      <c r="S363" t="s">
        <v>166</v>
      </c>
      <c r="T363"/>
      <c r="U363"/>
      <c r="V363"/>
      <c r="W363" s="223"/>
    </row>
    <row r="364" spans="1:23" x14ac:dyDescent="0.2">
      <c r="A364" s="253" t="s">
        <v>380</v>
      </c>
      <c r="B364" s="101">
        <v>2</v>
      </c>
      <c r="C364" s="101">
        <v>2</v>
      </c>
      <c r="D364" s="101">
        <v>4</v>
      </c>
      <c r="E364" s="101">
        <v>1</v>
      </c>
      <c r="F364" s="101">
        <v>3</v>
      </c>
      <c r="G364" s="101">
        <v>18</v>
      </c>
      <c r="H364" s="101">
        <v>5</v>
      </c>
      <c r="I364" s="101">
        <v>1</v>
      </c>
      <c r="J364" s="102">
        <v>0.52</v>
      </c>
      <c r="K364" s="102">
        <v>1.21</v>
      </c>
      <c r="L364" s="101">
        <v>6.6</v>
      </c>
      <c r="M364" s="101">
        <v>0.7</v>
      </c>
      <c r="N364" s="101" t="s">
        <v>955</v>
      </c>
      <c r="O364" s="101">
        <v>2000</v>
      </c>
      <c r="P364" s="101" t="s">
        <v>742</v>
      </c>
      <c r="Q364" s="101">
        <v>408484</v>
      </c>
      <c r="R364" t="s">
        <v>65</v>
      </c>
      <c r="S364" t="s">
        <v>338</v>
      </c>
      <c r="T364"/>
      <c r="U364"/>
      <c r="V364"/>
      <c r="W364" s="223"/>
    </row>
    <row r="365" spans="1:23" x14ac:dyDescent="0.2">
      <c r="A365" s="253" t="s">
        <v>40</v>
      </c>
      <c r="B365" s="101">
        <v>3</v>
      </c>
      <c r="C365" s="101">
        <v>3</v>
      </c>
      <c r="D365" s="101">
        <v>9</v>
      </c>
      <c r="E365" s="101">
        <v>7</v>
      </c>
      <c r="F365" s="101">
        <v>6</v>
      </c>
      <c r="G365" s="101">
        <v>32</v>
      </c>
      <c r="H365" s="101">
        <v>-2</v>
      </c>
      <c r="I365" s="101">
        <v>0</v>
      </c>
      <c r="J365" s="102">
        <v>0.52</v>
      </c>
      <c r="K365" s="102">
        <v>1.208337</v>
      </c>
      <c r="L365" s="101">
        <v>13.2</v>
      </c>
      <c r="M365" s="101">
        <v>0.7</v>
      </c>
      <c r="N365" s="101" t="s">
        <v>957</v>
      </c>
      <c r="O365" s="101">
        <v>2000</v>
      </c>
      <c r="P365" s="101" t="s">
        <v>742</v>
      </c>
      <c r="Q365" s="101">
        <v>304659</v>
      </c>
      <c r="R365" t="s">
        <v>504</v>
      </c>
      <c r="S365" t="s">
        <v>114</v>
      </c>
      <c r="T365"/>
      <c r="U365"/>
      <c r="V365"/>
      <c r="W365" s="223"/>
    </row>
    <row r="366" spans="1:23" x14ac:dyDescent="0.2">
      <c r="A366" s="253" t="s">
        <v>213</v>
      </c>
      <c r="B366" s="101">
        <v>6</v>
      </c>
      <c r="C366" s="101">
        <v>6</v>
      </c>
      <c r="D366" s="101">
        <v>5</v>
      </c>
      <c r="E366" s="101">
        <v>-4</v>
      </c>
      <c r="F366" s="101">
        <v>-10</v>
      </c>
      <c r="G366" s="101">
        <v>76</v>
      </c>
      <c r="H366" s="101">
        <v>-3</v>
      </c>
      <c r="I366" s="101">
        <v>-1</v>
      </c>
      <c r="J366" s="102">
        <v>0.52</v>
      </c>
      <c r="K366" s="102">
        <v>1.4</v>
      </c>
      <c r="L366" s="101">
        <v>17.7</v>
      </c>
      <c r="M366" s="101">
        <v>1.2</v>
      </c>
      <c r="N366" s="101" t="s">
        <v>952</v>
      </c>
      <c r="O366" s="101">
        <v>2006</v>
      </c>
      <c r="P366" s="101" t="s">
        <v>867</v>
      </c>
      <c r="Q366" s="101">
        <v>636092</v>
      </c>
      <c r="R366" t="s">
        <v>207</v>
      </c>
      <c r="S366" t="s">
        <v>781</v>
      </c>
      <c r="T366"/>
      <c r="U366"/>
      <c r="V366"/>
      <c r="W366" s="223"/>
    </row>
    <row r="367" spans="1:23" x14ac:dyDescent="0.2">
      <c r="A367" s="253" t="s">
        <v>174</v>
      </c>
      <c r="B367" s="101">
        <v>10</v>
      </c>
      <c r="C367" s="101">
        <v>10</v>
      </c>
      <c r="D367" s="101">
        <v>8</v>
      </c>
      <c r="E367" s="101">
        <v>-7</v>
      </c>
      <c r="F367" s="101">
        <v>-10</v>
      </c>
      <c r="G367" s="101">
        <v>49</v>
      </c>
      <c r="H367" s="101">
        <v>-4</v>
      </c>
      <c r="I367" s="101">
        <v>-1</v>
      </c>
      <c r="J367" s="102">
        <v>0.52</v>
      </c>
      <c r="K367" s="102">
        <v>1</v>
      </c>
      <c r="L367" s="101">
        <v>18</v>
      </c>
      <c r="M367" s="101">
        <v>0.8</v>
      </c>
      <c r="N367" s="101" t="s">
        <v>956</v>
      </c>
      <c r="O367" s="101">
        <v>2002</v>
      </c>
      <c r="P367" s="101" t="s">
        <v>742</v>
      </c>
      <c r="Q367" s="101">
        <v>120014</v>
      </c>
      <c r="R367" t="s">
        <v>913</v>
      </c>
      <c r="S367" t="s">
        <v>166</v>
      </c>
      <c r="T367"/>
      <c r="U367"/>
      <c r="V367"/>
      <c r="W367" s="223"/>
    </row>
    <row r="368" spans="1:23" x14ac:dyDescent="0.2">
      <c r="A368" s="253" t="s">
        <v>1128</v>
      </c>
      <c r="B368" s="101">
        <v>2</v>
      </c>
      <c r="C368" s="101">
        <v>2</v>
      </c>
      <c r="D368" s="101">
        <v>4</v>
      </c>
      <c r="E368" s="101"/>
      <c r="F368" s="101"/>
      <c r="G368" s="101"/>
      <c r="H368" s="101"/>
      <c r="I368" s="101"/>
      <c r="J368" s="102">
        <v>0.52</v>
      </c>
      <c r="K368" s="102">
        <v>1.5</v>
      </c>
      <c r="L368" s="101"/>
      <c r="M368" s="101"/>
      <c r="N368" s="101" t="s">
        <v>952</v>
      </c>
      <c r="O368" s="101">
        <v>2011</v>
      </c>
      <c r="P368" s="101" t="s">
        <v>742</v>
      </c>
      <c r="Q368" s="101">
        <v>762880</v>
      </c>
      <c r="R368" t="s">
        <v>450</v>
      </c>
      <c r="S368" t="s">
        <v>338</v>
      </c>
      <c r="T368"/>
      <c r="U368"/>
      <c r="V368"/>
      <c r="W368" s="223"/>
    </row>
    <row r="369" spans="1:23" x14ac:dyDescent="0.2">
      <c r="A369" s="253" t="s">
        <v>442</v>
      </c>
      <c r="B369" s="101">
        <v>1</v>
      </c>
      <c r="C369" s="101">
        <v>1</v>
      </c>
      <c r="D369" s="101">
        <v>6</v>
      </c>
      <c r="E369" s="101">
        <v>5</v>
      </c>
      <c r="F369" s="101">
        <v>3</v>
      </c>
      <c r="G369" s="101">
        <v>-5</v>
      </c>
      <c r="H369" s="101"/>
      <c r="I369" s="101"/>
      <c r="J369" s="102">
        <v>0.52</v>
      </c>
      <c r="K369" s="102">
        <v>1.2969999999999999</v>
      </c>
      <c r="L369" s="101">
        <v>12.4</v>
      </c>
      <c r="M369" s="101">
        <v>-0.1</v>
      </c>
      <c r="N369" s="101" t="s">
        <v>955</v>
      </c>
      <c r="O369" s="101">
        <v>2010</v>
      </c>
      <c r="P369" s="101" t="s">
        <v>742</v>
      </c>
      <c r="Q369" s="101">
        <v>809699</v>
      </c>
      <c r="R369" t="s">
        <v>140</v>
      </c>
      <c r="S369" t="s">
        <v>268</v>
      </c>
      <c r="T369"/>
      <c r="U369"/>
      <c r="V369"/>
      <c r="W369" s="223"/>
    </row>
    <row r="370" spans="1:23" x14ac:dyDescent="0.2">
      <c r="A370" s="253" t="s">
        <v>539</v>
      </c>
      <c r="B370" s="101">
        <v>8</v>
      </c>
      <c r="C370" s="101">
        <v>8</v>
      </c>
      <c r="D370" s="101">
        <v>0</v>
      </c>
      <c r="E370" s="101">
        <v>-13</v>
      </c>
      <c r="F370" s="101">
        <v>-25</v>
      </c>
      <c r="G370" s="101"/>
      <c r="H370" s="101"/>
      <c r="I370" s="101"/>
      <c r="J370" s="102">
        <v>0.52</v>
      </c>
      <c r="K370" s="102">
        <v>1.2</v>
      </c>
      <c r="L370" s="101"/>
      <c r="M370" s="101"/>
      <c r="N370" s="101" t="s">
        <v>955</v>
      </c>
      <c r="O370" s="101">
        <v>2011</v>
      </c>
      <c r="P370" s="101" t="s">
        <v>742</v>
      </c>
      <c r="Q370" s="101">
        <v>157438</v>
      </c>
      <c r="R370" t="s">
        <v>540</v>
      </c>
      <c r="S370" t="s">
        <v>268</v>
      </c>
      <c r="T370" t="s">
        <v>953</v>
      </c>
      <c r="U370"/>
      <c r="V370"/>
      <c r="W370" s="223"/>
    </row>
    <row r="371" spans="1:23" x14ac:dyDescent="0.2">
      <c r="A371" s="253" t="s">
        <v>319</v>
      </c>
      <c r="B371" s="101">
        <v>11</v>
      </c>
      <c r="C371" s="101">
        <v>11</v>
      </c>
      <c r="D371" s="101">
        <v>3</v>
      </c>
      <c r="E371" s="101">
        <v>-11</v>
      </c>
      <c r="F371" s="101">
        <v>-9</v>
      </c>
      <c r="G371" s="101">
        <v>74</v>
      </c>
      <c r="H371" s="101">
        <v>37</v>
      </c>
      <c r="I371" s="101">
        <v>7</v>
      </c>
      <c r="J371" s="102">
        <v>0.53</v>
      </c>
      <c r="K371" s="102">
        <v>1.56</v>
      </c>
      <c r="L371" s="101">
        <v>22.7</v>
      </c>
      <c r="M371" s="101">
        <v>0.9</v>
      </c>
      <c r="N371" s="101" t="s">
        <v>958</v>
      </c>
      <c r="O371" s="101">
        <v>2003</v>
      </c>
      <c r="P371" s="101" t="s">
        <v>742</v>
      </c>
      <c r="Q371" s="101">
        <v>899120</v>
      </c>
      <c r="R371" t="s">
        <v>410</v>
      </c>
      <c r="S371" t="s">
        <v>312</v>
      </c>
      <c r="T371"/>
      <c r="U371"/>
      <c r="V371"/>
      <c r="W371" s="223"/>
    </row>
    <row r="372" spans="1:23" x14ac:dyDescent="0.2">
      <c r="A372" s="253" t="s">
        <v>1129</v>
      </c>
      <c r="B372" s="101">
        <v>9</v>
      </c>
      <c r="C372" s="101">
        <v>9</v>
      </c>
      <c r="D372" s="101">
        <v>8</v>
      </c>
      <c r="E372" s="101">
        <v>0</v>
      </c>
      <c r="F372" s="101">
        <v>4</v>
      </c>
      <c r="G372" s="101">
        <v>67</v>
      </c>
      <c r="H372" s="101">
        <v>17</v>
      </c>
      <c r="I372" s="101">
        <v>3</v>
      </c>
      <c r="J372" s="102">
        <v>0.53</v>
      </c>
      <c r="K372" s="102">
        <v>1.76</v>
      </c>
      <c r="L372" s="101">
        <v>16.3</v>
      </c>
      <c r="M372" s="101">
        <v>1.1000000000000001</v>
      </c>
      <c r="N372" s="101" t="s">
        <v>952</v>
      </c>
      <c r="O372" s="101">
        <v>2002</v>
      </c>
      <c r="P372" s="101" t="s">
        <v>867</v>
      </c>
      <c r="Q372" s="101">
        <v>914945</v>
      </c>
      <c r="R372" t="s">
        <v>907</v>
      </c>
      <c r="S372" t="s">
        <v>150</v>
      </c>
      <c r="T372"/>
      <c r="U372"/>
      <c r="V372"/>
      <c r="W372" s="223"/>
    </row>
    <row r="373" spans="1:23" x14ac:dyDescent="0.2">
      <c r="A373" s="253" t="s">
        <v>920</v>
      </c>
      <c r="B373" s="101">
        <v>11</v>
      </c>
      <c r="C373" s="101">
        <v>11</v>
      </c>
      <c r="D373" s="101">
        <v>5</v>
      </c>
      <c r="E373" s="101">
        <v>-2</v>
      </c>
      <c r="F373" s="101">
        <v>-6</v>
      </c>
      <c r="G373" s="101">
        <v>112</v>
      </c>
      <c r="H373" s="101">
        <v>11</v>
      </c>
      <c r="I373" s="101">
        <v>2</v>
      </c>
      <c r="J373" s="102">
        <v>0.53</v>
      </c>
      <c r="K373" s="102">
        <v>1.33</v>
      </c>
      <c r="L373" s="101">
        <v>20.3</v>
      </c>
      <c r="M373" s="101">
        <v>1.4</v>
      </c>
      <c r="N373" s="101" t="s">
        <v>952</v>
      </c>
      <c r="O373" s="101">
        <v>2000</v>
      </c>
      <c r="P373" s="101" t="s">
        <v>867</v>
      </c>
      <c r="Q373" s="101">
        <v>973263</v>
      </c>
      <c r="R373" t="s">
        <v>502</v>
      </c>
      <c r="S373" t="s">
        <v>781</v>
      </c>
      <c r="T373"/>
      <c r="U373"/>
      <c r="V373"/>
      <c r="W373" s="223"/>
    </row>
    <row r="374" spans="1:23" x14ac:dyDescent="0.2">
      <c r="A374" s="253" t="s">
        <v>381</v>
      </c>
      <c r="B374" s="101">
        <v>1</v>
      </c>
      <c r="C374" s="101">
        <v>1</v>
      </c>
      <c r="D374" s="101">
        <v>3</v>
      </c>
      <c r="E374" s="101">
        <v>0</v>
      </c>
      <c r="F374" s="101">
        <v>3</v>
      </c>
      <c r="G374" s="101">
        <v>7</v>
      </c>
      <c r="H374" s="101">
        <v>8</v>
      </c>
      <c r="I374" s="101">
        <v>2</v>
      </c>
      <c r="J374" s="102">
        <v>0.53</v>
      </c>
      <c r="K374" s="102">
        <v>1.24</v>
      </c>
      <c r="L374" s="101">
        <v>5.8</v>
      </c>
      <c r="M374" s="101">
        <v>0.3</v>
      </c>
      <c r="N374" s="101" t="s">
        <v>955</v>
      </c>
      <c r="O374" s="101">
        <v>2000</v>
      </c>
      <c r="P374" s="101" t="s">
        <v>742</v>
      </c>
      <c r="Q374" s="101">
        <v>444315</v>
      </c>
      <c r="R374" t="s">
        <v>65</v>
      </c>
      <c r="S374" t="s">
        <v>338</v>
      </c>
      <c r="T374"/>
      <c r="U374"/>
      <c r="V374"/>
      <c r="W374" s="223"/>
    </row>
    <row r="375" spans="1:23" x14ac:dyDescent="0.2">
      <c r="A375" s="253" t="s">
        <v>1014</v>
      </c>
      <c r="B375" s="101">
        <v>18</v>
      </c>
      <c r="C375" s="101">
        <v>18</v>
      </c>
      <c r="D375" s="101">
        <v>-1</v>
      </c>
      <c r="E375" s="101">
        <v>-12</v>
      </c>
      <c r="F375" s="101">
        <v>-12</v>
      </c>
      <c r="G375" s="101">
        <v>44</v>
      </c>
      <c r="H375" s="101">
        <v>-4</v>
      </c>
      <c r="I375" s="101">
        <v>-1</v>
      </c>
      <c r="J375" s="102">
        <v>0.53</v>
      </c>
      <c r="K375" s="102">
        <v>2.0327950000000001</v>
      </c>
      <c r="L375" s="101">
        <v>28.9</v>
      </c>
      <c r="M375" s="101">
        <v>0.6</v>
      </c>
      <c r="N375" s="101" t="s">
        <v>952</v>
      </c>
      <c r="O375" s="101">
        <v>2009</v>
      </c>
      <c r="P375" s="101" t="s">
        <v>742</v>
      </c>
      <c r="Q375" s="101">
        <v>354233</v>
      </c>
      <c r="R375" t="s">
        <v>787</v>
      </c>
      <c r="S375" t="s">
        <v>150</v>
      </c>
      <c r="T375"/>
      <c r="U375"/>
      <c r="V375"/>
      <c r="W375" s="223"/>
    </row>
    <row r="376" spans="1:23" x14ac:dyDescent="0.2">
      <c r="A376" s="253" t="s">
        <v>619</v>
      </c>
      <c r="B376" s="101">
        <v>7</v>
      </c>
      <c r="C376" s="101">
        <v>7</v>
      </c>
      <c r="D376" s="101">
        <v>8</v>
      </c>
      <c r="E376" s="101">
        <v>0</v>
      </c>
      <c r="F376" s="101">
        <v>-4</v>
      </c>
      <c r="G376" s="101">
        <v>36</v>
      </c>
      <c r="H376" s="101">
        <v>-7</v>
      </c>
      <c r="I376" s="101">
        <v>-1</v>
      </c>
      <c r="J376" s="102">
        <v>0.53</v>
      </c>
      <c r="K376" s="102">
        <v>1</v>
      </c>
      <c r="L376" s="101">
        <v>14.5</v>
      </c>
      <c r="M376" s="101">
        <v>0.7</v>
      </c>
      <c r="N376" s="101" t="s">
        <v>956</v>
      </c>
      <c r="O376" s="101">
        <v>2007</v>
      </c>
      <c r="P376" s="101" t="s">
        <v>742</v>
      </c>
      <c r="Q376" s="101">
        <v>282632</v>
      </c>
      <c r="R376" t="s">
        <v>618</v>
      </c>
      <c r="S376" t="s">
        <v>166</v>
      </c>
      <c r="T376"/>
      <c r="U376"/>
      <c r="V376"/>
      <c r="W376" s="223"/>
    </row>
    <row r="377" spans="1:23" x14ac:dyDescent="0.2">
      <c r="A377" s="253" t="s">
        <v>931</v>
      </c>
      <c r="B377" s="101">
        <v>9</v>
      </c>
      <c r="C377" s="101">
        <v>9</v>
      </c>
      <c r="D377" s="101">
        <v>5</v>
      </c>
      <c r="E377" s="101">
        <v>-4</v>
      </c>
      <c r="F377" s="101">
        <v>-9</v>
      </c>
      <c r="G377" s="101">
        <v>85</v>
      </c>
      <c r="H377" s="101">
        <v>-9</v>
      </c>
      <c r="I377" s="101">
        <v>-2</v>
      </c>
      <c r="J377" s="102">
        <v>0.53</v>
      </c>
      <c r="K377" s="102">
        <v>1.5002340000000001</v>
      </c>
      <c r="L377" s="101">
        <v>19.100000000000001</v>
      </c>
      <c r="M377" s="101">
        <v>1.2</v>
      </c>
      <c r="N377" s="101" t="s">
        <v>952</v>
      </c>
      <c r="O377" s="101">
        <v>2003</v>
      </c>
      <c r="P377" s="101" t="s">
        <v>867</v>
      </c>
      <c r="Q377" s="101">
        <v>569988</v>
      </c>
      <c r="R377" t="s">
        <v>932</v>
      </c>
      <c r="S377" t="s">
        <v>781</v>
      </c>
      <c r="T377"/>
      <c r="U377"/>
      <c r="V377"/>
      <c r="W377" s="223"/>
    </row>
    <row r="378" spans="1:23" x14ac:dyDescent="0.2">
      <c r="A378" s="253" t="s">
        <v>107</v>
      </c>
      <c r="B378" s="101">
        <v>8</v>
      </c>
      <c r="C378" s="101">
        <v>8</v>
      </c>
      <c r="D378" s="101">
        <v>4</v>
      </c>
      <c r="E378" s="101">
        <v>-5</v>
      </c>
      <c r="F378" s="101">
        <v>-7</v>
      </c>
      <c r="G378" s="101">
        <v>45</v>
      </c>
      <c r="H378" s="101">
        <v>-12</v>
      </c>
      <c r="I378" s="101">
        <v>-3</v>
      </c>
      <c r="J378" s="102">
        <v>0.53</v>
      </c>
      <c r="K378" s="102">
        <v>1.75</v>
      </c>
      <c r="L378" s="101">
        <v>14.3</v>
      </c>
      <c r="M378" s="101">
        <v>0.9</v>
      </c>
      <c r="N378" s="101" t="s">
        <v>952</v>
      </c>
      <c r="O378" s="101">
        <v>2005</v>
      </c>
      <c r="P378" s="101" t="s">
        <v>867</v>
      </c>
      <c r="Q378" s="101">
        <v>556589</v>
      </c>
      <c r="R378" t="s">
        <v>907</v>
      </c>
      <c r="S378" t="s">
        <v>104</v>
      </c>
      <c r="T378"/>
      <c r="U378"/>
      <c r="V378"/>
      <c r="W378" s="223"/>
    </row>
    <row r="379" spans="1:23" x14ac:dyDescent="0.2">
      <c r="A379" s="253" t="s">
        <v>896</v>
      </c>
      <c r="B379" s="101">
        <v>9</v>
      </c>
      <c r="C379" s="101">
        <v>9</v>
      </c>
      <c r="D379" s="101">
        <v>-1</v>
      </c>
      <c r="E379" s="101">
        <v>-9</v>
      </c>
      <c r="F379" s="101">
        <v>-19</v>
      </c>
      <c r="G379" s="101">
        <v>31</v>
      </c>
      <c r="H379" s="101">
        <v>-19</v>
      </c>
      <c r="I379" s="101">
        <v>-4</v>
      </c>
      <c r="J379" s="102">
        <v>0.53</v>
      </c>
      <c r="K379" s="102">
        <v>1.8544780000000001</v>
      </c>
      <c r="L379" s="101">
        <v>19.899999999999999</v>
      </c>
      <c r="M379" s="101">
        <v>0.6</v>
      </c>
      <c r="N379" s="101" t="s">
        <v>955</v>
      </c>
      <c r="O379" s="101">
        <v>2006</v>
      </c>
      <c r="P379" s="101" t="s">
        <v>742</v>
      </c>
      <c r="Q379" s="101">
        <v>435693</v>
      </c>
      <c r="R379" t="s">
        <v>57</v>
      </c>
      <c r="S379" t="s">
        <v>861</v>
      </c>
      <c r="T379"/>
      <c r="U379"/>
      <c r="V379"/>
      <c r="W379" s="223"/>
    </row>
    <row r="380" spans="1:23" x14ac:dyDescent="0.2">
      <c r="A380" s="253" t="s">
        <v>253</v>
      </c>
      <c r="B380" s="101">
        <v>14</v>
      </c>
      <c r="C380" s="101">
        <v>14</v>
      </c>
      <c r="D380" s="101">
        <v>5</v>
      </c>
      <c r="E380" s="101">
        <v>-14</v>
      </c>
      <c r="F380" s="101">
        <v>-15</v>
      </c>
      <c r="G380" s="101">
        <v>96</v>
      </c>
      <c r="H380" s="101">
        <v>-25</v>
      </c>
      <c r="I380" s="101">
        <v>-6</v>
      </c>
      <c r="J380" s="102">
        <v>0.53</v>
      </c>
      <c r="K380" s="102">
        <v>1.77</v>
      </c>
      <c r="L380" s="101">
        <v>28.6</v>
      </c>
      <c r="M380" s="101">
        <v>1</v>
      </c>
      <c r="N380" s="101" t="s">
        <v>952</v>
      </c>
      <c r="O380" s="101">
        <v>2005</v>
      </c>
      <c r="P380" s="101" t="s">
        <v>867</v>
      </c>
      <c r="Q380" s="101">
        <v>449090</v>
      </c>
      <c r="R380" t="s">
        <v>907</v>
      </c>
      <c r="S380" t="s">
        <v>234</v>
      </c>
      <c r="T380"/>
      <c r="U380"/>
      <c r="V380"/>
      <c r="W380" s="223"/>
    </row>
    <row r="381" spans="1:23" x14ac:dyDescent="0.2">
      <c r="A381" s="253" t="s">
        <v>933</v>
      </c>
      <c r="B381" s="101">
        <v>4</v>
      </c>
      <c r="C381" s="101">
        <v>4</v>
      </c>
      <c r="D381" s="101">
        <v>-2</v>
      </c>
      <c r="E381" s="101">
        <v>-20</v>
      </c>
      <c r="F381" s="101">
        <v>-25</v>
      </c>
      <c r="G381" s="101"/>
      <c r="H381" s="101"/>
      <c r="I381" s="101"/>
      <c r="J381" s="102">
        <v>0.53</v>
      </c>
      <c r="K381" s="102">
        <v>1.5095369999999999</v>
      </c>
      <c r="L381" s="101"/>
      <c r="M381" s="101"/>
      <c r="N381" s="101" t="s">
        <v>952</v>
      </c>
      <c r="O381" s="101">
        <v>2009</v>
      </c>
      <c r="P381" s="101" t="s">
        <v>867</v>
      </c>
      <c r="Q381" s="101">
        <v>711945</v>
      </c>
      <c r="R381" t="s">
        <v>932</v>
      </c>
      <c r="S381" t="s">
        <v>312</v>
      </c>
      <c r="T381"/>
      <c r="U381"/>
      <c r="V381"/>
      <c r="W381" s="223"/>
    </row>
    <row r="382" spans="1:23" x14ac:dyDescent="0.2">
      <c r="A382" s="253" t="s">
        <v>333</v>
      </c>
      <c r="B382" s="101">
        <v>5</v>
      </c>
      <c r="C382" s="101">
        <v>5</v>
      </c>
      <c r="D382" s="101">
        <v>4</v>
      </c>
      <c r="E382" s="101">
        <v>0</v>
      </c>
      <c r="F382" s="101">
        <v>-2</v>
      </c>
      <c r="G382" s="101">
        <v>61</v>
      </c>
      <c r="H382" s="101">
        <v>30</v>
      </c>
      <c r="I382" s="101">
        <v>5</v>
      </c>
      <c r="J382" s="102">
        <v>0.54</v>
      </c>
      <c r="K382" s="102">
        <v>1.6124309999999999</v>
      </c>
      <c r="L382" s="101">
        <v>11.7</v>
      </c>
      <c r="M382" s="101">
        <v>1.4</v>
      </c>
      <c r="N382" s="101" t="s">
        <v>952</v>
      </c>
      <c r="O382" s="101">
        <v>2000</v>
      </c>
      <c r="P382" s="101" t="s">
        <v>867</v>
      </c>
      <c r="Q382" s="101">
        <v>878520</v>
      </c>
      <c r="R382" t="s">
        <v>812</v>
      </c>
      <c r="S382" t="s">
        <v>329</v>
      </c>
      <c r="T382"/>
      <c r="U382"/>
      <c r="V382"/>
      <c r="W382" s="223"/>
    </row>
    <row r="383" spans="1:23" x14ac:dyDescent="0.2">
      <c r="A383" s="253" t="s">
        <v>1131</v>
      </c>
      <c r="B383" s="101">
        <v>9</v>
      </c>
      <c r="C383" s="101">
        <v>9</v>
      </c>
      <c r="D383" s="101">
        <v>7</v>
      </c>
      <c r="E383" s="101">
        <v>-4</v>
      </c>
      <c r="F383" s="101">
        <v>-2</v>
      </c>
      <c r="G383" s="101">
        <v>57</v>
      </c>
      <c r="H383" s="101">
        <v>17</v>
      </c>
      <c r="I383" s="101">
        <v>3</v>
      </c>
      <c r="J383" s="102">
        <v>0.54</v>
      </c>
      <c r="K383" s="102">
        <v>1.8</v>
      </c>
      <c r="L383" s="101">
        <v>17</v>
      </c>
      <c r="M383" s="101">
        <v>1</v>
      </c>
      <c r="N383" s="101" t="s">
        <v>952</v>
      </c>
      <c r="O383" s="101">
        <v>2002</v>
      </c>
      <c r="P383" s="101" t="s">
        <v>867</v>
      </c>
      <c r="Q383" s="101">
        <v>950774</v>
      </c>
      <c r="R383" t="s">
        <v>907</v>
      </c>
      <c r="S383" t="s">
        <v>183</v>
      </c>
      <c r="T383"/>
      <c r="U383"/>
      <c r="V383"/>
      <c r="W383" s="223"/>
    </row>
    <row r="384" spans="1:23" x14ac:dyDescent="0.2">
      <c r="A384" s="253" t="s">
        <v>838</v>
      </c>
      <c r="B384" s="101">
        <v>8</v>
      </c>
      <c r="C384" s="101">
        <v>8</v>
      </c>
      <c r="D384" s="101">
        <v>8</v>
      </c>
      <c r="E384" s="101">
        <v>-2</v>
      </c>
      <c r="F384" s="101">
        <v>-9</v>
      </c>
      <c r="G384" s="101">
        <v>90</v>
      </c>
      <c r="H384" s="101">
        <v>14</v>
      </c>
      <c r="I384" s="101">
        <v>3</v>
      </c>
      <c r="J384" s="102">
        <v>0.54</v>
      </c>
      <c r="K384" s="102">
        <v>1.612727</v>
      </c>
      <c r="L384" s="101">
        <v>18.600000000000001</v>
      </c>
      <c r="M384" s="101">
        <v>1.3</v>
      </c>
      <c r="N384" s="101" t="s">
        <v>952</v>
      </c>
      <c r="O384" s="101">
        <v>2000</v>
      </c>
      <c r="P384" s="101" t="s">
        <v>867</v>
      </c>
      <c r="Q384" s="101">
        <v>842690</v>
      </c>
      <c r="R384" t="s">
        <v>812</v>
      </c>
      <c r="S384" t="s">
        <v>837</v>
      </c>
      <c r="T384"/>
      <c r="U384"/>
      <c r="V384"/>
      <c r="W384" s="223"/>
    </row>
    <row r="385" spans="1:23" x14ac:dyDescent="0.2">
      <c r="A385" s="253" t="s">
        <v>1130</v>
      </c>
      <c r="B385" s="101">
        <v>9</v>
      </c>
      <c r="C385" s="101">
        <v>9</v>
      </c>
      <c r="D385" s="101">
        <v>8</v>
      </c>
      <c r="E385" s="101">
        <v>1</v>
      </c>
      <c r="F385" s="101">
        <v>-3</v>
      </c>
      <c r="G385" s="101">
        <v>58</v>
      </c>
      <c r="H385" s="101">
        <v>17</v>
      </c>
      <c r="I385" s="101">
        <v>3</v>
      </c>
      <c r="J385" s="102">
        <v>0.54</v>
      </c>
      <c r="K385" s="102">
        <v>1.8</v>
      </c>
      <c r="L385" s="101">
        <v>18.399999999999999</v>
      </c>
      <c r="M385" s="101">
        <v>0.9</v>
      </c>
      <c r="N385" s="101" t="s">
        <v>952</v>
      </c>
      <c r="O385" s="101">
        <v>2011</v>
      </c>
      <c r="P385" s="101" t="s">
        <v>867</v>
      </c>
      <c r="Q385" s="101">
        <v>823039</v>
      </c>
      <c r="R385" t="s">
        <v>907</v>
      </c>
      <c r="S385" t="s">
        <v>418</v>
      </c>
      <c r="T385"/>
      <c r="U385"/>
      <c r="V385"/>
      <c r="W385" s="223"/>
    </row>
    <row r="386" spans="1:23" x14ac:dyDescent="0.2">
      <c r="A386" s="253" t="s">
        <v>1091</v>
      </c>
      <c r="B386" s="101">
        <v>8</v>
      </c>
      <c r="C386" s="101">
        <v>8</v>
      </c>
      <c r="D386" s="101">
        <v>8</v>
      </c>
      <c r="E386" s="101">
        <v>-4</v>
      </c>
      <c r="F386" s="101">
        <v>-10</v>
      </c>
      <c r="G386" s="101">
        <v>97</v>
      </c>
      <c r="H386" s="101">
        <v>8</v>
      </c>
      <c r="I386" s="101">
        <v>2</v>
      </c>
      <c r="J386" s="102">
        <v>0.54</v>
      </c>
      <c r="K386" s="102">
        <v>1.5</v>
      </c>
      <c r="L386" s="101">
        <v>21.7</v>
      </c>
      <c r="M386" s="101">
        <v>1.1000000000000001</v>
      </c>
      <c r="N386" s="101" t="s">
        <v>952</v>
      </c>
      <c r="O386" s="101">
        <v>2006</v>
      </c>
      <c r="P386" s="101" t="s">
        <v>867</v>
      </c>
      <c r="Q386" s="101">
        <v>416867</v>
      </c>
      <c r="R386" t="s">
        <v>877</v>
      </c>
      <c r="S386" t="s">
        <v>837</v>
      </c>
      <c r="T386" t="s">
        <v>953</v>
      </c>
      <c r="U386"/>
      <c r="V386"/>
      <c r="W386" s="223"/>
    </row>
    <row r="387" spans="1:23" x14ac:dyDescent="0.2">
      <c r="A387" s="253" t="s">
        <v>1092</v>
      </c>
      <c r="B387" s="101">
        <v>6</v>
      </c>
      <c r="C387" s="101">
        <v>6</v>
      </c>
      <c r="D387" s="101">
        <v>8</v>
      </c>
      <c r="E387" s="101">
        <v>2</v>
      </c>
      <c r="F387" s="101">
        <v>-3</v>
      </c>
      <c r="G387" s="101">
        <v>104</v>
      </c>
      <c r="H387" s="101">
        <v>11</v>
      </c>
      <c r="I387" s="101">
        <v>2</v>
      </c>
      <c r="J387" s="102">
        <v>0.54</v>
      </c>
      <c r="K387" s="102">
        <v>1.5</v>
      </c>
      <c r="L387" s="101">
        <v>19.899999999999999</v>
      </c>
      <c r="M387" s="101">
        <v>1.3</v>
      </c>
      <c r="N387" s="101" t="s">
        <v>952</v>
      </c>
      <c r="O387" s="101">
        <v>2000</v>
      </c>
      <c r="P387" s="101" t="s">
        <v>867</v>
      </c>
      <c r="Q387" s="101">
        <v>694539</v>
      </c>
      <c r="R387" t="s">
        <v>877</v>
      </c>
      <c r="S387" t="s">
        <v>837</v>
      </c>
      <c r="T387" t="s">
        <v>953</v>
      </c>
      <c r="U387"/>
      <c r="V387"/>
      <c r="W387" s="223"/>
    </row>
    <row r="388" spans="1:23" x14ac:dyDescent="0.2">
      <c r="A388" s="253" t="s">
        <v>813</v>
      </c>
      <c r="B388" s="101">
        <v>8</v>
      </c>
      <c r="C388" s="101">
        <v>8</v>
      </c>
      <c r="D388" s="101">
        <v>5</v>
      </c>
      <c r="E388" s="101">
        <v>-2</v>
      </c>
      <c r="F388" s="101">
        <v>-10</v>
      </c>
      <c r="G388" s="101">
        <v>81</v>
      </c>
      <c r="H388" s="101">
        <v>4</v>
      </c>
      <c r="I388" s="101">
        <v>1</v>
      </c>
      <c r="J388" s="102">
        <v>0.54</v>
      </c>
      <c r="K388" s="102">
        <v>1.6126510000000001</v>
      </c>
      <c r="L388" s="101">
        <v>19.899999999999999</v>
      </c>
      <c r="M388" s="101">
        <v>1.1000000000000001</v>
      </c>
      <c r="N388" s="101" t="s">
        <v>952</v>
      </c>
      <c r="O388" s="101">
        <v>2000</v>
      </c>
      <c r="P388" s="101" t="s">
        <v>867</v>
      </c>
      <c r="Q388" s="101">
        <v>806869</v>
      </c>
      <c r="R388" t="s">
        <v>812</v>
      </c>
      <c r="S388" t="s">
        <v>781</v>
      </c>
      <c r="T388"/>
      <c r="U388"/>
      <c r="V388"/>
      <c r="W388" s="223"/>
    </row>
    <row r="389" spans="1:23" x14ac:dyDescent="0.2">
      <c r="A389" s="253" t="s">
        <v>9</v>
      </c>
      <c r="B389" s="101">
        <v>7</v>
      </c>
      <c r="C389" s="101">
        <v>7</v>
      </c>
      <c r="D389" s="101">
        <v>6</v>
      </c>
      <c r="E389" s="101">
        <v>0</v>
      </c>
      <c r="F389" s="101">
        <v>-3</v>
      </c>
      <c r="G389" s="101">
        <v>55</v>
      </c>
      <c r="H389" s="101">
        <v>3</v>
      </c>
      <c r="I389" s="101">
        <v>0</v>
      </c>
      <c r="J389" s="102">
        <v>0.54</v>
      </c>
      <c r="K389" s="102">
        <v>1.35</v>
      </c>
      <c r="L389" s="101">
        <v>12.5</v>
      </c>
      <c r="M389" s="101">
        <v>1.3</v>
      </c>
      <c r="N389" s="101" t="s">
        <v>952</v>
      </c>
      <c r="O389" s="101">
        <v>2005</v>
      </c>
      <c r="P389" s="101" t="s">
        <v>867</v>
      </c>
      <c r="Q389" s="101">
        <v>891804</v>
      </c>
      <c r="R389" t="s">
        <v>502</v>
      </c>
      <c r="S389" t="s">
        <v>166</v>
      </c>
      <c r="T389"/>
      <c r="U389"/>
      <c r="V389"/>
      <c r="W389" s="223"/>
    </row>
    <row r="390" spans="1:23" x14ac:dyDescent="0.2">
      <c r="A390" s="253" t="s">
        <v>447</v>
      </c>
      <c r="B390" s="101">
        <v>17</v>
      </c>
      <c r="C390" s="101">
        <v>17</v>
      </c>
      <c r="D390" s="101">
        <v>-1</v>
      </c>
      <c r="E390" s="101">
        <v>-11</v>
      </c>
      <c r="F390" s="101">
        <v>-8</v>
      </c>
      <c r="G390" s="101">
        <v>45</v>
      </c>
      <c r="H390" s="101">
        <v>1</v>
      </c>
      <c r="I390" s="101">
        <v>0</v>
      </c>
      <c r="J390" s="102">
        <v>0.54</v>
      </c>
      <c r="K390" s="102">
        <v>2.19</v>
      </c>
      <c r="L390" s="101">
        <v>23.7</v>
      </c>
      <c r="M390" s="101">
        <v>0.6</v>
      </c>
      <c r="N390" s="101" t="s">
        <v>952</v>
      </c>
      <c r="O390" s="101">
        <v>2004</v>
      </c>
      <c r="P390" s="101" t="s">
        <v>867</v>
      </c>
      <c r="Q390" s="101">
        <v>505586</v>
      </c>
      <c r="R390" t="s">
        <v>1000</v>
      </c>
      <c r="S390" t="s">
        <v>150</v>
      </c>
      <c r="T390"/>
      <c r="U390"/>
      <c r="V390"/>
      <c r="W390" s="223"/>
    </row>
    <row r="391" spans="1:23" x14ac:dyDescent="0.2">
      <c r="A391" s="253" t="s">
        <v>66</v>
      </c>
      <c r="B391" s="101">
        <v>4</v>
      </c>
      <c r="C391" s="101">
        <v>4</v>
      </c>
      <c r="D391" s="101">
        <v>2</v>
      </c>
      <c r="E391" s="101">
        <v>-1</v>
      </c>
      <c r="F391" s="101">
        <v>3</v>
      </c>
      <c r="G391" s="101">
        <v>38</v>
      </c>
      <c r="H391" s="101">
        <v>-2</v>
      </c>
      <c r="I391" s="101">
        <v>0</v>
      </c>
      <c r="J391" s="102">
        <v>0.54</v>
      </c>
      <c r="K391" s="102">
        <v>1.25</v>
      </c>
      <c r="L391" s="101">
        <v>10.8</v>
      </c>
      <c r="M391" s="101">
        <v>1</v>
      </c>
      <c r="N391" s="101" t="s">
        <v>955</v>
      </c>
      <c r="O391" s="101">
        <v>2000</v>
      </c>
      <c r="P391" s="101" t="s">
        <v>742</v>
      </c>
      <c r="Q391" s="101">
        <v>336826</v>
      </c>
      <c r="R391" t="s">
        <v>65</v>
      </c>
      <c r="S391" t="s">
        <v>49</v>
      </c>
      <c r="T391"/>
      <c r="U391"/>
      <c r="V391"/>
      <c r="W391" s="223"/>
    </row>
    <row r="392" spans="1:23" x14ac:dyDescent="0.2">
      <c r="A392" s="253" t="s">
        <v>316</v>
      </c>
      <c r="B392" s="101">
        <v>5</v>
      </c>
      <c r="C392" s="101">
        <v>5</v>
      </c>
      <c r="D392" s="101">
        <v>6</v>
      </c>
      <c r="E392" s="101">
        <v>4</v>
      </c>
      <c r="F392" s="101">
        <v>5</v>
      </c>
      <c r="G392" s="101">
        <v>54</v>
      </c>
      <c r="H392" s="101">
        <v>-9</v>
      </c>
      <c r="I392" s="101">
        <v>-2</v>
      </c>
      <c r="J392" s="102">
        <v>0.54</v>
      </c>
      <c r="K392" s="102">
        <v>1.6132029999999999</v>
      </c>
      <c r="L392" s="101">
        <v>12.5</v>
      </c>
      <c r="M392" s="101">
        <v>1.2</v>
      </c>
      <c r="N392" s="101" t="s">
        <v>952</v>
      </c>
      <c r="O392" s="101">
        <v>2000</v>
      </c>
      <c r="P392" s="101" t="s">
        <v>867</v>
      </c>
      <c r="Q392" s="101">
        <v>771030</v>
      </c>
      <c r="R392" t="s">
        <v>812</v>
      </c>
      <c r="S392" t="s">
        <v>312</v>
      </c>
      <c r="T392"/>
      <c r="U392"/>
      <c r="V392"/>
      <c r="W392" s="223"/>
    </row>
    <row r="393" spans="1:23" x14ac:dyDescent="0.2">
      <c r="A393" s="253" t="s">
        <v>491</v>
      </c>
      <c r="B393" s="101">
        <v>5</v>
      </c>
      <c r="C393" s="101">
        <v>5</v>
      </c>
      <c r="D393" s="101">
        <v>1</v>
      </c>
      <c r="E393" s="101">
        <v>-6</v>
      </c>
      <c r="F393" s="101">
        <v>4</v>
      </c>
      <c r="G393" s="101">
        <v>23</v>
      </c>
      <c r="H393" s="101">
        <v>-14</v>
      </c>
      <c r="I393" s="101">
        <v>-3</v>
      </c>
      <c r="J393" s="102">
        <v>0.54</v>
      </c>
      <c r="K393" s="102">
        <v>1.6</v>
      </c>
      <c r="L393" s="101">
        <v>10.3</v>
      </c>
      <c r="M393" s="101">
        <v>0.7</v>
      </c>
      <c r="N393" s="101" t="s">
        <v>955</v>
      </c>
      <c r="O393" s="101">
        <v>2007</v>
      </c>
      <c r="P393" s="101" t="s">
        <v>742</v>
      </c>
      <c r="Q393" s="101">
        <v>632430</v>
      </c>
      <c r="R393" t="s">
        <v>880</v>
      </c>
      <c r="S393" t="s">
        <v>735</v>
      </c>
      <c r="T393"/>
      <c r="U393"/>
      <c r="V393"/>
      <c r="W393" s="223"/>
    </row>
    <row r="394" spans="1:23" x14ac:dyDescent="0.2">
      <c r="A394" s="253" t="s">
        <v>426</v>
      </c>
      <c r="B394" s="101">
        <v>0</v>
      </c>
      <c r="C394" s="101">
        <v>0</v>
      </c>
      <c r="D394" s="101">
        <v>0</v>
      </c>
      <c r="E394" s="101">
        <v>0</v>
      </c>
      <c r="F394" s="101">
        <v>-8</v>
      </c>
      <c r="G394" s="101">
        <v>-5</v>
      </c>
      <c r="H394" s="101">
        <v>-33</v>
      </c>
      <c r="I394" s="101">
        <v>-8</v>
      </c>
      <c r="J394" s="102">
        <v>0.54</v>
      </c>
      <c r="K394" s="102">
        <v>1.265012</v>
      </c>
      <c r="L394" s="101">
        <v>12.7</v>
      </c>
      <c r="M394" s="101">
        <v>-0.1</v>
      </c>
      <c r="N394" s="101" t="s">
        <v>963</v>
      </c>
      <c r="O394" s="101">
        <v>2004</v>
      </c>
      <c r="P394" s="101" t="s">
        <v>742</v>
      </c>
      <c r="Q394" s="101">
        <v>848713</v>
      </c>
      <c r="R394" t="s">
        <v>945</v>
      </c>
      <c r="S394" t="s">
        <v>254</v>
      </c>
      <c r="T394"/>
      <c r="U394"/>
      <c r="V394"/>
      <c r="W394" s="223"/>
    </row>
    <row r="395" spans="1:23" x14ac:dyDescent="0.2">
      <c r="A395" s="253" t="s">
        <v>1008</v>
      </c>
      <c r="B395" s="101">
        <v>11</v>
      </c>
      <c r="C395" s="101">
        <v>11</v>
      </c>
      <c r="D395" s="101">
        <v>0</v>
      </c>
      <c r="E395" s="101">
        <v>-15</v>
      </c>
      <c r="F395" s="101">
        <v>-19</v>
      </c>
      <c r="G395" s="101">
        <v>77</v>
      </c>
      <c r="H395" s="101">
        <v>-51</v>
      </c>
      <c r="I395" s="101">
        <v>-13</v>
      </c>
      <c r="J395" s="102">
        <v>0.54</v>
      </c>
      <c r="K395" s="102">
        <v>2.2000000000000002</v>
      </c>
      <c r="L395" s="101">
        <v>25.5</v>
      </c>
      <c r="M395" s="101">
        <v>0.9</v>
      </c>
      <c r="N395" s="101" t="s">
        <v>952</v>
      </c>
      <c r="O395" s="101">
        <v>2005</v>
      </c>
      <c r="P395" s="101" t="s">
        <v>742</v>
      </c>
      <c r="Q395" s="101">
        <v>851725</v>
      </c>
      <c r="R395" t="s">
        <v>878</v>
      </c>
      <c r="S395" t="s">
        <v>234</v>
      </c>
      <c r="T395"/>
      <c r="U395"/>
      <c r="V395"/>
      <c r="W395" s="223"/>
    </row>
    <row r="396" spans="1:23" x14ac:dyDescent="0.2">
      <c r="A396" s="253" t="s">
        <v>1147</v>
      </c>
      <c r="B396" s="101">
        <v>4</v>
      </c>
      <c r="C396" s="101">
        <v>4</v>
      </c>
      <c r="D396" s="101">
        <v>7</v>
      </c>
      <c r="E396" s="101">
        <v>5</v>
      </c>
      <c r="F396" s="101">
        <v>2</v>
      </c>
      <c r="G396" s="101">
        <v>28</v>
      </c>
      <c r="H396" s="101"/>
      <c r="I396" s="101"/>
      <c r="J396" s="102">
        <v>0.54</v>
      </c>
      <c r="K396" s="102">
        <v>1.2663</v>
      </c>
      <c r="L396" s="101">
        <v>12.9</v>
      </c>
      <c r="M396" s="101">
        <v>0.6</v>
      </c>
      <c r="N396" s="101" t="s">
        <v>957</v>
      </c>
      <c r="O396" s="101">
        <v>2012</v>
      </c>
      <c r="P396" s="101" t="s">
        <v>742</v>
      </c>
      <c r="Q396" s="101">
        <v>448910</v>
      </c>
      <c r="R396" t="s">
        <v>504</v>
      </c>
      <c r="S396" t="s">
        <v>114</v>
      </c>
      <c r="T396"/>
      <c r="U396"/>
      <c r="V396"/>
      <c r="W396" s="223"/>
    </row>
    <row r="397" spans="1:23" x14ac:dyDescent="0.2">
      <c r="A397" s="253" t="s">
        <v>999</v>
      </c>
      <c r="B397" s="101">
        <v>0</v>
      </c>
      <c r="C397" s="101">
        <v>0</v>
      </c>
      <c r="D397" s="101">
        <v>3</v>
      </c>
      <c r="E397" s="101">
        <v>2</v>
      </c>
      <c r="F397" s="101">
        <v>6</v>
      </c>
      <c r="G397" s="101">
        <v>22</v>
      </c>
      <c r="H397" s="101"/>
      <c r="I397" s="101"/>
      <c r="J397" s="102">
        <v>0.54</v>
      </c>
      <c r="K397" s="102">
        <v>1.6</v>
      </c>
      <c r="L397" s="101">
        <v>9</v>
      </c>
      <c r="M397" s="101">
        <v>0.8</v>
      </c>
      <c r="N397" s="101" t="s">
        <v>958</v>
      </c>
      <c r="O397" s="101">
        <v>2009</v>
      </c>
      <c r="P397" s="101" t="s">
        <v>742</v>
      </c>
      <c r="Q397" s="101">
        <v>724690</v>
      </c>
      <c r="R397" t="s">
        <v>410</v>
      </c>
      <c r="S397" t="s">
        <v>312</v>
      </c>
      <c r="T397"/>
      <c r="U397"/>
      <c r="V397"/>
      <c r="W397" s="223"/>
    </row>
    <row r="398" spans="1:23" x14ac:dyDescent="0.2">
      <c r="A398" s="253" t="s">
        <v>1067</v>
      </c>
      <c r="B398" s="101">
        <v>2</v>
      </c>
      <c r="C398" s="101">
        <v>2</v>
      </c>
      <c r="D398" s="101">
        <v>2</v>
      </c>
      <c r="E398" s="101"/>
      <c r="F398" s="101"/>
      <c r="G398" s="101"/>
      <c r="H398" s="101"/>
      <c r="I398" s="101"/>
      <c r="J398" s="102">
        <v>0.54</v>
      </c>
      <c r="K398" s="102">
        <v>1.6</v>
      </c>
      <c r="L398" s="101"/>
      <c r="M398" s="101"/>
      <c r="N398" s="101" t="s">
        <v>952</v>
      </c>
      <c r="O398" s="101">
        <v>2011</v>
      </c>
      <c r="P398" s="101" t="s">
        <v>742</v>
      </c>
      <c r="Q398" s="101">
        <v>119776</v>
      </c>
      <c r="R398" t="s">
        <v>450</v>
      </c>
      <c r="S398" t="s">
        <v>338</v>
      </c>
      <c r="T398"/>
      <c r="U398"/>
      <c r="V398"/>
      <c r="W398" s="223"/>
    </row>
    <row r="399" spans="1:23" x14ac:dyDescent="0.2">
      <c r="A399" s="253" t="s">
        <v>1093</v>
      </c>
      <c r="B399" s="101">
        <v>7</v>
      </c>
      <c r="C399" s="101">
        <v>7</v>
      </c>
      <c r="D399" s="101">
        <v>5</v>
      </c>
      <c r="E399" s="101">
        <v>3</v>
      </c>
      <c r="F399" s="101">
        <v>1</v>
      </c>
      <c r="G399" s="101">
        <v>127</v>
      </c>
      <c r="H399" s="101">
        <v>56</v>
      </c>
      <c r="I399" s="101">
        <v>9</v>
      </c>
      <c r="J399" s="102">
        <v>0.55000000000000004</v>
      </c>
      <c r="K399" s="102">
        <v>1.51</v>
      </c>
      <c r="L399" s="101">
        <v>19.100000000000001</v>
      </c>
      <c r="M399" s="101">
        <v>1.5</v>
      </c>
      <c r="N399" s="101" t="s">
        <v>956</v>
      </c>
      <c r="O399" s="101">
        <v>2002</v>
      </c>
      <c r="P399" s="101" t="s">
        <v>742</v>
      </c>
      <c r="Q399" s="101">
        <v>191676</v>
      </c>
      <c r="R399" t="s">
        <v>1094</v>
      </c>
      <c r="S399" t="s">
        <v>293</v>
      </c>
      <c r="T399"/>
      <c r="U399"/>
      <c r="V399"/>
      <c r="W399" s="223"/>
    </row>
    <row r="400" spans="1:23" x14ac:dyDescent="0.2">
      <c r="A400" s="253" t="s">
        <v>1120</v>
      </c>
      <c r="B400" s="101">
        <v>4</v>
      </c>
      <c r="C400" s="101">
        <v>4</v>
      </c>
      <c r="D400" s="101">
        <v>3</v>
      </c>
      <c r="E400" s="101">
        <v>-4</v>
      </c>
      <c r="F400" s="101">
        <v>-1</v>
      </c>
      <c r="G400" s="101">
        <v>95</v>
      </c>
      <c r="H400" s="101">
        <v>11</v>
      </c>
      <c r="I400" s="101">
        <v>2</v>
      </c>
      <c r="J400" s="102">
        <v>0.55000000000000004</v>
      </c>
      <c r="K400" s="102">
        <v>1.66</v>
      </c>
      <c r="L400" s="101">
        <v>22.4</v>
      </c>
      <c r="M400" s="101">
        <v>1</v>
      </c>
      <c r="N400" s="101" t="s">
        <v>958</v>
      </c>
      <c r="O400" s="101">
        <v>2006</v>
      </c>
      <c r="P400" s="101" t="s">
        <v>742</v>
      </c>
      <c r="Q400" s="101">
        <v>793406</v>
      </c>
      <c r="R400" t="s">
        <v>866</v>
      </c>
      <c r="S400" t="s">
        <v>735</v>
      </c>
      <c r="T400"/>
      <c r="U400"/>
      <c r="V400"/>
      <c r="W400" s="223"/>
    </row>
    <row r="401" spans="1:23" x14ac:dyDescent="0.2">
      <c r="A401" s="253" t="s">
        <v>998</v>
      </c>
      <c r="B401" s="101">
        <v>3</v>
      </c>
      <c r="C401" s="101">
        <v>3</v>
      </c>
      <c r="D401" s="101">
        <v>7</v>
      </c>
      <c r="E401" s="101">
        <v>8</v>
      </c>
      <c r="F401" s="101">
        <v>1</v>
      </c>
      <c r="G401" s="101">
        <v>36</v>
      </c>
      <c r="H401" s="101">
        <v>-9</v>
      </c>
      <c r="I401" s="101">
        <v>-2</v>
      </c>
      <c r="J401" s="102">
        <v>0.55000000000000004</v>
      </c>
      <c r="K401" s="102">
        <v>1.4</v>
      </c>
      <c r="L401" s="101">
        <v>12.4</v>
      </c>
      <c r="M401" s="101">
        <v>0.8</v>
      </c>
      <c r="N401" s="101" t="s">
        <v>952</v>
      </c>
      <c r="O401" s="101">
        <v>2000</v>
      </c>
      <c r="P401" s="101" t="s">
        <v>867</v>
      </c>
      <c r="Q401" s="101">
        <v>939264</v>
      </c>
      <c r="R401" t="s">
        <v>972</v>
      </c>
      <c r="S401" t="s">
        <v>293</v>
      </c>
      <c r="T401"/>
      <c r="U401"/>
      <c r="V401"/>
      <c r="W401" s="223"/>
    </row>
    <row r="402" spans="1:23" x14ac:dyDescent="0.2">
      <c r="A402" s="253" t="s">
        <v>424</v>
      </c>
      <c r="B402" s="101">
        <v>0</v>
      </c>
      <c r="C402" s="101">
        <v>0</v>
      </c>
      <c r="D402" s="101">
        <v>0</v>
      </c>
      <c r="E402" s="101">
        <v>0</v>
      </c>
      <c r="F402" s="101">
        <v>2</v>
      </c>
      <c r="G402" s="101">
        <v>22</v>
      </c>
      <c r="H402" s="101">
        <v>-15</v>
      </c>
      <c r="I402" s="101">
        <v>-3</v>
      </c>
      <c r="J402" s="102">
        <v>0.55000000000000004</v>
      </c>
      <c r="K402" s="102">
        <v>1.283957</v>
      </c>
      <c r="L402" s="101">
        <v>12.1</v>
      </c>
      <c r="M402" s="101">
        <v>0.5</v>
      </c>
      <c r="N402" s="101" t="s">
        <v>957</v>
      </c>
      <c r="O402" s="101">
        <v>2004</v>
      </c>
      <c r="P402" s="101" t="s">
        <v>742</v>
      </c>
      <c r="Q402" s="101">
        <v>812883</v>
      </c>
      <c r="R402" t="s">
        <v>945</v>
      </c>
      <c r="S402" t="s">
        <v>114</v>
      </c>
      <c r="T402"/>
      <c r="U402"/>
      <c r="V402"/>
      <c r="W402" s="223"/>
    </row>
    <row r="403" spans="1:23" x14ac:dyDescent="0.2">
      <c r="A403" s="253" t="s">
        <v>1013</v>
      </c>
      <c r="B403" s="101">
        <v>11</v>
      </c>
      <c r="C403" s="101">
        <v>11</v>
      </c>
      <c r="D403" s="101">
        <v>8</v>
      </c>
      <c r="E403" s="101">
        <v>-8</v>
      </c>
      <c r="F403" s="101">
        <v>-17</v>
      </c>
      <c r="G403" s="101">
        <v>90</v>
      </c>
      <c r="H403" s="101">
        <v>-14</v>
      </c>
      <c r="I403" s="101">
        <v>-3</v>
      </c>
      <c r="J403" s="102">
        <v>0.55000000000000004</v>
      </c>
      <c r="K403" s="102">
        <v>1.4</v>
      </c>
      <c r="L403" s="101">
        <v>21.4</v>
      </c>
      <c r="M403" s="101">
        <v>1.1000000000000001</v>
      </c>
      <c r="N403" s="101" t="s">
        <v>952</v>
      </c>
      <c r="O403" s="101">
        <v>2000</v>
      </c>
      <c r="P403" s="101" t="s">
        <v>867</v>
      </c>
      <c r="Q403" s="101">
        <v>903435</v>
      </c>
      <c r="R403" t="s">
        <v>972</v>
      </c>
      <c r="S403" t="s">
        <v>837</v>
      </c>
      <c r="T403"/>
      <c r="U403"/>
      <c r="V403"/>
      <c r="W403" s="223"/>
    </row>
    <row r="404" spans="1:23" x14ac:dyDescent="0.2">
      <c r="A404" s="253" t="s">
        <v>458</v>
      </c>
      <c r="B404" s="101">
        <v>8</v>
      </c>
      <c r="C404" s="101">
        <v>8</v>
      </c>
      <c r="D404" s="101">
        <v>6</v>
      </c>
      <c r="E404" s="101">
        <v>-6</v>
      </c>
      <c r="F404" s="101">
        <v>-10</v>
      </c>
      <c r="G404" s="101"/>
      <c r="H404" s="101"/>
      <c r="I404" s="101"/>
      <c r="J404" s="102">
        <v>0.55000000000000004</v>
      </c>
      <c r="K404" s="102">
        <v>2.2623359999999999</v>
      </c>
      <c r="L404" s="101"/>
      <c r="M404" s="101"/>
      <c r="N404" s="101" t="s">
        <v>952</v>
      </c>
      <c r="O404" s="101">
        <v>2011</v>
      </c>
      <c r="P404" s="101" t="s">
        <v>867</v>
      </c>
      <c r="Q404" s="101">
        <v>584979</v>
      </c>
      <c r="R404" t="s">
        <v>459</v>
      </c>
      <c r="S404" t="s">
        <v>781</v>
      </c>
      <c r="T404"/>
      <c r="U404"/>
      <c r="V404"/>
      <c r="W404" s="223"/>
    </row>
    <row r="405" spans="1:23" x14ac:dyDescent="0.2">
      <c r="A405" s="253" t="s">
        <v>964</v>
      </c>
      <c r="B405" s="101">
        <v>4</v>
      </c>
      <c r="C405" s="101">
        <v>4</v>
      </c>
      <c r="D405" s="101">
        <v>1</v>
      </c>
      <c r="E405" s="101">
        <v>-4</v>
      </c>
      <c r="F405" s="101"/>
      <c r="G405" s="101"/>
      <c r="H405" s="101"/>
      <c r="I405" s="101"/>
      <c r="J405" s="102">
        <v>0.55000000000000004</v>
      </c>
      <c r="K405" s="102">
        <v>1.4</v>
      </c>
      <c r="L405" s="101"/>
      <c r="M405" s="101"/>
      <c r="N405" s="101" t="s">
        <v>955</v>
      </c>
      <c r="O405" s="101">
        <v>2011</v>
      </c>
      <c r="P405" s="101" t="s">
        <v>742</v>
      </c>
      <c r="Q405" s="101">
        <v>140434</v>
      </c>
      <c r="R405" t="s">
        <v>140</v>
      </c>
      <c r="S405" t="s">
        <v>735</v>
      </c>
      <c r="T405"/>
      <c r="U405"/>
      <c r="V405"/>
      <c r="W405" s="223"/>
    </row>
    <row r="406" spans="1:23" x14ac:dyDescent="0.2">
      <c r="A406" s="253" t="s">
        <v>1119</v>
      </c>
      <c r="B406" s="101">
        <v>0</v>
      </c>
      <c r="C406" s="101">
        <v>0</v>
      </c>
      <c r="D406" s="101">
        <v>5</v>
      </c>
      <c r="E406" s="101">
        <v>8</v>
      </c>
      <c r="F406" s="101">
        <v>13</v>
      </c>
      <c r="G406" s="101">
        <v>44</v>
      </c>
      <c r="H406" s="101">
        <v>37</v>
      </c>
      <c r="I406" s="101">
        <v>6</v>
      </c>
      <c r="J406" s="102">
        <v>0.56000000000000005</v>
      </c>
      <c r="K406" s="102">
        <v>1.71</v>
      </c>
      <c r="L406" s="101">
        <v>10.6</v>
      </c>
      <c r="M406" s="101">
        <v>1.1000000000000001</v>
      </c>
      <c r="N406" s="101" t="s">
        <v>957</v>
      </c>
      <c r="O406" s="101">
        <v>2006</v>
      </c>
      <c r="P406" s="101" t="s">
        <v>742</v>
      </c>
      <c r="Q406" s="101">
        <v>721746</v>
      </c>
      <c r="R406" t="s">
        <v>866</v>
      </c>
      <c r="S406" t="s">
        <v>735</v>
      </c>
      <c r="T406"/>
      <c r="U406"/>
      <c r="V406"/>
      <c r="W406" s="223"/>
    </row>
    <row r="407" spans="1:23" x14ac:dyDescent="0.2">
      <c r="A407" s="253" t="s">
        <v>379</v>
      </c>
      <c r="B407" s="101">
        <v>0</v>
      </c>
      <c r="C407" s="101">
        <v>0</v>
      </c>
      <c r="D407" s="101">
        <v>1</v>
      </c>
      <c r="E407" s="101">
        <v>-1</v>
      </c>
      <c r="F407" s="101">
        <v>2</v>
      </c>
      <c r="G407" s="101">
        <v>-3</v>
      </c>
      <c r="H407" s="101">
        <v>9</v>
      </c>
      <c r="I407" s="101">
        <v>2</v>
      </c>
      <c r="J407" s="102">
        <v>0.56000000000000005</v>
      </c>
      <c r="K407" s="102">
        <v>1.32</v>
      </c>
      <c r="L407" s="101">
        <v>6.1</v>
      </c>
      <c r="M407" s="101">
        <v>-0.3</v>
      </c>
      <c r="N407" s="101" t="s">
        <v>955</v>
      </c>
      <c r="O407" s="101">
        <v>2000</v>
      </c>
      <c r="P407" s="101" t="s">
        <v>742</v>
      </c>
      <c r="Q407" s="101">
        <v>480145</v>
      </c>
      <c r="R407" t="s">
        <v>65</v>
      </c>
      <c r="S407" t="s">
        <v>338</v>
      </c>
      <c r="T407"/>
      <c r="U407"/>
      <c r="V407"/>
      <c r="W407" s="223"/>
    </row>
    <row r="408" spans="1:23" x14ac:dyDescent="0.2">
      <c r="A408" s="253" t="s">
        <v>74</v>
      </c>
      <c r="B408" s="101">
        <v>2</v>
      </c>
      <c r="C408" s="101">
        <v>2</v>
      </c>
      <c r="D408" s="101">
        <v>1</v>
      </c>
      <c r="E408" s="101">
        <v>-3</v>
      </c>
      <c r="F408" s="101">
        <v>-2</v>
      </c>
      <c r="G408" s="101">
        <v>2</v>
      </c>
      <c r="H408" s="101">
        <v>4</v>
      </c>
      <c r="I408" s="101">
        <v>1</v>
      </c>
      <c r="J408" s="102">
        <v>0.56000000000000005</v>
      </c>
      <c r="K408" s="102">
        <v>1.31</v>
      </c>
      <c r="L408" s="101">
        <v>5.8</v>
      </c>
      <c r="M408" s="101">
        <v>0</v>
      </c>
      <c r="N408" s="101" t="s">
        <v>955</v>
      </c>
      <c r="O408" s="101">
        <v>2008</v>
      </c>
      <c r="P408" s="101" t="s">
        <v>742</v>
      </c>
      <c r="Q408" s="101">
        <v>271064</v>
      </c>
      <c r="R408" t="s">
        <v>411</v>
      </c>
      <c r="S408" t="s">
        <v>338</v>
      </c>
      <c r="T408"/>
      <c r="U408"/>
      <c r="V408"/>
      <c r="W408" s="223"/>
    </row>
    <row r="409" spans="1:23" x14ac:dyDescent="0.2">
      <c r="A409" s="253" t="s">
        <v>444</v>
      </c>
      <c r="B409" s="101">
        <v>8</v>
      </c>
      <c r="C409" s="101">
        <v>8</v>
      </c>
      <c r="D409" s="101">
        <v>6</v>
      </c>
      <c r="E409" s="101">
        <v>-6</v>
      </c>
      <c r="F409" s="101">
        <v>-5</v>
      </c>
      <c r="G409" s="101">
        <v>50</v>
      </c>
      <c r="H409" s="101">
        <v>7</v>
      </c>
      <c r="I409" s="101">
        <v>1</v>
      </c>
      <c r="J409" s="102">
        <v>0.56000000000000005</v>
      </c>
      <c r="K409" s="102">
        <v>1.65</v>
      </c>
      <c r="L409" s="101">
        <v>16.100000000000001</v>
      </c>
      <c r="M409" s="101">
        <v>0.9</v>
      </c>
      <c r="N409" s="101" t="s">
        <v>952</v>
      </c>
      <c r="O409" s="101">
        <v>2000</v>
      </c>
      <c r="P409" s="101" t="s">
        <v>867</v>
      </c>
      <c r="Q409" s="101">
        <v>618629</v>
      </c>
      <c r="R409" t="s">
        <v>791</v>
      </c>
      <c r="S409" t="s">
        <v>150</v>
      </c>
      <c r="T409"/>
      <c r="U409"/>
      <c r="V409"/>
      <c r="W409" s="223"/>
    </row>
    <row r="410" spans="1:23" x14ac:dyDescent="0.2">
      <c r="A410" s="253" t="s">
        <v>176</v>
      </c>
      <c r="B410" s="101">
        <v>2</v>
      </c>
      <c r="C410" s="101">
        <v>2</v>
      </c>
      <c r="D410" s="101">
        <v>4</v>
      </c>
      <c r="E410" s="101">
        <v>2</v>
      </c>
      <c r="F410" s="101">
        <v>3</v>
      </c>
      <c r="G410" s="101">
        <v>20</v>
      </c>
      <c r="H410" s="101">
        <v>-9</v>
      </c>
      <c r="I410" s="101">
        <v>-2</v>
      </c>
      <c r="J410" s="102">
        <v>0.56000000000000005</v>
      </c>
      <c r="K410" s="102">
        <v>1.68</v>
      </c>
      <c r="L410" s="101">
        <v>10.8</v>
      </c>
      <c r="M410" s="101">
        <v>0.5</v>
      </c>
      <c r="N410" s="101" t="s">
        <v>958</v>
      </c>
      <c r="O410" s="101">
        <v>2003</v>
      </c>
      <c r="P410" s="101" t="s">
        <v>742</v>
      </c>
      <c r="Q410" s="101">
        <v>175265</v>
      </c>
      <c r="R410" t="s">
        <v>410</v>
      </c>
      <c r="S410" t="s">
        <v>166</v>
      </c>
      <c r="T410"/>
      <c r="U410"/>
      <c r="V410"/>
      <c r="W410" s="223"/>
    </row>
    <row r="411" spans="1:23" x14ac:dyDescent="0.2">
      <c r="A411" s="253" t="s">
        <v>41</v>
      </c>
      <c r="B411" s="101">
        <v>15</v>
      </c>
      <c r="C411" s="101">
        <v>15</v>
      </c>
      <c r="D411" s="101">
        <v>5</v>
      </c>
      <c r="E411" s="101">
        <v>-14</v>
      </c>
      <c r="F411" s="101">
        <v>-14</v>
      </c>
      <c r="G411" s="101">
        <v>82</v>
      </c>
      <c r="H411" s="101">
        <v>-15</v>
      </c>
      <c r="I411" s="101">
        <v>-3</v>
      </c>
      <c r="J411" s="102">
        <v>0.56000000000000005</v>
      </c>
      <c r="K411" s="102">
        <v>1.324001</v>
      </c>
      <c r="L411" s="101">
        <v>28.9</v>
      </c>
      <c r="M411" s="101">
        <v>0.8</v>
      </c>
      <c r="N411" s="101" t="s">
        <v>957</v>
      </c>
      <c r="O411" s="101">
        <v>2000</v>
      </c>
      <c r="P411" s="101" t="s">
        <v>742</v>
      </c>
      <c r="Q411" s="101">
        <v>376319</v>
      </c>
      <c r="R411" t="s">
        <v>504</v>
      </c>
      <c r="S411" t="s">
        <v>234</v>
      </c>
      <c r="T411"/>
      <c r="U411"/>
      <c r="V411"/>
      <c r="W411" s="223"/>
    </row>
    <row r="412" spans="1:23" x14ac:dyDescent="0.2">
      <c r="A412" s="253" t="s">
        <v>879</v>
      </c>
      <c r="B412" s="101">
        <v>5</v>
      </c>
      <c r="C412" s="101">
        <v>5</v>
      </c>
      <c r="D412" s="101">
        <v>4</v>
      </c>
      <c r="E412" s="101">
        <v>-7</v>
      </c>
      <c r="F412" s="101">
        <v>-12</v>
      </c>
      <c r="G412" s="101">
        <v>58</v>
      </c>
      <c r="H412" s="101">
        <v>-17</v>
      </c>
      <c r="I412" s="101">
        <v>-4</v>
      </c>
      <c r="J412" s="102">
        <v>0.56000000000000005</v>
      </c>
      <c r="K412" s="102">
        <v>1.33</v>
      </c>
      <c r="L412" s="101">
        <v>18.7</v>
      </c>
      <c r="M412" s="101">
        <v>0.9</v>
      </c>
      <c r="N412" s="101" t="s">
        <v>952</v>
      </c>
      <c r="O412" s="101">
        <v>2000</v>
      </c>
      <c r="P412" s="101" t="s">
        <v>867</v>
      </c>
      <c r="Q412" s="101">
        <v>739458</v>
      </c>
      <c r="R412" t="s">
        <v>784</v>
      </c>
      <c r="S412" t="s">
        <v>781</v>
      </c>
      <c r="T412" t="s">
        <v>953</v>
      </c>
      <c r="U412"/>
      <c r="V412"/>
      <c r="W412" s="223"/>
    </row>
    <row r="413" spans="1:23" x14ac:dyDescent="0.2">
      <c r="A413" s="253" t="s">
        <v>17</v>
      </c>
      <c r="B413" s="101">
        <v>5</v>
      </c>
      <c r="C413" s="101">
        <v>5</v>
      </c>
      <c r="D413" s="101">
        <v>5</v>
      </c>
      <c r="E413" s="101">
        <v>0</v>
      </c>
      <c r="F413" s="101">
        <v>-6</v>
      </c>
      <c r="G413" s="101"/>
      <c r="H413" s="101"/>
      <c r="I413" s="101"/>
      <c r="J413" s="102">
        <v>0.56000000000000005</v>
      </c>
      <c r="K413" s="102">
        <v>1.31</v>
      </c>
      <c r="L413" s="101"/>
      <c r="M413" s="101"/>
      <c r="N413" s="101" t="s">
        <v>952</v>
      </c>
      <c r="O413" s="101">
        <v>2010</v>
      </c>
      <c r="P413" s="101" t="s">
        <v>867</v>
      </c>
      <c r="Q413" s="101">
        <v>476895</v>
      </c>
      <c r="R413" t="s">
        <v>18</v>
      </c>
      <c r="S413" t="s">
        <v>781</v>
      </c>
      <c r="T413"/>
      <c r="U413"/>
      <c r="V413"/>
      <c r="W413" s="223"/>
    </row>
    <row r="414" spans="1:23" x14ac:dyDescent="0.2">
      <c r="A414" s="253" t="s">
        <v>521</v>
      </c>
      <c r="B414" s="101">
        <v>4</v>
      </c>
      <c r="C414" s="101">
        <v>4</v>
      </c>
      <c r="D414" s="101">
        <v>6</v>
      </c>
      <c r="E414" s="101">
        <v>0</v>
      </c>
      <c r="F414" s="101">
        <v>-7</v>
      </c>
      <c r="G414" s="101"/>
      <c r="H414" s="101"/>
      <c r="I414" s="101"/>
      <c r="J414" s="102">
        <v>0.56000000000000005</v>
      </c>
      <c r="K414" s="102">
        <v>1.63</v>
      </c>
      <c r="L414" s="101"/>
      <c r="M414" s="101"/>
      <c r="N414" s="101" t="s">
        <v>952</v>
      </c>
      <c r="O414" s="101">
        <v>2011</v>
      </c>
      <c r="P414" s="101" t="s">
        <v>867</v>
      </c>
      <c r="Q414" s="101">
        <v>456236</v>
      </c>
      <c r="R414" t="s">
        <v>932</v>
      </c>
      <c r="S414" t="s">
        <v>312</v>
      </c>
      <c r="T414"/>
      <c r="U414"/>
      <c r="V414"/>
      <c r="W414" s="223"/>
    </row>
    <row r="415" spans="1:23" x14ac:dyDescent="0.2">
      <c r="A415" s="253" t="s">
        <v>631</v>
      </c>
      <c r="B415" s="101">
        <v>1</v>
      </c>
      <c r="C415" s="101">
        <v>1</v>
      </c>
      <c r="D415" s="101">
        <v>-6</v>
      </c>
      <c r="E415" s="101">
        <v>-10</v>
      </c>
      <c r="F415" s="101">
        <v>-14</v>
      </c>
      <c r="G415" s="101"/>
      <c r="H415" s="101"/>
      <c r="I415" s="101"/>
      <c r="J415" s="102">
        <v>0.56000000000000005</v>
      </c>
      <c r="K415" s="102">
        <v>1.34</v>
      </c>
      <c r="L415" s="101"/>
      <c r="M415" s="101"/>
      <c r="N415" s="101" t="s">
        <v>952</v>
      </c>
      <c r="O415" s="101">
        <v>2010</v>
      </c>
      <c r="P415" s="101" t="s">
        <v>867</v>
      </c>
      <c r="Q415" s="101">
        <v>626291</v>
      </c>
      <c r="R415" t="s">
        <v>847</v>
      </c>
      <c r="S415" t="s">
        <v>328</v>
      </c>
      <c r="T415"/>
      <c r="U415"/>
      <c r="V415"/>
      <c r="W415" s="223"/>
    </row>
    <row r="416" spans="1:23" x14ac:dyDescent="0.2">
      <c r="A416" s="253" t="s">
        <v>200</v>
      </c>
      <c r="B416" s="101">
        <v>9</v>
      </c>
      <c r="C416" s="101">
        <v>9</v>
      </c>
      <c r="D416" s="101">
        <v>8</v>
      </c>
      <c r="E416" s="101">
        <v>-3</v>
      </c>
      <c r="F416" s="101">
        <v>-2</v>
      </c>
      <c r="G416" s="101">
        <v>94</v>
      </c>
      <c r="H416" s="101">
        <v>52</v>
      </c>
      <c r="I416" s="101">
        <v>9</v>
      </c>
      <c r="J416" s="102">
        <v>0.56999999999999995</v>
      </c>
      <c r="K416" s="102">
        <v>2.2848999999999999</v>
      </c>
      <c r="L416" s="101">
        <v>18.3</v>
      </c>
      <c r="M416" s="101">
        <v>1.2</v>
      </c>
      <c r="N416" s="101" t="s">
        <v>956</v>
      </c>
      <c r="O416" s="101">
        <v>2002</v>
      </c>
      <c r="P416" s="101" t="s">
        <v>742</v>
      </c>
      <c r="Q416" s="101">
        <v>501981</v>
      </c>
      <c r="R416" t="s">
        <v>913</v>
      </c>
      <c r="S416" t="s">
        <v>183</v>
      </c>
      <c r="T416"/>
      <c r="U416"/>
      <c r="V416"/>
      <c r="W416" s="223"/>
    </row>
    <row r="417" spans="1:23" x14ac:dyDescent="0.2">
      <c r="A417" s="253" t="s">
        <v>212</v>
      </c>
      <c r="B417" s="101">
        <v>3</v>
      </c>
      <c r="C417" s="101">
        <v>3</v>
      </c>
      <c r="D417" s="101">
        <v>0</v>
      </c>
      <c r="E417" s="101">
        <v>-2</v>
      </c>
      <c r="F417" s="101">
        <v>3</v>
      </c>
      <c r="G417" s="101">
        <v>4</v>
      </c>
      <c r="H417" s="101">
        <v>14</v>
      </c>
      <c r="I417" s="101">
        <v>3</v>
      </c>
      <c r="J417" s="102">
        <v>0.56999999999999995</v>
      </c>
      <c r="K417" s="102">
        <v>1.45</v>
      </c>
      <c r="L417" s="101">
        <v>8.3000000000000007</v>
      </c>
      <c r="M417" s="101">
        <v>0.1</v>
      </c>
      <c r="N417" s="101" t="s">
        <v>955</v>
      </c>
      <c r="O417" s="101">
        <v>2003</v>
      </c>
      <c r="P417" s="101" t="s">
        <v>742</v>
      </c>
      <c r="Q417" s="101">
        <v>352583</v>
      </c>
      <c r="R417" t="s">
        <v>490</v>
      </c>
      <c r="S417" t="s">
        <v>735</v>
      </c>
      <c r="T417"/>
      <c r="U417"/>
      <c r="V417"/>
      <c r="W417" s="223"/>
    </row>
    <row r="418" spans="1:23" x14ac:dyDescent="0.2">
      <c r="A418" s="253" t="s">
        <v>965</v>
      </c>
      <c r="B418" s="101">
        <v>0</v>
      </c>
      <c r="C418" s="101">
        <v>0</v>
      </c>
      <c r="D418" s="101">
        <v>5</v>
      </c>
      <c r="E418" s="101">
        <v>4</v>
      </c>
      <c r="F418" s="101">
        <v>7</v>
      </c>
      <c r="G418" s="101">
        <v>0</v>
      </c>
      <c r="H418" s="101">
        <v>18</v>
      </c>
      <c r="I418" s="101">
        <v>3</v>
      </c>
      <c r="J418" s="102">
        <v>0.56999999999999995</v>
      </c>
      <c r="K418" s="102">
        <v>1.75</v>
      </c>
      <c r="L418" s="101">
        <v>9</v>
      </c>
      <c r="M418" s="101">
        <v>-0.1</v>
      </c>
      <c r="N418" s="101" t="s">
        <v>957</v>
      </c>
      <c r="O418" s="101">
        <v>2006</v>
      </c>
      <c r="P418" s="101" t="s">
        <v>742</v>
      </c>
      <c r="Q418" s="101">
        <v>336115</v>
      </c>
      <c r="R418" t="s">
        <v>866</v>
      </c>
      <c r="S418" t="s">
        <v>735</v>
      </c>
      <c r="T418"/>
      <c r="U418"/>
      <c r="V418"/>
      <c r="W418" s="223"/>
    </row>
    <row r="419" spans="1:23" x14ac:dyDescent="0.2">
      <c r="A419" s="253" t="s">
        <v>1096</v>
      </c>
      <c r="B419" s="101">
        <v>1</v>
      </c>
      <c r="C419" s="101">
        <v>1</v>
      </c>
      <c r="D419" s="101">
        <v>3</v>
      </c>
      <c r="E419" s="101">
        <v>0</v>
      </c>
      <c r="F419" s="101">
        <v>4</v>
      </c>
      <c r="G419" s="101">
        <v>4</v>
      </c>
      <c r="H419" s="101">
        <v>7</v>
      </c>
      <c r="I419" s="101">
        <v>1</v>
      </c>
      <c r="J419" s="102">
        <v>0.56999999999999995</v>
      </c>
      <c r="K419" s="102">
        <v>1.34</v>
      </c>
      <c r="L419" s="101">
        <v>7</v>
      </c>
      <c r="M419" s="101">
        <v>0.1</v>
      </c>
      <c r="N419" s="101" t="s">
        <v>955</v>
      </c>
      <c r="O419" s="101">
        <v>2006</v>
      </c>
      <c r="P419" s="101" t="s">
        <v>742</v>
      </c>
      <c r="Q419" s="101">
        <v>647669</v>
      </c>
      <c r="R419" t="s">
        <v>65</v>
      </c>
      <c r="S419" t="s">
        <v>338</v>
      </c>
      <c r="T419"/>
      <c r="U419"/>
      <c r="V419"/>
      <c r="W419" s="223"/>
    </row>
    <row r="420" spans="1:23" x14ac:dyDescent="0.2">
      <c r="A420" s="253" t="s">
        <v>871</v>
      </c>
      <c r="B420" s="101">
        <v>3</v>
      </c>
      <c r="C420" s="101">
        <v>3</v>
      </c>
      <c r="D420" s="101">
        <v>1</v>
      </c>
      <c r="E420" s="101">
        <v>-1</v>
      </c>
      <c r="F420" s="101">
        <v>4</v>
      </c>
      <c r="G420" s="101">
        <v>8</v>
      </c>
      <c r="H420" s="101">
        <v>7</v>
      </c>
      <c r="I420" s="101">
        <v>1</v>
      </c>
      <c r="J420" s="102">
        <v>0.56999999999999995</v>
      </c>
      <c r="K420" s="102">
        <v>1.43</v>
      </c>
      <c r="L420" s="101">
        <v>8</v>
      </c>
      <c r="M420" s="101">
        <v>0.2</v>
      </c>
      <c r="N420" s="101" t="s">
        <v>955</v>
      </c>
      <c r="O420" s="101">
        <v>2002</v>
      </c>
      <c r="P420" s="101" t="s">
        <v>742</v>
      </c>
      <c r="Q420" s="101">
        <v>543892</v>
      </c>
      <c r="R420" t="s">
        <v>870</v>
      </c>
      <c r="S420" t="s">
        <v>721</v>
      </c>
      <c r="T420"/>
      <c r="U420"/>
      <c r="V420"/>
      <c r="W420" s="223"/>
    </row>
    <row r="421" spans="1:23" x14ac:dyDescent="0.2">
      <c r="A421" s="253" t="s">
        <v>311</v>
      </c>
      <c r="B421" s="101">
        <v>3</v>
      </c>
      <c r="C421" s="101">
        <v>3</v>
      </c>
      <c r="D421" s="101">
        <v>8</v>
      </c>
      <c r="E421" s="101">
        <v>3</v>
      </c>
      <c r="F421" s="101">
        <v>4</v>
      </c>
      <c r="G421" s="101">
        <v>39</v>
      </c>
      <c r="H421" s="101">
        <v>2</v>
      </c>
      <c r="I421" s="101">
        <v>0</v>
      </c>
      <c r="J421" s="102">
        <v>0.56999999999999995</v>
      </c>
      <c r="K421" s="102">
        <v>1.6236459999999999</v>
      </c>
      <c r="L421" s="101">
        <v>10.3</v>
      </c>
      <c r="M421" s="101">
        <v>1.1000000000000001</v>
      </c>
      <c r="N421" s="101" t="s">
        <v>952</v>
      </c>
      <c r="O421" s="101">
        <v>2000</v>
      </c>
      <c r="P421" s="101" t="s">
        <v>867</v>
      </c>
      <c r="Q421" s="101">
        <v>749788</v>
      </c>
      <c r="R421" t="s">
        <v>795</v>
      </c>
      <c r="S421" t="s">
        <v>302</v>
      </c>
      <c r="T421"/>
      <c r="U421"/>
      <c r="V421"/>
      <c r="W421" s="223"/>
    </row>
    <row r="422" spans="1:23" x14ac:dyDescent="0.2">
      <c r="A422" s="253" t="s">
        <v>101</v>
      </c>
      <c r="B422" s="101">
        <v>4</v>
      </c>
      <c r="C422" s="101">
        <v>4</v>
      </c>
      <c r="D422" s="101">
        <v>-5</v>
      </c>
      <c r="E422" s="101">
        <v>-15</v>
      </c>
      <c r="F422" s="101">
        <v>-19</v>
      </c>
      <c r="G422" s="101">
        <v>-3</v>
      </c>
      <c r="H422" s="101">
        <v>-43</v>
      </c>
      <c r="I422" s="101">
        <v>-11</v>
      </c>
      <c r="J422" s="102">
        <v>0.56999999999999995</v>
      </c>
      <c r="K422" s="102">
        <v>1.35</v>
      </c>
      <c r="L422" s="101">
        <v>17.399999999999999</v>
      </c>
      <c r="M422" s="101">
        <v>0</v>
      </c>
      <c r="N422" s="101" t="s">
        <v>955</v>
      </c>
      <c r="O422" s="101">
        <v>2000</v>
      </c>
      <c r="P422" s="101" t="s">
        <v>742</v>
      </c>
      <c r="Q422" s="101">
        <v>151001</v>
      </c>
      <c r="R422" t="s">
        <v>872</v>
      </c>
      <c r="S422" t="s">
        <v>96</v>
      </c>
      <c r="T422"/>
      <c r="U422"/>
      <c r="V422"/>
      <c r="W422" s="223"/>
    </row>
    <row r="423" spans="1:23" x14ac:dyDescent="0.2">
      <c r="A423" s="253" t="s">
        <v>53</v>
      </c>
      <c r="B423" s="101">
        <v>4</v>
      </c>
      <c r="C423" s="101">
        <v>4</v>
      </c>
      <c r="D423" s="101">
        <v>2</v>
      </c>
      <c r="E423" s="101">
        <v>-9</v>
      </c>
      <c r="F423" s="101">
        <v>-11</v>
      </c>
      <c r="G423" s="101">
        <v>1</v>
      </c>
      <c r="H423" s="101">
        <v>-44</v>
      </c>
      <c r="I423" s="101">
        <v>-11</v>
      </c>
      <c r="J423" s="102">
        <v>0.56999999999999995</v>
      </c>
      <c r="K423" s="102">
        <v>1.4466680000000001</v>
      </c>
      <c r="L423" s="101">
        <v>15.6</v>
      </c>
      <c r="M423" s="101">
        <v>0.1</v>
      </c>
      <c r="N423" s="101" t="s">
        <v>952</v>
      </c>
      <c r="O423" s="101">
        <v>2000</v>
      </c>
      <c r="P423" s="101" t="s">
        <v>867</v>
      </c>
      <c r="Q423" s="101">
        <v>148585</v>
      </c>
      <c r="R423" t="s">
        <v>785</v>
      </c>
      <c r="S423" t="s">
        <v>49</v>
      </c>
      <c r="T423"/>
      <c r="U423"/>
      <c r="V423"/>
      <c r="W423" s="223"/>
    </row>
    <row r="424" spans="1:23" x14ac:dyDescent="0.2">
      <c r="A424" s="253" t="s">
        <v>1095</v>
      </c>
      <c r="B424" s="101">
        <v>11</v>
      </c>
      <c r="C424" s="101">
        <v>11</v>
      </c>
      <c r="D424" s="101">
        <v>5</v>
      </c>
      <c r="E424" s="101">
        <v>-11</v>
      </c>
      <c r="F424" s="101">
        <v>-12</v>
      </c>
      <c r="G424" s="101">
        <v>67</v>
      </c>
      <c r="H424" s="101"/>
      <c r="I424" s="101"/>
      <c r="J424" s="102">
        <v>0.56999999999999995</v>
      </c>
      <c r="K424" s="102">
        <v>1.5960000000000001</v>
      </c>
      <c r="L424" s="101">
        <v>26.5</v>
      </c>
      <c r="M424" s="101">
        <v>0.8</v>
      </c>
      <c r="N424" s="101" t="s">
        <v>952</v>
      </c>
      <c r="O424" s="101">
        <v>2009</v>
      </c>
      <c r="P424" s="101" t="s">
        <v>742</v>
      </c>
      <c r="Q424" s="101">
        <v>225490</v>
      </c>
      <c r="R424" t="s">
        <v>1083</v>
      </c>
      <c r="S424" t="s">
        <v>312</v>
      </c>
      <c r="T424"/>
      <c r="U424"/>
      <c r="V424"/>
      <c r="W424" s="223"/>
    </row>
    <row r="425" spans="1:23" x14ac:dyDescent="0.2">
      <c r="A425" s="253" t="s">
        <v>873</v>
      </c>
      <c r="B425" s="101">
        <v>-1</v>
      </c>
      <c r="C425" s="101">
        <v>-1</v>
      </c>
      <c r="D425" s="101">
        <v>4</v>
      </c>
      <c r="E425" s="101">
        <v>0</v>
      </c>
      <c r="F425" s="101">
        <v>3</v>
      </c>
      <c r="G425" s="101">
        <v>6</v>
      </c>
      <c r="H425" s="101">
        <v>0</v>
      </c>
      <c r="I425" s="101">
        <v>0</v>
      </c>
      <c r="J425" s="102">
        <v>0.57999999999999996</v>
      </c>
      <c r="K425" s="102">
        <v>1.39</v>
      </c>
      <c r="L425" s="101">
        <v>7.8</v>
      </c>
      <c r="M425" s="101">
        <v>0.2</v>
      </c>
      <c r="N425" s="101" t="s">
        <v>955</v>
      </c>
      <c r="O425" s="101">
        <v>2006</v>
      </c>
      <c r="P425" s="101" t="s">
        <v>742</v>
      </c>
      <c r="Q425" s="101">
        <v>985895</v>
      </c>
      <c r="R425" t="s">
        <v>65</v>
      </c>
      <c r="S425" t="s">
        <v>166</v>
      </c>
      <c r="T425" t="s">
        <v>953</v>
      </c>
      <c r="U425"/>
      <c r="V425"/>
      <c r="W425" s="223"/>
    </row>
    <row r="426" spans="1:23" x14ac:dyDescent="0.2">
      <c r="A426" s="253" t="s">
        <v>492</v>
      </c>
      <c r="B426" s="101">
        <v>4</v>
      </c>
      <c r="C426" s="101">
        <v>4</v>
      </c>
      <c r="D426" s="101">
        <v>3</v>
      </c>
      <c r="E426" s="101">
        <v>-8</v>
      </c>
      <c r="F426" s="101">
        <v>-12</v>
      </c>
      <c r="G426" s="101">
        <v>52</v>
      </c>
      <c r="H426" s="101">
        <v>-16</v>
      </c>
      <c r="I426" s="101">
        <v>-4</v>
      </c>
      <c r="J426" s="102">
        <v>0.57999999999999996</v>
      </c>
      <c r="K426" s="102">
        <v>1.6</v>
      </c>
      <c r="L426" s="101">
        <v>17</v>
      </c>
      <c r="M426" s="101">
        <v>0.9</v>
      </c>
      <c r="N426" s="101" t="s">
        <v>955</v>
      </c>
      <c r="O426" s="101">
        <v>2007</v>
      </c>
      <c r="P426" s="101" t="s">
        <v>742</v>
      </c>
      <c r="Q426" s="101">
        <v>668269</v>
      </c>
      <c r="R426" t="s">
        <v>880</v>
      </c>
      <c r="S426" t="s">
        <v>861</v>
      </c>
      <c r="T426"/>
      <c r="U426"/>
      <c r="V426"/>
      <c r="W426" s="223"/>
    </row>
    <row r="427" spans="1:23" x14ac:dyDescent="0.2">
      <c r="A427" s="253" t="s">
        <v>60</v>
      </c>
      <c r="B427" s="101">
        <v>4</v>
      </c>
      <c r="C427" s="101">
        <v>4</v>
      </c>
      <c r="D427" s="101">
        <v>3</v>
      </c>
      <c r="E427" s="101">
        <v>-4</v>
      </c>
      <c r="F427" s="101">
        <v>-4</v>
      </c>
      <c r="G427" s="101">
        <v>23</v>
      </c>
      <c r="H427" s="101">
        <v>-31</v>
      </c>
      <c r="I427" s="101">
        <v>-7</v>
      </c>
      <c r="J427" s="102">
        <v>0.57999999999999996</v>
      </c>
      <c r="K427" s="102">
        <v>1.6</v>
      </c>
      <c r="L427" s="101">
        <v>13.4</v>
      </c>
      <c r="M427" s="101">
        <v>0.6</v>
      </c>
      <c r="N427" s="101" t="s">
        <v>955</v>
      </c>
      <c r="O427" s="101">
        <v>2001</v>
      </c>
      <c r="P427" s="101" t="s">
        <v>742</v>
      </c>
      <c r="Q427" s="101">
        <v>764951</v>
      </c>
      <c r="R427" t="s">
        <v>880</v>
      </c>
      <c r="S427" t="s">
        <v>49</v>
      </c>
      <c r="T427"/>
      <c r="U427"/>
      <c r="V427"/>
      <c r="W427" s="223"/>
    </row>
    <row r="428" spans="1:23" x14ac:dyDescent="0.2">
      <c r="A428" s="253" t="s">
        <v>446</v>
      </c>
      <c r="B428" s="101">
        <v>4</v>
      </c>
      <c r="C428" s="101">
        <v>4</v>
      </c>
      <c r="D428" s="101">
        <v>3</v>
      </c>
      <c r="E428" s="101">
        <v>-8</v>
      </c>
      <c r="F428" s="101">
        <v>-13</v>
      </c>
      <c r="G428" s="101"/>
      <c r="H428" s="101"/>
      <c r="I428" s="101"/>
      <c r="J428" s="102">
        <v>0.57999999999999996</v>
      </c>
      <c r="K428" s="102">
        <v>1.5</v>
      </c>
      <c r="L428" s="101"/>
      <c r="M428" s="101"/>
      <c r="N428" s="101" t="s">
        <v>955</v>
      </c>
      <c r="O428" s="101">
        <v>2011</v>
      </c>
      <c r="P428" s="101" t="s">
        <v>742</v>
      </c>
      <c r="Q428" s="101">
        <v>289835</v>
      </c>
      <c r="R428" t="s">
        <v>340</v>
      </c>
      <c r="S428" t="s">
        <v>312</v>
      </c>
      <c r="T428"/>
      <c r="U428"/>
      <c r="V428"/>
      <c r="W428" s="223"/>
    </row>
    <row r="429" spans="1:23" x14ac:dyDescent="0.2">
      <c r="A429" s="253" t="s">
        <v>673</v>
      </c>
      <c r="B429" s="101">
        <v>4</v>
      </c>
      <c r="C429" s="101">
        <v>4</v>
      </c>
      <c r="D429" s="101">
        <v>7</v>
      </c>
      <c r="E429" s="101">
        <v>-1</v>
      </c>
      <c r="F429" s="101">
        <v>-1</v>
      </c>
      <c r="G429" s="101">
        <v>2</v>
      </c>
      <c r="H429" s="101"/>
      <c r="I429" s="101"/>
      <c r="J429" s="102">
        <v>0.57999999999999996</v>
      </c>
      <c r="K429" s="102">
        <v>1.74</v>
      </c>
      <c r="L429" s="101">
        <v>10.8</v>
      </c>
      <c r="M429" s="101">
        <v>0</v>
      </c>
      <c r="N429" s="101" t="s">
        <v>952</v>
      </c>
      <c r="O429" s="101">
        <v>2008</v>
      </c>
      <c r="P429" s="101" t="s">
        <v>867</v>
      </c>
      <c r="Q429" s="101">
        <v>753269</v>
      </c>
      <c r="R429" t="s">
        <v>425</v>
      </c>
      <c r="S429" t="s">
        <v>166</v>
      </c>
      <c r="T429"/>
      <c r="U429"/>
      <c r="V429"/>
      <c r="W429" s="223"/>
    </row>
    <row r="430" spans="1:23" x14ac:dyDescent="0.2">
      <c r="A430" s="253" t="s">
        <v>351</v>
      </c>
      <c r="B430" s="101">
        <v>10</v>
      </c>
      <c r="C430" s="101">
        <v>10</v>
      </c>
      <c r="D430" s="101">
        <v>2</v>
      </c>
      <c r="E430" s="101">
        <v>-13</v>
      </c>
      <c r="F430" s="101">
        <v>-26</v>
      </c>
      <c r="G430" s="101">
        <v>25</v>
      </c>
      <c r="H430" s="101"/>
      <c r="I430" s="101"/>
      <c r="J430" s="102">
        <v>0.57999999999999996</v>
      </c>
      <c r="K430" s="102">
        <v>1.5</v>
      </c>
      <c r="L430" s="101">
        <v>21</v>
      </c>
      <c r="M430" s="101">
        <v>0.4</v>
      </c>
      <c r="N430" s="101" t="s">
        <v>955</v>
      </c>
      <c r="O430" s="101">
        <v>2010</v>
      </c>
      <c r="P430" s="101" t="s">
        <v>742</v>
      </c>
      <c r="Q430" s="101">
        <v>167171</v>
      </c>
      <c r="R430" t="s">
        <v>340</v>
      </c>
      <c r="S430" t="s">
        <v>861</v>
      </c>
      <c r="T430" t="s">
        <v>953</v>
      </c>
      <c r="U430"/>
      <c r="V430"/>
      <c r="W430" s="223"/>
    </row>
    <row r="431" spans="1:23" x14ac:dyDescent="0.2">
      <c r="A431" s="253" t="s">
        <v>980</v>
      </c>
      <c r="B431" s="101">
        <v>7</v>
      </c>
      <c r="C431" s="101">
        <v>7</v>
      </c>
      <c r="D431" s="101">
        <v>6</v>
      </c>
      <c r="E431" s="101">
        <v>-2</v>
      </c>
      <c r="F431" s="101">
        <v>-2</v>
      </c>
      <c r="G431" s="101">
        <v>40</v>
      </c>
      <c r="H431" s="101">
        <v>3</v>
      </c>
      <c r="I431" s="101">
        <v>1</v>
      </c>
      <c r="J431" s="102">
        <v>0.59</v>
      </c>
      <c r="K431" s="102">
        <v>3.1</v>
      </c>
      <c r="L431" s="101">
        <v>13.4</v>
      </c>
      <c r="M431" s="101">
        <v>0.8</v>
      </c>
      <c r="N431" s="101" t="s">
        <v>956</v>
      </c>
      <c r="O431" s="101">
        <v>2008</v>
      </c>
      <c r="P431" s="101" t="s">
        <v>742</v>
      </c>
      <c r="Q431" s="101">
        <v>352468</v>
      </c>
      <c r="R431" t="s">
        <v>981</v>
      </c>
      <c r="S431" t="s">
        <v>166</v>
      </c>
      <c r="T431" t="s">
        <v>953</v>
      </c>
      <c r="U431"/>
      <c r="V431"/>
      <c r="W431" s="223"/>
    </row>
    <row r="432" spans="1:23" x14ac:dyDescent="0.2">
      <c r="A432" s="253" t="s">
        <v>976</v>
      </c>
      <c r="B432" s="101">
        <v>8</v>
      </c>
      <c r="C432" s="101">
        <v>8</v>
      </c>
      <c r="D432" s="101">
        <v>7</v>
      </c>
      <c r="E432" s="101">
        <v>-7</v>
      </c>
      <c r="F432" s="101">
        <v>-16</v>
      </c>
      <c r="G432" s="101">
        <v>53</v>
      </c>
      <c r="H432" s="101">
        <v>-1</v>
      </c>
      <c r="I432" s="101">
        <v>0</v>
      </c>
      <c r="J432" s="102">
        <v>0.59</v>
      </c>
      <c r="K432" s="102">
        <v>1.5211460000000001</v>
      </c>
      <c r="L432" s="101">
        <v>16.8</v>
      </c>
      <c r="M432" s="101">
        <v>0.9</v>
      </c>
      <c r="N432" s="101" t="s">
        <v>952</v>
      </c>
      <c r="O432" s="101">
        <v>2000</v>
      </c>
      <c r="P432" s="101" t="s">
        <v>867</v>
      </c>
      <c r="Q432" s="101">
        <v>184416</v>
      </c>
      <c r="R432" t="s">
        <v>785</v>
      </c>
      <c r="S432" t="s">
        <v>781</v>
      </c>
      <c r="T432"/>
      <c r="U432"/>
      <c r="V432"/>
      <c r="W432" s="223"/>
    </row>
    <row r="433" spans="1:23" x14ac:dyDescent="0.2">
      <c r="A433" s="253" t="s">
        <v>783</v>
      </c>
      <c r="B433" s="101">
        <v>6</v>
      </c>
      <c r="C433" s="101">
        <v>6</v>
      </c>
      <c r="D433" s="101">
        <v>5</v>
      </c>
      <c r="E433" s="101">
        <v>-4</v>
      </c>
      <c r="F433" s="101">
        <v>-9</v>
      </c>
      <c r="G433" s="101">
        <v>77</v>
      </c>
      <c r="H433" s="101">
        <v>-7</v>
      </c>
      <c r="I433" s="101">
        <v>-1</v>
      </c>
      <c r="J433" s="102">
        <v>0.59</v>
      </c>
      <c r="K433" s="102">
        <v>1.4</v>
      </c>
      <c r="L433" s="101">
        <v>17</v>
      </c>
      <c r="M433" s="101">
        <v>1.2</v>
      </c>
      <c r="N433" s="101" t="s">
        <v>952</v>
      </c>
      <c r="O433" s="101">
        <v>2000</v>
      </c>
      <c r="P433" s="101" t="s">
        <v>867</v>
      </c>
      <c r="Q433" s="101">
        <v>344739</v>
      </c>
      <c r="R433" t="s">
        <v>782</v>
      </c>
      <c r="S433" t="s">
        <v>781</v>
      </c>
      <c r="T433" t="s">
        <v>953</v>
      </c>
      <c r="U433"/>
      <c r="V433"/>
      <c r="W433" s="223"/>
    </row>
    <row r="434" spans="1:23" x14ac:dyDescent="0.2">
      <c r="A434" s="253" t="s">
        <v>282</v>
      </c>
      <c r="B434" s="101">
        <v>3</v>
      </c>
      <c r="C434" s="101">
        <v>3</v>
      </c>
      <c r="D434" s="101">
        <v>-2</v>
      </c>
      <c r="E434" s="101">
        <v>-10</v>
      </c>
      <c r="F434" s="101">
        <v>-9</v>
      </c>
      <c r="G434" s="101">
        <v>16</v>
      </c>
      <c r="H434" s="101">
        <v>-3</v>
      </c>
      <c r="I434" s="101">
        <v>-1</v>
      </c>
      <c r="J434" s="102">
        <v>0.59</v>
      </c>
      <c r="K434" s="102">
        <v>1.49</v>
      </c>
      <c r="L434" s="101">
        <v>20.8</v>
      </c>
      <c r="M434" s="101">
        <v>0.3</v>
      </c>
      <c r="N434" s="101" t="s">
        <v>955</v>
      </c>
      <c r="O434" s="101">
        <v>2008</v>
      </c>
      <c r="P434" s="101" t="s">
        <v>742</v>
      </c>
      <c r="Q434" s="101">
        <v>734434</v>
      </c>
      <c r="R434" t="s">
        <v>99</v>
      </c>
      <c r="S434" t="s">
        <v>312</v>
      </c>
      <c r="T434"/>
      <c r="U434"/>
      <c r="V434"/>
      <c r="W434" s="223"/>
    </row>
    <row r="435" spans="1:23" x14ac:dyDescent="0.2">
      <c r="A435" s="253" t="s">
        <v>278</v>
      </c>
      <c r="B435" s="101">
        <v>7</v>
      </c>
      <c r="C435" s="101">
        <v>7</v>
      </c>
      <c r="D435" s="101">
        <v>3</v>
      </c>
      <c r="E435" s="101">
        <v>-14</v>
      </c>
      <c r="F435" s="101">
        <v>-17</v>
      </c>
      <c r="G435" s="101">
        <v>67</v>
      </c>
      <c r="H435" s="101">
        <v>-12</v>
      </c>
      <c r="I435" s="101">
        <v>-2</v>
      </c>
      <c r="J435" s="102">
        <v>0.59</v>
      </c>
      <c r="K435" s="102">
        <v>1.5</v>
      </c>
      <c r="L435" s="101">
        <v>24.1</v>
      </c>
      <c r="M435" s="101">
        <v>0.8</v>
      </c>
      <c r="N435" s="101" t="s">
        <v>956</v>
      </c>
      <c r="O435" s="101">
        <v>2001</v>
      </c>
      <c r="P435" s="101" t="s">
        <v>742</v>
      </c>
      <c r="Q435" s="101">
        <v>147348</v>
      </c>
      <c r="R435" t="s">
        <v>868</v>
      </c>
      <c r="S435" t="s">
        <v>268</v>
      </c>
      <c r="T435"/>
      <c r="U435"/>
      <c r="V435"/>
      <c r="W435" s="223"/>
    </row>
    <row r="436" spans="1:23" x14ac:dyDescent="0.2">
      <c r="A436" s="253" t="s">
        <v>76</v>
      </c>
      <c r="B436" s="101">
        <v>2</v>
      </c>
      <c r="C436" s="101">
        <v>2</v>
      </c>
      <c r="D436" s="101">
        <v>2</v>
      </c>
      <c r="E436" s="101">
        <v>-5</v>
      </c>
      <c r="F436" s="101">
        <v>-5</v>
      </c>
      <c r="G436" s="101">
        <v>37</v>
      </c>
      <c r="H436" s="101">
        <v>-22</v>
      </c>
      <c r="I436" s="101">
        <v>-5</v>
      </c>
      <c r="J436" s="102">
        <v>0.59</v>
      </c>
      <c r="K436" s="102">
        <v>1.4</v>
      </c>
      <c r="L436" s="101">
        <v>14.1</v>
      </c>
      <c r="M436" s="101">
        <v>0.8</v>
      </c>
      <c r="N436" s="101" t="s">
        <v>952</v>
      </c>
      <c r="O436" s="101">
        <v>2000</v>
      </c>
      <c r="P436" s="101" t="s">
        <v>867</v>
      </c>
      <c r="Q436" s="101">
        <v>273078</v>
      </c>
      <c r="R436" t="s">
        <v>782</v>
      </c>
      <c r="S436" t="s">
        <v>49</v>
      </c>
      <c r="T436" t="s">
        <v>953</v>
      </c>
      <c r="U436"/>
      <c r="V436"/>
      <c r="W436" s="223"/>
    </row>
    <row r="437" spans="1:23" x14ac:dyDescent="0.2">
      <c r="A437" s="253" t="s">
        <v>120</v>
      </c>
      <c r="B437" s="101">
        <v>6</v>
      </c>
      <c r="C437" s="101">
        <v>6</v>
      </c>
      <c r="D437" s="101">
        <v>4</v>
      </c>
      <c r="E437" s="101">
        <v>-13</v>
      </c>
      <c r="F437" s="101">
        <v>-21</v>
      </c>
      <c r="G437" s="101">
        <v>26</v>
      </c>
      <c r="H437" s="101">
        <v>-29</v>
      </c>
      <c r="I437" s="101">
        <v>-7</v>
      </c>
      <c r="J437" s="102">
        <v>0.59</v>
      </c>
      <c r="K437" s="102">
        <v>1.5</v>
      </c>
      <c r="L437" s="101">
        <v>18.399999999999999</v>
      </c>
      <c r="M437" s="101">
        <v>0.5</v>
      </c>
      <c r="N437" s="101" t="s">
        <v>956</v>
      </c>
      <c r="O437" s="101">
        <v>2001</v>
      </c>
      <c r="P437" s="101" t="s">
        <v>742</v>
      </c>
      <c r="Q437" s="101">
        <v>219006</v>
      </c>
      <c r="R437" t="s">
        <v>868</v>
      </c>
      <c r="S437" t="s">
        <v>861</v>
      </c>
      <c r="T437"/>
      <c r="U437"/>
      <c r="V437"/>
      <c r="W437" s="223"/>
    </row>
    <row r="438" spans="1:23" x14ac:dyDescent="0.2">
      <c r="A438" s="253" t="s">
        <v>94</v>
      </c>
      <c r="B438" s="101">
        <v>0</v>
      </c>
      <c r="C438" s="101">
        <v>0</v>
      </c>
      <c r="D438" s="101">
        <v>-12</v>
      </c>
      <c r="E438" s="101">
        <v>-22</v>
      </c>
      <c r="F438" s="101">
        <v>-13</v>
      </c>
      <c r="G438" s="101">
        <v>-29</v>
      </c>
      <c r="H438" s="101"/>
      <c r="I438" s="101"/>
      <c r="J438" s="102">
        <v>0.59</v>
      </c>
      <c r="K438" s="102">
        <v>1.4</v>
      </c>
      <c r="L438" s="101">
        <v>13.9</v>
      </c>
      <c r="M438" s="101">
        <v>-0.8</v>
      </c>
      <c r="N438" s="101" t="s">
        <v>955</v>
      </c>
      <c r="O438" s="101">
        <v>2009</v>
      </c>
      <c r="P438" s="101" t="s">
        <v>742</v>
      </c>
      <c r="Q438" s="101">
        <v>749606</v>
      </c>
      <c r="R438" t="s">
        <v>92</v>
      </c>
      <c r="S438" t="s">
        <v>338</v>
      </c>
      <c r="T438"/>
      <c r="U438"/>
      <c r="V438"/>
      <c r="W438" s="223"/>
    </row>
    <row r="439" spans="1:23" x14ac:dyDescent="0.2">
      <c r="A439" s="253" t="s">
        <v>622</v>
      </c>
      <c r="B439" s="101">
        <v>4</v>
      </c>
      <c r="C439" s="101">
        <v>4</v>
      </c>
      <c r="D439" s="101">
        <v>6</v>
      </c>
      <c r="E439" s="101">
        <v>3</v>
      </c>
      <c r="F439" s="101">
        <v>-2</v>
      </c>
      <c r="G439" s="101">
        <v>11</v>
      </c>
      <c r="H439" s="101"/>
      <c r="I439" s="101"/>
      <c r="J439" s="102">
        <v>0.59</v>
      </c>
      <c r="K439" s="102">
        <v>1.76</v>
      </c>
      <c r="L439" s="101">
        <v>8.6</v>
      </c>
      <c r="M439" s="101">
        <v>0.4</v>
      </c>
      <c r="N439" s="101" t="s">
        <v>952</v>
      </c>
      <c r="O439" s="101">
        <v>2007</v>
      </c>
      <c r="P439" s="101" t="s">
        <v>867</v>
      </c>
      <c r="Q439" s="101">
        <v>467860</v>
      </c>
      <c r="R439" t="s">
        <v>425</v>
      </c>
      <c r="S439" t="s">
        <v>166</v>
      </c>
      <c r="T439"/>
      <c r="U439"/>
      <c r="V439"/>
      <c r="W439" s="223"/>
    </row>
    <row r="440" spans="1:23" x14ac:dyDescent="0.2">
      <c r="A440" s="253" t="s">
        <v>21</v>
      </c>
      <c r="B440" s="101">
        <v>5</v>
      </c>
      <c r="C440" s="101">
        <v>5</v>
      </c>
      <c r="D440" s="101">
        <v>6</v>
      </c>
      <c r="E440" s="101">
        <v>-1</v>
      </c>
      <c r="F440" s="101">
        <v>-6</v>
      </c>
      <c r="G440" s="101"/>
      <c r="H440" s="101"/>
      <c r="I440" s="101"/>
      <c r="J440" s="102">
        <v>0.59</v>
      </c>
      <c r="K440" s="102">
        <v>1.768818</v>
      </c>
      <c r="L440" s="101"/>
      <c r="M440" s="101"/>
      <c r="N440" s="101" t="s">
        <v>952</v>
      </c>
      <c r="O440" s="101">
        <v>2010</v>
      </c>
      <c r="P440" s="101" t="s">
        <v>742</v>
      </c>
      <c r="Q440" s="101">
        <v>240663</v>
      </c>
      <c r="R440" t="s">
        <v>22</v>
      </c>
      <c r="S440" t="s">
        <v>338</v>
      </c>
      <c r="T440"/>
      <c r="U440"/>
      <c r="V440"/>
      <c r="W440" s="223"/>
    </row>
    <row r="441" spans="1:23" x14ac:dyDescent="0.2">
      <c r="A441" s="253" t="s">
        <v>445</v>
      </c>
      <c r="B441" s="101">
        <v>3</v>
      </c>
      <c r="C441" s="101">
        <v>3</v>
      </c>
      <c r="D441" s="101">
        <v>4</v>
      </c>
      <c r="E441" s="101">
        <v>1</v>
      </c>
      <c r="F441" s="101">
        <v>2</v>
      </c>
      <c r="G441" s="101">
        <v>48</v>
      </c>
      <c r="H441" s="101"/>
      <c r="I441" s="101"/>
      <c r="J441" s="102">
        <v>0.59</v>
      </c>
      <c r="K441" s="102">
        <v>1.4</v>
      </c>
      <c r="L441" s="101">
        <v>10</v>
      </c>
      <c r="M441" s="101">
        <v>1.2</v>
      </c>
      <c r="N441" s="101" t="s">
        <v>955</v>
      </c>
      <c r="O441" s="101">
        <v>2009</v>
      </c>
      <c r="P441" s="101" t="s">
        <v>742</v>
      </c>
      <c r="Q441" s="101">
        <v>153833</v>
      </c>
      <c r="R441" t="s">
        <v>65</v>
      </c>
      <c r="S441" t="s">
        <v>183</v>
      </c>
      <c r="T441"/>
      <c r="U441"/>
      <c r="V441"/>
      <c r="W441" s="223"/>
    </row>
    <row r="442" spans="1:23" x14ac:dyDescent="0.2">
      <c r="A442" s="253" t="s">
        <v>151</v>
      </c>
      <c r="B442" s="101">
        <v>6</v>
      </c>
      <c r="C442" s="101">
        <v>6</v>
      </c>
      <c r="D442" s="101">
        <v>5</v>
      </c>
      <c r="E442" s="101">
        <v>-10</v>
      </c>
      <c r="F442" s="101">
        <v>-9</v>
      </c>
      <c r="G442" s="101">
        <v>30</v>
      </c>
      <c r="H442" s="101">
        <v>15</v>
      </c>
      <c r="I442" s="101">
        <v>3</v>
      </c>
      <c r="J442" s="102">
        <v>0.6</v>
      </c>
      <c r="K442" s="102">
        <v>1.75</v>
      </c>
      <c r="L442" s="101">
        <v>19.899999999999999</v>
      </c>
      <c r="M442" s="101">
        <v>0.5</v>
      </c>
      <c r="N442" s="101" t="s">
        <v>957</v>
      </c>
      <c r="O442" s="101">
        <v>2000</v>
      </c>
      <c r="P442" s="101" t="s">
        <v>742</v>
      </c>
      <c r="Q442" s="101">
        <v>334409</v>
      </c>
      <c r="R442" t="s">
        <v>403</v>
      </c>
      <c r="S442" t="s">
        <v>416</v>
      </c>
      <c r="T442"/>
      <c r="U442"/>
      <c r="V442"/>
      <c r="W442" s="223"/>
    </row>
    <row r="443" spans="1:23" x14ac:dyDescent="0.2">
      <c r="A443" s="253" t="s">
        <v>1009</v>
      </c>
      <c r="B443" s="101">
        <v>4</v>
      </c>
      <c r="C443" s="101">
        <v>4</v>
      </c>
      <c r="D443" s="101">
        <v>4</v>
      </c>
      <c r="E443" s="101">
        <v>-1</v>
      </c>
      <c r="F443" s="101">
        <v>-2</v>
      </c>
      <c r="G443" s="101">
        <v>7</v>
      </c>
      <c r="H443" s="101">
        <v>9</v>
      </c>
      <c r="I443" s="101">
        <v>2</v>
      </c>
      <c r="J443" s="102">
        <v>0.6</v>
      </c>
      <c r="K443" s="102">
        <v>2.5</v>
      </c>
      <c r="L443" s="101">
        <v>7.7</v>
      </c>
      <c r="M443" s="101">
        <v>0.2</v>
      </c>
      <c r="N443" s="101" t="s">
        <v>952</v>
      </c>
      <c r="O443" s="101">
        <v>2006</v>
      </c>
      <c r="P443" s="101" t="s">
        <v>742</v>
      </c>
      <c r="Q443" s="101">
        <v>934893</v>
      </c>
      <c r="R443" t="s">
        <v>878</v>
      </c>
      <c r="S443" t="s">
        <v>338</v>
      </c>
      <c r="T443"/>
      <c r="U443"/>
      <c r="V443"/>
      <c r="W443" s="223"/>
    </row>
    <row r="444" spans="1:23" x14ac:dyDescent="0.2">
      <c r="A444" s="253" t="s">
        <v>922</v>
      </c>
      <c r="B444" s="101">
        <v>9</v>
      </c>
      <c r="C444" s="101">
        <v>9</v>
      </c>
      <c r="D444" s="101">
        <v>6</v>
      </c>
      <c r="E444" s="101">
        <v>0</v>
      </c>
      <c r="F444" s="101">
        <v>-2</v>
      </c>
      <c r="G444" s="101">
        <v>71</v>
      </c>
      <c r="H444" s="101">
        <v>3</v>
      </c>
      <c r="I444" s="101">
        <v>1</v>
      </c>
      <c r="J444" s="102">
        <v>0.6</v>
      </c>
      <c r="K444" s="102">
        <v>1.54</v>
      </c>
      <c r="L444" s="101">
        <v>15.1</v>
      </c>
      <c r="M444" s="101">
        <v>1.3</v>
      </c>
      <c r="N444" s="101" t="s">
        <v>952</v>
      </c>
      <c r="O444" s="101">
        <v>2000</v>
      </c>
      <c r="P444" s="101" t="s">
        <v>867</v>
      </c>
      <c r="Q444" s="101">
        <v>937433</v>
      </c>
      <c r="R444" t="s">
        <v>502</v>
      </c>
      <c r="S444" t="s">
        <v>843</v>
      </c>
      <c r="T444"/>
      <c r="U444"/>
      <c r="V444"/>
      <c r="W444" s="223"/>
    </row>
    <row r="445" spans="1:23" x14ac:dyDescent="0.2">
      <c r="A445" s="253" t="s">
        <v>900</v>
      </c>
      <c r="B445" s="101">
        <v>2</v>
      </c>
      <c r="C445" s="101">
        <v>2</v>
      </c>
      <c r="D445" s="101">
        <v>3</v>
      </c>
      <c r="E445" s="101">
        <v>-1</v>
      </c>
      <c r="F445" s="101">
        <v>1</v>
      </c>
      <c r="G445" s="101">
        <v>8</v>
      </c>
      <c r="H445" s="101">
        <v>5</v>
      </c>
      <c r="I445" s="101">
        <v>1</v>
      </c>
      <c r="J445" s="102">
        <v>0.6</v>
      </c>
      <c r="K445" s="102">
        <v>1.65</v>
      </c>
      <c r="L445" s="101">
        <v>5.8</v>
      </c>
      <c r="M445" s="101">
        <v>0.4</v>
      </c>
      <c r="N445" s="101" t="s">
        <v>955</v>
      </c>
      <c r="O445" s="101">
        <v>2000</v>
      </c>
      <c r="P445" s="101" t="s">
        <v>742</v>
      </c>
      <c r="Q445" s="101">
        <v>996348</v>
      </c>
      <c r="R445" t="s">
        <v>899</v>
      </c>
      <c r="S445" t="s">
        <v>338</v>
      </c>
      <c r="T445"/>
      <c r="U445"/>
      <c r="V445"/>
      <c r="W445" s="223"/>
    </row>
    <row r="446" spans="1:23" x14ac:dyDescent="0.2">
      <c r="A446" s="253" t="s">
        <v>449</v>
      </c>
      <c r="B446" s="101">
        <v>5</v>
      </c>
      <c r="C446" s="101">
        <v>5</v>
      </c>
      <c r="D446" s="101">
        <v>9</v>
      </c>
      <c r="E446" s="101">
        <v>0</v>
      </c>
      <c r="F446" s="101">
        <v>0</v>
      </c>
      <c r="G446" s="101">
        <v>46</v>
      </c>
      <c r="H446" s="101">
        <v>-1</v>
      </c>
      <c r="I446" s="101">
        <v>0</v>
      </c>
      <c r="J446" s="102">
        <v>0.6</v>
      </c>
      <c r="K446" s="102">
        <v>2.52</v>
      </c>
      <c r="L446" s="101">
        <v>16.5</v>
      </c>
      <c r="M446" s="101">
        <v>0.9</v>
      </c>
      <c r="N446" s="101" t="s">
        <v>952</v>
      </c>
      <c r="O446" s="101">
        <v>2006</v>
      </c>
      <c r="P446" s="101" t="s">
        <v>867</v>
      </c>
      <c r="Q446" s="101">
        <v>184291</v>
      </c>
      <c r="R446" t="s">
        <v>1000</v>
      </c>
      <c r="S446" t="s">
        <v>183</v>
      </c>
      <c r="T446"/>
      <c r="U446"/>
      <c r="V446"/>
      <c r="W446" s="223"/>
    </row>
    <row r="447" spans="1:23" x14ac:dyDescent="0.2">
      <c r="A447" s="253" t="s">
        <v>786</v>
      </c>
      <c r="B447" s="101">
        <v>7</v>
      </c>
      <c r="C447" s="101">
        <v>7</v>
      </c>
      <c r="D447" s="101">
        <v>6</v>
      </c>
      <c r="E447" s="101">
        <v>-5</v>
      </c>
      <c r="F447" s="101">
        <v>-10</v>
      </c>
      <c r="G447" s="101">
        <v>83</v>
      </c>
      <c r="H447" s="101">
        <v>-6</v>
      </c>
      <c r="I447" s="101">
        <v>-1</v>
      </c>
      <c r="J447" s="102">
        <v>0.6</v>
      </c>
      <c r="K447" s="102">
        <v>1.5385120000000001</v>
      </c>
      <c r="L447" s="101">
        <v>17.899999999999999</v>
      </c>
      <c r="M447" s="101">
        <v>1.3</v>
      </c>
      <c r="N447" s="101" t="s">
        <v>952</v>
      </c>
      <c r="O447" s="101">
        <v>2000</v>
      </c>
      <c r="P447" s="101" t="s">
        <v>867</v>
      </c>
      <c r="Q447" s="101">
        <v>220244</v>
      </c>
      <c r="R447" t="s">
        <v>785</v>
      </c>
      <c r="S447" t="s">
        <v>781</v>
      </c>
      <c r="T447"/>
      <c r="U447"/>
      <c r="V447"/>
      <c r="W447" s="223"/>
    </row>
    <row r="448" spans="1:23" x14ac:dyDescent="0.2">
      <c r="A448" s="253" t="s">
        <v>824</v>
      </c>
      <c r="B448" s="101">
        <v>2</v>
      </c>
      <c r="C448" s="101">
        <v>2</v>
      </c>
      <c r="D448" s="101">
        <v>5</v>
      </c>
      <c r="E448" s="101">
        <v>5</v>
      </c>
      <c r="F448" s="101">
        <v>3</v>
      </c>
      <c r="G448" s="101">
        <v>22</v>
      </c>
      <c r="H448" s="101">
        <v>-5</v>
      </c>
      <c r="I448" s="101">
        <v>-1</v>
      </c>
      <c r="J448" s="102">
        <v>0.6</v>
      </c>
      <c r="K448" s="102">
        <v>1.69</v>
      </c>
      <c r="L448" s="101">
        <v>11</v>
      </c>
      <c r="M448" s="101">
        <v>0.6</v>
      </c>
      <c r="N448" s="101" t="s">
        <v>957</v>
      </c>
      <c r="O448" s="101">
        <v>2006</v>
      </c>
      <c r="P448" s="101" t="s">
        <v>742</v>
      </c>
      <c r="Q448" s="101">
        <v>407775</v>
      </c>
      <c r="R448" t="s">
        <v>866</v>
      </c>
      <c r="S448" t="s">
        <v>114</v>
      </c>
      <c r="T448"/>
      <c r="U448"/>
      <c r="V448"/>
      <c r="W448" s="223"/>
    </row>
    <row r="449" spans="1:23" x14ac:dyDescent="0.2">
      <c r="A449" s="253" t="s">
        <v>360</v>
      </c>
      <c r="B449" s="101">
        <v>2</v>
      </c>
      <c r="C449" s="101">
        <v>2</v>
      </c>
      <c r="D449" s="101">
        <v>2</v>
      </c>
      <c r="E449" s="101">
        <v>-2</v>
      </c>
      <c r="F449" s="101">
        <v>-1</v>
      </c>
      <c r="G449" s="101">
        <v>5</v>
      </c>
      <c r="H449" s="101">
        <v>-4</v>
      </c>
      <c r="I449" s="101">
        <v>-1</v>
      </c>
      <c r="J449" s="102">
        <v>0.6</v>
      </c>
      <c r="K449" s="102">
        <v>1.54</v>
      </c>
      <c r="L449" s="101">
        <v>6.3</v>
      </c>
      <c r="M449" s="101">
        <v>0.2</v>
      </c>
      <c r="N449" s="101" t="s">
        <v>955</v>
      </c>
      <c r="O449" s="101">
        <v>2000</v>
      </c>
      <c r="P449" s="101" t="s">
        <v>742</v>
      </c>
      <c r="Q449" s="101">
        <v>722454</v>
      </c>
      <c r="R449" t="s">
        <v>99</v>
      </c>
      <c r="S449" t="s">
        <v>338</v>
      </c>
      <c r="T449"/>
      <c r="U449"/>
      <c r="V449"/>
      <c r="W449" s="223"/>
    </row>
    <row r="450" spans="1:23" x14ac:dyDescent="0.2">
      <c r="A450" s="253" t="s">
        <v>921</v>
      </c>
      <c r="B450" s="101">
        <v>16</v>
      </c>
      <c r="C450" s="101">
        <v>16</v>
      </c>
      <c r="D450" s="101">
        <v>11</v>
      </c>
      <c r="E450" s="101">
        <v>3</v>
      </c>
      <c r="F450" s="101">
        <v>-5</v>
      </c>
      <c r="G450" s="101">
        <v>72</v>
      </c>
      <c r="H450" s="101">
        <v>-9</v>
      </c>
      <c r="I450" s="101">
        <v>-2</v>
      </c>
      <c r="J450" s="102">
        <v>0.6</v>
      </c>
      <c r="K450" s="102">
        <v>1.53</v>
      </c>
      <c r="L450" s="101">
        <v>23</v>
      </c>
      <c r="M450" s="101">
        <v>1</v>
      </c>
      <c r="N450" s="101" t="s">
        <v>952</v>
      </c>
      <c r="O450" s="101">
        <v>2005</v>
      </c>
      <c r="P450" s="101" t="s">
        <v>867</v>
      </c>
      <c r="Q450" s="101">
        <v>832899</v>
      </c>
      <c r="R450" t="s">
        <v>502</v>
      </c>
      <c r="S450" t="s">
        <v>781</v>
      </c>
      <c r="T450"/>
      <c r="U450"/>
      <c r="V450"/>
      <c r="W450" s="223"/>
    </row>
    <row r="451" spans="1:23" x14ac:dyDescent="0.2">
      <c r="A451" s="253" t="s">
        <v>43</v>
      </c>
      <c r="B451" s="101">
        <v>6</v>
      </c>
      <c r="C451" s="101">
        <v>6</v>
      </c>
      <c r="D451" s="101">
        <v>4</v>
      </c>
      <c r="E451" s="101">
        <v>-7</v>
      </c>
      <c r="F451" s="101">
        <v>-15</v>
      </c>
      <c r="G451" s="101">
        <v>37</v>
      </c>
      <c r="H451" s="101">
        <v>-14</v>
      </c>
      <c r="I451" s="101">
        <v>-3</v>
      </c>
      <c r="J451" s="102">
        <v>0.6</v>
      </c>
      <c r="K451" s="102">
        <v>1.721676</v>
      </c>
      <c r="L451" s="101">
        <v>16.600000000000001</v>
      </c>
      <c r="M451" s="101">
        <v>0.8</v>
      </c>
      <c r="N451" s="101" t="s">
        <v>952</v>
      </c>
      <c r="O451" s="101">
        <v>2000</v>
      </c>
      <c r="P451" s="101" t="s">
        <v>867</v>
      </c>
      <c r="Q451" s="101">
        <v>857276</v>
      </c>
      <c r="R451" t="s">
        <v>795</v>
      </c>
      <c r="S451" t="s">
        <v>861</v>
      </c>
      <c r="T451" t="s">
        <v>953</v>
      </c>
      <c r="U451"/>
      <c r="V451"/>
      <c r="W451" s="223"/>
    </row>
    <row r="452" spans="1:23" x14ac:dyDescent="0.2">
      <c r="A452" s="253" t="s">
        <v>127</v>
      </c>
      <c r="B452" s="101">
        <v>4</v>
      </c>
      <c r="C452" s="101">
        <v>4</v>
      </c>
      <c r="D452" s="101">
        <v>9</v>
      </c>
      <c r="E452" s="101">
        <v>8</v>
      </c>
      <c r="F452" s="101">
        <v>8</v>
      </c>
      <c r="G452" s="101">
        <v>25</v>
      </c>
      <c r="H452" s="101">
        <v>-12</v>
      </c>
      <c r="I452" s="101">
        <v>-3</v>
      </c>
      <c r="J452" s="102">
        <v>0.6</v>
      </c>
      <c r="K452" s="102">
        <v>1.44</v>
      </c>
      <c r="L452" s="101">
        <v>12.7</v>
      </c>
      <c r="M452" s="101">
        <v>0.5</v>
      </c>
      <c r="N452" s="101" t="s">
        <v>957</v>
      </c>
      <c r="O452" s="101">
        <v>2000</v>
      </c>
      <c r="P452" s="101" t="s">
        <v>742</v>
      </c>
      <c r="Q452" s="101">
        <v>616797</v>
      </c>
      <c r="R452" t="s">
        <v>872</v>
      </c>
      <c r="S452" t="s">
        <v>114</v>
      </c>
      <c r="T452"/>
      <c r="U452"/>
      <c r="V452"/>
      <c r="W452" s="223"/>
    </row>
    <row r="453" spans="1:23" x14ac:dyDescent="0.2">
      <c r="A453" s="253" t="s">
        <v>703</v>
      </c>
      <c r="B453" s="101">
        <v>4</v>
      </c>
      <c r="C453" s="101">
        <v>4</v>
      </c>
      <c r="D453" s="101">
        <v>5</v>
      </c>
      <c r="E453" s="101">
        <v>-3</v>
      </c>
      <c r="F453" s="101">
        <v>-2</v>
      </c>
      <c r="G453" s="101">
        <v>26</v>
      </c>
      <c r="H453" s="101">
        <v>-19</v>
      </c>
      <c r="I453" s="101">
        <v>-4</v>
      </c>
      <c r="J453" s="102">
        <v>0.6</v>
      </c>
      <c r="K453" s="102">
        <v>1.7</v>
      </c>
      <c r="L453" s="101">
        <v>11.9</v>
      </c>
      <c r="M453" s="101">
        <v>0.6</v>
      </c>
      <c r="N453" s="101" t="s">
        <v>957</v>
      </c>
      <c r="O453" s="101">
        <v>2002</v>
      </c>
      <c r="P453" s="101" t="s">
        <v>742</v>
      </c>
      <c r="Q453" s="101">
        <v>303412</v>
      </c>
      <c r="R453" t="s">
        <v>930</v>
      </c>
      <c r="S453" t="s">
        <v>166</v>
      </c>
      <c r="T453"/>
      <c r="U453"/>
      <c r="V453"/>
      <c r="W453" s="223"/>
    </row>
    <row r="454" spans="1:23" x14ac:dyDescent="0.2">
      <c r="A454" s="253" t="s">
        <v>393</v>
      </c>
      <c r="B454" s="101">
        <v>0</v>
      </c>
      <c r="C454" s="101">
        <v>0</v>
      </c>
      <c r="D454" s="101">
        <v>0</v>
      </c>
      <c r="E454" s="101">
        <v>0</v>
      </c>
      <c r="F454" s="101">
        <v>-2</v>
      </c>
      <c r="G454" s="101">
        <v>14</v>
      </c>
      <c r="H454" s="101">
        <v>-16</v>
      </c>
      <c r="I454" s="101">
        <v>-4</v>
      </c>
      <c r="J454" s="102">
        <v>0.6</v>
      </c>
      <c r="K454" s="102">
        <v>1.7</v>
      </c>
      <c r="L454" s="101">
        <v>10</v>
      </c>
      <c r="M454" s="101">
        <v>0.4</v>
      </c>
      <c r="N454" s="101" t="s">
        <v>957</v>
      </c>
      <c r="O454" s="101">
        <v>2001</v>
      </c>
      <c r="P454" s="101" t="s">
        <v>742</v>
      </c>
      <c r="Q454" s="101">
        <v>815365</v>
      </c>
      <c r="R454" t="s">
        <v>930</v>
      </c>
      <c r="S454" t="s">
        <v>114</v>
      </c>
      <c r="T454"/>
      <c r="U454"/>
      <c r="V454"/>
      <c r="W454" s="223"/>
    </row>
    <row r="455" spans="1:23" x14ac:dyDescent="0.2">
      <c r="A455" s="253" t="s">
        <v>353</v>
      </c>
      <c r="B455" s="101">
        <v>5</v>
      </c>
      <c r="C455" s="101">
        <v>5</v>
      </c>
      <c r="D455" s="101">
        <v>2</v>
      </c>
      <c r="E455" s="101">
        <v>-9</v>
      </c>
      <c r="F455" s="101">
        <v>-15</v>
      </c>
      <c r="G455" s="101">
        <v>9</v>
      </c>
      <c r="H455" s="101">
        <v>-22</v>
      </c>
      <c r="I455" s="101">
        <v>-5</v>
      </c>
      <c r="J455" s="102">
        <v>0.6</v>
      </c>
      <c r="K455" s="102">
        <v>1.58</v>
      </c>
      <c r="L455" s="101">
        <v>15.4</v>
      </c>
      <c r="M455" s="101">
        <v>0.2</v>
      </c>
      <c r="N455" s="101" t="s">
        <v>955</v>
      </c>
      <c r="O455" s="101">
        <v>2010</v>
      </c>
      <c r="P455" s="101" t="s">
        <v>742</v>
      </c>
      <c r="Q455" s="101">
        <v>238832</v>
      </c>
      <c r="R455" t="s">
        <v>340</v>
      </c>
      <c r="S455" t="s">
        <v>49</v>
      </c>
      <c r="T455" t="s">
        <v>953</v>
      </c>
      <c r="U455"/>
      <c r="V455"/>
      <c r="W455" s="223"/>
    </row>
    <row r="456" spans="1:23" x14ac:dyDescent="0.2">
      <c r="A456" s="253" t="s">
        <v>702</v>
      </c>
      <c r="B456" s="101">
        <v>3</v>
      </c>
      <c r="C456" s="101">
        <v>3</v>
      </c>
      <c r="D456" s="101">
        <v>6</v>
      </c>
      <c r="E456" s="101">
        <v>-3</v>
      </c>
      <c r="F456" s="101">
        <v>-5</v>
      </c>
      <c r="G456" s="101">
        <v>1</v>
      </c>
      <c r="H456" s="101">
        <v>-25</v>
      </c>
      <c r="I456" s="101">
        <v>-6</v>
      </c>
      <c r="J456" s="102">
        <v>0.6</v>
      </c>
      <c r="K456" s="102">
        <v>1.7</v>
      </c>
      <c r="L456" s="101">
        <v>15.7</v>
      </c>
      <c r="M456" s="101">
        <v>0.1</v>
      </c>
      <c r="N456" s="101" t="s">
        <v>963</v>
      </c>
      <c r="O456" s="101">
        <v>2009</v>
      </c>
      <c r="P456" s="101" t="s">
        <v>742</v>
      </c>
      <c r="Q456" s="101">
        <v>174490</v>
      </c>
      <c r="R456" t="s">
        <v>930</v>
      </c>
      <c r="S456" t="s">
        <v>254</v>
      </c>
      <c r="T456"/>
      <c r="U456"/>
      <c r="V456"/>
      <c r="W456" s="223"/>
    </row>
    <row r="457" spans="1:23" x14ac:dyDescent="0.2">
      <c r="A457" s="253" t="s">
        <v>391</v>
      </c>
      <c r="B457" s="101">
        <v>0</v>
      </c>
      <c r="C457" s="101">
        <v>0</v>
      </c>
      <c r="D457" s="101">
        <v>0</v>
      </c>
      <c r="E457" s="101">
        <v>0</v>
      </c>
      <c r="F457" s="101">
        <v>0</v>
      </c>
      <c r="G457" s="101">
        <v>16</v>
      </c>
      <c r="H457" s="101">
        <v>-29</v>
      </c>
      <c r="I457" s="101">
        <v>-7</v>
      </c>
      <c r="J457" s="102">
        <v>0.6</v>
      </c>
      <c r="K457" s="102">
        <v>1.7</v>
      </c>
      <c r="L457" s="101">
        <v>15</v>
      </c>
      <c r="M457" s="101">
        <v>0.4</v>
      </c>
      <c r="N457" s="101" t="s">
        <v>955</v>
      </c>
      <c r="O457" s="101">
        <v>2001</v>
      </c>
      <c r="P457" s="101" t="s">
        <v>742</v>
      </c>
      <c r="Q457" s="101">
        <v>958686</v>
      </c>
      <c r="R457" t="s">
        <v>930</v>
      </c>
      <c r="S457" t="s">
        <v>96</v>
      </c>
      <c r="T457"/>
      <c r="U457"/>
      <c r="V457"/>
      <c r="W457" s="223"/>
    </row>
    <row r="458" spans="1:23" x14ac:dyDescent="0.2">
      <c r="A458" s="253" t="s">
        <v>966</v>
      </c>
      <c r="B458" s="101">
        <v>3</v>
      </c>
      <c r="C458" s="101">
        <v>3</v>
      </c>
      <c r="D458" s="101">
        <v>1</v>
      </c>
      <c r="E458" s="101">
        <v>0</v>
      </c>
      <c r="F458" s="101"/>
      <c r="G458" s="101"/>
      <c r="H458" s="101"/>
      <c r="I458" s="101"/>
      <c r="J458" s="102">
        <v>0.6</v>
      </c>
      <c r="K458" s="102">
        <v>1.6</v>
      </c>
      <c r="L458" s="101"/>
      <c r="M458" s="101"/>
      <c r="N458" s="101" t="s">
        <v>955</v>
      </c>
      <c r="O458" s="101">
        <v>2011</v>
      </c>
      <c r="P458" s="101" t="s">
        <v>742</v>
      </c>
      <c r="Q458" s="101">
        <v>323832</v>
      </c>
      <c r="R458" t="s">
        <v>140</v>
      </c>
      <c r="S458" t="s">
        <v>735</v>
      </c>
      <c r="T458"/>
      <c r="U458"/>
      <c r="V458"/>
      <c r="W458" s="223"/>
    </row>
    <row r="459" spans="1:23" x14ac:dyDescent="0.2">
      <c r="A459" s="253" t="s">
        <v>23</v>
      </c>
      <c r="B459" s="101">
        <v>6</v>
      </c>
      <c r="C459" s="101">
        <v>6</v>
      </c>
      <c r="D459" s="101">
        <v>4</v>
      </c>
      <c r="E459" s="101">
        <v>-3</v>
      </c>
      <c r="F459" s="101">
        <v>-6</v>
      </c>
      <c r="G459" s="101"/>
      <c r="H459" s="101"/>
      <c r="I459" s="101"/>
      <c r="J459" s="102">
        <v>0.6</v>
      </c>
      <c r="K459" s="102">
        <v>1.7767569999999999</v>
      </c>
      <c r="L459" s="101"/>
      <c r="M459" s="101"/>
      <c r="N459" s="101" t="s">
        <v>952</v>
      </c>
      <c r="O459" s="101">
        <v>2010</v>
      </c>
      <c r="P459" s="101" t="s">
        <v>742</v>
      </c>
      <c r="Q459" s="101">
        <v>276493</v>
      </c>
      <c r="R459" t="s">
        <v>22</v>
      </c>
      <c r="S459" t="s">
        <v>338</v>
      </c>
      <c r="T459"/>
      <c r="U459"/>
      <c r="V459"/>
      <c r="W459" s="223"/>
    </row>
    <row r="460" spans="1:23" x14ac:dyDescent="0.2">
      <c r="A460" s="253" t="s">
        <v>392</v>
      </c>
      <c r="B460" s="101">
        <v>0</v>
      </c>
      <c r="C460" s="101">
        <v>0</v>
      </c>
      <c r="D460" s="101">
        <v>0</v>
      </c>
      <c r="E460" s="101">
        <v>0</v>
      </c>
      <c r="F460" s="101">
        <v>1</v>
      </c>
      <c r="G460" s="101">
        <v>23</v>
      </c>
      <c r="H460" s="101"/>
      <c r="I460" s="101"/>
      <c r="J460" s="102">
        <v>0.6</v>
      </c>
      <c r="K460" s="102">
        <v>1.7</v>
      </c>
      <c r="L460" s="101">
        <v>12.1</v>
      </c>
      <c r="M460" s="101">
        <v>0.6</v>
      </c>
      <c r="N460" s="101" t="s">
        <v>955</v>
      </c>
      <c r="O460" s="101">
        <v>2008</v>
      </c>
      <c r="P460" s="101" t="s">
        <v>742</v>
      </c>
      <c r="Q460" s="101">
        <v>789099</v>
      </c>
      <c r="R460" t="s">
        <v>930</v>
      </c>
      <c r="S460" t="s">
        <v>49</v>
      </c>
      <c r="T460"/>
      <c r="U460"/>
      <c r="V460"/>
      <c r="W460" s="223"/>
    </row>
    <row r="461" spans="1:23" x14ac:dyDescent="0.2">
      <c r="A461" s="253" t="s">
        <v>390</v>
      </c>
      <c r="B461" s="101">
        <v>0</v>
      </c>
      <c r="C461" s="101">
        <v>0</v>
      </c>
      <c r="D461" s="101">
        <v>0</v>
      </c>
      <c r="E461" s="101">
        <v>0</v>
      </c>
      <c r="F461" s="101">
        <v>-7</v>
      </c>
      <c r="G461" s="101">
        <v>45</v>
      </c>
      <c r="H461" s="101"/>
      <c r="I461" s="101"/>
      <c r="J461" s="102">
        <v>0.6</v>
      </c>
      <c r="K461" s="102">
        <v>1.7</v>
      </c>
      <c r="L461" s="101">
        <v>23</v>
      </c>
      <c r="M461" s="101">
        <v>0.6</v>
      </c>
      <c r="N461" s="101" t="s">
        <v>957</v>
      </c>
      <c r="O461" s="101">
        <v>2008</v>
      </c>
      <c r="P461" s="101" t="s">
        <v>742</v>
      </c>
      <c r="Q461" s="101">
        <v>925743</v>
      </c>
      <c r="R461" t="s">
        <v>930</v>
      </c>
      <c r="S461" t="s">
        <v>166</v>
      </c>
      <c r="T461"/>
      <c r="U461"/>
      <c r="V461"/>
      <c r="W461" s="223"/>
    </row>
    <row r="462" spans="1:23" x14ac:dyDescent="0.2">
      <c r="A462" s="253" t="s">
        <v>744</v>
      </c>
      <c r="B462" s="101">
        <v>6</v>
      </c>
      <c r="C462" s="101">
        <v>6</v>
      </c>
      <c r="D462" s="101">
        <v>0</v>
      </c>
      <c r="E462" s="101">
        <v>-11</v>
      </c>
      <c r="F462" s="101">
        <v>-7</v>
      </c>
      <c r="G462" s="101">
        <v>70</v>
      </c>
      <c r="H462" s="101">
        <v>27</v>
      </c>
      <c r="I462" s="101">
        <v>5</v>
      </c>
      <c r="J462" s="102">
        <v>0.61</v>
      </c>
      <c r="K462" s="102">
        <v>1.57</v>
      </c>
      <c r="L462" s="101">
        <v>15.6</v>
      </c>
      <c r="M462" s="101">
        <v>1.1000000000000001</v>
      </c>
      <c r="N462" s="101" t="s">
        <v>955</v>
      </c>
      <c r="O462" s="101">
        <v>2006</v>
      </c>
      <c r="P462" s="101" t="s">
        <v>742</v>
      </c>
      <c r="Q462" s="101">
        <v>917898</v>
      </c>
      <c r="R462" t="s">
        <v>411</v>
      </c>
      <c r="S462" t="s">
        <v>721</v>
      </c>
      <c r="T462"/>
      <c r="U462"/>
      <c r="V462"/>
      <c r="W462" s="223"/>
    </row>
    <row r="463" spans="1:23" x14ac:dyDescent="0.2">
      <c r="A463" s="253" t="s">
        <v>730</v>
      </c>
      <c r="B463" s="101">
        <v>10</v>
      </c>
      <c r="C463" s="101">
        <v>10</v>
      </c>
      <c r="D463" s="101">
        <v>10</v>
      </c>
      <c r="E463" s="101">
        <v>2</v>
      </c>
      <c r="F463" s="101">
        <v>-4</v>
      </c>
      <c r="G463" s="101">
        <v>68</v>
      </c>
      <c r="H463" s="101">
        <v>21</v>
      </c>
      <c r="I463" s="101">
        <v>4</v>
      </c>
      <c r="J463" s="102">
        <v>0.61</v>
      </c>
      <c r="K463" s="102">
        <v>1.76</v>
      </c>
      <c r="L463" s="101">
        <v>20.5</v>
      </c>
      <c r="M463" s="101">
        <v>0.9</v>
      </c>
      <c r="N463" s="101" t="s">
        <v>957</v>
      </c>
      <c r="O463" s="101">
        <v>2006</v>
      </c>
      <c r="P463" s="101" t="s">
        <v>742</v>
      </c>
      <c r="Q463" s="101">
        <v>235291</v>
      </c>
      <c r="R463" t="s">
        <v>403</v>
      </c>
      <c r="S463" t="s">
        <v>418</v>
      </c>
      <c r="T463"/>
      <c r="U463"/>
      <c r="V463"/>
      <c r="W463" s="223"/>
    </row>
    <row r="464" spans="1:23" x14ac:dyDescent="0.2">
      <c r="A464" s="253" t="s">
        <v>659</v>
      </c>
      <c r="B464" s="101">
        <v>2</v>
      </c>
      <c r="C464" s="101">
        <v>2</v>
      </c>
      <c r="D464" s="101">
        <v>6</v>
      </c>
      <c r="E464" s="101">
        <v>3</v>
      </c>
      <c r="F464" s="101">
        <v>3</v>
      </c>
      <c r="G464" s="101">
        <v>12</v>
      </c>
      <c r="H464" s="101">
        <v>14</v>
      </c>
      <c r="I464" s="101">
        <v>3</v>
      </c>
      <c r="J464" s="102">
        <v>0.61</v>
      </c>
      <c r="K464" s="102">
        <v>1.7809999999999999</v>
      </c>
      <c r="L464" s="101">
        <v>6.9</v>
      </c>
      <c r="M464" s="101">
        <v>0.5</v>
      </c>
      <c r="N464" s="101" t="s">
        <v>957</v>
      </c>
      <c r="O464" s="101">
        <v>2004</v>
      </c>
      <c r="P464" s="101" t="s">
        <v>742</v>
      </c>
      <c r="Q464" s="101">
        <v>302760</v>
      </c>
      <c r="R464" t="s">
        <v>874</v>
      </c>
      <c r="S464" t="s">
        <v>338</v>
      </c>
      <c r="T464"/>
      <c r="U464"/>
      <c r="V464"/>
      <c r="W464" s="223"/>
    </row>
    <row r="465" spans="1:23" x14ac:dyDescent="0.2">
      <c r="A465" s="253" t="s">
        <v>152</v>
      </c>
      <c r="B465" s="101">
        <v>8</v>
      </c>
      <c r="C465" s="101">
        <v>8</v>
      </c>
      <c r="D465" s="101">
        <v>5</v>
      </c>
      <c r="E465" s="101">
        <v>-10</v>
      </c>
      <c r="F465" s="101">
        <v>-7</v>
      </c>
      <c r="G465" s="101">
        <v>45</v>
      </c>
      <c r="H465" s="101">
        <v>8</v>
      </c>
      <c r="I465" s="101">
        <v>2</v>
      </c>
      <c r="J465" s="102">
        <v>0.61</v>
      </c>
      <c r="K465" s="102">
        <v>1.76</v>
      </c>
      <c r="L465" s="101">
        <v>19.899999999999999</v>
      </c>
      <c r="M465" s="101">
        <v>0.7</v>
      </c>
      <c r="N465" s="101" t="s">
        <v>957</v>
      </c>
      <c r="O465" s="101">
        <v>2000</v>
      </c>
      <c r="P465" s="101" t="s">
        <v>742</v>
      </c>
      <c r="Q465" s="101">
        <v>477729</v>
      </c>
      <c r="R465" t="s">
        <v>403</v>
      </c>
      <c r="S465" t="s">
        <v>150</v>
      </c>
      <c r="T465"/>
      <c r="U465"/>
      <c r="V465"/>
      <c r="W465" s="223"/>
    </row>
    <row r="466" spans="1:23" x14ac:dyDescent="0.2">
      <c r="A466" s="253" t="s">
        <v>923</v>
      </c>
      <c r="B466" s="101">
        <v>8</v>
      </c>
      <c r="C466" s="101">
        <v>8</v>
      </c>
      <c r="D466" s="101">
        <v>7</v>
      </c>
      <c r="E466" s="101">
        <v>-2</v>
      </c>
      <c r="F466" s="101">
        <v>-1</v>
      </c>
      <c r="G466" s="101">
        <v>41</v>
      </c>
      <c r="H466" s="101">
        <v>-3</v>
      </c>
      <c r="I466" s="101">
        <v>-1</v>
      </c>
      <c r="J466" s="102">
        <v>0.61</v>
      </c>
      <c r="K466" s="102">
        <v>1.56</v>
      </c>
      <c r="L466" s="101">
        <v>13.4</v>
      </c>
      <c r="M466" s="101">
        <v>0.9</v>
      </c>
      <c r="N466" s="101" t="s">
        <v>952</v>
      </c>
      <c r="O466" s="101">
        <v>2000</v>
      </c>
      <c r="P466" s="101" t="s">
        <v>867</v>
      </c>
      <c r="Q466" s="101">
        <v>144923</v>
      </c>
      <c r="R466" t="s">
        <v>502</v>
      </c>
      <c r="S466" t="s">
        <v>49</v>
      </c>
      <c r="T466"/>
      <c r="U466"/>
      <c r="V466"/>
      <c r="W466" s="223"/>
    </row>
    <row r="467" spans="1:23" x14ac:dyDescent="0.2">
      <c r="A467" s="253" t="s">
        <v>451</v>
      </c>
      <c r="B467" s="101">
        <v>12</v>
      </c>
      <c r="C467" s="101">
        <v>12</v>
      </c>
      <c r="D467" s="101">
        <v>9</v>
      </c>
      <c r="E467" s="101">
        <v>-10</v>
      </c>
      <c r="F467" s="101">
        <v>-10</v>
      </c>
      <c r="G467" s="101">
        <v>149</v>
      </c>
      <c r="H467" s="101">
        <v>-11</v>
      </c>
      <c r="I467" s="101">
        <v>-2</v>
      </c>
      <c r="J467" s="102">
        <v>0.61</v>
      </c>
      <c r="K467" s="102">
        <v>2.59</v>
      </c>
      <c r="L467" s="101">
        <v>32.4</v>
      </c>
      <c r="M467" s="101">
        <v>1.1000000000000001</v>
      </c>
      <c r="N467" s="101" t="s">
        <v>952</v>
      </c>
      <c r="O467" s="101">
        <v>2000</v>
      </c>
      <c r="P467" s="101" t="s">
        <v>867</v>
      </c>
      <c r="Q467" s="101">
        <v>249995</v>
      </c>
      <c r="R467" t="s">
        <v>1000</v>
      </c>
      <c r="S467" t="s">
        <v>417</v>
      </c>
      <c r="T467"/>
      <c r="U467"/>
      <c r="V467"/>
      <c r="W467" s="223"/>
    </row>
    <row r="468" spans="1:23" x14ac:dyDescent="0.2">
      <c r="A468" s="253" t="s">
        <v>160</v>
      </c>
      <c r="B468" s="101">
        <v>5</v>
      </c>
      <c r="C468" s="101">
        <v>5</v>
      </c>
      <c r="D468" s="101">
        <v>10</v>
      </c>
      <c r="E468" s="101">
        <v>6</v>
      </c>
      <c r="F468" s="101">
        <v>6</v>
      </c>
      <c r="G468" s="101">
        <v>34</v>
      </c>
      <c r="H468" s="101">
        <v>-11</v>
      </c>
      <c r="I468" s="101">
        <v>-2</v>
      </c>
      <c r="J468" s="102">
        <v>0.61</v>
      </c>
      <c r="K468" s="102">
        <v>1.56</v>
      </c>
      <c r="L468" s="101">
        <v>13.2</v>
      </c>
      <c r="M468" s="101">
        <v>0.7</v>
      </c>
      <c r="N468" s="101" t="s">
        <v>957</v>
      </c>
      <c r="O468" s="101">
        <v>2000</v>
      </c>
      <c r="P468" s="101" t="s">
        <v>742</v>
      </c>
      <c r="Q468" s="101">
        <v>686626</v>
      </c>
      <c r="R468" t="s">
        <v>99</v>
      </c>
      <c r="S468" t="s">
        <v>114</v>
      </c>
      <c r="T468"/>
      <c r="U468"/>
      <c r="V468"/>
      <c r="W468" s="223"/>
    </row>
    <row r="469" spans="1:23" x14ac:dyDescent="0.2">
      <c r="A469" s="253" t="s">
        <v>149</v>
      </c>
      <c r="B469" s="101">
        <v>3</v>
      </c>
      <c r="C469" s="101">
        <v>3</v>
      </c>
      <c r="D469" s="101">
        <v>8</v>
      </c>
      <c r="E469" s="101">
        <v>6</v>
      </c>
      <c r="F469" s="101">
        <v>6</v>
      </c>
      <c r="G469" s="101">
        <v>23</v>
      </c>
      <c r="H469" s="101">
        <v>-14</v>
      </c>
      <c r="I469" s="101">
        <v>-3</v>
      </c>
      <c r="J469" s="102">
        <v>0.61</v>
      </c>
      <c r="K469" s="102">
        <v>1.77</v>
      </c>
      <c r="L469" s="101">
        <v>12.3</v>
      </c>
      <c r="M469" s="101">
        <v>0.6</v>
      </c>
      <c r="N469" s="101" t="s">
        <v>957</v>
      </c>
      <c r="O469" s="101">
        <v>2000</v>
      </c>
      <c r="P469" s="101" t="s">
        <v>742</v>
      </c>
      <c r="Q469" s="101">
        <v>441899</v>
      </c>
      <c r="R469" t="s">
        <v>403</v>
      </c>
      <c r="S469" t="s">
        <v>114</v>
      </c>
      <c r="T469"/>
      <c r="U469"/>
      <c r="V469"/>
      <c r="W469" s="223"/>
    </row>
    <row r="470" spans="1:23" x14ac:dyDescent="0.2">
      <c r="A470" s="253" t="s">
        <v>825</v>
      </c>
      <c r="B470" s="101">
        <v>2</v>
      </c>
      <c r="C470" s="101">
        <v>2</v>
      </c>
      <c r="D470" s="101">
        <v>4</v>
      </c>
      <c r="E470" s="101">
        <v>2</v>
      </c>
      <c r="F470" s="101">
        <v>5</v>
      </c>
      <c r="G470" s="101">
        <v>51</v>
      </c>
      <c r="H470" s="101">
        <v>-23</v>
      </c>
      <c r="I470" s="101">
        <v>-5</v>
      </c>
      <c r="J470" s="102">
        <v>0.61</v>
      </c>
      <c r="K470" s="102">
        <v>1.75</v>
      </c>
      <c r="L470" s="101">
        <v>10.7</v>
      </c>
      <c r="M470" s="101">
        <v>1.3</v>
      </c>
      <c r="N470" s="101" t="s">
        <v>958</v>
      </c>
      <c r="O470" s="101">
        <v>2006</v>
      </c>
      <c r="P470" s="101" t="s">
        <v>742</v>
      </c>
      <c r="Q470" s="101">
        <v>515262</v>
      </c>
      <c r="R470" t="s">
        <v>866</v>
      </c>
      <c r="S470" t="s">
        <v>268</v>
      </c>
      <c r="T470"/>
      <c r="U470"/>
      <c r="V470"/>
      <c r="W470" s="223"/>
    </row>
    <row r="471" spans="1:23" x14ac:dyDescent="0.2">
      <c r="A471" s="253" t="s">
        <v>265</v>
      </c>
      <c r="B471" s="101">
        <v>2</v>
      </c>
      <c r="C471" s="101">
        <v>2</v>
      </c>
      <c r="D471" s="101">
        <v>4</v>
      </c>
      <c r="E471" s="101">
        <v>-1</v>
      </c>
      <c r="F471" s="101">
        <v>0</v>
      </c>
      <c r="G471" s="101">
        <v>14</v>
      </c>
      <c r="H471" s="101">
        <v>-22</v>
      </c>
      <c r="I471" s="101">
        <v>-5</v>
      </c>
      <c r="J471" s="102">
        <v>0.61</v>
      </c>
      <c r="K471" s="102">
        <v>1.76</v>
      </c>
      <c r="L471" s="101">
        <v>12.4</v>
      </c>
      <c r="M471" s="101">
        <v>0.4</v>
      </c>
      <c r="N471" s="101" t="s">
        <v>963</v>
      </c>
      <c r="O471" s="101">
        <v>2006</v>
      </c>
      <c r="P471" s="101" t="s">
        <v>742</v>
      </c>
      <c r="Q471" s="101">
        <v>757575</v>
      </c>
      <c r="R471" t="s">
        <v>866</v>
      </c>
      <c r="S471" t="s">
        <v>254</v>
      </c>
      <c r="T471"/>
      <c r="U471"/>
      <c r="V471"/>
      <c r="W471" s="223"/>
    </row>
    <row r="472" spans="1:23" x14ac:dyDescent="0.2">
      <c r="A472" s="253" t="s">
        <v>167</v>
      </c>
      <c r="B472" s="101">
        <v>3</v>
      </c>
      <c r="C472" s="101">
        <v>3</v>
      </c>
      <c r="D472" s="101">
        <v>6</v>
      </c>
      <c r="E472" s="101">
        <v>1</v>
      </c>
      <c r="F472" s="101">
        <v>0</v>
      </c>
      <c r="G472" s="101">
        <v>16</v>
      </c>
      <c r="H472" s="101">
        <v>-23</v>
      </c>
      <c r="I472" s="101">
        <v>-5</v>
      </c>
      <c r="J472" s="102">
        <v>0.61</v>
      </c>
      <c r="K472" s="102">
        <v>1.46</v>
      </c>
      <c r="L472" s="101">
        <v>11</v>
      </c>
      <c r="M472" s="101">
        <v>0.4</v>
      </c>
      <c r="N472" s="101" t="s">
        <v>957</v>
      </c>
      <c r="O472" s="101">
        <v>2000</v>
      </c>
      <c r="P472" s="101" t="s">
        <v>742</v>
      </c>
      <c r="Q472" s="101">
        <v>294322</v>
      </c>
      <c r="R472" t="s">
        <v>872</v>
      </c>
      <c r="S472" t="s">
        <v>166</v>
      </c>
      <c r="T472"/>
      <c r="U472"/>
      <c r="V472"/>
      <c r="W472" s="223"/>
    </row>
    <row r="473" spans="1:23" x14ac:dyDescent="0.2">
      <c r="A473" s="253" t="s">
        <v>406</v>
      </c>
      <c r="B473" s="101">
        <v>8</v>
      </c>
      <c r="C473" s="101">
        <v>8</v>
      </c>
      <c r="D473" s="101">
        <v>5</v>
      </c>
      <c r="E473" s="101">
        <v>-5</v>
      </c>
      <c r="F473" s="101">
        <v>-7</v>
      </c>
      <c r="G473" s="101">
        <v>26</v>
      </c>
      <c r="H473" s="101">
        <v>-30</v>
      </c>
      <c r="I473" s="101">
        <v>-7</v>
      </c>
      <c r="J473" s="102">
        <v>0.61</v>
      </c>
      <c r="K473" s="102">
        <v>1.88</v>
      </c>
      <c r="L473" s="101">
        <v>16.7</v>
      </c>
      <c r="M473" s="101">
        <v>0.5</v>
      </c>
      <c r="N473" s="101" t="s">
        <v>958</v>
      </c>
      <c r="O473" s="101">
        <v>2007</v>
      </c>
      <c r="P473" s="101" t="s">
        <v>742</v>
      </c>
      <c r="Q473" s="101">
        <v>836494</v>
      </c>
      <c r="R473" t="s">
        <v>410</v>
      </c>
      <c r="S473" t="s">
        <v>312</v>
      </c>
      <c r="T473"/>
      <c r="U473"/>
      <c r="V473"/>
      <c r="W473" s="223"/>
    </row>
    <row r="474" spans="1:23" x14ac:dyDescent="0.2">
      <c r="A474" s="253" t="s">
        <v>64</v>
      </c>
      <c r="B474" s="101">
        <v>7</v>
      </c>
      <c r="C474" s="101">
        <v>7</v>
      </c>
      <c r="D474" s="101">
        <v>1</v>
      </c>
      <c r="E474" s="101">
        <v>-8</v>
      </c>
      <c r="F474" s="101">
        <v>-11</v>
      </c>
      <c r="G474" s="101">
        <v>20</v>
      </c>
      <c r="H474" s="101">
        <v>-30</v>
      </c>
      <c r="I474" s="101">
        <v>-7</v>
      </c>
      <c r="J474" s="102">
        <v>0.61</v>
      </c>
      <c r="K474" s="102">
        <v>1.77</v>
      </c>
      <c r="L474" s="101">
        <v>16.5</v>
      </c>
      <c r="M474" s="101">
        <v>0.5</v>
      </c>
      <c r="N474" s="101" t="s">
        <v>957</v>
      </c>
      <c r="O474" s="101">
        <v>2000</v>
      </c>
      <c r="P474" s="101" t="s">
        <v>742</v>
      </c>
      <c r="Q474" s="101">
        <v>155259</v>
      </c>
      <c r="R474" t="s">
        <v>403</v>
      </c>
      <c r="S474" t="s">
        <v>49</v>
      </c>
      <c r="T474"/>
      <c r="U474"/>
      <c r="V474"/>
      <c r="W474" s="223"/>
    </row>
    <row r="475" spans="1:23" x14ac:dyDescent="0.2">
      <c r="A475" s="253" t="s">
        <v>71</v>
      </c>
      <c r="B475" s="101">
        <v>3</v>
      </c>
      <c r="C475" s="101">
        <v>3</v>
      </c>
      <c r="D475" s="101">
        <v>2</v>
      </c>
      <c r="E475" s="101">
        <v>-2</v>
      </c>
      <c r="F475" s="101">
        <v>-2</v>
      </c>
      <c r="G475" s="101">
        <v>34</v>
      </c>
      <c r="H475" s="101">
        <v>-29</v>
      </c>
      <c r="I475" s="101">
        <v>-7</v>
      </c>
      <c r="J475" s="102">
        <v>0.61</v>
      </c>
      <c r="K475" s="102">
        <v>1.76</v>
      </c>
      <c r="L475" s="101">
        <v>12.3</v>
      </c>
      <c r="M475" s="101">
        <v>0.9</v>
      </c>
      <c r="N475" s="101" t="s">
        <v>955</v>
      </c>
      <c r="O475" s="101">
        <v>2006</v>
      </c>
      <c r="P475" s="101" t="s">
        <v>742</v>
      </c>
      <c r="Q475" s="101">
        <v>367698</v>
      </c>
      <c r="R475" t="s">
        <v>866</v>
      </c>
      <c r="S475" t="s">
        <v>49</v>
      </c>
      <c r="T475"/>
      <c r="U475"/>
      <c r="V475"/>
      <c r="W475" s="223"/>
    </row>
    <row r="476" spans="1:23" x14ac:dyDescent="0.2">
      <c r="A476" s="253" t="s">
        <v>832</v>
      </c>
      <c r="B476" s="101">
        <v>3</v>
      </c>
      <c r="C476" s="101">
        <v>3</v>
      </c>
      <c r="D476" s="101">
        <v>2</v>
      </c>
      <c r="E476" s="101">
        <v>-4</v>
      </c>
      <c r="F476" s="101">
        <v>-5</v>
      </c>
      <c r="G476" s="101">
        <v>25</v>
      </c>
      <c r="H476" s="101">
        <v>-30</v>
      </c>
      <c r="I476" s="101">
        <v>-7</v>
      </c>
      <c r="J476" s="102">
        <v>0.61</v>
      </c>
      <c r="K476" s="102">
        <v>1.76</v>
      </c>
      <c r="L476" s="101">
        <v>13.1</v>
      </c>
      <c r="M476" s="101">
        <v>0.6</v>
      </c>
      <c r="N476" s="101" t="s">
        <v>955</v>
      </c>
      <c r="O476" s="101">
        <v>2006</v>
      </c>
      <c r="P476" s="101" t="s">
        <v>742</v>
      </c>
      <c r="Q476" s="101">
        <v>865063</v>
      </c>
      <c r="R476" t="s">
        <v>866</v>
      </c>
      <c r="S476" t="s">
        <v>49</v>
      </c>
      <c r="T476"/>
      <c r="U476"/>
      <c r="V476"/>
      <c r="W476" s="223"/>
    </row>
    <row r="477" spans="1:23" x14ac:dyDescent="0.2">
      <c r="A477" s="253" t="s">
        <v>158</v>
      </c>
      <c r="B477" s="101">
        <v>7</v>
      </c>
      <c r="C477" s="101">
        <v>7</v>
      </c>
      <c r="D477" s="101">
        <v>4</v>
      </c>
      <c r="E477" s="101">
        <v>-1</v>
      </c>
      <c r="F477" s="101">
        <v>0</v>
      </c>
      <c r="G477" s="101">
        <v>63</v>
      </c>
      <c r="H477" s="101">
        <v>23</v>
      </c>
      <c r="I477" s="101">
        <v>4</v>
      </c>
      <c r="J477" s="102">
        <v>0.62</v>
      </c>
      <c r="K477" s="102">
        <v>1.48</v>
      </c>
      <c r="L477" s="101">
        <v>15.4</v>
      </c>
      <c r="M477" s="101">
        <v>1.1000000000000001</v>
      </c>
      <c r="N477" s="101" t="s">
        <v>957</v>
      </c>
      <c r="O477" s="101">
        <v>2000</v>
      </c>
      <c r="P477" s="101" t="s">
        <v>742</v>
      </c>
      <c r="Q477" s="101">
        <v>401810</v>
      </c>
      <c r="R477" t="s">
        <v>872</v>
      </c>
      <c r="S477" t="s">
        <v>150</v>
      </c>
      <c r="T477"/>
      <c r="U477"/>
      <c r="V477"/>
      <c r="W477" s="223"/>
    </row>
    <row r="478" spans="1:23" x14ac:dyDescent="0.2">
      <c r="A478" s="253" t="s">
        <v>528</v>
      </c>
      <c r="B478" s="101">
        <v>3</v>
      </c>
      <c r="C478" s="101">
        <v>3</v>
      </c>
      <c r="D478" s="101">
        <v>6</v>
      </c>
      <c r="E478" s="101">
        <v>1</v>
      </c>
      <c r="F478" s="101">
        <v>-3</v>
      </c>
      <c r="G478" s="101">
        <v>37</v>
      </c>
      <c r="H478" s="101">
        <v>8</v>
      </c>
      <c r="I478" s="101">
        <v>2</v>
      </c>
      <c r="J478" s="102">
        <v>0.62</v>
      </c>
      <c r="K478" s="102">
        <v>1.821</v>
      </c>
      <c r="L478" s="101">
        <v>14.7</v>
      </c>
      <c r="M478" s="101">
        <v>0.8</v>
      </c>
      <c r="N478" s="101" t="s">
        <v>957</v>
      </c>
      <c r="O478" s="101">
        <v>2004</v>
      </c>
      <c r="P478" s="101" t="s">
        <v>742</v>
      </c>
      <c r="Q478" s="101">
        <v>625236</v>
      </c>
      <c r="R478" t="s">
        <v>874</v>
      </c>
      <c r="S478" t="s">
        <v>419</v>
      </c>
      <c r="T478"/>
      <c r="U478"/>
      <c r="V478"/>
      <c r="W478" s="223"/>
    </row>
    <row r="479" spans="1:23" x14ac:dyDescent="0.2">
      <c r="A479" s="253" t="s">
        <v>656</v>
      </c>
      <c r="B479" s="101">
        <v>4</v>
      </c>
      <c r="C479" s="101">
        <v>4</v>
      </c>
      <c r="D479" s="101">
        <v>6</v>
      </c>
      <c r="E479" s="101">
        <v>0</v>
      </c>
      <c r="F479" s="101">
        <v>-1</v>
      </c>
      <c r="G479" s="101">
        <v>32</v>
      </c>
      <c r="H479" s="101">
        <v>3</v>
      </c>
      <c r="I479" s="101">
        <v>1</v>
      </c>
      <c r="J479" s="102">
        <v>0.62</v>
      </c>
      <c r="K479" s="102">
        <v>1.831</v>
      </c>
      <c r="L479" s="101">
        <v>11.8</v>
      </c>
      <c r="M479" s="101">
        <v>0.8</v>
      </c>
      <c r="N479" s="101" t="s">
        <v>957</v>
      </c>
      <c r="O479" s="101">
        <v>2004</v>
      </c>
      <c r="P479" s="101" t="s">
        <v>742</v>
      </c>
      <c r="Q479" s="101">
        <v>195271</v>
      </c>
      <c r="R479" t="s">
        <v>874</v>
      </c>
      <c r="S479" t="s">
        <v>166</v>
      </c>
      <c r="T479"/>
      <c r="U479"/>
      <c r="V479"/>
      <c r="W479" s="223"/>
    </row>
    <row r="480" spans="1:23" x14ac:dyDescent="0.2">
      <c r="A480" s="253" t="s">
        <v>621</v>
      </c>
      <c r="B480" s="101">
        <v>9</v>
      </c>
      <c r="C480" s="101">
        <v>9</v>
      </c>
      <c r="D480" s="101">
        <v>6</v>
      </c>
      <c r="E480" s="101">
        <v>-9</v>
      </c>
      <c r="F480" s="101">
        <v>-16</v>
      </c>
      <c r="G480" s="101">
        <v>57</v>
      </c>
      <c r="H480" s="101">
        <v>-11</v>
      </c>
      <c r="I480" s="101">
        <v>-2</v>
      </c>
      <c r="J480" s="102">
        <v>0.62</v>
      </c>
      <c r="K480" s="102">
        <v>1.5009999999999999</v>
      </c>
      <c r="L480" s="101">
        <v>19.5</v>
      </c>
      <c r="M480" s="101">
        <v>0.9</v>
      </c>
      <c r="N480" s="101" t="s">
        <v>956</v>
      </c>
      <c r="O480" s="101">
        <v>2007</v>
      </c>
      <c r="P480" s="101" t="s">
        <v>742</v>
      </c>
      <c r="Q480" s="101">
        <v>354290</v>
      </c>
      <c r="R480" t="s">
        <v>618</v>
      </c>
      <c r="S480" t="s">
        <v>861</v>
      </c>
      <c r="T480"/>
      <c r="U480"/>
      <c r="V480"/>
      <c r="W480" s="223"/>
    </row>
    <row r="481" spans="1:23" x14ac:dyDescent="0.2">
      <c r="A481" s="253" t="s">
        <v>672</v>
      </c>
      <c r="B481" s="101">
        <v>5</v>
      </c>
      <c r="C481" s="101">
        <v>5</v>
      </c>
      <c r="D481" s="101">
        <v>5</v>
      </c>
      <c r="E481" s="101">
        <v>-5</v>
      </c>
      <c r="F481" s="101">
        <v>-6</v>
      </c>
      <c r="G481" s="101">
        <v>28</v>
      </c>
      <c r="H481" s="101">
        <v>-12</v>
      </c>
      <c r="I481" s="101">
        <v>-2</v>
      </c>
      <c r="J481" s="102">
        <v>0.62</v>
      </c>
      <c r="K481" s="102">
        <v>1.8280000000000001</v>
      </c>
      <c r="L481" s="101">
        <v>14.6</v>
      </c>
      <c r="M481" s="101">
        <v>0.7</v>
      </c>
      <c r="N481" s="101" t="s">
        <v>955</v>
      </c>
      <c r="O481" s="101">
        <v>2004</v>
      </c>
      <c r="P481" s="101" t="s">
        <v>742</v>
      </c>
      <c r="Q481" s="101">
        <v>732727</v>
      </c>
      <c r="R481" t="s">
        <v>874</v>
      </c>
      <c r="S481" t="s">
        <v>49</v>
      </c>
      <c r="T481"/>
      <c r="U481"/>
      <c r="V481"/>
      <c r="W481" s="223"/>
    </row>
    <row r="482" spans="1:23" x14ac:dyDescent="0.2">
      <c r="A482" s="253" t="s">
        <v>666</v>
      </c>
      <c r="B482" s="101">
        <v>6</v>
      </c>
      <c r="C482" s="101">
        <v>6</v>
      </c>
      <c r="D482" s="101">
        <v>3</v>
      </c>
      <c r="E482" s="101">
        <v>-8</v>
      </c>
      <c r="F482" s="101">
        <v>-6</v>
      </c>
      <c r="G482" s="101">
        <v>20</v>
      </c>
      <c r="H482" s="101">
        <v>-12</v>
      </c>
      <c r="I482" s="101">
        <v>-3</v>
      </c>
      <c r="J482" s="102">
        <v>0.62</v>
      </c>
      <c r="K482" s="102">
        <v>1.8340000000000001</v>
      </c>
      <c r="L482" s="101">
        <v>13</v>
      </c>
      <c r="M482" s="101">
        <v>0.5</v>
      </c>
      <c r="N482" s="101" t="s">
        <v>957</v>
      </c>
      <c r="O482" s="101">
        <v>2006</v>
      </c>
      <c r="P482" s="101" t="s">
        <v>742</v>
      </c>
      <c r="Q482" s="101">
        <v>549261</v>
      </c>
      <c r="R482" t="s">
        <v>874</v>
      </c>
      <c r="S482" t="s">
        <v>166</v>
      </c>
      <c r="T482"/>
      <c r="U482"/>
      <c r="V482"/>
      <c r="W482" s="223"/>
    </row>
    <row r="483" spans="1:23" x14ac:dyDescent="0.2">
      <c r="A483" s="253" t="s">
        <v>675</v>
      </c>
      <c r="B483" s="101">
        <v>3</v>
      </c>
      <c r="C483" s="101">
        <v>3</v>
      </c>
      <c r="D483" s="101">
        <v>10</v>
      </c>
      <c r="E483" s="101">
        <v>8</v>
      </c>
      <c r="F483" s="101">
        <v>3</v>
      </c>
      <c r="G483" s="101">
        <v>25</v>
      </c>
      <c r="H483" s="101">
        <v>-13</v>
      </c>
      <c r="I483" s="101">
        <v>-3</v>
      </c>
      <c r="J483" s="102">
        <v>0.62</v>
      </c>
      <c r="K483" s="102">
        <v>1.8220000000000001</v>
      </c>
      <c r="L483" s="101">
        <v>12.4</v>
      </c>
      <c r="M483" s="101">
        <v>0.7</v>
      </c>
      <c r="N483" s="101" t="s">
        <v>957</v>
      </c>
      <c r="O483" s="101">
        <v>2004</v>
      </c>
      <c r="P483" s="101" t="s">
        <v>742</v>
      </c>
      <c r="Q483" s="101">
        <v>768556</v>
      </c>
      <c r="R483" t="s">
        <v>874</v>
      </c>
      <c r="S483" t="s">
        <v>114</v>
      </c>
      <c r="T483"/>
      <c r="U483"/>
      <c r="V483"/>
      <c r="W483" s="223"/>
    </row>
    <row r="484" spans="1:23" x14ac:dyDescent="0.2">
      <c r="A484" s="253" t="s">
        <v>677</v>
      </c>
      <c r="B484" s="101">
        <v>3</v>
      </c>
      <c r="C484" s="101">
        <v>3</v>
      </c>
      <c r="D484" s="101">
        <v>9</v>
      </c>
      <c r="E484" s="101">
        <v>7</v>
      </c>
      <c r="F484" s="101">
        <v>7</v>
      </c>
      <c r="G484" s="101">
        <v>16</v>
      </c>
      <c r="H484" s="101">
        <v>-14</v>
      </c>
      <c r="I484" s="101">
        <v>-3</v>
      </c>
      <c r="J484" s="102">
        <v>0.62</v>
      </c>
      <c r="K484" s="102">
        <v>1.819</v>
      </c>
      <c r="L484" s="101">
        <v>13.1</v>
      </c>
      <c r="M484" s="101">
        <v>0.4</v>
      </c>
      <c r="N484" s="101" t="s">
        <v>957</v>
      </c>
      <c r="O484" s="101">
        <v>2004</v>
      </c>
      <c r="P484" s="101" t="s">
        <v>742</v>
      </c>
      <c r="Q484" s="101">
        <v>804385</v>
      </c>
      <c r="R484" t="s">
        <v>874</v>
      </c>
      <c r="S484" t="s">
        <v>114</v>
      </c>
      <c r="T484"/>
      <c r="U484"/>
      <c r="V484"/>
      <c r="W484" s="223"/>
    </row>
    <row r="485" spans="1:23" x14ac:dyDescent="0.2">
      <c r="A485" s="253" t="s">
        <v>277</v>
      </c>
      <c r="B485" s="101">
        <v>2</v>
      </c>
      <c r="C485" s="101">
        <v>2</v>
      </c>
      <c r="D485" s="101">
        <v>6</v>
      </c>
      <c r="E485" s="101">
        <v>1</v>
      </c>
      <c r="F485" s="101">
        <v>0</v>
      </c>
      <c r="G485" s="101">
        <v>16</v>
      </c>
      <c r="H485" s="101">
        <v>-15</v>
      </c>
      <c r="I485" s="101">
        <v>-3</v>
      </c>
      <c r="J485" s="102">
        <v>0.62</v>
      </c>
      <c r="K485" s="102">
        <v>1.6</v>
      </c>
      <c r="L485" s="101">
        <v>10.8</v>
      </c>
      <c r="M485" s="101">
        <v>0.4</v>
      </c>
      <c r="N485" s="101" t="s">
        <v>956</v>
      </c>
      <c r="O485" s="101">
        <v>2001</v>
      </c>
      <c r="P485" s="101" t="s">
        <v>742</v>
      </c>
      <c r="Q485" s="101">
        <v>290668</v>
      </c>
      <c r="R485" t="s">
        <v>868</v>
      </c>
      <c r="S485" t="s">
        <v>166</v>
      </c>
      <c r="T485"/>
      <c r="U485"/>
      <c r="V485"/>
      <c r="W485" s="223"/>
    </row>
    <row r="486" spans="1:23" x14ac:dyDescent="0.2">
      <c r="A486" s="253" t="s">
        <v>620</v>
      </c>
      <c r="B486" s="101">
        <v>10</v>
      </c>
      <c r="C486" s="101">
        <v>10</v>
      </c>
      <c r="D486" s="101">
        <v>2</v>
      </c>
      <c r="E486" s="101">
        <v>-12</v>
      </c>
      <c r="F486" s="101">
        <v>-17</v>
      </c>
      <c r="G486" s="101">
        <v>44</v>
      </c>
      <c r="H486" s="101">
        <v>-17</v>
      </c>
      <c r="I486" s="101">
        <v>-4</v>
      </c>
      <c r="J486" s="102">
        <v>0.62</v>
      </c>
      <c r="K486" s="102">
        <v>1.5009999999999999</v>
      </c>
      <c r="L486" s="101">
        <v>23.9</v>
      </c>
      <c r="M486" s="101">
        <v>0.6</v>
      </c>
      <c r="N486" s="101" t="s">
        <v>956</v>
      </c>
      <c r="O486" s="101">
        <v>2007</v>
      </c>
      <c r="P486" s="101" t="s">
        <v>742</v>
      </c>
      <c r="Q486" s="101">
        <v>318469</v>
      </c>
      <c r="R486" t="s">
        <v>618</v>
      </c>
      <c r="S486" t="s">
        <v>268</v>
      </c>
      <c r="T486"/>
      <c r="U486"/>
      <c r="V486"/>
      <c r="W486" s="223"/>
    </row>
    <row r="487" spans="1:23" x14ac:dyDescent="0.2">
      <c r="A487" s="253" t="s">
        <v>875</v>
      </c>
      <c r="B487" s="101">
        <v>7</v>
      </c>
      <c r="C487" s="101">
        <v>7</v>
      </c>
      <c r="D487" s="101">
        <v>3</v>
      </c>
      <c r="E487" s="101">
        <v>-10</v>
      </c>
      <c r="F487" s="101">
        <v>-13</v>
      </c>
      <c r="G487" s="101">
        <v>14</v>
      </c>
      <c r="H487" s="101">
        <v>-19</v>
      </c>
      <c r="I487" s="101">
        <v>-4</v>
      </c>
      <c r="J487" s="102">
        <v>0.62</v>
      </c>
      <c r="K487" s="102">
        <v>1.8340000000000001</v>
      </c>
      <c r="L487" s="101">
        <v>17.100000000000001</v>
      </c>
      <c r="M487" s="101">
        <v>0.4</v>
      </c>
      <c r="N487" s="101" t="s">
        <v>955</v>
      </c>
      <c r="O487" s="101">
        <v>2004</v>
      </c>
      <c r="P487" s="101" t="s">
        <v>742</v>
      </c>
      <c r="Q487" s="101">
        <v>916122</v>
      </c>
      <c r="R487" t="s">
        <v>874</v>
      </c>
      <c r="S487" t="s">
        <v>96</v>
      </c>
      <c r="T487"/>
      <c r="U487"/>
      <c r="V487"/>
      <c r="W487" s="223"/>
    </row>
    <row r="488" spans="1:23" x14ac:dyDescent="0.2">
      <c r="A488" s="253" t="s">
        <v>670</v>
      </c>
      <c r="B488" s="101">
        <v>5</v>
      </c>
      <c r="C488" s="101">
        <v>5</v>
      </c>
      <c r="D488" s="101">
        <v>5</v>
      </c>
      <c r="E488" s="101">
        <v>-1</v>
      </c>
      <c r="F488" s="101">
        <v>-3</v>
      </c>
      <c r="G488" s="101">
        <v>25</v>
      </c>
      <c r="H488" s="101">
        <v>-23</v>
      </c>
      <c r="I488" s="101">
        <v>-5</v>
      </c>
      <c r="J488" s="102">
        <v>0.62</v>
      </c>
      <c r="K488" s="102">
        <v>1.8280000000000001</v>
      </c>
      <c r="L488" s="101">
        <v>17.2</v>
      </c>
      <c r="M488" s="101">
        <v>0.5</v>
      </c>
      <c r="N488" s="101" t="s">
        <v>955</v>
      </c>
      <c r="O488" s="101">
        <v>2004</v>
      </c>
      <c r="P488" s="101" t="s">
        <v>742</v>
      </c>
      <c r="Q488" s="101">
        <v>696898</v>
      </c>
      <c r="R488" t="s">
        <v>874</v>
      </c>
      <c r="S488" t="s">
        <v>49</v>
      </c>
      <c r="T488"/>
      <c r="U488"/>
      <c r="V488"/>
      <c r="W488" s="223"/>
    </row>
    <row r="489" spans="1:23" x14ac:dyDescent="0.2">
      <c r="A489" s="253" t="s">
        <v>658</v>
      </c>
      <c r="B489" s="101">
        <v>5</v>
      </c>
      <c r="C489" s="101">
        <v>5</v>
      </c>
      <c r="D489" s="101">
        <v>4</v>
      </c>
      <c r="E489" s="101">
        <v>-7</v>
      </c>
      <c r="F489" s="101">
        <v>-10</v>
      </c>
      <c r="G489" s="101">
        <v>-11</v>
      </c>
      <c r="H489" s="101">
        <v>-37</v>
      </c>
      <c r="I489" s="101">
        <v>-9</v>
      </c>
      <c r="J489" s="102">
        <v>0.62</v>
      </c>
      <c r="K489" s="102">
        <v>1.823</v>
      </c>
      <c r="L489" s="101">
        <v>16.7</v>
      </c>
      <c r="M489" s="101">
        <v>-0.2</v>
      </c>
      <c r="N489" s="101" t="s">
        <v>957</v>
      </c>
      <c r="O489" s="101">
        <v>2005</v>
      </c>
      <c r="P489" s="101" t="s">
        <v>742</v>
      </c>
      <c r="Q489" s="101">
        <v>299693</v>
      </c>
      <c r="R489" t="s">
        <v>874</v>
      </c>
      <c r="S489" t="s">
        <v>254</v>
      </c>
      <c r="T489"/>
      <c r="U489"/>
      <c r="V489"/>
      <c r="W489" s="223"/>
    </row>
    <row r="490" spans="1:23" x14ac:dyDescent="0.2">
      <c r="A490" s="253" t="s">
        <v>260</v>
      </c>
      <c r="B490" s="101">
        <v>3</v>
      </c>
      <c r="C490" s="101">
        <v>3</v>
      </c>
      <c r="D490" s="101">
        <v>4</v>
      </c>
      <c r="E490" s="101">
        <v>-2</v>
      </c>
      <c r="F490" s="101">
        <v>-6</v>
      </c>
      <c r="G490" s="101">
        <v>-12</v>
      </c>
      <c r="H490" s="101">
        <v>-37</v>
      </c>
      <c r="I490" s="101">
        <v>-9</v>
      </c>
      <c r="J490" s="102">
        <v>0.62</v>
      </c>
      <c r="K490" s="102">
        <v>1.48</v>
      </c>
      <c r="L490" s="101">
        <v>16.100000000000001</v>
      </c>
      <c r="M490" s="101">
        <v>-0.2</v>
      </c>
      <c r="N490" s="101" t="s">
        <v>963</v>
      </c>
      <c r="O490" s="101">
        <v>2000</v>
      </c>
      <c r="P490" s="101" t="s">
        <v>742</v>
      </c>
      <c r="Q490" s="101">
        <v>365981</v>
      </c>
      <c r="R490" t="s">
        <v>872</v>
      </c>
      <c r="S490" t="s">
        <v>254</v>
      </c>
      <c r="T490"/>
      <c r="U490"/>
      <c r="V490"/>
      <c r="W490" s="223"/>
    </row>
    <row r="491" spans="1:23" x14ac:dyDescent="0.2">
      <c r="A491" s="253" t="s">
        <v>69</v>
      </c>
      <c r="B491" s="101">
        <v>2</v>
      </c>
      <c r="C491" s="101">
        <v>2</v>
      </c>
      <c r="D491" s="101">
        <v>0</v>
      </c>
      <c r="E491" s="101">
        <v>-8</v>
      </c>
      <c r="F491" s="101">
        <v>-11</v>
      </c>
      <c r="G491" s="101">
        <v>7</v>
      </c>
      <c r="H491" s="101">
        <v>-40</v>
      </c>
      <c r="I491" s="101">
        <v>-10</v>
      </c>
      <c r="J491" s="102">
        <v>0.62</v>
      </c>
      <c r="K491" s="102">
        <v>1.48</v>
      </c>
      <c r="L491" s="101">
        <v>13.3</v>
      </c>
      <c r="M491" s="101">
        <v>0.2</v>
      </c>
      <c r="N491" s="101" t="s">
        <v>955</v>
      </c>
      <c r="O491" s="101">
        <v>2000</v>
      </c>
      <c r="P491" s="101" t="s">
        <v>742</v>
      </c>
      <c r="Q491" s="101">
        <v>473470</v>
      </c>
      <c r="R491" t="s">
        <v>872</v>
      </c>
      <c r="S491" t="s">
        <v>49</v>
      </c>
      <c r="T491"/>
      <c r="U491"/>
      <c r="V491"/>
      <c r="W491" s="223"/>
    </row>
    <row r="492" spans="1:23" x14ac:dyDescent="0.2">
      <c r="A492" s="253" t="s">
        <v>654</v>
      </c>
      <c r="B492" s="101">
        <v>3</v>
      </c>
      <c r="C492" s="101">
        <v>3</v>
      </c>
      <c r="D492" s="101">
        <v>3</v>
      </c>
      <c r="E492" s="101">
        <v>-7</v>
      </c>
      <c r="F492" s="101">
        <v>-10</v>
      </c>
      <c r="G492" s="101">
        <v>-13</v>
      </c>
      <c r="H492" s="101">
        <v>-45</v>
      </c>
      <c r="I492" s="101">
        <v>-11</v>
      </c>
      <c r="J492" s="102">
        <v>0.62</v>
      </c>
      <c r="K492" s="102">
        <v>1.8260000000000001</v>
      </c>
      <c r="L492" s="101">
        <v>15.9</v>
      </c>
      <c r="M492" s="101">
        <v>-0.2</v>
      </c>
      <c r="N492" s="101" t="s">
        <v>957</v>
      </c>
      <c r="O492" s="101">
        <v>2004</v>
      </c>
      <c r="P492" s="101" t="s">
        <v>742</v>
      </c>
      <c r="Q492" s="101">
        <v>123612</v>
      </c>
      <c r="R492" t="s">
        <v>874</v>
      </c>
      <c r="S492" t="s">
        <v>254</v>
      </c>
      <c r="T492"/>
      <c r="U492"/>
      <c r="V492"/>
      <c r="W492" s="223"/>
    </row>
    <row r="493" spans="1:23" x14ac:dyDescent="0.2">
      <c r="A493" s="253" t="s">
        <v>460</v>
      </c>
      <c r="B493" s="101">
        <v>9</v>
      </c>
      <c r="C493" s="101">
        <v>9</v>
      </c>
      <c r="D493" s="101">
        <v>7</v>
      </c>
      <c r="E493" s="101">
        <v>-9</v>
      </c>
      <c r="F493" s="101">
        <v>-11</v>
      </c>
      <c r="G493" s="101"/>
      <c r="H493" s="101"/>
      <c r="I493" s="101"/>
      <c r="J493" s="102">
        <v>0.62</v>
      </c>
      <c r="K493" s="102">
        <v>1.5</v>
      </c>
      <c r="L493" s="101"/>
      <c r="M493" s="101"/>
      <c r="N493" s="101" t="s">
        <v>952</v>
      </c>
      <c r="O493" s="101">
        <v>2011</v>
      </c>
      <c r="P493" s="101" t="s">
        <v>867</v>
      </c>
      <c r="Q493" s="101">
        <v>620807</v>
      </c>
      <c r="R493" t="s">
        <v>459</v>
      </c>
      <c r="S493" t="s">
        <v>416</v>
      </c>
      <c r="T493"/>
      <c r="U493"/>
      <c r="V493"/>
      <c r="W493" s="223"/>
    </row>
    <row r="494" spans="1:23" x14ac:dyDescent="0.2">
      <c r="A494" s="253" t="s">
        <v>518</v>
      </c>
      <c r="B494" s="101">
        <v>6</v>
      </c>
      <c r="C494" s="101">
        <v>6</v>
      </c>
      <c r="D494" s="101">
        <v>0</v>
      </c>
      <c r="E494" s="101">
        <v>-11</v>
      </c>
      <c r="F494" s="101">
        <v>-7</v>
      </c>
      <c r="G494" s="101"/>
      <c r="H494" s="101"/>
      <c r="I494" s="101"/>
      <c r="J494" s="102">
        <v>0.62</v>
      </c>
      <c r="K494" s="102">
        <v>1.58</v>
      </c>
      <c r="L494" s="101"/>
      <c r="M494" s="101"/>
      <c r="N494" s="101" t="s">
        <v>955</v>
      </c>
      <c r="O494" s="101">
        <v>2010</v>
      </c>
      <c r="P494" s="101" t="s">
        <v>742</v>
      </c>
      <c r="Q494" s="101">
        <v>515148</v>
      </c>
      <c r="R494" t="s">
        <v>411</v>
      </c>
      <c r="S494" t="s">
        <v>735</v>
      </c>
      <c r="T494" t="s">
        <v>953</v>
      </c>
      <c r="U494"/>
      <c r="V494"/>
      <c r="W494" s="223"/>
    </row>
    <row r="495" spans="1:23" x14ac:dyDescent="0.2">
      <c r="A495" s="253" t="s">
        <v>881</v>
      </c>
      <c r="B495" s="101">
        <v>8</v>
      </c>
      <c r="C495" s="101">
        <v>8</v>
      </c>
      <c r="D495" s="101">
        <v>9</v>
      </c>
      <c r="E495" s="101">
        <v>4</v>
      </c>
      <c r="F495" s="101">
        <v>-1</v>
      </c>
      <c r="G495" s="101">
        <v>129</v>
      </c>
      <c r="H495" s="101"/>
      <c r="I495" s="101"/>
      <c r="J495" s="102">
        <v>0.62</v>
      </c>
      <c r="K495" s="102">
        <v>1.6420999999999999</v>
      </c>
      <c r="L495" s="101">
        <v>20.2</v>
      </c>
      <c r="M495" s="101">
        <v>1.5</v>
      </c>
      <c r="N495" s="101" t="s">
        <v>952</v>
      </c>
      <c r="O495" s="101">
        <v>2008</v>
      </c>
      <c r="P495" s="101" t="s">
        <v>742</v>
      </c>
      <c r="Q495" s="101">
        <v>420463</v>
      </c>
      <c r="R495" t="s">
        <v>880</v>
      </c>
      <c r="S495" t="s">
        <v>837</v>
      </c>
      <c r="T495"/>
      <c r="U495"/>
      <c r="V495"/>
      <c r="W495" s="223"/>
    </row>
    <row r="496" spans="1:23" x14ac:dyDescent="0.2">
      <c r="A496" s="253" t="s">
        <v>352</v>
      </c>
      <c r="B496" s="101">
        <v>7</v>
      </c>
      <c r="C496" s="101">
        <v>7</v>
      </c>
      <c r="D496" s="101">
        <v>5</v>
      </c>
      <c r="E496" s="101">
        <v>-1</v>
      </c>
      <c r="F496" s="101">
        <v>-8</v>
      </c>
      <c r="G496" s="101"/>
      <c r="H496" s="101"/>
      <c r="I496" s="101"/>
      <c r="J496" s="102">
        <v>0.62</v>
      </c>
      <c r="K496" s="102">
        <v>1.5</v>
      </c>
      <c r="L496" s="101"/>
      <c r="M496" s="101"/>
      <c r="N496" s="101" t="s">
        <v>952</v>
      </c>
      <c r="O496" s="101">
        <v>2010</v>
      </c>
      <c r="P496" s="101" t="s">
        <v>867</v>
      </c>
      <c r="Q496" s="101">
        <v>605634</v>
      </c>
      <c r="R496" t="s">
        <v>1068</v>
      </c>
      <c r="S496" t="s">
        <v>781</v>
      </c>
      <c r="T496"/>
      <c r="U496"/>
      <c r="V496"/>
      <c r="W496" s="223"/>
    </row>
    <row r="497" spans="1:23" x14ac:dyDescent="0.2">
      <c r="A497" s="253" t="s">
        <v>1097</v>
      </c>
      <c r="B497" s="101">
        <v>6</v>
      </c>
      <c r="C497" s="101">
        <v>6</v>
      </c>
      <c r="D497" s="101">
        <v>4</v>
      </c>
      <c r="E497" s="101"/>
      <c r="F497" s="101"/>
      <c r="G497" s="101"/>
      <c r="H497" s="101"/>
      <c r="I497" s="101"/>
      <c r="J497" s="102">
        <v>0.62</v>
      </c>
      <c r="K497" s="102">
        <v>1.5</v>
      </c>
      <c r="L497" s="101"/>
      <c r="M497" s="101"/>
      <c r="N497" s="101" t="s">
        <v>952</v>
      </c>
      <c r="O497" s="101">
        <v>2011</v>
      </c>
      <c r="P497" s="101" t="s">
        <v>867</v>
      </c>
      <c r="Q497" s="101">
        <v>925032</v>
      </c>
      <c r="R497" t="s">
        <v>1068</v>
      </c>
      <c r="S497" t="s">
        <v>338</v>
      </c>
      <c r="T497"/>
      <c r="U497"/>
      <c r="V497"/>
      <c r="W497" s="223"/>
    </row>
    <row r="498" spans="1:23" x14ac:dyDescent="0.2">
      <c r="A498" s="253" t="s">
        <v>1024</v>
      </c>
      <c r="B498" s="101">
        <v>13</v>
      </c>
      <c r="C498" s="101">
        <v>13</v>
      </c>
      <c r="D498" s="101">
        <v>4</v>
      </c>
      <c r="E498" s="101">
        <v>-19</v>
      </c>
      <c r="F498" s="101">
        <v>-18</v>
      </c>
      <c r="G498" s="101">
        <v>157</v>
      </c>
      <c r="H498" s="101"/>
      <c r="I498" s="101"/>
      <c r="J498" s="102">
        <v>0.62</v>
      </c>
      <c r="K498" s="102">
        <v>2.5</v>
      </c>
      <c r="L498" s="101">
        <v>35.4</v>
      </c>
      <c r="M498" s="101">
        <v>1.1000000000000001</v>
      </c>
      <c r="N498" s="101" t="s">
        <v>952</v>
      </c>
      <c r="O498" s="101">
        <v>2009</v>
      </c>
      <c r="P498" s="101" t="s">
        <v>742</v>
      </c>
      <c r="Q498" s="101">
        <v>390062</v>
      </c>
      <c r="R498" t="s">
        <v>787</v>
      </c>
      <c r="S498" t="s">
        <v>417</v>
      </c>
      <c r="T498"/>
      <c r="U498"/>
      <c r="V498"/>
      <c r="W498" s="223"/>
    </row>
    <row r="499" spans="1:23" x14ac:dyDescent="0.2">
      <c r="A499" s="253" t="s">
        <v>661</v>
      </c>
      <c r="B499" s="101">
        <v>3</v>
      </c>
      <c r="C499" s="101">
        <v>3</v>
      </c>
      <c r="D499" s="101">
        <v>10</v>
      </c>
      <c r="E499" s="101">
        <v>5</v>
      </c>
      <c r="F499" s="101">
        <v>11</v>
      </c>
      <c r="G499" s="101">
        <v>13</v>
      </c>
      <c r="H499" s="101">
        <v>19</v>
      </c>
      <c r="I499" s="101">
        <v>4</v>
      </c>
      <c r="J499" s="102">
        <v>0.63</v>
      </c>
      <c r="K499" s="102">
        <v>1.839</v>
      </c>
      <c r="L499" s="101">
        <v>10.5</v>
      </c>
      <c r="M499" s="101">
        <v>0.4</v>
      </c>
      <c r="N499" s="101" t="s">
        <v>957</v>
      </c>
      <c r="O499" s="101">
        <v>2004</v>
      </c>
      <c r="P499" s="101" t="s">
        <v>742</v>
      </c>
      <c r="Q499" s="101">
        <v>374421</v>
      </c>
      <c r="R499" t="s">
        <v>874</v>
      </c>
      <c r="S499" t="s">
        <v>302</v>
      </c>
      <c r="T499"/>
      <c r="U499"/>
      <c r="V499"/>
      <c r="W499" s="223"/>
    </row>
    <row r="500" spans="1:23" x14ac:dyDescent="0.2">
      <c r="A500" s="253" t="s">
        <v>724</v>
      </c>
      <c r="B500" s="101">
        <v>2</v>
      </c>
      <c r="C500" s="101">
        <v>2</v>
      </c>
      <c r="D500" s="101">
        <v>0</v>
      </c>
      <c r="E500" s="101">
        <v>-1</v>
      </c>
      <c r="F500" s="101">
        <v>4</v>
      </c>
      <c r="G500" s="101">
        <v>14</v>
      </c>
      <c r="H500" s="101">
        <v>19</v>
      </c>
      <c r="I500" s="101">
        <v>4</v>
      </c>
      <c r="J500" s="102">
        <v>0.63</v>
      </c>
      <c r="K500" s="102">
        <v>1.89</v>
      </c>
      <c r="L500" s="101">
        <v>8.3000000000000007</v>
      </c>
      <c r="M500" s="101">
        <v>0.4</v>
      </c>
      <c r="N500" s="101" t="s">
        <v>955</v>
      </c>
      <c r="O500" s="101">
        <v>2000</v>
      </c>
      <c r="P500" s="101" t="s">
        <v>742</v>
      </c>
      <c r="Q500" s="101">
        <v>390898</v>
      </c>
      <c r="R500" t="s">
        <v>880</v>
      </c>
      <c r="S500" t="s">
        <v>721</v>
      </c>
      <c r="T500"/>
      <c r="U500"/>
      <c r="V500"/>
      <c r="W500" s="223"/>
    </row>
    <row r="501" spans="1:23" x14ac:dyDescent="0.2">
      <c r="A501" s="253" t="s">
        <v>657</v>
      </c>
      <c r="B501" s="101">
        <v>5</v>
      </c>
      <c r="C501" s="101">
        <v>5</v>
      </c>
      <c r="D501" s="101">
        <v>3</v>
      </c>
      <c r="E501" s="101">
        <v>-6</v>
      </c>
      <c r="F501" s="101">
        <v>-6</v>
      </c>
      <c r="G501" s="101">
        <v>59</v>
      </c>
      <c r="H501" s="101">
        <v>13</v>
      </c>
      <c r="I501" s="101">
        <v>2</v>
      </c>
      <c r="J501" s="102">
        <v>0.63</v>
      </c>
      <c r="K501" s="102">
        <v>1.857</v>
      </c>
      <c r="L501" s="101">
        <v>19.2</v>
      </c>
      <c r="M501" s="101">
        <v>0.9</v>
      </c>
      <c r="N501" s="101" t="s">
        <v>957</v>
      </c>
      <c r="O501" s="101">
        <v>2004</v>
      </c>
      <c r="P501" s="101" t="s">
        <v>742</v>
      </c>
      <c r="Q501" s="101">
        <v>231100</v>
      </c>
      <c r="R501" t="s">
        <v>874</v>
      </c>
      <c r="S501" t="s">
        <v>183</v>
      </c>
      <c r="T501"/>
      <c r="U501"/>
      <c r="V501"/>
      <c r="W501" s="223"/>
    </row>
    <row r="502" spans="1:23" x14ac:dyDescent="0.2">
      <c r="A502" s="253" t="s">
        <v>306</v>
      </c>
      <c r="B502" s="101">
        <v>4</v>
      </c>
      <c r="C502" s="101">
        <v>4</v>
      </c>
      <c r="D502" s="101">
        <v>10</v>
      </c>
      <c r="E502" s="101">
        <v>4</v>
      </c>
      <c r="F502" s="101">
        <v>3</v>
      </c>
      <c r="G502" s="101">
        <v>10</v>
      </c>
      <c r="H502" s="101">
        <v>-1</v>
      </c>
      <c r="I502" s="101">
        <v>0</v>
      </c>
      <c r="J502" s="102">
        <v>0.63</v>
      </c>
      <c r="K502" s="102">
        <v>1.53</v>
      </c>
      <c r="L502" s="101">
        <v>11.3</v>
      </c>
      <c r="M502" s="101">
        <v>0.3</v>
      </c>
      <c r="N502" s="101" t="s">
        <v>952</v>
      </c>
      <c r="O502" s="101">
        <v>2000</v>
      </c>
      <c r="P502" s="101" t="s">
        <v>867</v>
      </c>
      <c r="Q502" s="101">
        <v>631960</v>
      </c>
      <c r="R502" t="s">
        <v>784</v>
      </c>
      <c r="S502" t="s">
        <v>420</v>
      </c>
      <c r="T502"/>
      <c r="U502"/>
      <c r="V502"/>
      <c r="W502" s="223"/>
    </row>
    <row r="503" spans="1:23" x14ac:dyDescent="0.2">
      <c r="A503" s="253" t="s">
        <v>300</v>
      </c>
      <c r="B503" s="101">
        <v>5</v>
      </c>
      <c r="C503" s="101">
        <v>5</v>
      </c>
      <c r="D503" s="101">
        <v>8</v>
      </c>
      <c r="E503" s="101">
        <v>4</v>
      </c>
      <c r="F503" s="101">
        <v>6</v>
      </c>
      <c r="G503" s="101">
        <v>44</v>
      </c>
      <c r="H503" s="101">
        <v>-1</v>
      </c>
      <c r="I503" s="101">
        <v>0</v>
      </c>
      <c r="J503" s="102">
        <v>0.63</v>
      </c>
      <c r="K503" s="102">
        <v>1.8223860000000001</v>
      </c>
      <c r="L503" s="101">
        <v>14.6</v>
      </c>
      <c r="M503" s="101">
        <v>0.8</v>
      </c>
      <c r="N503" s="101" t="s">
        <v>952</v>
      </c>
      <c r="O503" s="101">
        <v>2000</v>
      </c>
      <c r="P503" s="101" t="s">
        <v>867</v>
      </c>
      <c r="Q503" s="101">
        <v>785618</v>
      </c>
      <c r="R503" t="s">
        <v>795</v>
      </c>
      <c r="S503" t="s">
        <v>293</v>
      </c>
      <c r="T503"/>
      <c r="U503"/>
      <c r="V503"/>
      <c r="W503" s="223"/>
    </row>
    <row r="504" spans="1:23" x14ac:dyDescent="0.2">
      <c r="A504" s="253" t="s">
        <v>169</v>
      </c>
      <c r="B504" s="101">
        <v>4</v>
      </c>
      <c r="C504" s="101">
        <v>4</v>
      </c>
      <c r="D504" s="101">
        <v>8</v>
      </c>
      <c r="E504" s="101">
        <v>6</v>
      </c>
      <c r="F504" s="101">
        <v>8</v>
      </c>
      <c r="G504" s="101">
        <v>44</v>
      </c>
      <c r="H504" s="101">
        <v>1</v>
      </c>
      <c r="I504" s="101">
        <v>0</v>
      </c>
      <c r="J504" s="102">
        <v>0.63</v>
      </c>
      <c r="K504" s="102">
        <v>1.83165</v>
      </c>
      <c r="L504" s="101">
        <v>11.1</v>
      </c>
      <c r="M504" s="101">
        <v>1.1000000000000001</v>
      </c>
      <c r="N504" s="101" t="s">
        <v>952</v>
      </c>
      <c r="O504" s="101">
        <v>2000</v>
      </c>
      <c r="P504" s="101" t="s">
        <v>867</v>
      </c>
      <c r="Q504" s="101">
        <v>964767</v>
      </c>
      <c r="R504" t="s">
        <v>795</v>
      </c>
      <c r="S504" t="s">
        <v>166</v>
      </c>
      <c r="T504"/>
      <c r="U504"/>
      <c r="V504"/>
      <c r="W504" s="223"/>
    </row>
    <row r="505" spans="1:23" x14ac:dyDescent="0.2">
      <c r="A505" s="253" t="s">
        <v>876</v>
      </c>
      <c r="B505" s="101">
        <v>7</v>
      </c>
      <c r="C505" s="101">
        <v>7</v>
      </c>
      <c r="D505" s="101">
        <v>7</v>
      </c>
      <c r="E505" s="101">
        <v>2</v>
      </c>
      <c r="F505" s="101">
        <v>-2</v>
      </c>
      <c r="G505" s="101">
        <v>52</v>
      </c>
      <c r="H505" s="101">
        <v>-3</v>
      </c>
      <c r="I505" s="101">
        <v>-1</v>
      </c>
      <c r="J505" s="102">
        <v>0.63</v>
      </c>
      <c r="K505" s="102">
        <v>1.841</v>
      </c>
      <c r="L505" s="101">
        <v>15</v>
      </c>
      <c r="M505" s="101">
        <v>1</v>
      </c>
      <c r="N505" s="101" t="s">
        <v>957</v>
      </c>
      <c r="O505" s="101">
        <v>2004</v>
      </c>
      <c r="P505" s="101" t="s">
        <v>742</v>
      </c>
      <c r="Q505" s="101">
        <v>446088</v>
      </c>
      <c r="R505" t="s">
        <v>874</v>
      </c>
      <c r="S505" t="s">
        <v>293</v>
      </c>
      <c r="T505"/>
      <c r="U505"/>
      <c r="V505"/>
      <c r="W505" s="223"/>
    </row>
    <row r="506" spans="1:23" x14ac:dyDescent="0.2">
      <c r="A506" s="253" t="s">
        <v>216</v>
      </c>
      <c r="B506" s="101">
        <v>6</v>
      </c>
      <c r="C506" s="101">
        <v>6</v>
      </c>
      <c r="D506" s="101">
        <v>4</v>
      </c>
      <c r="E506" s="101">
        <v>-4</v>
      </c>
      <c r="F506" s="101">
        <v>-7</v>
      </c>
      <c r="G506" s="101">
        <v>37</v>
      </c>
      <c r="H506" s="101">
        <v>-19</v>
      </c>
      <c r="I506" s="101">
        <v>-4</v>
      </c>
      <c r="J506" s="102">
        <v>0.63</v>
      </c>
      <c r="K506" s="102">
        <v>1.851</v>
      </c>
      <c r="L506" s="101">
        <v>13.5</v>
      </c>
      <c r="M506" s="101">
        <v>0.9</v>
      </c>
      <c r="N506" s="101" t="s">
        <v>955</v>
      </c>
      <c r="O506" s="101">
        <v>2004</v>
      </c>
      <c r="P506" s="101" t="s">
        <v>742</v>
      </c>
      <c r="Q506" s="101">
        <v>951954</v>
      </c>
      <c r="R506" t="s">
        <v>874</v>
      </c>
      <c r="S506" t="s">
        <v>104</v>
      </c>
      <c r="T506"/>
      <c r="U506"/>
      <c r="V506"/>
      <c r="W506" s="223"/>
    </row>
    <row r="507" spans="1:23" x14ac:dyDescent="0.2">
      <c r="A507" s="253" t="s">
        <v>1098</v>
      </c>
      <c r="B507" s="101">
        <v>9</v>
      </c>
      <c r="C507" s="101">
        <v>9</v>
      </c>
      <c r="D507" s="101">
        <v>-4</v>
      </c>
      <c r="E507" s="101">
        <v>-19</v>
      </c>
      <c r="F507" s="101">
        <v>-24</v>
      </c>
      <c r="G507" s="101">
        <v>35</v>
      </c>
      <c r="H507" s="101">
        <v>-26</v>
      </c>
      <c r="I507" s="101">
        <v>-6</v>
      </c>
      <c r="J507" s="102">
        <v>0.63</v>
      </c>
      <c r="K507" s="102">
        <v>1.821</v>
      </c>
      <c r="L507" s="101">
        <v>24.3</v>
      </c>
      <c r="M507" s="101">
        <v>0.5</v>
      </c>
      <c r="N507" s="101" t="s">
        <v>952</v>
      </c>
      <c r="O507" s="101">
        <v>2001</v>
      </c>
      <c r="P507" s="101" t="s">
        <v>742</v>
      </c>
      <c r="Q507" s="101">
        <v>362327</v>
      </c>
      <c r="R507" t="s">
        <v>1083</v>
      </c>
      <c r="S507" t="s">
        <v>150</v>
      </c>
      <c r="T507"/>
      <c r="U507"/>
      <c r="V507"/>
      <c r="W507" s="223"/>
    </row>
    <row r="508" spans="1:23" x14ac:dyDescent="0.2">
      <c r="A508" s="253" t="s">
        <v>272</v>
      </c>
      <c r="B508" s="101">
        <v>10</v>
      </c>
      <c r="C508" s="101">
        <v>10</v>
      </c>
      <c r="D508" s="101">
        <v>3</v>
      </c>
      <c r="E508" s="101">
        <v>-16</v>
      </c>
      <c r="F508" s="101">
        <v>-27</v>
      </c>
      <c r="G508" s="101">
        <v>29</v>
      </c>
      <c r="H508" s="101">
        <v>-30</v>
      </c>
      <c r="I508" s="101">
        <v>-7</v>
      </c>
      <c r="J508" s="102">
        <v>0.63</v>
      </c>
      <c r="K508" s="102">
        <v>1.6</v>
      </c>
      <c r="L508" s="101">
        <v>23.5</v>
      </c>
      <c r="M508" s="101">
        <v>0.5</v>
      </c>
      <c r="N508" s="101" t="s">
        <v>955</v>
      </c>
      <c r="O508" s="101">
        <v>2002</v>
      </c>
      <c r="P508" s="101" t="s">
        <v>742</v>
      </c>
      <c r="Q508" s="101">
        <v>324665</v>
      </c>
      <c r="R508" t="s">
        <v>520</v>
      </c>
      <c r="S508" t="s">
        <v>268</v>
      </c>
      <c r="T508"/>
      <c r="U508"/>
      <c r="V508"/>
      <c r="W508" s="223"/>
    </row>
    <row r="509" spans="1:23" x14ac:dyDescent="0.2">
      <c r="A509" s="253" t="s">
        <v>1017</v>
      </c>
      <c r="B509" s="101">
        <v>2</v>
      </c>
      <c r="C509" s="101">
        <v>2</v>
      </c>
      <c r="D509" s="101">
        <v>4</v>
      </c>
      <c r="E509" s="101">
        <v>-7</v>
      </c>
      <c r="F509" s="101">
        <v>-4</v>
      </c>
      <c r="G509" s="101">
        <v>6</v>
      </c>
      <c r="H509" s="101">
        <v>-33</v>
      </c>
      <c r="I509" s="101">
        <v>-8</v>
      </c>
      <c r="J509" s="102">
        <v>0.63</v>
      </c>
      <c r="K509" s="102">
        <v>1.843</v>
      </c>
      <c r="L509" s="101">
        <v>17.5</v>
      </c>
      <c r="M509" s="101">
        <v>0.2</v>
      </c>
      <c r="N509" s="101" t="s">
        <v>957</v>
      </c>
      <c r="O509" s="101">
        <v>2004</v>
      </c>
      <c r="P509" s="101" t="s">
        <v>742</v>
      </c>
      <c r="Q509" s="101">
        <v>159442</v>
      </c>
      <c r="R509" t="s">
        <v>874</v>
      </c>
      <c r="S509" t="s">
        <v>254</v>
      </c>
      <c r="T509"/>
      <c r="U509"/>
      <c r="V509"/>
      <c r="W509" s="223"/>
    </row>
    <row r="510" spans="1:23" x14ac:dyDescent="0.2">
      <c r="A510" s="253" t="s">
        <v>662</v>
      </c>
      <c r="B510" s="101">
        <v>6</v>
      </c>
      <c r="C510" s="101">
        <v>6</v>
      </c>
      <c r="D510" s="101">
        <v>4</v>
      </c>
      <c r="E510" s="101">
        <v>-5</v>
      </c>
      <c r="F510" s="101">
        <v>-14</v>
      </c>
      <c r="G510" s="101">
        <v>8</v>
      </c>
      <c r="H510" s="101">
        <v>-51</v>
      </c>
      <c r="I510" s="101">
        <v>-13</v>
      </c>
      <c r="J510" s="102">
        <v>0.63</v>
      </c>
      <c r="K510" s="102">
        <v>1.8420000000000001</v>
      </c>
      <c r="L510" s="101">
        <v>15.7</v>
      </c>
      <c r="M510" s="101">
        <v>0.3</v>
      </c>
      <c r="N510" s="101" t="s">
        <v>957</v>
      </c>
      <c r="O510" s="101">
        <v>2004</v>
      </c>
      <c r="P510" s="101" t="s">
        <v>742</v>
      </c>
      <c r="Q510" s="101">
        <v>410258</v>
      </c>
      <c r="R510" t="s">
        <v>874</v>
      </c>
      <c r="S510" t="s">
        <v>312</v>
      </c>
      <c r="T510"/>
      <c r="U510"/>
      <c r="V510"/>
      <c r="W510" s="223"/>
    </row>
    <row r="511" spans="1:23" x14ac:dyDescent="0.2">
      <c r="A511" s="253" t="s">
        <v>448</v>
      </c>
      <c r="B511" s="101">
        <v>5</v>
      </c>
      <c r="C511" s="101">
        <v>5</v>
      </c>
      <c r="D511" s="101">
        <v>3</v>
      </c>
      <c r="E511" s="101">
        <v>-3</v>
      </c>
      <c r="F511" s="101">
        <v>4</v>
      </c>
      <c r="G511" s="101"/>
      <c r="H511" s="101"/>
      <c r="I511" s="101"/>
      <c r="J511" s="102">
        <v>0.63</v>
      </c>
      <c r="K511" s="102">
        <v>1.61</v>
      </c>
      <c r="L511" s="101"/>
      <c r="M511" s="101"/>
      <c r="N511" s="101" t="s">
        <v>955</v>
      </c>
      <c r="O511" s="101">
        <v>2010</v>
      </c>
      <c r="P511" s="101" t="s">
        <v>742</v>
      </c>
      <c r="Q511" s="101">
        <v>550970</v>
      </c>
      <c r="R511" t="s">
        <v>411</v>
      </c>
      <c r="S511" t="s">
        <v>735</v>
      </c>
      <c r="T511"/>
      <c r="U511"/>
      <c r="V511"/>
      <c r="W511" s="223"/>
    </row>
    <row r="512" spans="1:23" x14ac:dyDescent="0.2">
      <c r="A512" s="253" t="s">
        <v>368</v>
      </c>
      <c r="B512" s="101">
        <v>6</v>
      </c>
      <c r="C512" s="101">
        <v>6</v>
      </c>
      <c r="D512" s="101">
        <v>8</v>
      </c>
      <c r="E512" s="101">
        <v>-6</v>
      </c>
      <c r="F512" s="101"/>
      <c r="G512" s="101"/>
      <c r="H512" s="101"/>
      <c r="I512" s="101"/>
      <c r="J512" s="102">
        <v>0.63</v>
      </c>
      <c r="K512" s="102">
        <v>1.8</v>
      </c>
      <c r="L512" s="101"/>
      <c r="M512" s="101"/>
      <c r="N512" s="101" t="s">
        <v>957</v>
      </c>
      <c r="O512" s="101">
        <v>2011</v>
      </c>
      <c r="P512" s="101" t="s">
        <v>742</v>
      </c>
      <c r="Q512" s="101">
        <v>340836</v>
      </c>
      <c r="R512" t="s">
        <v>930</v>
      </c>
      <c r="S512" t="s">
        <v>166</v>
      </c>
      <c r="T512"/>
      <c r="U512"/>
      <c r="V512"/>
      <c r="W512" s="223"/>
    </row>
    <row r="513" spans="1:23" x14ac:dyDescent="0.2">
      <c r="A513" s="253" t="s">
        <v>1018</v>
      </c>
      <c r="B513" s="101">
        <v>10</v>
      </c>
      <c r="C513" s="101">
        <v>10</v>
      </c>
      <c r="D513" s="101">
        <v>10</v>
      </c>
      <c r="E513" s="101">
        <v>-4</v>
      </c>
      <c r="F513" s="101">
        <v>-8</v>
      </c>
      <c r="G513" s="101">
        <v>46</v>
      </c>
      <c r="H513" s="101"/>
      <c r="I513" s="101"/>
      <c r="J513" s="102">
        <v>0.63</v>
      </c>
      <c r="K513" s="102">
        <v>1.8520000000000001</v>
      </c>
      <c r="L513" s="101">
        <v>20.100000000000001</v>
      </c>
      <c r="M513" s="101">
        <v>0.8</v>
      </c>
      <c r="N513" s="101" t="s">
        <v>957</v>
      </c>
      <c r="O513" s="101">
        <v>2009</v>
      </c>
      <c r="P513" s="101" t="s">
        <v>742</v>
      </c>
      <c r="Q513" s="101">
        <v>391896</v>
      </c>
      <c r="R513" t="s">
        <v>874</v>
      </c>
      <c r="S513" t="s">
        <v>416</v>
      </c>
      <c r="T513"/>
      <c r="U513"/>
      <c r="V513"/>
      <c r="W513" s="223"/>
    </row>
    <row r="514" spans="1:23" x14ac:dyDescent="0.2">
      <c r="A514" s="253" t="s">
        <v>967</v>
      </c>
      <c r="B514" s="101">
        <v>8</v>
      </c>
      <c r="C514" s="101">
        <v>8</v>
      </c>
      <c r="D514" s="101">
        <v>10</v>
      </c>
      <c r="E514" s="101">
        <v>-2</v>
      </c>
      <c r="F514" s="101">
        <v>-5</v>
      </c>
      <c r="G514" s="101">
        <v>55</v>
      </c>
      <c r="H514" s="101">
        <v>37</v>
      </c>
      <c r="I514" s="101">
        <v>6</v>
      </c>
      <c r="J514" s="102">
        <v>0.64</v>
      </c>
      <c r="K514" s="102">
        <v>2.16</v>
      </c>
      <c r="L514" s="101">
        <v>19.399999999999999</v>
      </c>
      <c r="M514" s="101">
        <v>0.9</v>
      </c>
      <c r="N514" s="101" t="s">
        <v>955</v>
      </c>
      <c r="O514" s="101">
        <v>2006</v>
      </c>
      <c r="P514" s="101" t="s">
        <v>742</v>
      </c>
      <c r="Q514" s="101">
        <v>218297</v>
      </c>
      <c r="R514" t="s">
        <v>450</v>
      </c>
      <c r="S514" t="s">
        <v>150</v>
      </c>
      <c r="T514"/>
      <c r="U514"/>
      <c r="V514"/>
      <c r="W514" s="223"/>
    </row>
    <row r="515" spans="1:23" x14ac:dyDescent="0.2">
      <c r="A515" s="253" t="s">
        <v>422</v>
      </c>
      <c r="B515" s="101">
        <v>5</v>
      </c>
      <c r="C515" s="101">
        <v>5</v>
      </c>
      <c r="D515" s="101">
        <v>6</v>
      </c>
      <c r="E515" s="101">
        <v>0</v>
      </c>
      <c r="F515" s="101">
        <v>-2</v>
      </c>
      <c r="G515" s="101">
        <v>72</v>
      </c>
      <c r="H515" s="101">
        <v>18</v>
      </c>
      <c r="I515" s="101">
        <v>3</v>
      </c>
      <c r="J515" s="102">
        <v>0.64</v>
      </c>
      <c r="K515" s="102">
        <v>1.539704</v>
      </c>
      <c r="L515" s="101">
        <v>13.9</v>
      </c>
      <c r="M515" s="101">
        <v>1.4</v>
      </c>
      <c r="N515" s="101" t="s">
        <v>952</v>
      </c>
      <c r="O515" s="101">
        <v>2004</v>
      </c>
      <c r="P515" s="101" t="s">
        <v>867</v>
      </c>
      <c r="Q515" s="101">
        <v>339184</v>
      </c>
      <c r="R515" t="s">
        <v>728</v>
      </c>
      <c r="S515" t="s">
        <v>781</v>
      </c>
      <c r="T515"/>
      <c r="U515"/>
      <c r="V515"/>
      <c r="W515" s="223"/>
    </row>
    <row r="516" spans="1:23" x14ac:dyDescent="0.2">
      <c r="A516" s="253" t="s">
        <v>115</v>
      </c>
      <c r="B516" s="101">
        <v>0</v>
      </c>
      <c r="C516" s="101">
        <v>0</v>
      </c>
      <c r="D516" s="101">
        <v>0</v>
      </c>
      <c r="E516" s="101">
        <v>0</v>
      </c>
      <c r="F516" s="101">
        <v>0</v>
      </c>
      <c r="G516" s="101">
        <v>48</v>
      </c>
      <c r="H516" s="101">
        <v>-7</v>
      </c>
      <c r="I516" s="101">
        <v>-1</v>
      </c>
      <c r="J516" s="102">
        <v>0.64</v>
      </c>
      <c r="K516" s="102">
        <v>1.5492539999999999</v>
      </c>
      <c r="L516" s="101">
        <v>16.899999999999999</v>
      </c>
      <c r="M516" s="101">
        <v>0.8</v>
      </c>
      <c r="N516" s="101" t="s">
        <v>957</v>
      </c>
      <c r="O516" s="101">
        <v>2004</v>
      </c>
      <c r="P516" s="101" t="s">
        <v>742</v>
      </c>
      <c r="Q516" s="101">
        <v>178863</v>
      </c>
      <c r="R516" t="s">
        <v>945</v>
      </c>
      <c r="S516" t="s">
        <v>419</v>
      </c>
      <c r="T516"/>
      <c r="U516"/>
      <c r="V516"/>
      <c r="W516" s="223"/>
    </row>
    <row r="517" spans="1:23" x14ac:dyDescent="0.2">
      <c r="A517" s="253" t="s">
        <v>729</v>
      </c>
      <c r="B517" s="101">
        <v>9</v>
      </c>
      <c r="C517" s="101">
        <v>9</v>
      </c>
      <c r="D517" s="101">
        <v>8</v>
      </c>
      <c r="E517" s="101">
        <v>-2</v>
      </c>
      <c r="F517" s="101">
        <v>-7</v>
      </c>
      <c r="G517" s="101">
        <v>91</v>
      </c>
      <c r="H517" s="101">
        <v>-6</v>
      </c>
      <c r="I517" s="101">
        <v>-1</v>
      </c>
      <c r="J517" s="102">
        <v>0.64</v>
      </c>
      <c r="K517" s="102">
        <v>1.5383640000000001</v>
      </c>
      <c r="L517" s="101">
        <v>19.600000000000001</v>
      </c>
      <c r="M517" s="101">
        <v>1.2</v>
      </c>
      <c r="N517" s="101" t="s">
        <v>952</v>
      </c>
      <c r="O517" s="101">
        <v>2003</v>
      </c>
      <c r="P517" s="101" t="s">
        <v>867</v>
      </c>
      <c r="Q517" s="101">
        <v>152181</v>
      </c>
      <c r="R517" t="s">
        <v>728</v>
      </c>
      <c r="S517" t="s">
        <v>781</v>
      </c>
      <c r="T517"/>
      <c r="U517"/>
      <c r="V517"/>
      <c r="W517" s="223"/>
    </row>
    <row r="518" spans="1:23" x14ac:dyDescent="0.2">
      <c r="A518" s="253" t="s">
        <v>38</v>
      </c>
      <c r="B518" s="101">
        <v>8</v>
      </c>
      <c r="C518" s="101">
        <v>8</v>
      </c>
      <c r="D518" s="101">
        <v>5</v>
      </c>
      <c r="E518" s="101">
        <v>-3</v>
      </c>
      <c r="F518" s="101">
        <v>-9</v>
      </c>
      <c r="G518" s="101">
        <v>29</v>
      </c>
      <c r="H518" s="101">
        <v>-27</v>
      </c>
      <c r="I518" s="101">
        <v>-6</v>
      </c>
      <c r="J518" s="102">
        <v>0.64</v>
      </c>
      <c r="K518" s="102">
        <v>1.6</v>
      </c>
      <c r="L518" s="101">
        <v>15.8</v>
      </c>
      <c r="M518" s="101">
        <v>0.6</v>
      </c>
      <c r="N518" s="101" t="s">
        <v>952</v>
      </c>
      <c r="O518" s="101">
        <v>2002</v>
      </c>
      <c r="P518" s="101" t="s">
        <v>867</v>
      </c>
      <c r="Q518" s="101">
        <v>484980</v>
      </c>
      <c r="R518" t="s">
        <v>37</v>
      </c>
      <c r="S518" t="s">
        <v>861</v>
      </c>
      <c r="T518"/>
      <c r="U518"/>
      <c r="V518"/>
      <c r="W518" s="223"/>
    </row>
    <row r="519" spans="1:23" x14ac:dyDescent="0.2">
      <c r="A519" s="253" t="s">
        <v>70</v>
      </c>
      <c r="B519" s="101">
        <v>3</v>
      </c>
      <c r="C519" s="101">
        <v>3</v>
      </c>
      <c r="D519" s="101">
        <v>-3</v>
      </c>
      <c r="E519" s="101">
        <v>-12</v>
      </c>
      <c r="F519" s="101">
        <v>-16</v>
      </c>
      <c r="G519" s="101">
        <v>3</v>
      </c>
      <c r="H519" s="101">
        <v>-39</v>
      </c>
      <c r="I519" s="101">
        <v>-9</v>
      </c>
      <c r="J519" s="102">
        <v>0.64</v>
      </c>
      <c r="K519" s="102">
        <v>1.55</v>
      </c>
      <c r="L519" s="101">
        <v>13.8</v>
      </c>
      <c r="M519" s="101">
        <v>0.1</v>
      </c>
      <c r="N519" s="101" t="s">
        <v>955</v>
      </c>
      <c r="O519" s="101">
        <v>2000</v>
      </c>
      <c r="P519" s="101" t="s">
        <v>742</v>
      </c>
      <c r="Q519" s="101">
        <v>222661</v>
      </c>
      <c r="R519" t="s">
        <v>872</v>
      </c>
      <c r="S519" t="s">
        <v>49</v>
      </c>
      <c r="T519"/>
      <c r="U519"/>
      <c r="V519"/>
      <c r="W519" s="223"/>
    </row>
    <row r="520" spans="1:23" x14ac:dyDescent="0.2">
      <c r="A520" s="253" t="s">
        <v>91</v>
      </c>
      <c r="B520" s="101">
        <v>-1</v>
      </c>
      <c r="C520" s="101">
        <v>-1</v>
      </c>
      <c r="D520" s="101">
        <v>0</v>
      </c>
      <c r="E520" s="101">
        <v>-3</v>
      </c>
      <c r="F520" s="101">
        <v>7</v>
      </c>
      <c r="G520" s="101">
        <v>-16</v>
      </c>
      <c r="H520" s="101"/>
      <c r="I520" s="101"/>
      <c r="J520" s="102">
        <v>0.64</v>
      </c>
      <c r="K520" s="102">
        <v>1.56</v>
      </c>
      <c r="L520" s="101">
        <v>11.2</v>
      </c>
      <c r="M520" s="101">
        <v>-0.5</v>
      </c>
      <c r="N520" s="101" t="s">
        <v>955</v>
      </c>
      <c r="O520" s="101">
        <v>2009</v>
      </c>
      <c r="P520" s="101" t="s">
        <v>742</v>
      </c>
      <c r="Q520" s="101">
        <v>857094</v>
      </c>
      <c r="R520" t="s">
        <v>92</v>
      </c>
      <c r="S520" t="s">
        <v>166</v>
      </c>
      <c r="T520"/>
      <c r="U520"/>
      <c r="V520"/>
      <c r="W520" s="223"/>
    </row>
    <row r="521" spans="1:23" x14ac:dyDescent="0.2">
      <c r="A521" s="253" t="s">
        <v>1010</v>
      </c>
      <c r="B521" s="101">
        <v>-1</v>
      </c>
      <c r="C521" s="101">
        <v>-1</v>
      </c>
      <c r="D521" s="101">
        <v>-1</v>
      </c>
      <c r="E521" s="101">
        <v>-11</v>
      </c>
      <c r="F521" s="101">
        <v>-12</v>
      </c>
      <c r="G521" s="101"/>
      <c r="H521" s="101"/>
      <c r="I521" s="101"/>
      <c r="J521" s="102">
        <v>0.64</v>
      </c>
      <c r="K521" s="102">
        <v>1.9096390000000001</v>
      </c>
      <c r="L521" s="101"/>
      <c r="M521" s="101"/>
      <c r="N521" s="101" t="s">
        <v>952</v>
      </c>
      <c r="O521" s="101">
        <v>2010</v>
      </c>
      <c r="P521" s="101" t="s">
        <v>867</v>
      </c>
      <c r="Q521" s="101">
        <v>257667</v>
      </c>
      <c r="R521" t="s">
        <v>932</v>
      </c>
      <c r="S521" t="s">
        <v>234</v>
      </c>
      <c r="T521"/>
      <c r="U521"/>
      <c r="V521"/>
      <c r="W521" s="223"/>
    </row>
    <row r="522" spans="1:23" x14ac:dyDescent="0.2">
      <c r="A522" s="253" t="s">
        <v>718</v>
      </c>
      <c r="B522" s="101">
        <v>10</v>
      </c>
      <c r="C522" s="101">
        <v>10</v>
      </c>
      <c r="D522" s="101">
        <v>8</v>
      </c>
      <c r="E522" s="101">
        <v>-4</v>
      </c>
      <c r="F522" s="101">
        <v>-7</v>
      </c>
      <c r="G522" s="101">
        <v>87</v>
      </c>
      <c r="H522" s="101"/>
      <c r="I522" s="101"/>
      <c r="J522" s="102">
        <v>0.64</v>
      </c>
      <c r="K522" s="102">
        <v>1.549698</v>
      </c>
      <c r="L522" s="101">
        <v>18.5</v>
      </c>
      <c r="M522" s="101">
        <v>1.2</v>
      </c>
      <c r="N522" s="101" t="s">
        <v>952</v>
      </c>
      <c r="O522" s="101">
        <v>2008</v>
      </c>
      <c r="P522" s="101" t="s">
        <v>867</v>
      </c>
      <c r="Q522" s="101">
        <v>272898</v>
      </c>
      <c r="R522" t="s">
        <v>728</v>
      </c>
      <c r="S522" t="s">
        <v>781</v>
      </c>
      <c r="T522"/>
      <c r="U522"/>
      <c r="V522"/>
      <c r="W522" s="223"/>
    </row>
    <row r="523" spans="1:23" x14ac:dyDescent="0.2">
      <c r="A523" s="253" t="s">
        <v>822</v>
      </c>
      <c r="B523" s="101">
        <v>3</v>
      </c>
      <c r="C523" s="101">
        <v>3</v>
      </c>
      <c r="D523" s="101">
        <v>6</v>
      </c>
      <c r="E523" s="101">
        <v>2</v>
      </c>
      <c r="F523" s="101">
        <v>4</v>
      </c>
      <c r="G523" s="101">
        <v>17</v>
      </c>
      <c r="H523" s="101"/>
      <c r="I523" s="101"/>
      <c r="J523" s="102">
        <v>0.64</v>
      </c>
      <c r="K523" s="102">
        <v>1.85</v>
      </c>
      <c r="L523" s="101">
        <v>15.1</v>
      </c>
      <c r="M523" s="101">
        <v>0.4</v>
      </c>
      <c r="N523" s="101" t="s">
        <v>963</v>
      </c>
      <c r="O523" s="101">
        <v>2008</v>
      </c>
      <c r="P523" s="101" t="s">
        <v>742</v>
      </c>
      <c r="Q523" s="101">
        <v>192146</v>
      </c>
      <c r="R523" t="s">
        <v>866</v>
      </c>
      <c r="S523" t="s">
        <v>254</v>
      </c>
      <c r="T523"/>
      <c r="U523"/>
      <c r="V523"/>
      <c r="W523" s="223"/>
    </row>
    <row r="524" spans="1:23" x14ac:dyDescent="0.2">
      <c r="A524" s="253" t="s">
        <v>421</v>
      </c>
      <c r="B524" s="101">
        <v>4</v>
      </c>
      <c r="C524" s="101">
        <v>4</v>
      </c>
      <c r="D524" s="101">
        <v>8</v>
      </c>
      <c r="E524" s="101">
        <v>5</v>
      </c>
      <c r="F524" s="101">
        <v>4</v>
      </c>
      <c r="G524" s="101">
        <v>47</v>
      </c>
      <c r="H524" s="101">
        <v>15</v>
      </c>
      <c r="I524" s="101">
        <v>3</v>
      </c>
      <c r="J524" s="102">
        <v>0.65</v>
      </c>
      <c r="K524" s="102">
        <v>1.82</v>
      </c>
      <c r="L524" s="101">
        <v>15.6</v>
      </c>
      <c r="M524" s="101">
        <v>0.8</v>
      </c>
      <c r="N524" s="101" t="s">
        <v>957</v>
      </c>
      <c r="O524" s="101">
        <v>2005</v>
      </c>
      <c r="P524" s="101" t="s">
        <v>742</v>
      </c>
      <c r="Q524" s="101">
        <v>384107</v>
      </c>
      <c r="R524" t="s">
        <v>894</v>
      </c>
      <c r="S524" t="s">
        <v>114</v>
      </c>
      <c r="T524"/>
      <c r="U524"/>
      <c r="V524"/>
      <c r="W524" s="223"/>
    </row>
    <row r="525" spans="1:23" x14ac:dyDescent="0.2">
      <c r="A525" s="253" t="s">
        <v>895</v>
      </c>
      <c r="B525" s="101">
        <v>2</v>
      </c>
      <c r="C525" s="101">
        <v>2</v>
      </c>
      <c r="D525" s="101">
        <v>2</v>
      </c>
      <c r="E525" s="101">
        <v>-2</v>
      </c>
      <c r="F525" s="101">
        <v>-1</v>
      </c>
      <c r="G525" s="101">
        <v>40</v>
      </c>
      <c r="H525" s="101">
        <v>0</v>
      </c>
      <c r="I525" s="101">
        <v>0</v>
      </c>
      <c r="J525" s="102">
        <v>0.65</v>
      </c>
      <c r="K525" s="102">
        <v>1.82</v>
      </c>
      <c r="L525" s="101">
        <v>10.4</v>
      </c>
      <c r="M525" s="101">
        <v>1.1000000000000001</v>
      </c>
      <c r="N525" s="101" t="s">
        <v>955</v>
      </c>
      <c r="O525" s="101">
        <v>2005</v>
      </c>
      <c r="P525" s="101" t="s">
        <v>742</v>
      </c>
      <c r="Q525" s="101">
        <v>666495</v>
      </c>
      <c r="R525" t="s">
        <v>894</v>
      </c>
      <c r="S525" t="s">
        <v>49</v>
      </c>
      <c r="T525"/>
      <c r="U525"/>
      <c r="V525"/>
      <c r="W525" s="223"/>
    </row>
    <row r="526" spans="1:23" x14ac:dyDescent="0.2">
      <c r="A526" s="253" t="s">
        <v>147</v>
      </c>
      <c r="B526" s="101">
        <v>3</v>
      </c>
      <c r="C526" s="101">
        <v>3</v>
      </c>
      <c r="D526" s="101">
        <v>10</v>
      </c>
      <c r="E526" s="101">
        <v>7</v>
      </c>
      <c r="F526" s="101">
        <v>3</v>
      </c>
      <c r="G526" s="101">
        <v>25</v>
      </c>
      <c r="H526" s="101">
        <v>-3</v>
      </c>
      <c r="I526" s="101">
        <v>-1</v>
      </c>
      <c r="J526" s="102">
        <v>0.65</v>
      </c>
      <c r="K526" s="102">
        <v>1.82</v>
      </c>
      <c r="L526" s="101">
        <v>12.6</v>
      </c>
      <c r="M526" s="101">
        <v>0.5</v>
      </c>
      <c r="N526" s="101" t="s">
        <v>957</v>
      </c>
      <c r="O526" s="101">
        <v>2005</v>
      </c>
      <c r="P526" s="101" t="s">
        <v>742</v>
      </c>
      <c r="Q526" s="101">
        <v>563254</v>
      </c>
      <c r="R526" t="s">
        <v>894</v>
      </c>
      <c r="S526" t="s">
        <v>114</v>
      </c>
      <c r="T526"/>
      <c r="U526"/>
      <c r="V526"/>
      <c r="W526" s="223"/>
    </row>
    <row r="527" spans="1:23" x14ac:dyDescent="0.2">
      <c r="A527" s="253" t="s">
        <v>1016</v>
      </c>
      <c r="B527" s="101">
        <v>6</v>
      </c>
      <c r="C527" s="101">
        <v>6</v>
      </c>
      <c r="D527" s="101">
        <v>2</v>
      </c>
      <c r="E527" s="101">
        <v>-13</v>
      </c>
      <c r="F527" s="101">
        <v>-15</v>
      </c>
      <c r="G527" s="101">
        <v>69</v>
      </c>
      <c r="H527" s="101">
        <v>-12</v>
      </c>
      <c r="I527" s="101">
        <v>-3</v>
      </c>
      <c r="J527" s="102">
        <v>0.65</v>
      </c>
      <c r="K527" s="102">
        <v>1.7</v>
      </c>
      <c r="L527" s="101">
        <v>23.7</v>
      </c>
      <c r="M527" s="101">
        <v>0.9</v>
      </c>
      <c r="N527" s="101" t="s">
        <v>956</v>
      </c>
      <c r="O527" s="101">
        <v>2005</v>
      </c>
      <c r="P527" s="101" t="s">
        <v>742</v>
      </c>
      <c r="Q527" s="101">
        <v>373183</v>
      </c>
      <c r="R527" t="s">
        <v>868</v>
      </c>
      <c r="S527" t="s">
        <v>268</v>
      </c>
      <c r="T527" t="s">
        <v>953</v>
      </c>
      <c r="U527"/>
      <c r="V527"/>
      <c r="W527" s="223"/>
    </row>
    <row r="528" spans="1:23" x14ac:dyDescent="0.2">
      <c r="A528" s="253" t="s">
        <v>215</v>
      </c>
      <c r="B528" s="101">
        <v>2</v>
      </c>
      <c r="C528" s="101">
        <v>2</v>
      </c>
      <c r="D528" s="101">
        <v>-1</v>
      </c>
      <c r="E528" s="101">
        <v>-7</v>
      </c>
      <c r="F528" s="101">
        <v>-7</v>
      </c>
      <c r="G528" s="101">
        <v>19</v>
      </c>
      <c r="H528" s="101">
        <v>-32</v>
      </c>
      <c r="I528" s="101">
        <v>-7</v>
      </c>
      <c r="J528" s="102">
        <v>0.65</v>
      </c>
      <c r="K528" s="102">
        <v>1.58</v>
      </c>
      <c r="L528" s="101">
        <v>12</v>
      </c>
      <c r="M528" s="101">
        <v>0.5</v>
      </c>
      <c r="N528" s="101" t="s">
        <v>955</v>
      </c>
      <c r="O528" s="101">
        <v>2003</v>
      </c>
      <c r="P528" s="101" t="s">
        <v>742</v>
      </c>
      <c r="Q528" s="101">
        <v>810465</v>
      </c>
      <c r="R528" t="s">
        <v>490</v>
      </c>
      <c r="S528" t="s">
        <v>49</v>
      </c>
      <c r="T528" t="s">
        <v>953</v>
      </c>
      <c r="U528"/>
      <c r="V528"/>
      <c r="W528" s="223"/>
    </row>
    <row r="529" spans="1:23" x14ac:dyDescent="0.2">
      <c r="A529" s="253" t="s">
        <v>186</v>
      </c>
      <c r="B529" s="101">
        <v>2</v>
      </c>
      <c r="C529" s="101">
        <v>2</v>
      </c>
      <c r="D529" s="101">
        <v>1</v>
      </c>
      <c r="E529" s="101">
        <v>-6</v>
      </c>
      <c r="F529" s="101">
        <v>-3</v>
      </c>
      <c r="G529" s="101">
        <v>25</v>
      </c>
      <c r="H529" s="101">
        <v>-39</v>
      </c>
      <c r="I529" s="101">
        <v>-10</v>
      </c>
      <c r="J529" s="102">
        <v>0.65</v>
      </c>
      <c r="K529" s="102">
        <v>1.57</v>
      </c>
      <c r="L529" s="101">
        <v>14</v>
      </c>
      <c r="M529" s="101">
        <v>0.6</v>
      </c>
      <c r="N529" s="101" t="s">
        <v>955</v>
      </c>
      <c r="O529" s="101">
        <v>2008</v>
      </c>
      <c r="P529" s="101" t="s">
        <v>742</v>
      </c>
      <c r="Q529" s="101">
        <v>188482</v>
      </c>
      <c r="R529" t="s">
        <v>882</v>
      </c>
      <c r="S529" t="s">
        <v>49</v>
      </c>
      <c r="T529"/>
      <c r="U529"/>
      <c r="V529"/>
      <c r="W529" s="223"/>
    </row>
    <row r="530" spans="1:23" x14ac:dyDescent="0.2">
      <c r="A530" s="253" t="s">
        <v>946</v>
      </c>
      <c r="B530" s="101">
        <v>8</v>
      </c>
      <c r="C530" s="101">
        <v>8</v>
      </c>
      <c r="D530" s="101">
        <v>10</v>
      </c>
      <c r="E530" s="101">
        <v>-2</v>
      </c>
      <c r="F530" s="101">
        <v>-7</v>
      </c>
      <c r="G530" s="101">
        <v>57</v>
      </c>
      <c r="H530" s="101"/>
      <c r="I530" s="101"/>
      <c r="J530" s="102">
        <v>0.65</v>
      </c>
      <c r="K530" s="102">
        <v>2.21</v>
      </c>
      <c r="L530" s="101">
        <v>21.7</v>
      </c>
      <c r="M530" s="101">
        <v>0.8</v>
      </c>
      <c r="N530" s="101" t="s">
        <v>955</v>
      </c>
      <c r="O530" s="101">
        <v>2008</v>
      </c>
      <c r="P530" s="101" t="s">
        <v>742</v>
      </c>
      <c r="Q530" s="101">
        <v>123497</v>
      </c>
      <c r="R530" t="s">
        <v>450</v>
      </c>
      <c r="S530" t="s">
        <v>416</v>
      </c>
      <c r="T530"/>
      <c r="U530"/>
      <c r="V530"/>
      <c r="W530" s="223"/>
    </row>
    <row r="531" spans="1:23" x14ac:dyDescent="0.2">
      <c r="A531" s="253" t="s">
        <v>1069</v>
      </c>
      <c r="B531" s="101">
        <v>3</v>
      </c>
      <c r="C531" s="101">
        <v>3</v>
      </c>
      <c r="D531" s="101">
        <v>2</v>
      </c>
      <c r="E531" s="101"/>
      <c r="F531" s="101"/>
      <c r="G531" s="101"/>
      <c r="H531" s="101"/>
      <c r="I531" s="101"/>
      <c r="J531" s="102">
        <v>0.65</v>
      </c>
      <c r="K531" s="102">
        <v>2</v>
      </c>
      <c r="L531" s="101"/>
      <c r="M531" s="101"/>
      <c r="N531" s="101" t="s">
        <v>952</v>
      </c>
      <c r="O531" s="101">
        <v>2011</v>
      </c>
      <c r="P531" s="101" t="s">
        <v>742</v>
      </c>
      <c r="Q531" s="101">
        <v>983940</v>
      </c>
      <c r="R531" t="s">
        <v>450</v>
      </c>
      <c r="S531" t="s">
        <v>338</v>
      </c>
      <c r="T531"/>
      <c r="U531"/>
      <c r="V531"/>
      <c r="W531" s="223"/>
    </row>
    <row r="532" spans="1:23" x14ac:dyDescent="0.2">
      <c r="A532" s="253" t="s">
        <v>968</v>
      </c>
      <c r="B532" s="101">
        <v>7</v>
      </c>
      <c r="C532" s="101">
        <v>7</v>
      </c>
      <c r="D532" s="101">
        <v>1</v>
      </c>
      <c r="E532" s="101">
        <v>-10</v>
      </c>
      <c r="F532" s="101"/>
      <c r="G532" s="101"/>
      <c r="H532" s="101"/>
      <c r="I532" s="101"/>
      <c r="J532" s="102">
        <v>0.65</v>
      </c>
      <c r="K532" s="102">
        <v>1.57</v>
      </c>
      <c r="L532" s="101"/>
      <c r="M532" s="101"/>
      <c r="N532" s="101" t="s">
        <v>952</v>
      </c>
      <c r="O532" s="101">
        <v>2011</v>
      </c>
      <c r="P532" s="101" t="s">
        <v>742</v>
      </c>
      <c r="Q532" s="101">
        <v>690636</v>
      </c>
      <c r="R532" t="s">
        <v>411</v>
      </c>
      <c r="S532" t="s">
        <v>735</v>
      </c>
      <c r="T532"/>
      <c r="U532"/>
      <c r="V532"/>
      <c r="W532" s="223"/>
    </row>
    <row r="533" spans="1:23" x14ac:dyDescent="0.2">
      <c r="A533" s="253" t="s">
        <v>178</v>
      </c>
      <c r="B533" s="101">
        <v>2</v>
      </c>
      <c r="C533" s="101">
        <v>2</v>
      </c>
      <c r="D533" s="101">
        <v>6</v>
      </c>
      <c r="E533" s="101">
        <v>-1</v>
      </c>
      <c r="F533" s="101">
        <v>-2</v>
      </c>
      <c r="G533" s="101">
        <v>8</v>
      </c>
      <c r="H533" s="101">
        <v>-2</v>
      </c>
      <c r="I533" s="101">
        <v>0</v>
      </c>
      <c r="J533" s="102">
        <v>0.66</v>
      </c>
      <c r="K533" s="102">
        <v>1.85</v>
      </c>
      <c r="L533" s="101">
        <v>9.4</v>
      </c>
      <c r="M533" s="101">
        <v>0.2</v>
      </c>
      <c r="N533" s="101" t="s">
        <v>957</v>
      </c>
      <c r="O533" s="101">
        <v>2006</v>
      </c>
      <c r="P533" s="101" t="s">
        <v>742</v>
      </c>
      <c r="Q533" s="101">
        <v>717496</v>
      </c>
      <c r="R533" t="s">
        <v>894</v>
      </c>
      <c r="S533" t="s">
        <v>166</v>
      </c>
      <c r="T533"/>
      <c r="U533"/>
      <c r="V533"/>
      <c r="W533" s="223"/>
    </row>
    <row r="534" spans="1:23" x14ac:dyDescent="0.2">
      <c r="A534" s="253" t="s">
        <v>848</v>
      </c>
      <c r="B534" s="101">
        <v>3</v>
      </c>
      <c r="C534" s="101">
        <v>3</v>
      </c>
      <c r="D534" s="101">
        <v>3</v>
      </c>
      <c r="E534" s="101">
        <v>-2</v>
      </c>
      <c r="F534" s="101">
        <v>0</v>
      </c>
      <c r="G534" s="101">
        <v>26</v>
      </c>
      <c r="H534" s="101">
        <v>-10</v>
      </c>
      <c r="I534" s="101">
        <v>-2</v>
      </c>
      <c r="J534" s="102">
        <v>0.66</v>
      </c>
      <c r="K534" s="102">
        <v>1.73</v>
      </c>
      <c r="L534" s="101">
        <v>10.3</v>
      </c>
      <c r="M534" s="101">
        <v>0.8</v>
      </c>
      <c r="N534" s="101" t="s">
        <v>952</v>
      </c>
      <c r="O534" s="101">
        <v>2005</v>
      </c>
      <c r="P534" s="101" t="s">
        <v>742</v>
      </c>
      <c r="Q534" s="101">
        <v>432096</v>
      </c>
      <c r="R534" t="s">
        <v>801</v>
      </c>
      <c r="S534" t="s">
        <v>166</v>
      </c>
      <c r="T534"/>
      <c r="U534"/>
      <c r="V534"/>
      <c r="W534" s="223"/>
    </row>
    <row r="535" spans="1:23" x14ac:dyDescent="0.2">
      <c r="A535" s="253" t="s">
        <v>394</v>
      </c>
      <c r="B535" s="101">
        <v>0</v>
      </c>
      <c r="C535" s="101">
        <v>0</v>
      </c>
      <c r="D535" s="101">
        <v>0</v>
      </c>
      <c r="E535" s="101">
        <v>0</v>
      </c>
      <c r="F535" s="101">
        <v>2</v>
      </c>
      <c r="G535" s="101">
        <v>17</v>
      </c>
      <c r="H535" s="101">
        <v>-13</v>
      </c>
      <c r="I535" s="101">
        <v>-3</v>
      </c>
      <c r="J535" s="102">
        <v>0.66</v>
      </c>
      <c r="K535" s="102">
        <v>1.9</v>
      </c>
      <c r="L535" s="101">
        <v>10.5</v>
      </c>
      <c r="M535" s="101">
        <v>0.5</v>
      </c>
      <c r="N535" s="101" t="s">
        <v>955</v>
      </c>
      <c r="O535" s="101">
        <v>2008</v>
      </c>
      <c r="P535" s="101" t="s">
        <v>742</v>
      </c>
      <c r="Q535" s="101">
        <v>133231</v>
      </c>
      <c r="R535" t="s">
        <v>930</v>
      </c>
      <c r="S535" t="s">
        <v>312</v>
      </c>
      <c r="T535"/>
      <c r="U535"/>
      <c r="V535"/>
      <c r="W535" s="223"/>
    </row>
    <row r="536" spans="1:23" x14ac:dyDescent="0.2">
      <c r="A536" s="253" t="s">
        <v>615</v>
      </c>
      <c r="B536" s="101">
        <v>3</v>
      </c>
      <c r="C536" s="101">
        <v>3</v>
      </c>
      <c r="D536" s="101">
        <v>4</v>
      </c>
      <c r="E536" s="101">
        <v>-2</v>
      </c>
      <c r="F536" s="101">
        <v>-4</v>
      </c>
      <c r="G536" s="101">
        <v>23</v>
      </c>
      <c r="H536" s="101"/>
      <c r="I536" s="101"/>
      <c r="J536" s="102">
        <v>0.66</v>
      </c>
      <c r="K536" s="102">
        <v>2.02</v>
      </c>
      <c r="L536" s="101">
        <v>18.2</v>
      </c>
      <c r="M536" s="101">
        <v>0.5</v>
      </c>
      <c r="N536" s="101" t="s">
        <v>952</v>
      </c>
      <c r="O536" s="101">
        <v>2007</v>
      </c>
      <c r="P536" s="101" t="s">
        <v>867</v>
      </c>
      <c r="Q536" s="101">
        <v>324541</v>
      </c>
      <c r="R536" t="s">
        <v>425</v>
      </c>
      <c r="S536" t="s">
        <v>166</v>
      </c>
      <c r="T536"/>
      <c r="U536"/>
      <c r="V536"/>
      <c r="W536" s="223"/>
    </row>
    <row r="537" spans="1:23" x14ac:dyDescent="0.2">
      <c r="A537" s="253" t="s">
        <v>191</v>
      </c>
      <c r="B537" s="101">
        <v>8</v>
      </c>
      <c r="C537" s="101">
        <v>8</v>
      </c>
      <c r="D537" s="101">
        <v>7</v>
      </c>
      <c r="E537" s="101">
        <v>-3</v>
      </c>
      <c r="F537" s="101">
        <v>-2</v>
      </c>
      <c r="G537" s="101">
        <v>57</v>
      </c>
      <c r="H537" s="101">
        <v>13</v>
      </c>
      <c r="I537" s="101">
        <v>3</v>
      </c>
      <c r="J537" s="102">
        <v>0.67</v>
      </c>
      <c r="K537" s="102">
        <v>1.9</v>
      </c>
      <c r="L537" s="101">
        <v>17.5</v>
      </c>
      <c r="M537" s="101">
        <v>0.9</v>
      </c>
      <c r="N537" s="101" t="s">
        <v>957</v>
      </c>
      <c r="O537" s="101">
        <v>2000</v>
      </c>
      <c r="P537" s="101" t="s">
        <v>742</v>
      </c>
      <c r="Q537" s="101">
        <v>305243</v>
      </c>
      <c r="R537" t="s">
        <v>899</v>
      </c>
      <c r="S537" t="s">
        <v>183</v>
      </c>
      <c r="T537"/>
      <c r="U537"/>
      <c r="V537"/>
      <c r="W537" s="223"/>
    </row>
    <row r="538" spans="1:23" x14ac:dyDescent="0.2">
      <c r="A538" s="253" t="s">
        <v>165</v>
      </c>
      <c r="B538" s="101">
        <v>7</v>
      </c>
      <c r="C538" s="101">
        <v>7</v>
      </c>
      <c r="D538" s="101">
        <v>5</v>
      </c>
      <c r="E538" s="101">
        <v>-13</v>
      </c>
      <c r="F538" s="101">
        <v>-14</v>
      </c>
      <c r="G538" s="101">
        <v>27</v>
      </c>
      <c r="H538" s="101">
        <v>11</v>
      </c>
      <c r="I538" s="101">
        <v>2</v>
      </c>
      <c r="J538" s="102">
        <v>0.67</v>
      </c>
      <c r="K538" s="102">
        <v>1.9</v>
      </c>
      <c r="L538" s="101">
        <v>22.1</v>
      </c>
      <c r="M538" s="101">
        <v>0.4</v>
      </c>
      <c r="N538" s="101" t="s">
        <v>957</v>
      </c>
      <c r="O538" s="101">
        <v>2000</v>
      </c>
      <c r="P538" s="101" t="s">
        <v>742</v>
      </c>
      <c r="Q538" s="101">
        <v>233585</v>
      </c>
      <c r="R538" t="s">
        <v>899</v>
      </c>
      <c r="S538" t="s">
        <v>416</v>
      </c>
      <c r="T538"/>
      <c r="U538"/>
      <c r="V538"/>
      <c r="W538" s="223"/>
    </row>
    <row r="539" spans="1:23" x14ac:dyDescent="0.2">
      <c r="A539" s="253" t="s">
        <v>911</v>
      </c>
      <c r="B539" s="101">
        <v>0</v>
      </c>
      <c r="C539" s="101">
        <v>0</v>
      </c>
      <c r="D539" s="101">
        <v>0</v>
      </c>
      <c r="E539" s="101">
        <v>0</v>
      </c>
      <c r="F539" s="101">
        <v>-2</v>
      </c>
      <c r="G539" s="101">
        <v>59</v>
      </c>
      <c r="H539" s="101">
        <v>12</v>
      </c>
      <c r="I539" s="101">
        <v>2</v>
      </c>
      <c r="J539" s="102">
        <v>0.67</v>
      </c>
      <c r="K539" s="102">
        <v>1.95</v>
      </c>
      <c r="L539" s="101">
        <v>14.6</v>
      </c>
      <c r="M539" s="101">
        <v>1</v>
      </c>
      <c r="N539" s="101" t="s">
        <v>957</v>
      </c>
      <c r="O539" s="101">
        <v>2008</v>
      </c>
      <c r="P539" s="101" t="s">
        <v>742</v>
      </c>
      <c r="Q539" s="101">
        <v>883835</v>
      </c>
      <c r="R539" t="s">
        <v>63</v>
      </c>
      <c r="S539" t="s">
        <v>150</v>
      </c>
      <c r="T539"/>
      <c r="U539"/>
      <c r="V539"/>
      <c r="W539" s="223"/>
    </row>
    <row r="540" spans="1:23" x14ac:dyDescent="0.2">
      <c r="A540" s="253" t="s">
        <v>180</v>
      </c>
      <c r="B540" s="101">
        <v>0</v>
      </c>
      <c r="C540" s="101">
        <v>0</v>
      </c>
      <c r="D540" s="101">
        <v>0</v>
      </c>
      <c r="E540" s="101">
        <v>0</v>
      </c>
      <c r="F540" s="101">
        <v>-4</v>
      </c>
      <c r="G540" s="101">
        <v>23</v>
      </c>
      <c r="H540" s="101">
        <v>-22</v>
      </c>
      <c r="I540" s="101">
        <v>-5</v>
      </c>
      <c r="J540" s="102">
        <v>0.67</v>
      </c>
      <c r="K540" s="102">
        <v>1.95</v>
      </c>
      <c r="L540" s="101">
        <v>11.1</v>
      </c>
      <c r="M540" s="101">
        <v>0.6</v>
      </c>
      <c r="N540" s="101" t="s">
        <v>957</v>
      </c>
      <c r="O540" s="101">
        <v>2000</v>
      </c>
      <c r="P540" s="101" t="s">
        <v>742</v>
      </c>
      <c r="Q540" s="101">
        <v>113340</v>
      </c>
      <c r="R540" t="s">
        <v>63</v>
      </c>
      <c r="S540" t="s">
        <v>166</v>
      </c>
      <c r="T540"/>
      <c r="U540"/>
      <c r="V540"/>
      <c r="W540" s="223"/>
    </row>
    <row r="541" spans="1:23" x14ac:dyDescent="0.2">
      <c r="A541" s="253" t="s">
        <v>261</v>
      </c>
      <c r="B541" s="101">
        <v>2</v>
      </c>
      <c r="C541" s="101">
        <v>2</v>
      </c>
      <c r="D541" s="101">
        <v>6</v>
      </c>
      <c r="E541" s="101">
        <v>-4</v>
      </c>
      <c r="F541" s="101">
        <v>-10</v>
      </c>
      <c r="G541" s="101">
        <v>-6</v>
      </c>
      <c r="H541" s="101">
        <v>-35</v>
      </c>
      <c r="I541" s="101">
        <v>-8</v>
      </c>
      <c r="J541" s="102">
        <v>0.67</v>
      </c>
      <c r="K541" s="102">
        <v>1.9</v>
      </c>
      <c r="L541" s="101">
        <v>16.2</v>
      </c>
      <c r="M541" s="101">
        <v>-0.1</v>
      </c>
      <c r="N541" s="101" t="s">
        <v>963</v>
      </c>
      <c r="O541" s="101">
        <v>2000</v>
      </c>
      <c r="P541" s="101" t="s">
        <v>742</v>
      </c>
      <c r="Q541" s="101">
        <v>275495</v>
      </c>
      <c r="R541" t="s">
        <v>899</v>
      </c>
      <c r="S541" t="s">
        <v>254</v>
      </c>
      <c r="T541"/>
      <c r="U541"/>
      <c r="V541"/>
      <c r="W541" s="223"/>
    </row>
    <row r="542" spans="1:23" x14ac:dyDescent="0.2">
      <c r="A542" s="253" t="s">
        <v>24</v>
      </c>
      <c r="B542" s="101">
        <v>12</v>
      </c>
      <c r="C542" s="101">
        <v>12</v>
      </c>
      <c r="D542" s="101">
        <v>6</v>
      </c>
      <c r="E542" s="101">
        <v>-11</v>
      </c>
      <c r="F542" s="101">
        <v>-24</v>
      </c>
      <c r="G542" s="101"/>
      <c r="H542" s="101"/>
      <c r="I542" s="101"/>
      <c r="J542" s="102">
        <v>0.67</v>
      </c>
      <c r="K542" s="102">
        <v>2.0009260000000002</v>
      </c>
      <c r="L542" s="101"/>
      <c r="M542" s="101"/>
      <c r="N542" s="101" t="s">
        <v>952</v>
      </c>
      <c r="O542" s="101">
        <v>2010</v>
      </c>
      <c r="P542" s="101" t="s">
        <v>867</v>
      </c>
      <c r="Q542" s="101">
        <v>293498</v>
      </c>
      <c r="R542" t="s">
        <v>932</v>
      </c>
      <c r="S542" t="s">
        <v>150</v>
      </c>
      <c r="T542"/>
      <c r="U542"/>
      <c r="V542"/>
      <c r="W542" s="223"/>
    </row>
    <row r="543" spans="1:23" x14ac:dyDescent="0.2">
      <c r="A543" s="253" t="s">
        <v>1019</v>
      </c>
      <c r="B543" s="101">
        <v>12</v>
      </c>
      <c r="C543" s="101">
        <v>12</v>
      </c>
      <c r="D543" s="101">
        <v>9</v>
      </c>
      <c r="E543" s="101">
        <v>-3</v>
      </c>
      <c r="F543" s="101">
        <v>-9</v>
      </c>
      <c r="G543" s="101"/>
      <c r="H543" s="101"/>
      <c r="I543" s="101"/>
      <c r="J543" s="102">
        <v>0.67</v>
      </c>
      <c r="K543" s="102">
        <v>1.7601960000000001</v>
      </c>
      <c r="L543" s="101"/>
      <c r="M543" s="101"/>
      <c r="N543" s="101" t="s">
        <v>952</v>
      </c>
      <c r="O543" s="101">
        <v>2009</v>
      </c>
      <c r="P543" s="101" t="s">
        <v>867</v>
      </c>
      <c r="Q543" s="101">
        <v>741694</v>
      </c>
      <c r="R543" t="s">
        <v>974</v>
      </c>
      <c r="S543" t="s">
        <v>837</v>
      </c>
      <c r="T543"/>
      <c r="U543"/>
      <c r="V543"/>
      <c r="W543" s="223"/>
    </row>
    <row r="544" spans="1:23" x14ac:dyDescent="0.2">
      <c r="A544" s="253" t="s">
        <v>366</v>
      </c>
      <c r="B544" s="101">
        <v>0</v>
      </c>
      <c r="C544" s="101">
        <v>0</v>
      </c>
      <c r="D544" s="101">
        <v>3</v>
      </c>
      <c r="E544" s="101">
        <v>-8</v>
      </c>
      <c r="F544" s="101"/>
      <c r="G544" s="101"/>
      <c r="H544" s="101"/>
      <c r="I544" s="101"/>
      <c r="J544" s="102">
        <v>0.67</v>
      </c>
      <c r="K544" s="102">
        <v>1.95</v>
      </c>
      <c r="L544" s="101"/>
      <c r="M544" s="101"/>
      <c r="N544" s="101" t="s">
        <v>963</v>
      </c>
      <c r="O544" s="101">
        <v>2011</v>
      </c>
      <c r="P544" s="101" t="s">
        <v>742</v>
      </c>
      <c r="Q544" s="101">
        <v>269175</v>
      </c>
      <c r="R544" t="s">
        <v>930</v>
      </c>
      <c r="S544" t="s">
        <v>254</v>
      </c>
      <c r="T544"/>
      <c r="U544"/>
      <c r="V544"/>
      <c r="W544" s="223"/>
    </row>
    <row r="545" spans="1:23" x14ac:dyDescent="0.2">
      <c r="A545" s="253" t="s">
        <v>1099</v>
      </c>
      <c r="B545" s="101">
        <v>11</v>
      </c>
      <c r="C545" s="101">
        <v>11</v>
      </c>
      <c r="D545" s="101"/>
      <c r="E545" s="101"/>
      <c r="F545" s="101"/>
      <c r="G545" s="101"/>
      <c r="H545" s="101"/>
      <c r="I545" s="101"/>
      <c r="J545" s="102">
        <v>0.67</v>
      </c>
      <c r="K545" s="102">
        <v>1.75</v>
      </c>
      <c r="L545" s="101"/>
      <c r="M545" s="101"/>
      <c r="N545" s="101" t="s">
        <v>952</v>
      </c>
      <c r="O545" s="101">
        <v>2011</v>
      </c>
      <c r="P545" s="101" t="s">
        <v>867</v>
      </c>
      <c r="Q545" s="101">
        <v>320176</v>
      </c>
      <c r="R545" t="s">
        <v>974</v>
      </c>
      <c r="S545" t="s">
        <v>312</v>
      </c>
      <c r="T545"/>
      <c r="U545"/>
      <c r="V545"/>
      <c r="W545" s="223"/>
    </row>
    <row r="546" spans="1:23" x14ac:dyDescent="0.2">
      <c r="A546" s="253" t="s">
        <v>199</v>
      </c>
      <c r="B546" s="101">
        <v>14</v>
      </c>
      <c r="C546" s="101">
        <v>14</v>
      </c>
      <c r="D546" s="101">
        <v>-2</v>
      </c>
      <c r="E546" s="101">
        <v>-11</v>
      </c>
      <c r="F546" s="101">
        <v>-8</v>
      </c>
      <c r="G546" s="101">
        <v>55</v>
      </c>
      <c r="H546" s="101">
        <v>26</v>
      </c>
      <c r="I546" s="101">
        <v>5</v>
      </c>
      <c r="J546" s="102">
        <v>0.68</v>
      </c>
      <c r="K546" s="102">
        <v>1.91</v>
      </c>
      <c r="L546" s="101">
        <v>23.3</v>
      </c>
      <c r="M546" s="101">
        <v>0.7</v>
      </c>
      <c r="N546" s="101" t="s">
        <v>957</v>
      </c>
      <c r="O546" s="101">
        <v>2007</v>
      </c>
      <c r="P546" s="101" t="s">
        <v>742</v>
      </c>
      <c r="Q546" s="101">
        <v>170894</v>
      </c>
      <c r="R546" t="s">
        <v>894</v>
      </c>
      <c r="S546" t="s">
        <v>150</v>
      </c>
      <c r="T546"/>
      <c r="U546"/>
      <c r="V546"/>
      <c r="W546" s="223"/>
    </row>
    <row r="547" spans="1:23" x14ac:dyDescent="0.2">
      <c r="A547" s="253" t="s">
        <v>184</v>
      </c>
      <c r="B547" s="101">
        <v>8</v>
      </c>
      <c r="C547" s="101">
        <v>8</v>
      </c>
      <c r="D547" s="101">
        <v>5</v>
      </c>
      <c r="E547" s="101">
        <v>-7</v>
      </c>
      <c r="F547" s="101">
        <v>-9</v>
      </c>
      <c r="G547" s="101">
        <v>52</v>
      </c>
      <c r="H547" s="101">
        <v>22</v>
      </c>
      <c r="I547" s="101">
        <v>4</v>
      </c>
      <c r="J547" s="102">
        <v>0.68</v>
      </c>
      <c r="K547" s="102">
        <v>2.02</v>
      </c>
      <c r="L547" s="101">
        <v>18.8</v>
      </c>
      <c r="M547" s="101">
        <v>0.8</v>
      </c>
      <c r="N547" s="101" t="s">
        <v>957</v>
      </c>
      <c r="O547" s="101">
        <v>2000</v>
      </c>
      <c r="P547" s="101" t="s">
        <v>742</v>
      </c>
      <c r="Q547" s="101">
        <v>191080</v>
      </c>
      <c r="R547" t="s">
        <v>403</v>
      </c>
      <c r="S547" t="s">
        <v>183</v>
      </c>
      <c r="T547"/>
      <c r="U547"/>
      <c r="V547"/>
      <c r="W547" s="223"/>
    </row>
    <row r="548" spans="1:23" x14ac:dyDescent="0.2">
      <c r="A548" s="253" t="s">
        <v>1100</v>
      </c>
      <c r="B548" s="101">
        <v>8</v>
      </c>
      <c r="C548" s="101">
        <v>8</v>
      </c>
      <c r="D548" s="101">
        <v>4</v>
      </c>
      <c r="E548" s="101">
        <v>-8</v>
      </c>
      <c r="F548" s="101">
        <v>-9</v>
      </c>
      <c r="G548" s="101">
        <v>46</v>
      </c>
      <c r="H548" s="101">
        <v>5</v>
      </c>
      <c r="I548" s="101">
        <v>1</v>
      </c>
      <c r="J548" s="102">
        <v>0.68</v>
      </c>
      <c r="K548" s="102">
        <v>1.978</v>
      </c>
      <c r="L548" s="101">
        <v>16.8</v>
      </c>
      <c r="M548" s="101">
        <v>0.8</v>
      </c>
      <c r="N548" s="101" t="s">
        <v>952</v>
      </c>
      <c r="O548" s="101">
        <v>2000</v>
      </c>
      <c r="P548" s="101" t="s">
        <v>742</v>
      </c>
      <c r="Q548" s="101">
        <v>819029</v>
      </c>
      <c r="R548" t="s">
        <v>1083</v>
      </c>
      <c r="S548" t="s">
        <v>183</v>
      </c>
      <c r="T548"/>
      <c r="U548"/>
      <c r="V548"/>
      <c r="W548" s="223"/>
    </row>
    <row r="549" spans="1:23" x14ac:dyDescent="0.2">
      <c r="A549" s="253" t="s">
        <v>357</v>
      </c>
      <c r="B549" s="101">
        <v>2</v>
      </c>
      <c r="C549" s="101">
        <v>2</v>
      </c>
      <c r="D549" s="101">
        <v>0</v>
      </c>
      <c r="E549" s="101">
        <v>-5</v>
      </c>
      <c r="F549" s="101">
        <v>-6</v>
      </c>
      <c r="G549" s="101">
        <v>8</v>
      </c>
      <c r="H549" s="101">
        <v>5</v>
      </c>
      <c r="I549" s="101">
        <v>1</v>
      </c>
      <c r="J549" s="102">
        <v>0.68</v>
      </c>
      <c r="K549" s="102">
        <v>1.83</v>
      </c>
      <c r="L549" s="101">
        <v>8.1999999999999993</v>
      </c>
      <c r="M549" s="101">
        <v>0.3</v>
      </c>
      <c r="N549" s="101" t="s">
        <v>955</v>
      </c>
      <c r="O549" s="101">
        <v>2001</v>
      </c>
      <c r="P549" s="101" t="s">
        <v>742</v>
      </c>
      <c r="Q549" s="101">
        <v>657460</v>
      </c>
      <c r="R549" t="s">
        <v>880</v>
      </c>
      <c r="S549" t="s">
        <v>338</v>
      </c>
      <c r="T549"/>
      <c r="U549"/>
      <c r="V549"/>
      <c r="W549" s="223"/>
    </row>
    <row r="550" spans="1:23" x14ac:dyDescent="0.2">
      <c r="A550" s="253" t="s">
        <v>318</v>
      </c>
      <c r="B550" s="101">
        <v>10</v>
      </c>
      <c r="C550" s="101">
        <v>10</v>
      </c>
      <c r="D550" s="101">
        <v>3</v>
      </c>
      <c r="E550" s="101">
        <v>-9</v>
      </c>
      <c r="F550" s="101">
        <v>-9</v>
      </c>
      <c r="G550" s="101">
        <v>38</v>
      </c>
      <c r="H550" s="101">
        <v>-9</v>
      </c>
      <c r="I550" s="101">
        <v>-2</v>
      </c>
      <c r="J550" s="102">
        <v>0.68</v>
      </c>
      <c r="K550" s="102">
        <v>2.02</v>
      </c>
      <c r="L550" s="101">
        <v>20.5</v>
      </c>
      <c r="M550" s="101">
        <v>0.6</v>
      </c>
      <c r="N550" s="101" t="s">
        <v>957</v>
      </c>
      <c r="O550" s="101">
        <v>2000</v>
      </c>
      <c r="P550" s="101" t="s">
        <v>742</v>
      </c>
      <c r="Q550" s="101">
        <v>262741</v>
      </c>
      <c r="R550" t="s">
        <v>403</v>
      </c>
      <c r="S550" t="s">
        <v>312</v>
      </c>
      <c r="T550"/>
      <c r="U550"/>
      <c r="V550"/>
      <c r="W550" s="223"/>
    </row>
    <row r="551" spans="1:23" x14ac:dyDescent="0.2">
      <c r="A551" s="253" t="s">
        <v>679</v>
      </c>
      <c r="B551" s="101">
        <v>0</v>
      </c>
      <c r="C551" s="101">
        <v>0</v>
      </c>
      <c r="D551" s="101">
        <v>0</v>
      </c>
      <c r="E551" s="101">
        <v>0</v>
      </c>
      <c r="F551" s="101">
        <v>-9</v>
      </c>
      <c r="G551" s="101">
        <v>10</v>
      </c>
      <c r="H551" s="101">
        <v>-12</v>
      </c>
      <c r="I551" s="101">
        <v>-2</v>
      </c>
      <c r="J551" s="102">
        <v>0.68</v>
      </c>
      <c r="K551" s="102">
        <v>2</v>
      </c>
      <c r="L551" s="101">
        <v>15.6</v>
      </c>
      <c r="M551" s="101">
        <v>0.2</v>
      </c>
      <c r="N551" s="101" t="s">
        <v>963</v>
      </c>
      <c r="O551" s="101">
        <v>2008</v>
      </c>
      <c r="P551" s="101" t="s">
        <v>742</v>
      </c>
      <c r="Q551" s="101">
        <v>955492</v>
      </c>
      <c r="R551" t="s">
        <v>63</v>
      </c>
      <c r="S551" t="s">
        <v>254</v>
      </c>
      <c r="T551"/>
      <c r="U551"/>
      <c r="V551"/>
      <c r="W551" s="223"/>
    </row>
    <row r="552" spans="1:23" x14ac:dyDescent="0.2">
      <c r="A552" s="253" t="s">
        <v>59</v>
      </c>
      <c r="B552" s="101">
        <v>4</v>
      </c>
      <c r="C552" s="101">
        <v>4</v>
      </c>
      <c r="D552" s="101">
        <v>2</v>
      </c>
      <c r="E552" s="101">
        <v>-7</v>
      </c>
      <c r="F552" s="101">
        <v>-9</v>
      </c>
      <c r="G552" s="101">
        <v>25</v>
      </c>
      <c r="H552" s="101">
        <v>-23</v>
      </c>
      <c r="I552" s="101">
        <v>-5</v>
      </c>
      <c r="J552" s="102">
        <v>0.68</v>
      </c>
      <c r="K552" s="102">
        <v>1.6559999999999999</v>
      </c>
      <c r="L552" s="101">
        <v>14.6</v>
      </c>
      <c r="M552" s="101">
        <v>0.6</v>
      </c>
      <c r="N552" s="101" t="s">
        <v>955</v>
      </c>
      <c r="O552" s="101">
        <v>2001</v>
      </c>
      <c r="P552" s="101" t="s">
        <v>742</v>
      </c>
      <c r="Q552" s="101">
        <v>899773</v>
      </c>
      <c r="R552" t="s">
        <v>140</v>
      </c>
      <c r="S552" t="s">
        <v>49</v>
      </c>
      <c r="T552"/>
      <c r="U552"/>
      <c r="V552"/>
      <c r="W552" s="223"/>
    </row>
    <row r="553" spans="1:23" x14ac:dyDescent="0.2">
      <c r="A553" s="253" t="s">
        <v>255</v>
      </c>
      <c r="B553" s="101">
        <v>3</v>
      </c>
      <c r="C553" s="101">
        <v>3</v>
      </c>
      <c r="D553" s="101">
        <v>7</v>
      </c>
      <c r="E553" s="101">
        <v>2</v>
      </c>
      <c r="F553" s="101">
        <v>3</v>
      </c>
      <c r="G553" s="101">
        <v>0</v>
      </c>
      <c r="H553" s="101">
        <v>-21</v>
      </c>
      <c r="I553" s="101">
        <v>-5</v>
      </c>
      <c r="J553" s="102">
        <v>0.68</v>
      </c>
      <c r="K553" s="102">
        <v>1.65</v>
      </c>
      <c r="L553" s="101">
        <v>17.3</v>
      </c>
      <c r="M553" s="101">
        <v>0</v>
      </c>
      <c r="N553" s="101" t="s">
        <v>963</v>
      </c>
      <c r="O553" s="101">
        <v>2000</v>
      </c>
      <c r="P553" s="101" t="s">
        <v>742</v>
      </c>
      <c r="Q553" s="101">
        <v>652628</v>
      </c>
      <c r="R553" t="s">
        <v>872</v>
      </c>
      <c r="S553" t="s">
        <v>254</v>
      </c>
      <c r="T553"/>
      <c r="U553"/>
      <c r="V553"/>
      <c r="W553" s="223"/>
    </row>
    <row r="554" spans="1:23" x14ac:dyDescent="0.2">
      <c r="A554" s="253" t="s">
        <v>144</v>
      </c>
      <c r="B554" s="101">
        <v>0</v>
      </c>
      <c r="C554" s="101">
        <v>0</v>
      </c>
      <c r="D554" s="101">
        <v>0</v>
      </c>
      <c r="E554" s="101">
        <v>0</v>
      </c>
      <c r="F554" s="101">
        <v>-3</v>
      </c>
      <c r="G554" s="101">
        <v>29</v>
      </c>
      <c r="H554" s="101">
        <v>-29</v>
      </c>
      <c r="I554" s="101">
        <v>-7</v>
      </c>
      <c r="J554" s="102">
        <v>0.68</v>
      </c>
      <c r="K554" s="102">
        <v>2</v>
      </c>
      <c r="L554" s="101">
        <v>13.7</v>
      </c>
      <c r="M554" s="101">
        <v>0.6</v>
      </c>
      <c r="N554" s="101" t="s">
        <v>957</v>
      </c>
      <c r="O554" s="101">
        <v>2006</v>
      </c>
      <c r="P554" s="101" t="s">
        <v>742</v>
      </c>
      <c r="Q554" s="101">
        <v>498261</v>
      </c>
      <c r="R554" t="s">
        <v>63</v>
      </c>
      <c r="S554" t="s">
        <v>114</v>
      </c>
      <c r="T554"/>
      <c r="U554"/>
      <c r="V554"/>
      <c r="W554" s="223"/>
    </row>
    <row r="555" spans="1:23" x14ac:dyDescent="0.2">
      <c r="A555" s="253" t="s">
        <v>97</v>
      </c>
      <c r="B555" s="101">
        <v>4</v>
      </c>
      <c r="C555" s="101">
        <v>4</v>
      </c>
      <c r="D555" s="101">
        <v>-1</v>
      </c>
      <c r="E555" s="101">
        <v>-12</v>
      </c>
      <c r="F555" s="101">
        <v>-16</v>
      </c>
      <c r="G555" s="101">
        <v>9</v>
      </c>
      <c r="H555" s="101">
        <v>-35</v>
      </c>
      <c r="I555" s="101">
        <v>-8</v>
      </c>
      <c r="J555" s="102">
        <v>0.68</v>
      </c>
      <c r="K555" s="102">
        <v>1.649</v>
      </c>
      <c r="L555" s="101">
        <v>17.399999999999999</v>
      </c>
      <c r="M555" s="101">
        <v>0.3</v>
      </c>
      <c r="N555" s="101" t="s">
        <v>955</v>
      </c>
      <c r="O555" s="101">
        <v>2000</v>
      </c>
      <c r="P555" s="101" t="s">
        <v>742</v>
      </c>
      <c r="Q555" s="101">
        <v>848770</v>
      </c>
      <c r="R555" t="s">
        <v>140</v>
      </c>
      <c r="S555" t="s">
        <v>96</v>
      </c>
      <c r="T555"/>
      <c r="U555"/>
      <c r="V555"/>
      <c r="W555" s="223"/>
    </row>
    <row r="556" spans="1:23" x14ac:dyDescent="0.2">
      <c r="A556" s="253" t="s">
        <v>100</v>
      </c>
      <c r="B556" s="101">
        <v>0</v>
      </c>
      <c r="C556" s="101">
        <v>0</v>
      </c>
      <c r="D556" s="101">
        <v>0</v>
      </c>
      <c r="E556" s="101">
        <v>0</v>
      </c>
      <c r="F556" s="101">
        <v>0</v>
      </c>
      <c r="G556" s="101">
        <v>11</v>
      </c>
      <c r="H556" s="101">
        <v>-35</v>
      </c>
      <c r="I556" s="101">
        <v>-8</v>
      </c>
      <c r="J556" s="102">
        <v>0.68</v>
      </c>
      <c r="K556" s="102">
        <v>1.98</v>
      </c>
      <c r="L556" s="101">
        <v>13.8</v>
      </c>
      <c r="M556" s="101">
        <v>0.3</v>
      </c>
      <c r="N556" s="101" t="s">
        <v>955</v>
      </c>
      <c r="O556" s="101">
        <v>2004</v>
      </c>
      <c r="P556" s="101" t="s">
        <v>742</v>
      </c>
      <c r="Q556" s="101">
        <v>454587</v>
      </c>
      <c r="R556" t="s">
        <v>63</v>
      </c>
      <c r="S556" t="s">
        <v>96</v>
      </c>
      <c r="T556"/>
      <c r="U556"/>
      <c r="V556"/>
      <c r="W556" s="223"/>
    </row>
    <row r="557" spans="1:23" x14ac:dyDescent="0.2">
      <c r="A557" s="253" t="s">
        <v>98</v>
      </c>
      <c r="B557" s="101">
        <v>10</v>
      </c>
      <c r="C557" s="101">
        <v>10</v>
      </c>
      <c r="D557" s="101">
        <v>8</v>
      </c>
      <c r="E557" s="101">
        <v>-4</v>
      </c>
      <c r="F557" s="101">
        <v>-11</v>
      </c>
      <c r="G557" s="101">
        <v>86</v>
      </c>
      <c r="H557" s="101"/>
      <c r="I557" s="101"/>
      <c r="J557" s="102">
        <v>0.68</v>
      </c>
      <c r="K557" s="102">
        <v>1.6620600000000001</v>
      </c>
      <c r="L557" s="101">
        <v>19.3</v>
      </c>
      <c r="M557" s="101">
        <v>1.2</v>
      </c>
      <c r="N557" s="101" t="s">
        <v>952</v>
      </c>
      <c r="O557" s="101">
        <v>2007</v>
      </c>
      <c r="P557" s="101" t="s">
        <v>867</v>
      </c>
      <c r="Q557" s="101">
        <v>119891</v>
      </c>
      <c r="R557" t="s">
        <v>728</v>
      </c>
      <c r="S557" t="s">
        <v>781</v>
      </c>
      <c r="T557"/>
      <c r="U557"/>
      <c r="V557"/>
      <c r="W557" s="223"/>
    </row>
    <row r="558" spans="1:23" x14ac:dyDescent="0.2">
      <c r="A558" s="253" t="s">
        <v>660</v>
      </c>
      <c r="B558" s="101">
        <v>8</v>
      </c>
      <c r="C558" s="101">
        <v>8</v>
      </c>
      <c r="D558" s="101">
        <v>2</v>
      </c>
      <c r="E558" s="101">
        <v>1</v>
      </c>
      <c r="F558" s="101">
        <v>7</v>
      </c>
      <c r="G558" s="101">
        <v>51</v>
      </c>
      <c r="H558" s="101">
        <v>61</v>
      </c>
      <c r="I558" s="101">
        <v>10</v>
      </c>
      <c r="J558" s="102">
        <v>0.69</v>
      </c>
      <c r="K558" s="102">
        <v>2.077</v>
      </c>
      <c r="L558" s="101">
        <v>26.9</v>
      </c>
      <c r="M558" s="101">
        <v>0.6</v>
      </c>
      <c r="N558" s="101" t="s">
        <v>957</v>
      </c>
      <c r="O558" s="101">
        <v>2004</v>
      </c>
      <c r="P558" s="101" t="s">
        <v>742</v>
      </c>
      <c r="Q558" s="101">
        <v>338590</v>
      </c>
      <c r="R558" t="s">
        <v>874</v>
      </c>
      <c r="S558" t="s">
        <v>312</v>
      </c>
      <c r="T558"/>
      <c r="U558"/>
      <c r="V558"/>
      <c r="W558" s="223"/>
    </row>
    <row r="559" spans="1:23" x14ac:dyDescent="0.2">
      <c r="A559" s="253" t="s">
        <v>676</v>
      </c>
      <c r="B559" s="101">
        <v>0</v>
      </c>
      <c r="C559" s="101">
        <v>0</v>
      </c>
      <c r="D559" s="101">
        <v>0</v>
      </c>
      <c r="E559" s="101">
        <v>0</v>
      </c>
      <c r="F559" s="101">
        <v>-2</v>
      </c>
      <c r="G559" s="101">
        <v>44</v>
      </c>
      <c r="H559" s="101">
        <v>22</v>
      </c>
      <c r="I559" s="101">
        <v>4</v>
      </c>
      <c r="J559" s="102">
        <v>0.69</v>
      </c>
      <c r="K559" s="102">
        <v>2.02</v>
      </c>
      <c r="L559" s="101">
        <v>20.100000000000001</v>
      </c>
      <c r="M559" s="101">
        <v>0.7</v>
      </c>
      <c r="N559" s="101" t="s">
        <v>957</v>
      </c>
      <c r="O559" s="101">
        <v>2008</v>
      </c>
      <c r="P559" s="101" t="s">
        <v>742</v>
      </c>
      <c r="Q559" s="101">
        <v>772095</v>
      </c>
      <c r="R559" t="s">
        <v>63</v>
      </c>
      <c r="S559" t="s">
        <v>312</v>
      </c>
      <c r="T559"/>
      <c r="U559"/>
      <c r="V559"/>
      <c r="W559" s="223"/>
    </row>
    <row r="560" spans="1:23" x14ac:dyDescent="0.2">
      <c r="A560" s="253" t="s">
        <v>664</v>
      </c>
      <c r="B560" s="101">
        <v>12</v>
      </c>
      <c r="C560" s="101">
        <v>12</v>
      </c>
      <c r="D560" s="101">
        <v>7</v>
      </c>
      <c r="E560" s="101">
        <v>-8</v>
      </c>
      <c r="F560" s="101">
        <v>-11</v>
      </c>
      <c r="G560" s="101">
        <v>84</v>
      </c>
      <c r="H560" s="101">
        <v>19</v>
      </c>
      <c r="I560" s="101">
        <v>4</v>
      </c>
      <c r="J560" s="102">
        <v>0.69</v>
      </c>
      <c r="K560" s="102">
        <v>2.0739999999999998</v>
      </c>
      <c r="L560" s="101">
        <v>27.4</v>
      </c>
      <c r="M560" s="101">
        <v>0.9</v>
      </c>
      <c r="N560" s="101" t="s">
        <v>957</v>
      </c>
      <c r="O560" s="101">
        <v>2004</v>
      </c>
      <c r="P560" s="101" t="s">
        <v>742</v>
      </c>
      <c r="Q560" s="101">
        <v>481911</v>
      </c>
      <c r="R560" t="s">
        <v>874</v>
      </c>
      <c r="S560" t="s">
        <v>312</v>
      </c>
      <c r="T560"/>
      <c r="U560"/>
      <c r="V560"/>
      <c r="W560" s="223"/>
    </row>
    <row r="561" spans="1:23" x14ac:dyDescent="0.2">
      <c r="A561" s="253" t="s">
        <v>1121</v>
      </c>
      <c r="B561" s="101">
        <v>4</v>
      </c>
      <c r="C561" s="101">
        <v>4</v>
      </c>
      <c r="D561" s="101">
        <v>6</v>
      </c>
      <c r="E561" s="101">
        <v>7</v>
      </c>
      <c r="F561" s="101">
        <v>5</v>
      </c>
      <c r="G561" s="101">
        <v>63</v>
      </c>
      <c r="H561" s="101">
        <v>18</v>
      </c>
      <c r="I561" s="101">
        <v>3</v>
      </c>
      <c r="J561" s="102">
        <v>0.69</v>
      </c>
      <c r="K561" s="102">
        <v>2.0299999999999998</v>
      </c>
      <c r="L561" s="101">
        <v>10.9</v>
      </c>
      <c r="M561" s="101">
        <v>1.5</v>
      </c>
      <c r="N561" s="101" t="s">
        <v>957</v>
      </c>
      <c r="O561" s="101">
        <v>2006</v>
      </c>
      <c r="P561" s="101" t="s">
        <v>742</v>
      </c>
      <c r="Q561" s="101">
        <v>848069</v>
      </c>
      <c r="R561" t="s">
        <v>866</v>
      </c>
      <c r="S561" t="s">
        <v>293</v>
      </c>
      <c r="T561"/>
      <c r="U561"/>
      <c r="V561"/>
      <c r="W561" s="223"/>
    </row>
    <row r="562" spans="1:23" x14ac:dyDescent="0.2">
      <c r="A562" s="253" t="s">
        <v>665</v>
      </c>
      <c r="B562" s="101">
        <v>3</v>
      </c>
      <c r="C562" s="101">
        <v>3</v>
      </c>
      <c r="D562" s="101">
        <v>4</v>
      </c>
      <c r="E562" s="101">
        <v>-7</v>
      </c>
      <c r="F562" s="101">
        <v>-8</v>
      </c>
      <c r="G562" s="101">
        <v>19</v>
      </c>
      <c r="H562" s="101">
        <v>8</v>
      </c>
      <c r="I562" s="101">
        <v>2</v>
      </c>
      <c r="J562" s="102">
        <v>0.69</v>
      </c>
      <c r="K562" s="102">
        <v>2.0739999999999998</v>
      </c>
      <c r="L562" s="101">
        <v>18.100000000000001</v>
      </c>
      <c r="M562" s="101">
        <v>0.4</v>
      </c>
      <c r="N562" s="101" t="s">
        <v>957</v>
      </c>
      <c r="O562" s="101">
        <v>2004</v>
      </c>
      <c r="P562" s="101" t="s">
        <v>742</v>
      </c>
      <c r="Q562" s="101">
        <v>517748</v>
      </c>
      <c r="R562" t="s">
        <v>874</v>
      </c>
      <c r="S562" t="s">
        <v>312</v>
      </c>
      <c r="T562"/>
      <c r="U562"/>
      <c r="V562"/>
      <c r="W562" s="223"/>
    </row>
    <row r="563" spans="1:23" x14ac:dyDescent="0.2">
      <c r="A563" s="253" t="s">
        <v>674</v>
      </c>
      <c r="B563" s="101">
        <v>15</v>
      </c>
      <c r="C563" s="101">
        <v>15</v>
      </c>
      <c r="D563" s="101">
        <v>-2</v>
      </c>
      <c r="E563" s="101">
        <v>-14</v>
      </c>
      <c r="F563" s="101">
        <v>-14</v>
      </c>
      <c r="G563" s="101">
        <v>43</v>
      </c>
      <c r="H563" s="101">
        <v>-2</v>
      </c>
      <c r="I563" s="101">
        <v>0</v>
      </c>
      <c r="J563" s="102">
        <v>0.69</v>
      </c>
      <c r="K563" s="102">
        <v>2.052</v>
      </c>
      <c r="L563" s="101">
        <v>25.1</v>
      </c>
      <c r="M563" s="101">
        <v>0.6</v>
      </c>
      <c r="N563" s="101" t="s">
        <v>957</v>
      </c>
      <c r="O563" s="101">
        <v>2006</v>
      </c>
      <c r="P563" s="101" t="s">
        <v>742</v>
      </c>
      <c r="Q563" s="101">
        <v>768499</v>
      </c>
      <c r="R563" t="s">
        <v>874</v>
      </c>
      <c r="S563" t="s">
        <v>150</v>
      </c>
      <c r="T563"/>
      <c r="U563"/>
      <c r="V563"/>
      <c r="W563" s="223"/>
    </row>
    <row r="564" spans="1:23" x14ac:dyDescent="0.2">
      <c r="A564" s="253" t="s">
        <v>168</v>
      </c>
      <c r="B564" s="101">
        <v>6</v>
      </c>
      <c r="C564" s="101">
        <v>6</v>
      </c>
      <c r="D564" s="101">
        <v>7</v>
      </c>
      <c r="E564" s="101">
        <v>2</v>
      </c>
      <c r="F564" s="101">
        <v>-1</v>
      </c>
      <c r="G564" s="101">
        <v>32</v>
      </c>
      <c r="H564" s="101">
        <v>-12</v>
      </c>
      <c r="I564" s="101">
        <v>-2</v>
      </c>
      <c r="J564" s="102">
        <v>0.69</v>
      </c>
      <c r="K564" s="102">
        <v>1.6830000000000001</v>
      </c>
      <c r="L564" s="101">
        <v>12.1</v>
      </c>
      <c r="M564" s="101">
        <v>0.8</v>
      </c>
      <c r="N564" s="101" t="s">
        <v>955</v>
      </c>
      <c r="O564" s="101">
        <v>2002</v>
      </c>
      <c r="P564" s="101" t="s">
        <v>742</v>
      </c>
      <c r="Q564" s="101">
        <v>526897</v>
      </c>
      <c r="R564" t="s">
        <v>140</v>
      </c>
      <c r="S564" t="s">
        <v>166</v>
      </c>
      <c r="T564"/>
      <c r="U564"/>
      <c r="V564"/>
      <c r="W564" s="223"/>
    </row>
    <row r="565" spans="1:23" x14ac:dyDescent="0.2">
      <c r="A565" s="253" t="s">
        <v>982</v>
      </c>
      <c r="B565" s="101">
        <v>9</v>
      </c>
      <c r="C565" s="101">
        <v>9</v>
      </c>
      <c r="D565" s="101">
        <v>2</v>
      </c>
      <c r="E565" s="101">
        <v>-15</v>
      </c>
      <c r="F565" s="101">
        <v>-20</v>
      </c>
      <c r="G565" s="101">
        <v>11</v>
      </c>
      <c r="H565" s="101">
        <v>-24</v>
      </c>
      <c r="I565" s="101">
        <v>-5</v>
      </c>
      <c r="J565" s="102">
        <v>0.69</v>
      </c>
      <c r="K565" s="102">
        <v>1.8</v>
      </c>
      <c r="L565" s="101">
        <v>18.100000000000001</v>
      </c>
      <c r="M565" s="101">
        <v>0.3</v>
      </c>
      <c r="N565" s="101" t="s">
        <v>955</v>
      </c>
      <c r="O565" s="101">
        <v>2008</v>
      </c>
      <c r="P565" s="101" t="s">
        <v>742</v>
      </c>
      <c r="Q565" s="101">
        <v>989491</v>
      </c>
      <c r="R565" t="s">
        <v>520</v>
      </c>
      <c r="S565" t="s">
        <v>166</v>
      </c>
      <c r="T565"/>
      <c r="U565"/>
      <c r="V565"/>
      <c r="W565" s="223"/>
    </row>
    <row r="566" spans="1:23" x14ac:dyDescent="0.2">
      <c r="A566" s="253" t="s">
        <v>235</v>
      </c>
      <c r="B566" s="101">
        <v>14</v>
      </c>
      <c r="C566" s="101">
        <v>14</v>
      </c>
      <c r="D566" s="101">
        <v>3</v>
      </c>
      <c r="E566" s="101">
        <v>-15</v>
      </c>
      <c r="F566" s="101">
        <v>-16</v>
      </c>
      <c r="G566" s="101">
        <v>81</v>
      </c>
      <c r="H566" s="101">
        <v>-22</v>
      </c>
      <c r="I566" s="101">
        <v>-5</v>
      </c>
      <c r="J566" s="102">
        <v>0.69</v>
      </c>
      <c r="K566" s="102">
        <v>2.06</v>
      </c>
      <c r="L566" s="101">
        <v>29.8</v>
      </c>
      <c r="M566" s="101">
        <v>0.8</v>
      </c>
      <c r="N566" s="101" t="s">
        <v>957</v>
      </c>
      <c r="O566" s="101">
        <v>2000</v>
      </c>
      <c r="P566" s="101" t="s">
        <v>742</v>
      </c>
      <c r="Q566" s="101">
        <v>983593</v>
      </c>
      <c r="R566" t="s">
        <v>403</v>
      </c>
      <c r="S566" t="s">
        <v>234</v>
      </c>
      <c r="T566"/>
      <c r="U566"/>
      <c r="V566"/>
      <c r="W566" s="223"/>
    </row>
    <row r="567" spans="1:23" x14ac:dyDescent="0.2">
      <c r="A567" s="253" t="s">
        <v>264</v>
      </c>
      <c r="B567" s="101">
        <v>2</v>
      </c>
      <c r="C567" s="101">
        <v>2</v>
      </c>
      <c r="D567" s="101">
        <v>7</v>
      </c>
      <c r="E567" s="101">
        <v>-2</v>
      </c>
      <c r="F567" s="101">
        <v>-6</v>
      </c>
      <c r="G567" s="101">
        <v>-11</v>
      </c>
      <c r="H567" s="101">
        <v>-40</v>
      </c>
      <c r="I567" s="101">
        <v>-10</v>
      </c>
      <c r="J567" s="102">
        <v>0.69</v>
      </c>
      <c r="K567" s="102">
        <v>1.6839999999999999</v>
      </c>
      <c r="L567" s="101">
        <v>15</v>
      </c>
      <c r="M567" s="101">
        <v>-0.2</v>
      </c>
      <c r="N567" s="101" t="s">
        <v>963</v>
      </c>
      <c r="O567" s="101">
        <v>2000</v>
      </c>
      <c r="P567" s="101" t="s">
        <v>742</v>
      </c>
      <c r="Q567" s="101">
        <v>920439</v>
      </c>
      <c r="R567" t="s">
        <v>140</v>
      </c>
      <c r="S567" t="s">
        <v>254</v>
      </c>
      <c r="T567"/>
      <c r="U567"/>
      <c r="V567"/>
      <c r="W567" s="223"/>
    </row>
    <row r="568" spans="1:23" x14ac:dyDescent="0.2">
      <c r="A568" s="253" t="s">
        <v>667</v>
      </c>
      <c r="B568" s="101">
        <v>2</v>
      </c>
      <c r="C568" s="101">
        <v>2</v>
      </c>
      <c r="D568" s="101">
        <v>3</v>
      </c>
      <c r="E568" s="101">
        <v>-8</v>
      </c>
      <c r="F568" s="101">
        <v>-17</v>
      </c>
      <c r="G568" s="101">
        <v>-26</v>
      </c>
      <c r="H568" s="101">
        <v>-42</v>
      </c>
      <c r="I568" s="101">
        <v>-10</v>
      </c>
      <c r="J568" s="102">
        <v>0.69</v>
      </c>
      <c r="K568" s="102">
        <v>2.0779999999999998</v>
      </c>
      <c r="L568" s="101">
        <v>14</v>
      </c>
      <c r="M568" s="101">
        <v>-0.6</v>
      </c>
      <c r="N568" s="101" t="s">
        <v>957</v>
      </c>
      <c r="O568" s="101">
        <v>2004</v>
      </c>
      <c r="P568" s="101" t="s">
        <v>742</v>
      </c>
      <c r="Q568" s="101">
        <v>553578</v>
      </c>
      <c r="R568" t="s">
        <v>874</v>
      </c>
      <c r="S568" t="s">
        <v>312</v>
      </c>
      <c r="T568"/>
      <c r="U568"/>
      <c r="V568"/>
      <c r="W568" s="223"/>
    </row>
    <row r="569" spans="1:23" x14ac:dyDescent="0.2">
      <c r="A569" s="253" t="s">
        <v>461</v>
      </c>
      <c r="B569" s="101">
        <v>8</v>
      </c>
      <c r="C569" s="101">
        <v>8</v>
      </c>
      <c r="D569" s="101">
        <v>9</v>
      </c>
      <c r="E569" s="101">
        <v>-2</v>
      </c>
      <c r="F569" s="101">
        <v>-9</v>
      </c>
      <c r="G569" s="101"/>
      <c r="H569" s="101"/>
      <c r="I569" s="101"/>
      <c r="J569" s="102">
        <v>0.69</v>
      </c>
      <c r="K569" s="102">
        <v>1.7</v>
      </c>
      <c r="L569" s="101"/>
      <c r="M569" s="101"/>
      <c r="N569" s="101" t="s">
        <v>952</v>
      </c>
      <c r="O569" s="101">
        <v>2011</v>
      </c>
      <c r="P569" s="101" t="s">
        <v>867</v>
      </c>
      <c r="Q569" s="101">
        <v>656637</v>
      </c>
      <c r="R569" t="s">
        <v>459</v>
      </c>
      <c r="S569" t="s">
        <v>837</v>
      </c>
      <c r="T569"/>
      <c r="U569"/>
      <c r="V569"/>
      <c r="W569" s="223"/>
    </row>
    <row r="570" spans="1:23" x14ac:dyDescent="0.2">
      <c r="A570" s="253" t="s">
        <v>883</v>
      </c>
      <c r="B570" s="101">
        <v>-5</v>
      </c>
      <c r="C570" s="101">
        <v>-5</v>
      </c>
      <c r="D570" s="101">
        <v>2</v>
      </c>
      <c r="E570" s="101">
        <v>5</v>
      </c>
      <c r="F570" s="101">
        <v>16</v>
      </c>
      <c r="G570" s="101">
        <v>28</v>
      </c>
      <c r="H570" s="101">
        <v>45</v>
      </c>
      <c r="I570" s="101">
        <v>8</v>
      </c>
      <c r="J570" s="102">
        <v>0.7</v>
      </c>
      <c r="K570" s="102">
        <v>1.6405000000000001</v>
      </c>
      <c r="L570" s="101">
        <v>10.6</v>
      </c>
      <c r="M570" s="101">
        <v>0.7</v>
      </c>
      <c r="N570" s="101" t="s">
        <v>957</v>
      </c>
      <c r="O570" s="101">
        <v>2008</v>
      </c>
      <c r="P570" s="101" t="s">
        <v>742</v>
      </c>
      <c r="Q570" s="101">
        <v>909333</v>
      </c>
      <c r="R570" t="s">
        <v>882</v>
      </c>
      <c r="S570" t="s">
        <v>735</v>
      </c>
      <c r="T570"/>
      <c r="U570"/>
      <c r="V570"/>
      <c r="W570" s="223"/>
    </row>
    <row r="571" spans="1:23" x14ac:dyDescent="0.2">
      <c r="A571" s="253" t="s">
        <v>669</v>
      </c>
      <c r="B571" s="101">
        <v>9</v>
      </c>
      <c r="C571" s="101">
        <v>9</v>
      </c>
      <c r="D571" s="101">
        <v>7</v>
      </c>
      <c r="E571" s="101">
        <v>0</v>
      </c>
      <c r="F571" s="101">
        <v>-6</v>
      </c>
      <c r="G571" s="101">
        <v>80</v>
      </c>
      <c r="H571" s="101">
        <v>34</v>
      </c>
      <c r="I571" s="101">
        <v>6</v>
      </c>
      <c r="J571" s="102">
        <v>0.7</v>
      </c>
      <c r="K571" s="102">
        <v>2.089</v>
      </c>
      <c r="L571" s="101">
        <v>21.5</v>
      </c>
      <c r="M571" s="101">
        <v>1</v>
      </c>
      <c r="N571" s="101" t="s">
        <v>957</v>
      </c>
      <c r="O571" s="101">
        <v>2004</v>
      </c>
      <c r="P571" s="101" t="s">
        <v>742</v>
      </c>
      <c r="Q571" s="101">
        <v>661066</v>
      </c>
      <c r="R571" t="s">
        <v>874</v>
      </c>
      <c r="S571" t="s">
        <v>418</v>
      </c>
      <c r="T571"/>
      <c r="U571"/>
      <c r="V571"/>
      <c r="W571" s="223"/>
    </row>
    <row r="572" spans="1:23" x14ac:dyDescent="0.2">
      <c r="A572" s="253" t="s">
        <v>145</v>
      </c>
      <c r="B572" s="101">
        <v>0</v>
      </c>
      <c r="C572" s="101">
        <v>0</v>
      </c>
      <c r="D572" s="101">
        <v>0</v>
      </c>
      <c r="E572" s="101">
        <v>0</v>
      </c>
      <c r="F572" s="101">
        <v>3</v>
      </c>
      <c r="G572" s="101">
        <v>54</v>
      </c>
      <c r="H572" s="101">
        <v>7</v>
      </c>
      <c r="I572" s="101">
        <v>1</v>
      </c>
      <c r="J572" s="102">
        <v>0.7</v>
      </c>
      <c r="K572" s="102">
        <v>2.04</v>
      </c>
      <c r="L572" s="101">
        <v>13.6</v>
      </c>
      <c r="M572" s="101">
        <v>1</v>
      </c>
      <c r="N572" s="101" t="s">
        <v>957</v>
      </c>
      <c r="O572" s="101">
        <v>2003</v>
      </c>
      <c r="P572" s="101" t="s">
        <v>742</v>
      </c>
      <c r="Q572" s="101">
        <v>513499</v>
      </c>
      <c r="R572" t="s">
        <v>63</v>
      </c>
      <c r="S572" t="s">
        <v>419</v>
      </c>
      <c r="T572"/>
      <c r="U572"/>
      <c r="V572"/>
      <c r="W572" s="223"/>
    </row>
    <row r="573" spans="1:23" x14ac:dyDescent="0.2">
      <c r="A573" s="253" t="s">
        <v>816</v>
      </c>
      <c r="B573" s="101">
        <v>8</v>
      </c>
      <c r="C573" s="101">
        <v>8</v>
      </c>
      <c r="D573" s="101">
        <v>6</v>
      </c>
      <c r="E573" s="101">
        <v>-6</v>
      </c>
      <c r="F573" s="101">
        <v>-12</v>
      </c>
      <c r="G573" s="101">
        <v>86</v>
      </c>
      <c r="H573" s="101">
        <v>1</v>
      </c>
      <c r="I573" s="101">
        <v>0</v>
      </c>
      <c r="J573" s="102">
        <v>0.7</v>
      </c>
      <c r="K573" s="102">
        <v>1.72</v>
      </c>
      <c r="L573" s="101">
        <v>19.600000000000001</v>
      </c>
      <c r="M573" s="101">
        <v>1.2</v>
      </c>
      <c r="N573" s="101" t="s">
        <v>952</v>
      </c>
      <c r="O573" s="101">
        <v>2001</v>
      </c>
      <c r="P573" s="101" t="s">
        <v>867</v>
      </c>
      <c r="Q573" s="101">
        <v>170423</v>
      </c>
      <c r="R573" t="s">
        <v>815</v>
      </c>
      <c r="S573" t="s">
        <v>781</v>
      </c>
      <c r="T573"/>
      <c r="U573"/>
      <c r="V573"/>
      <c r="W573" s="223"/>
    </row>
    <row r="574" spans="1:23" x14ac:dyDescent="0.2">
      <c r="A574" s="253" t="s">
        <v>1015</v>
      </c>
      <c r="B574" s="101">
        <v>5</v>
      </c>
      <c r="C574" s="101">
        <v>5</v>
      </c>
      <c r="D574" s="101">
        <v>5</v>
      </c>
      <c r="E574" s="101">
        <v>0</v>
      </c>
      <c r="F574" s="101">
        <v>3</v>
      </c>
      <c r="G574" s="101">
        <v>28</v>
      </c>
      <c r="H574" s="101">
        <v>2</v>
      </c>
      <c r="I574" s="101">
        <v>0</v>
      </c>
      <c r="J574" s="102">
        <v>0.7</v>
      </c>
      <c r="K574" s="102">
        <v>2.0699999999999998</v>
      </c>
      <c r="L574" s="101">
        <v>10.9</v>
      </c>
      <c r="M574" s="101">
        <v>0.7</v>
      </c>
      <c r="N574" s="101" t="s">
        <v>957</v>
      </c>
      <c r="O574" s="101">
        <v>2002</v>
      </c>
      <c r="P574" s="101" t="s">
        <v>742</v>
      </c>
      <c r="Q574" s="101">
        <v>872440</v>
      </c>
      <c r="R574" t="s">
        <v>403</v>
      </c>
      <c r="S574" t="s">
        <v>166</v>
      </c>
      <c r="T574"/>
      <c r="U574"/>
      <c r="V574"/>
      <c r="W574" s="223"/>
    </row>
    <row r="575" spans="1:23" x14ac:dyDescent="0.2">
      <c r="A575" s="253" t="s">
        <v>294</v>
      </c>
      <c r="B575" s="101">
        <v>6</v>
      </c>
      <c r="C575" s="101">
        <v>6</v>
      </c>
      <c r="D575" s="101">
        <v>2</v>
      </c>
      <c r="E575" s="101">
        <v>-2</v>
      </c>
      <c r="F575" s="101">
        <v>-6</v>
      </c>
      <c r="G575" s="101">
        <v>40</v>
      </c>
      <c r="H575" s="101">
        <v>-3</v>
      </c>
      <c r="I575" s="101">
        <v>-1</v>
      </c>
      <c r="J575" s="102">
        <v>0.7</v>
      </c>
      <c r="K575" s="102">
        <v>1.81</v>
      </c>
      <c r="L575" s="101">
        <v>14.4</v>
      </c>
      <c r="M575" s="101">
        <v>0.8</v>
      </c>
      <c r="N575" s="101" t="s">
        <v>955</v>
      </c>
      <c r="O575" s="101">
        <v>2002</v>
      </c>
      <c r="P575" s="101" t="s">
        <v>742</v>
      </c>
      <c r="Q575" s="101">
        <v>360495</v>
      </c>
      <c r="R575" t="s">
        <v>520</v>
      </c>
      <c r="S575" t="s">
        <v>293</v>
      </c>
      <c r="T575"/>
      <c r="U575"/>
      <c r="V575"/>
      <c r="W575" s="223"/>
    </row>
    <row r="576" spans="1:23" x14ac:dyDescent="0.2">
      <c r="A576" s="253" t="s">
        <v>452</v>
      </c>
      <c r="B576" s="101">
        <v>6</v>
      </c>
      <c r="C576" s="101">
        <v>6</v>
      </c>
      <c r="D576" s="101">
        <v>5</v>
      </c>
      <c r="E576" s="101">
        <v>-9</v>
      </c>
      <c r="F576" s="101">
        <v>-15</v>
      </c>
      <c r="G576" s="101">
        <v>72</v>
      </c>
      <c r="H576" s="101">
        <v>-7</v>
      </c>
      <c r="I576" s="101">
        <v>-1</v>
      </c>
      <c r="J576" s="102">
        <v>0.7</v>
      </c>
      <c r="K576" s="102">
        <v>1.89</v>
      </c>
      <c r="L576" s="101">
        <v>20.7</v>
      </c>
      <c r="M576" s="101">
        <v>1</v>
      </c>
      <c r="N576" s="101" t="s">
        <v>952</v>
      </c>
      <c r="O576" s="101">
        <v>2001</v>
      </c>
      <c r="P576" s="101" t="s">
        <v>742</v>
      </c>
      <c r="Q576" s="101">
        <v>524470</v>
      </c>
      <c r="R576" t="s">
        <v>1025</v>
      </c>
      <c r="S576" t="s">
        <v>781</v>
      </c>
      <c r="T576"/>
      <c r="U576"/>
      <c r="V576"/>
      <c r="W576" s="223"/>
    </row>
    <row r="577" spans="1:23" x14ac:dyDescent="0.2">
      <c r="A577" s="253" t="s">
        <v>73</v>
      </c>
      <c r="B577" s="101">
        <v>4</v>
      </c>
      <c r="C577" s="101">
        <v>4</v>
      </c>
      <c r="D577" s="101">
        <v>3</v>
      </c>
      <c r="E577" s="101">
        <v>-3</v>
      </c>
      <c r="F577" s="101">
        <v>-4</v>
      </c>
      <c r="G577" s="101">
        <v>19</v>
      </c>
      <c r="H577" s="101">
        <v>-6</v>
      </c>
      <c r="I577" s="101">
        <v>-1</v>
      </c>
      <c r="J577" s="102">
        <v>0.7</v>
      </c>
      <c r="K577" s="102">
        <v>1.71</v>
      </c>
      <c r="L577" s="101">
        <v>8.1</v>
      </c>
      <c r="M577" s="101">
        <v>0.7</v>
      </c>
      <c r="N577" s="101" t="s">
        <v>955</v>
      </c>
      <c r="O577" s="101">
        <v>2008</v>
      </c>
      <c r="P577" s="101" t="s">
        <v>742</v>
      </c>
      <c r="Q577" s="101">
        <v>235234</v>
      </c>
      <c r="R577" t="s">
        <v>411</v>
      </c>
      <c r="S577" t="s">
        <v>338</v>
      </c>
      <c r="T577"/>
      <c r="U577"/>
      <c r="V577"/>
      <c r="W577" s="223"/>
    </row>
    <row r="578" spans="1:23" x14ac:dyDescent="0.2">
      <c r="A578" s="253" t="s">
        <v>214</v>
      </c>
      <c r="B578" s="101">
        <v>7</v>
      </c>
      <c r="C578" s="101">
        <v>7</v>
      </c>
      <c r="D578" s="101">
        <v>6</v>
      </c>
      <c r="E578" s="101">
        <v>2</v>
      </c>
      <c r="F578" s="101">
        <v>5</v>
      </c>
      <c r="G578" s="101">
        <v>54</v>
      </c>
      <c r="H578" s="101">
        <v>-10</v>
      </c>
      <c r="I578" s="101">
        <v>-2</v>
      </c>
      <c r="J578" s="102">
        <v>0.7</v>
      </c>
      <c r="K578" s="102">
        <v>1.82</v>
      </c>
      <c r="L578" s="101">
        <v>13.4</v>
      </c>
      <c r="M578" s="101">
        <v>1.1000000000000001</v>
      </c>
      <c r="N578" s="101" t="s">
        <v>955</v>
      </c>
      <c r="O578" s="101">
        <v>2002</v>
      </c>
      <c r="P578" s="101" t="s">
        <v>742</v>
      </c>
      <c r="Q578" s="101">
        <v>432153</v>
      </c>
      <c r="R578" t="s">
        <v>520</v>
      </c>
      <c r="S578" t="s">
        <v>312</v>
      </c>
      <c r="T578"/>
      <c r="U578"/>
      <c r="V578"/>
      <c r="W578" s="223"/>
    </row>
    <row r="579" spans="1:23" x14ac:dyDescent="0.2">
      <c r="A579" s="253" t="s">
        <v>359</v>
      </c>
      <c r="B579" s="101">
        <v>3</v>
      </c>
      <c r="C579" s="101">
        <v>3</v>
      </c>
      <c r="D579" s="101">
        <v>2</v>
      </c>
      <c r="E579" s="101">
        <v>-3</v>
      </c>
      <c r="F579" s="101">
        <v>-4</v>
      </c>
      <c r="G579" s="101">
        <v>9</v>
      </c>
      <c r="H579" s="101">
        <v>-16</v>
      </c>
      <c r="I579" s="101">
        <v>-3</v>
      </c>
      <c r="J579" s="102">
        <v>0.7</v>
      </c>
      <c r="K579" s="102">
        <v>1.84</v>
      </c>
      <c r="L579" s="101">
        <v>9.6</v>
      </c>
      <c r="M579" s="101">
        <v>0.3</v>
      </c>
      <c r="N579" s="101" t="s">
        <v>955</v>
      </c>
      <c r="O579" s="101">
        <v>2000</v>
      </c>
      <c r="P579" s="101" t="s">
        <v>742</v>
      </c>
      <c r="Q579" s="101">
        <v>794115</v>
      </c>
      <c r="R579" t="s">
        <v>99</v>
      </c>
      <c r="S579" t="s">
        <v>338</v>
      </c>
      <c r="T579"/>
      <c r="U579"/>
      <c r="V579"/>
      <c r="W579" s="223"/>
    </row>
    <row r="580" spans="1:23" x14ac:dyDescent="0.2">
      <c r="A580" s="253" t="s">
        <v>44</v>
      </c>
      <c r="B580" s="101">
        <v>14</v>
      </c>
      <c r="C580" s="101">
        <v>14</v>
      </c>
      <c r="D580" s="101">
        <v>7</v>
      </c>
      <c r="E580" s="101">
        <v>-8</v>
      </c>
      <c r="F580" s="101">
        <v>-22</v>
      </c>
      <c r="G580" s="101">
        <v>35</v>
      </c>
      <c r="H580" s="101">
        <v>-24</v>
      </c>
      <c r="I580" s="101">
        <v>-5</v>
      </c>
      <c r="J580" s="102">
        <v>0.7</v>
      </c>
      <c r="K580" s="102">
        <v>1.81</v>
      </c>
      <c r="L580" s="101">
        <v>23.3</v>
      </c>
      <c r="M580" s="101">
        <v>0.5</v>
      </c>
      <c r="N580" s="101" t="s">
        <v>955</v>
      </c>
      <c r="O580" s="101">
        <v>2005</v>
      </c>
      <c r="P580" s="101" t="s">
        <v>742</v>
      </c>
      <c r="Q580" s="101">
        <v>390187</v>
      </c>
      <c r="R580" t="s">
        <v>520</v>
      </c>
      <c r="S580" t="s">
        <v>861</v>
      </c>
      <c r="T580"/>
      <c r="U580"/>
      <c r="V580"/>
      <c r="W580" s="223"/>
    </row>
    <row r="581" spans="1:23" x14ac:dyDescent="0.2">
      <c r="A581" s="253" t="s">
        <v>589</v>
      </c>
      <c r="B581" s="101">
        <v>0</v>
      </c>
      <c r="C581" s="101">
        <v>0</v>
      </c>
      <c r="D581" s="101">
        <v>0</v>
      </c>
      <c r="E581" s="101">
        <v>0</v>
      </c>
      <c r="F581" s="101">
        <v>0</v>
      </c>
      <c r="G581" s="101">
        <v>27</v>
      </c>
      <c r="H581" s="101">
        <v>-29</v>
      </c>
      <c r="I581" s="101">
        <v>-7</v>
      </c>
      <c r="J581" s="102">
        <v>0.7</v>
      </c>
      <c r="K581" s="102">
        <v>2.0499999999999998</v>
      </c>
      <c r="L581" s="101">
        <v>12</v>
      </c>
      <c r="M581" s="101">
        <v>0.7</v>
      </c>
      <c r="N581" s="101" t="s">
        <v>955</v>
      </c>
      <c r="O581" s="101">
        <v>2000</v>
      </c>
      <c r="P581" s="101" t="s">
        <v>742</v>
      </c>
      <c r="Q581" s="101">
        <v>977512</v>
      </c>
      <c r="R581" t="s">
        <v>63</v>
      </c>
      <c r="S581" t="s">
        <v>49</v>
      </c>
      <c r="T581"/>
      <c r="U581"/>
      <c r="V581"/>
      <c r="W581" s="223"/>
    </row>
    <row r="582" spans="1:23" x14ac:dyDescent="0.2">
      <c r="A582" s="253" t="s">
        <v>423</v>
      </c>
      <c r="B582" s="101">
        <v>10</v>
      </c>
      <c r="C582" s="101">
        <v>10</v>
      </c>
      <c r="D582" s="101">
        <v>3</v>
      </c>
      <c r="E582" s="101">
        <v>-11</v>
      </c>
      <c r="F582" s="101">
        <v>-15</v>
      </c>
      <c r="G582" s="101">
        <v>6</v>
      </c>
      <c r="H582" s="101">
        <v>-35</v>
      </c>
      <c r="I582" s="101">
        <v>-8</v>
      </c>
      <c r="J582" s="102">
        <v>0.7</v>
      </c>
      <c r="K582" s="102">
        <v>1.81</v>
      </c>
      <c r="L582" s="101">
        <v>19.899999999999999</v>
      </c>
      <c r="M582" s="101">
        <v>0.2</v>
      </c>
      <c r="N582" s="101" t="s">
        <v>955</v>
      </c>
      <c r="O582" s="101">
        <v>2008</v>
      </c>
      <c r="P582" s="101" t="s">
        <v>742</v>
      </c>
      <c r="Q582" s="101">
        <v>755090</v>
      </c>
      <c r="R582" t="s">
        <v>520</v>
      </c>
      <c r="S582" t="s">
        <v>96</v>
      </c>
      <c r="T582"/>
      <c r="U582"/>
      <c r="V582"/>
      <c r="W582" s="223"/>
    </row>
    <row r="583" spans="1:23" x14ac:dyDescent="0.2">
      <c r="A583" s="253" t="s">
        <v>1132</v>
      </c>
      <c r="B583" s="101">
        <v>9</v>
      </c>
      <c r="C583" s="101">
        <v>9</v>
      </c>
      <c r="D583" s="101">
        <v>7</v>
      </c>
      <c r="E583" s="101"/>
      <c r="F583" s="101"/>
      <c r="G583" s="101"/>
      <c r="H583" s="101"/>
      <c r="I583" s="101"/>
      <c r="J583" s="102">
        <v>0.7</v>
      </c>
      <c r="K583" s="102">
        <v>2.2000000000000002</v>
      </c>
      <c r="L583" s="101"/>
      <c r="M583" s="101"/>
      <c r="N583" s="101" t="s">
        <v>952</v>
      </c>
      <c r="O583" s="101">
        <v>2011</v>
      </c>
      <c r="P583" s="101" t="s">
        <v>742</v>
      </c>
      <c r="Q583" s="101">
        <v>798710</v>
      </c>
      <c r="R583" t="s">
        <v>450</v>
      </c>
      <c r="S583" t="s">
        <v>183</v>
      </c>
      <c r="T583"/>
      <c r="U583"/>
      <c r="V583"/>
      <c r="W583" s="223"/>
    </row>
    <row r="584" spans="1:23" x14ac:dyDescent="0.2">
      <c r="A584" s="253" t="s">
        <v>1023</v>
      </c>
      <c r="B584" s="101">
        <v>5</v>
      </c>
      <c r="C584" s="101">
        <v>5</v>
      </c>
      <c r="D584" s="101">
        <v>11</v>
      </c>
      <c r="E584" s="101">
        <v>5</v>
      </c>
      <c r="F584" s="101">
        <v>2</v>
      </c>
      <c r="G584" s="101">
        <v>46</v>
      </c>
      <c r="H584" s="101">
        <v>12</v>
      </c>
      <c r="I584" s="101">
        <v>2</v>
      </c>
      <c r="J584" s="102">
        <v>0.71</v>
      </c>
      <c r="K584" s="102">
        <v>1.87</v>
      </c>
      <c r="L584" s="101">
        <v>17.600000000000001</v>
      </c>
      <c r="M584" s="101">
        <v>0.7</v>
      </c>
      <c r="N584" s="101" t="s">
        <v>957</v>
      </c>
      <c r="O584" s="101">
        <v>2009</v>
      </c>
      <c r="P584" s="101" t="s">
        <v>742</v>
      </c>
      <c r="Q584" s="101">
        <v>889261</v>
      </c>
      <c r="R584" t="s">
        <v>99</v>
      </c>
      <c r="S584" t="s">
        <v>114</v>
      </c>
      <c r="T584"/>
      <c r="U584"/>
      <c r="V584"/>
      <c r="W584" s="223"/>
    </row>
    <row r="585" spans="1:23" x14ac:dyDescent="0.2">
      <c r="A585" s="253" t="s">
        <v>290</v>
      </c>
      <c r="B585" s="101">
        <v>2</v>
      </c>
      <c r="C585" s="101">
        <v>2</v>
      </c>
      <c r="D585" s="101">
        <v>5</v>
      </c>
      <c r="E585" s="101">
        <v>2</v>
      </c>
      <c r="F585" s="101">
        <v>1</v>
      </c>
      <c r="G585" s="101">
        <v>14</v>
      </c>
      <c r="H585" s="101">
        <v>7</v>
      </c>
      <c r="I585" s="101">
        <v>1</v>
      </c>
      <c r="J585" s="102">
        <v>0.71</v>
      </c>
      <c r="K585" s="102">
        <v>1.76</v>
      </c>
      <c r="L585" s="101">
        <v>8.4</v>
      </c>
      <c r="M585" s="101">
        <v>0.5</v>
      </c>
      <c r="N585" s="101" t="s">
        <v>957</v>
      </c>
      <c r="O585" s="101">
        <v>2002</v>
      </c>
      <c r="P585" s="101" t="s">
        <v>742</v>
      </c>
      <c r="Q585" s="101">
        <v>999359</v>
      </c>
      <c r="R585" t="s">
        <v>870</v>
      </c>
      <c r="S585" t="s">
        <v>338</v>
      </c>
      <c r="T585"/>
      <c r="U585"/>
      <c r="V585"/>
      <c r="W585" s="223"/>
    </row>
    <row r="586" spans="1:23" x14ac:dyDescent="0.2">
      <c r="A586" s="253" t="s">
        <v>354</v>
      </c>
      <c r="B586" s="101">
        <v>2</v>
      </c>
      <c r="C586" s="101">
        <v>2</v>
      </c>
      <c r="D586" s="101">
        <v>0</v>
      </c>
      <c r="E586" s="101">
        <v>-11</v>
      </c>
      <c r="F586" s="101">
        <v>-18</v>
      </c>
      <c r="G586" s="101">
        <v>6</v>
      </c>
      <c r="H586" s="101">
        <v>-10</v>
      </c>
      <c r="I586" s="101">
        <v>-2</v>
      </c>
      <c r="J586" s="102">
        <v>0.71</v>
      </c>
      <c r="K586" s="102">
        <v>1.92</v>
      </c>
      <c r="L586" s="101">
        <v>14.2</v>
      </c>
      <c r="M586" s="101">
        <v>0.2</v>
      </c>
      <c r="N586" s="101" t="s">
        <v>955</v>
      </c>
      <c r="O586" s="101">
        <v>2010</v>
      </c>
      <c r="P586" s="101" t="s">
        <v>742</v>
      </c>
      <c r="Q586" s="101">
        <v>131342</v>
      </c>
      <c r="R586" t="s">
        <v>340</v>
      </c>
      <c r="S586" t="s">
        <v>338</v>
      </c>
      <c r="T586" t="s">
        <v>953</v>
      </c>
      <c r="U586"/>
      <c r="V586"/>
      <c r="W586" s="223"/>
    </row>
    <row r="587" spans="1:23" x14ac:dyDescent="0.2">
      <c r="A587" s="253" t="s">
        <v>105</v>
      </c>
      <c r="B587" s="101">
        <v>9</v>
      </c>
      <c r="C587" s="101">
        <v>9</v>
      </c>
      <c r="D587" s="101">
        <v>6</v>
      </c>
      <c r="E587" s="101">
        <v>-8</v>
      </c>
      <c r="F587" s="101">
        <v>-9</v>
      </c>
      <c r="G587" s="101">
        <v>50</v>
      </c>
      <c r="H587" s="101">
        <v>-20</v>
      </c>
      <c r="I587" s="101">
        <v>-4</v>
      </c>
      <c r="J587" s="102">
        <v>0.71</v>
      </c>
      <c r="K587" s="102">
        <v>1.85</v>
      </c>
      <c r="L587" s="101">
        <v>16.600000000000001</v>
      </c>
      <c r="M587" s="101">
        <v>0.9</v>
      </c>
      <c r="N587" s="101" t="s">
        <v>955</v>
      </c>
      <c r="O587" s="101">
        <v>2004</v>
      </c>
      <c r="P587" s="101" t="s">
        <v>742</v>
      </c>
      <c r="Q587" s="101">
        <v>452755</v>
      </c>
      <c r="R587" t="s">
        <v>520</v>
      </c>
      <c r="S587" t="s">
        <v>104</v>
      </c>
      <c r="T587"/>
      <c r="U587"/>
      <c r="V587"/>
      <c r="W587" s="223"/>
    </row>
    <row r="588" spans="1:23" x14ac:dyDescent="0.2">
      <c r="A588" s="253" t="s">
        <v>196</v>
      </c>
      <c r="B588" s="101">
        <v>2</v>
      </c>
      <c r="C588" s="101">
        <v>2</v>
      </c>
      <c r="D588" s="101">
        <v>3</v>
      </c>
      <c r="E588" s="101">
        <v>3</v>
      </c>
      <c r="F588" s="101">
        <v>0</v>
      </c>
      <c r="G588" s="101">
        <v>19</v>
      </c>
      <c r="H588" s="101">
        <v>-16</v>
      </c>
      <c r="I588" s="101">
        <v>-4</v>
      </c>
      <c r="J588" s="102">
        <v>0.71</v>
      </c>
      <c r="K588" s="102">
        <v>1.87</v>
      </c>
      <c r="L588" s="101">
        <v>10.4</v>
      </c>
      <c r="M588" s="101">
        <v>0.5</v>
      </c>
      <c r="N588" s="101" t="s">
        <v>955</v>
      </c>
      <c r="O588" s="101">
        <v>2000</v>
      </c>
      <c r="P588" s="101" t="s">
        <v>742</v>
      </c>
      <c r="Q588" s="101">
        <v>650796</v>
      </c>
      <c r="R588" t="s">
        <v>99</v>
      </c>
      <c r="S588" t="s">
        <v>293</v>
      </c>
      <c r="T588"/>
      <c r="U588"/>
      <c r="V588"/>
      <c r="W588" s="223"/>
    </row>
    <row r="589" spans="1:23" x14ac:dyDescent="0.2">
      <c r="A589" s="253" t="s">
        <v>396</v>
      </c>
      <c r="B589" s="101">
        <v>0</v>
      </c>
      <c r="C589" s="101">
        <v>0</v>
      </c>
      <c r="D589" s="101">
        <v>0</v>
      </c>
      <c r="E589" s="101">
        <v>0</v>
      </c>
      <c r="F589" s="101">
        <v>1</v>
      </c>
      <c r="G589" s="101">
        <v>43</v>
      </c>
      <c r="H589" s="101">
        <v>-27</v>
      </c>
      <c r="I589" s="101">
        <v>-6</v>
      </c>
      <c r="J589" s="102">
        <v>0.71</v>
      </c>
      <c r="K589" s="102">
        <v>2.1</v>
      </c>
      <c r="L589" s="101">
        <v>9.6</v>
      </c>
      <c r="M589" s="101">
        <v>1.3</v>
      </c>
      <c r="N589" s="101" t="s">
        <v>955</v>
      </c>
      <c r="O589" s="101">
        <v>2001</v>
      </c>
      <c r="P589" s="101" t="s">
        <v>742</v>
      </c>
      <c r="Q589" s="101">
        <v>994517</v>
      </c>
      <c r="R589" t="s">
        <v>930</v>
      </c>
      <c r="S589" t="s">
        <v>104</v>
      </c>
      <c r="T589"/>
      <c r="U589"/>
      <c r="V589"/>
      <c r="W589" s="223"/>
    </row>
    <row r="590" spans="1:23" x14ac:dyDescent="0.2">
      <c r="A590" s="253" t="s">
        <v>413</v>
      </c>
      <c r="B590" s="101">
        <v>2</v>
      </c>
      <c r="C590" s="101">
        <v>2</v>
      </c>
      <c r="D590" s="101">
        <v>6</v>
      </c>
      <c r="E590" s="101">
        <v>-4</v>
      </c>
      <c r="F590" s="101">
        <v>-3</v>
      </c>
      <c r="G590" s="101">
        <v>17</v>
      </c>
      <c r="H590" s="101">
        <v>-27</v>
      </c>
      <c r="I590" s="101">
        <v>-6</v>
      </c>
      <c r="J590" s="102">
        <v>0.71</v>
      </c>
      <c r="K590" s="102">
        <v>1.86</v>
      </c>
      <c r="L590" s="101">
        <v>20.5</v>
      </c>
      <c r="M590" s="101">
        <v>0.3</v>
      </c>
      <c r="N590" s="101" t="s">
        <v>963</v>
      </c>
      <c r="O590" s="101">
        <v>2005</v>
      </c>
      <c r="P590" s="101" t="s">
        <v>742</v>
      </c>
      <c r="Q590" s="101">
        <v>944637</v>
      </c>
      <c r="R590" t="s">
        <v>99</v>
      </c>
      <c r="S590" t="s">
        <v>254</v>
      </c>
      <c r="T590"/>
      <c r="U590"/>
      <c r="V590"/>
      <c r="W590" s="223"/>
    </row>
    <row r="591" spans="1:23" x14ac:dyDescent="0.2">
      <c r="A591" s="253" t="s">
        <v>395</v>
      </c>
      <c r="B591" s="101">
        <v>0</v>
      </c>
      <c r="C591" s="101">
        <v>0</v>
      </c>
      <c r="D591" s="101">
        <v>0</v>
      </c>
      <c r="E591" s="101">
        <v>0</v>
      </c>
      <c r="F591" s="101">
        <v>-7</v>
      </c>
      <c r="G591" s="101">
        <v>17</v>
      </c>
      <c r="H591" s="101">
        <v>-38</v>
      </c>
      <c r="I591" s="101">
        <v>-9</v>
      </c>
      <c r="J591" s="102">
        <v>0.71</v>
      </c>
      <c r="K591" s="102">
        <v>2.1</v>
      </c>
      <c r="L591" s="101">
        <v>18.399999999999999</v>
      </c>
      <c r="M591" s="101">
        <v>0.3</v>
      </c>
      <c r="N591" s="101" t="s">
        <v>957</v>
      </c>
      <c r="O591" s="101">
        <v>2001</v>
      </c>
      <c r="P591" s="101" t="s">
        <v>742</v>
      </c>
      <c r="Q591" s="101">
        <v>922856</v>
      </c>
      <c r="R591" t="s">
        <v>930</v>
      </c>
      <c r="S591" t="s">
        <v>312</v>
      </c>
      <c r="T591"/>
      <c r="U591"/>
      <c r="V591"/>
      <c r="W591" s="223"/>
    </row>
    <row r="592" spans="1:23" x14ac:dyDescent="0.2">
      <c r="A592" s="253" t="s">
        <v>313</v>
      </c>
      <c r="B592" s="101">
        <v>6</v>
      </c>
      <c r="C592" s="101">
        <v>6</v>
      </c>
      <c r="D592" s="101">
        <v>6</v>
      </c>
      <c r="E592" s="101">
        <v>-9</v>
      </c>
      <c r="F592" s="101">
        <v>-17</v>
      </c>
      <c r="G592" s="101">
        <v>17</v>
      </c>
      <c r="H592" s="101">
        <v>-53</v>
      </c>
      <c r="I592" s="101">
        <v>-14</v>
      </c>
      <c r="J592" s="102">
        <v>0.71</v>
      </c>
      <c r="K592" s="102">
        <v>1.86</v>
      </c>
      <c r="L592" s="101">
        <v>23.5</v>
      </c>
      <c r="M592" s="101">
        <v>0.3</v>
      </c>
      <c r="N592" s="101" t="s">
        <v>955</v>
      </c>
      <c r="O592" s="101">
        <v>2000</v>
      </c>
      <c r="P592" s="101" t="s">
        <v>742</v>
      </c>
      <c r="Q592" s="101">
        <v>543306</v>
      </c>
      <c r="R592" t="s">
        <v>99</v>
      </c>
      <c r="S592" t="s">
        <v>312</v>
      </c>
      <c r="T592"/>
      <c r="U592"/>
      <c r="V592"/>
      <c r="W592" s="223"/>
    </row>
    <row r="593" spans="1:23" x14ac:dyDescent="0.2">
      <c r="A593" s="253" t="s">
        <v>617</v>
      </c>
      <c r="B593" s="101">
        <v>9</v>
      </c>
      <c r="C593" s="101">
        <v>9</v>
      </c>
      <c r="D593" s="101">
        <v>7</v>
      </c>
      <c r="E593" s="101">
        <v>-4</v>
      </c>
      <c r="F593" s="101">
        <v>-8</v>
      </c>
      <c r="G593" s="101">
        <v>61</v>
      </c>
      <c r="H593" s="101"/>
      <c r="I593" s="101"/>
      <c r="J593" s="102">
        <v>0.71</v>
      </c>
      <c r="K593" s="102">
        <v>2.23</v>
      </c>
      <c r="L593" s="101">
        <v>19.2</v>
      </c>
      <c r="M593" s="101">
        <v>0.9</v>
      </c>
      <c r="N593" s="101" t="s">
        <v>952</v>
      </c>
      <c r="O593" s="101">
        <v>2007</v>
      </c>
      <c r="P593" s="101" t="s">
        <v>867</v>
      </c>
      <c r="Q593" s="101">
        <v>503698</v>
      </c>
      <c r="R593" t="s">
        <v>425</v>
      </c>
      <c r="S593" t="s">
        <v>183</v>
      </c>
      <c r="T593"/>
      <c r="U593"/>
      <c r="V593"/>
      <c r="W593" s="223"/>
    </row>
    <row r="594" spans="1:23" x14ac:dyDescent="0.2">
      <c r="A594" s="253" t="s">
        <v>271</v>
      </c>
      <c r="B594" s="101">
        <v>16</v>
      </c>
      <c r="C594" s="101">
        <v>16</v>
      </c>
      <c r="D594" s="101">
        <v>5</v>
      </c>
      <c r="E594" s="101">
        <v>-9</v>
      </c>
      <c r="F594" s="101">
        <v>-16</v>
      </c>
      <c r="G594" s="101">
        <v>72</v>
      </c>
      <c r="H594" s="101">
        <v>-1</v>
      </c>
      <c r="I594" s="101">
        <v>0</v>
      </c>
      <c r="J594" s="102">
        <v>0.72</v>
      </c>
      <c r="K594" s="102">
        <v>2.5</v>
      </c>
      <c r="L594" s="101">
        <v>31.3</v>
      </c>
      <c r="M594" s="101">
        <v>0.8</v>
      </c>
      <c r="N594" s="101" t="s">
        <v>952</v>
      </c>
      <c r="O594" s="101">
        <v>2006</v>
      </c>
      <c r="P594" s="101" t="s">
        <v>867</v>
      </c>
      <c r="Q594" s="101">
        <v>333690</v>
      </c>
      <c r="R594" t="s">
        <v>239</v>
      </c>
      <c r="S594" t="s">
        <v>268</v>
      </c>
      <c r="T594"/>
      <c r="U594"/>
      <c r="V594"/>
      <c r="W594" s="223"/>
    </row>
    <row r="595" spans="1:23" x14ac:dyDescent="0.2">
      <c r="A595" s="253" t="s">
        <v>270</v>
      </c>
      <c r="B595" s="101">
        <v>11</v>
      </c>
      <c r="C595" s="101">
        <v>11</v>
      </c>
      <c r="D595" s="101">
        <v>2</v>
      </c>
      <c r="E595" s="101">
        <v>-9</v>
      </c>
      <c r="F595" s="101">
        <v>-21</v>
      </c>
      <c r="G595" s="101">
        <v>22</v>
      </c>
      <c r="H595" s="101">
        <v>-16</v>
      </c>
      <c r="I595" s="101">
        <v>-3</v>
      </c>
      <c r="J595" s="102">
        <v>0.72</v>
      </c>
      <c r="K595" s="102">
        <v>2.08</v>
      </c>
      <c r="L595" s="101">
        <v>20.3</v>
      </c>
      <c r="M595" s="101">
        <v>0.4</v>
      </c>
      <c r="N595" s="101" t="s">
        <v>955</v>
      </c>
      <c r="O595" s="101">
        <v>2000</v>
      </c>
      <c r="P595" s="101" t="s">
        <v>742</v>
      </c>
      <c r="Q595" s="101">
        <v>570044</v>
      </c>
      <c r="R595" t="s">
        <v>880</v>
      </c>
      <c r="S595" t="s">
        <v>268</v>
      </c>
      <c r="T595"/>
      <c r="U595"/>
      <c r="V595"/>
      <c r="W595" s="223"/>
    </row>
    <row r="596" spans="1:23" x14ac:dyDescent="0.2">
      <c r="A596" s="253" t="s">
        <v>240</v>
      </c>
      <c r="B596" s="101">
        <v>15</v>
      </c>
      <c r="C596" s="101">
        <v>15</v>
      </c>
      <c r="D596" s="101">
        <v>9</v>
      </c>
      <c r="E596" s="101">
        <v>-13</v>
      </c>
      <c r="F596" s="101">
        <v>-15</v>
      </c>
      <c r="G596" s="101">
        <v>157</v>
      </c>
      <c r="H596" s="101">
        <v>-14</v>
      </c>
      <c r="I596" s="101">
        <v>-3</v>
      </c>
      <c r="J596" s="102">
        <v>0.72</v>
      </c>
      <c r="K596" s="102">
        <v>2.5</v>
      </c>
      <c r="L596" s="101">
        <v>32</v>
      </c>
      <c r="M596" s="101">
        <v>1.2</v>
      </c>
      <c r="N596" s="101" t="s">
        <v>952</v>
      </c>
      <c r="O596" s="101">
        <v>2002</v>
      </c>
      <c r="P596" s="101" t="s">
        <v>867</v>
      </c>
      <c r="Q596" s="101">
        <v>834788</v>
      </c>
      <c r="R596" t="s">
        <v>239</v>
      </c>
      <c r="S596" t="s">
        <v>417</v>
      </c>
      <c r="T596"/>
      <c r="U596"/>
      <c r="V596"/>
      <c r="W596" s="223"/>
    </row>
    <row r="597" spans="1:23" x14ac:dyDescent="0.2">
      <c r="A597" s="253" t="s">
        <v>678</v>
      </c>
      <c r="B597" s="101">
        <v>0</v>
      </c>
      <c r="C597" s="101">
        <v>0</v>
      </c>
      <c r="D597" s="101">
        <v>0</v>
      </c>
      <c r="E597" s="101">
        <v>0</v>
      </c>
      <c r="F597" s="101">
        <v>-10</v>
      </c>
      <c r="G597" s="101">
        <v>24</v>
      </c>
      <c r="H597" s="101">
        <v>-18</v>
      </c>
      <c r="I597" s="101">
        <v>-4</v>
      </c>
      <c r="J597" s="102">
        <v>0.72</v>
      </c>
      <c r="K597" s="102">
        <v>2.12</v>
      </c>
      <c r="L597" s="101">
        <v>16.899999999999999</v>
      </c>
      <c r="M597" s="101">
        <v>0.5</v>
      </c>
      <c r="N597" s="101" t="s">
        <v>957</v>
      </c>
      <c r="O597" s="101">
        <v>2008</v>
      </c>
      <c r="P597" s="101" t="s">
        <v>742</v>
      </c>
      <c r="Q597" s="101">
        <v>919662</v>
      </c>
      <c r="R597" t="s">
        <v>63</v>
      </c>
      <c r="S597" t="s">
        <v>183</v>
      </c>
      <c r="T597"/>
      <c r="U597"/>
      <c r="V597"/>
      <c r="W597" s="223"/>
    </row>
    <row r="598" spans="1:23" x14ac:dyDescent="0.2">
      <c r="A598" s="253" t="s">
        <v>242</v>
      </c>
      <c r="B598" s="101">
        <v>14</v>
      </c>
      <c r="C598" s="101">
        <v>14</v>
      </c>
      <c r="D598" s="101">
        <v>6</v>
      </c>
      <c r="E598" s="101">
        <v>-15</v>
      </c>
      <c r="F598" s="101">
        <v>-19</v>
      </c>
      <c r="G598" s="101">
        <v>89</v>
      </c>
      <c r="H598" s="101">
        <v>-24</v>
      </c>
      <c r="I598" s="101">
        <v>-5</v>
      </c>
      <c r="J598" s="102">
        <v>0.72</v>
      </c>
      <c r="K598" s="102">
        <v>2.5</v>
      </c>
      <c r="L598" s="101">
        <v>25.3</v>
      </c>
      <c r="M598" s="101">
        <v>1</v>
      </c>
      <c r="N598" s="101" t="s">
        <v>952</v>
      </c>
      <c r="O598" s="101">
        <v>2002</v>
      </c>
      <c r="P598" s="101" t="s">
        <v>867</v>
      </c>
      <c r="Q598" s="101">
        <v>442483</v>
      </c>
      <c r="R598" t="s">
        <v>239</v>
      </c>
      <c r="S598" t="s">
        <v>234</v>
      </c>
      <c r="T598"/>
      <c r="U598"/>
      <c r="V598"/>
      <c r="W598" s="223"/>
    </row>
    <row r="599" spans="1:23" x14ac:dyDescent="0.2">
      <c r="A599" s="253" t="s">
        <v>185</v>
      </c>
      <c r="B599" s="101">
        <v>3</v>
      </c>
      <c r="C599" s="101">
        <v>3</v>
      </c>
      <c r="D599" s="101">
        <v>5</v>
      </c>
      <c r="E599" s="101">
        <v>-4</v>
      </c>
      <c r="F599" s="101">
        <v>-12</v>
      </c>
      <c r="G599" s="101">
        <v>-13</v>
      </c>
      <c r="H599" s="101">
        <v>-39</v>
      </c>
      <c r="I599" s="101">
        <v>-9</v>
      </c>
      <c r="J599" s="102">
        <v>0.72</v>
      </c>
      <c r="K599" s="102">
        <v>1.78</v>
      </c>
      <c r="L599" s="101">
        <v>15.3</v>
      </c>
      <c r="M599" s="101">
        <v>-0.2</v>
      </c>
      <c r="N599" s="101" t="s">
        <v>955</v>
      </c>
      <c r="O599" s="101">
        <v>2008</v>
      </c>
      <c r="P599" s="101" t="s">
        <v>742</v>
      </c>
      <c r="Q599" s="101">
        <v>367631</v>
      </c>
      <c r="R599" t="s">
        <v>882</v>
      </c>
      <c r="S599" t="s">
        <v>254</v>
      </c>
      <c r="T599"/>
      <c r="U599"/>
      <c r="V599"/>
      <c r="W599" s="223"/>
    </row>
    <row r="600" spans="1:23" x14ac:dyDescent="0.2">
      <c r="A600" s="253" t="s">
        <v>243</v>
      </c>
      <c r="B600" s="101">
        <v>3</v>
      </c>
      <c r="C600" s="101">
        <v>3</v>
      </c>
      <c r="D600" s="101">
        <v>-5</v>
      </c>
      <c r="E600" s="101">
        <v>-17</v>
      </c>
      <c r="F600" s="101">
        <v>-21</v>
      </c>
      <c r="G600" s="101">
        <v>33</v>
      </c>
      <c r="H600" s="101">
        <v>-45</v>
      </c>
      <c r="I600" s="101">
        <v>-11</v>
      </c>
      <c r="J600" s="102">
        <v>0.72</v>
      </c>
      <c r="K600" s="102">
        <v>2.5</v>
      </c>
      <c r="L600" s="101">
        <v>23.3</v>
      </c>
      <c r="M600" s="101">
        <v>0.5</v>
      </c>
      <c r="N600" s="101" t="s">
        <v>952</v>
      </c>
      <c r="O600" s="101">
        <v>2003</v>
      </c>
      <c r="P600" s="101" t="s">
        <v>867</v>
      </c>
      <c r="Q600" s="101">
        <v>552984</v>
      </c>
      <c r="R600" t="s">
        <v>239</v>
      </c>
      <c r="S600" t="s">
        <v>234</v>
      </c>
      <c r="T600"/>
      <c r="U600"/>
      <c r="V600"/>
      <c r="W600" s="223"/>
    </row>
    <row r="601" spans="1:23" x14ac:dyDescent="0.2">
      <c r="A601" s="253" t="s">
        <v>251</v>
      </c>
      <c r="B601" s="101">
        <v>11</v>
      </c>
      <c r="C601" s="101">
        <v>11</v>
      </c>
      <c r="D601" s="101">
        <v>-1</v>
      </c>
      <c r="E601" s="101">
        <v>-21</v>
      </c>
      <c r="F601" s="101">
        <v>-27</v>
      </c>
      <c r="G601" s="101">
        <v>-4</v>
      </c>
      <c r="H601" s="101">
        <v>-60</v>
      </c>
      <c r="I601" s="101">
        <v>-17</v>
      </c>
      <c r="J601" s="102">
        <v>0.72</v>
      </c>
      <c r="K601" s="102">
        <v>2.5</v>
      </c>
      <c r="L601" s="101">
        <v>21.7</v>
      </c>
      <c r="M601" s="101">
        <v>0.1</v>
      </c>
      <c r="N601" s="101" t="s">
        <v>952</v>
      </c>
      <c r="O601" s="101">
        <v>2004</v>
      </c>
      <c r="P601" s="101" t="s">
        <v>867</v>
      </c>
      <c r="Q601" s="101">
        <v>872382</v>
      </c>
      <c r="R601" t="s">
        <v>239</v>
      </c>
      <c r="S601" t="s">
        <v>234</v>
      </c>
      <c r="T601"/>
      <c r="U601"/>
      <c r="V601"/>
      <c r="W601" s="223"/>
    </row>
    <row r="602" spans="1:23" x14ac:dyDescent="0.2">
      <c r="A602" s="253" t="s">
        <v>1070</v>
      </c>
      <c r="B602" s="101">
        <v>3</v>
      </c>
      <c r="C602" s="101">
        <v>3</v>
      </c>
      <c r="D602" s="101">
        <v>2</v>
      </c>
      <c r="E602" s="101"/>
      <c r="F602" s="101"/>
      <c r="G602" s="101"/>
      <c r="H602" s="101"/>
      <c r="I602" s="101"/>
      <c r="J602" s="102">
        <v>0.72</v>
      </c>
      <c r="K602" s="102">
        <v>2.25</v>
      </c>
      <c r="L602" s="101"/>
      <c r="M602" s="101"/>
      <c r="N602" s="101" t="s">
        <v>952</v>
      </c>
      <c r="O602" s="101">
        <v>2011</v>
      </c>
      <c r="P602" s="101" t="s">
        <v>742</v>
      </c>
      <c r="Q602" s="101">
        <v>912287</v>
      </c>
      <c r="R602" t="s">
        <v>450</v>
      </c>
      <c r="S602" t="s">
        <v>338</v>
      </c>
      <c r="T602"/>
      <c r="U602"/>
      <c r="V602"/>
      <c r="W602" s="223"/>
    </row>
    <row r="603" spans="1:23" x14ac:dyDescent="0.2">
      <c r="A603" s="253" t="s">
        <v>705</v>
      </c>
      <c r="B603" s="101">
        <v>10</v>
      </c>
      <c r="C603" s="101">
        <v>10</v>
      </c>
      <c r="D603" s="101">
        <v>8</v>
      </c>
      <c r="E603" s="101">
        <v>-2</v>
      </c>
      <c r="F603" s="101">
        <v>-7</v>
      </c>
      <c r="G603" s="101">
        <v>85</v>
      </c>
      <c r="H603" s="101">
        <v>47</v>
      </c>
      <c r="I603" s="101">
        <v>8</v>
      </c>
      <c r="J603" s="102">
        <v>0.73</v>
      </c>
      <c r="K603" s="102">
        <v>2.15</v>
      </c>
      <c r="L603" s="101">
        <v>22.7</v>
      </c>
      <c r="M603" s="101">
        <v>1</v>
      </c>
      <c r="N603" s="101" t="s">
        <v>957</v>
      </c>
      <c r="O603" s="101">
        <v>2008</v>
      </c>
      <c r="P603" s="101" t="s">
        <v>742</v>
      </c>
      <c r="Q603" s="101">
        <v>204891</v>
      </c>
      <c r="R603" t="s">
        <v>930</v>
      </c>
      <c r="S603" t="s">
        <v>418</v>
      </c>
      <c r="T603"/>
      <c r="U603"/>
      <c r="V603"/>
      <c r="W603" s="223"/>
    </row>
    <row r="604" spans="1:23" x14ac:dyDescent="0.2">
      <c r="A604" s="253" t="s">
        <v>708</v>
      </c>
      <c r="B604" s="101">
        <v>7</v>
      </c>
      <c r="C604" s="101">
        <v>7</v>
      </c>
      <c r="D604" s="101">
        <v>5</v>
      </c>
      <c r="E604" s="101">
        <v>-7</v>
      </c>
      <c r="F604" s="101">
        <v>-10</v>
      </c>
      <c r="G604" s="101">
        <v>48</v>
      </c>
      <c r="H604" s="101">
        <v>17</v>
      </c>
      <c r="I604" s="101">
        <v>3</v>
      </c>
      <c r="J604" s="102">
        <v>0.73</v>
      </c>
      <c r="K604" s="102">
        <v>2.15</v>
      </c>
      <c r="L604" s="101">
        <v>20.5</v>
      </c>
      <c r="M604" s="101">
        <v>0.7</v>
      </c>
      <c r="N604" s="101" t="s">
        <v>957</v>
      </c>
      <c r="O604" s="101">
        <v>2006</v>
      </c>
      <c r="P604" s="101" t="s">
        <v>742</v>
      </c>
      <c r="Q604" s="101">
        <v>197632</v>
      </c>
      <c r="R604" t="s">
        <v>930</v>
      </c>
      <c r="S604" t="s">
        <v>416</v>
      </c>
      <c r="T604"/>
      <c r="U604"/>
      <c r="V604"/>
      <c r="W604" s="223"/>
    </row>
    <row r="605" spans="1:23" x14ac:dyDescent="0.2">
      <c r="A605" s="253" t="s">
        <v>884</v>
      </c>
      <c r="B605" s="101">
        <v>-4</v>
      </c>
      <c r="C605" s="101">
        <v>-4</v>
      </c>
      <c r="D605" s="101">
        <v>-7</v>
      </c>
      <c r="E605" s="101">
        <v>-10</v>
      </c>
      <c r="F605" s="101">
        <v>2</v>
      </c>
      <c r="G605" s="101">
        <v>29</v>
      </c>
      <c r="H605" s="101">
        <v>13</v>
      </c>
      <c r="I605" s="101">
        <v>2</v>
      </c>
      <c r="J605" s="102">
        <v>0.73</v>
      </c>
      <c r="K605" s="102">
        <v>1.89</v>
      </c>
      <c r="L605" s="101">
        <v>12</v>
      </c>
      <c r="M605" s="101">
        <v>0.7</v>
      </c>
      <c r="N605" s="101" t="s">
        <v>955</v>
      </c>
      <c r="O605" s="101">
        <v>2008</v>
      </c>
      <c r="P605" s="101" t="s">
        <v>742</v>
      </c>
      <c r="Q605" s="101">
        <v>873505</v>
      </c>
      <c r="R605" t="s">
        <v>882</v>
      </c>
      <c r="S605" t="s">
        <v>721</v>
      </c>
      <c r="T605"/>
      <c r="U605"/>
      <c r="V605"/>
      <c r="W605" s="223"/>
    </row>
    <row r="606" spans="1:23" x14ac:dyDescent="0.2">
      <c r="A606" s="253" t="s">
        <v>890</v>
      </c>
      <c r="B606" s="101">
        <v>1</v>
      </c>
      <c r="C606" s="101">
        <v>1</v>
      </c>
      <c r="D606" s="101">
        <v>10</v>
      </c>
      <c r="E606" s="101">
        <v>5</v>
      </c>
      <c r="F606" s="101">
        <v>7</v>
      </c>
      <c r="G606" s="101">
        <v>51</v>
      </c>
      <c r="H606" s="101">
        <v>6</v>
      </c>
      <c r="I606" s="101">
        <v>1</v>
      </c>
      <c r="J606" s="102">
        <v>0.73</v>
      </c>
      <c r="K606" s="102">
        <v>1.82</v>
      </c>
      <c r="L606" s="101">
        <v>19.100000000000001</v>
      </c>
      <c r="M606" s="101">
        <v>0.8</v>
      </c>
      <c r="N606" s="101" t="s">
        <v>957</v>
      </c>
      <c r="O606" s="101">
        <v>2008</v>
      </c>
      <c r="P606" s="101" t="s">
        <v>742</v>
      </c>
      <c r="Q606" s="101">
        <v>116822</v>
      </c>
      <c r="R606" t="s">
        <v>882</v>
      </c>
      <c r="S606" t="s">
        <v>419</v>
      </c>
      <c r="T606"/>
      <c r="U606"/>
      <c r="V606"/>
      <c r="W606" s="223"/>
    </row>
    <row r="607" spans="1:23" x14ac:dyDescent="0.2">
      <c r="A607" s="253" t="s">
        <v>707</v>
      </c>
      <c r="B607" s="101">
        <v>6</v>
      </c>
      <c r="C607" s="101">
        <v>6</v>
      </c>
      <c r="D607" s="101">
        <v>3</v>
      </c>
      <c r="E607" s="101">
        <v>-12</v>
      </c>
      <c r="F607" s="101">
        <v>-11</v>
      </c>
      <c r="G607" s="101">
        <v>43</v>
      </c>
      <c r="H607" s="101">
        <v>3</v>
      </c>
      <c r="I607" s="101">
        <v>1</v>
      </c>
      <c r="J607" s="102">
        <v>0.73</v>
      </c>
      <c r="K607" s="102">
        <v>2.15</v>
      </c>
      <c r="L607" s="101">
        <v>18.5</v>
      </c>
      <c r="M607" s="101">
        <v>0.7</v>
      </c>
      <c r="N607" s="101" t="s">
        <v>957</v>
      </c>
      <c r="O607" s="101">
        <v>2001</v>
      </c>
      <c r="P607" s="101" t="s">
        <v>742</v>
      </c>
      <c r="Q607" s="101">
        <v>166173</v>
      </c>
      <c r="R607" t="s">
        <v>930</v>
      </c>
      <c r="S607" t="s">
        <v>150</v>
      </c>
      <c r="T607"/>
      <c r="U607"/>
      <c r="V607"/>
      <c r="W607" s="223"/>
    </row>
    <row r="608" spans="1:23" x14ac:dyDescent="0.2">
      <c r="A608" s="253" t="s">
        <v>397</v>
      </c>
      <c r="B608" s="101">
        <v>0</v>
      </c>
      <c r="C608" s="101">
        <v>0</v>
      </c>
      <c r="D608" s="101">
        <v>0</v>
      </c>
      <c r="E608" s="101">
        <v>0</v>
      </c>
      <c r="F608" s="101">
        <v>-4</v>
      </c>
      <c r="G608" s="101">
        <v>65</v>
      </c>
      <c r="H608" s="101">
        <v>6</v>
      </c>
      <c r="I608" s="101">
        <v>1</v>
      </c>
      <c r="J608" s="102">
        <v>0.73</v>
      </c>
      <c r="K608" s="102">
        <v>2.15</v>
      </c>
      <c r="L608" s="101">
        <v>14.6</v>
      </c>
      <c r="M608" s="101">
        <v>1.2</v>
      </c>
      <c r="N608" s="101" t="s">
        <v>957</v>
      </c>
      <c r="O608" s="101">
        <v>2006</v>
      </c>
      <c r="P608" s="101" t="s">
        <v>742</v>
      </c>
      <c r="Q608" s="101">
        <v>269290</v>
      </c>
      <c r="R608" t="s">
        <v>930</v>
      </c>
      <c r="S608" t="s">
        <v>183</v>
      </c>
      <c r="T608"/>
      <c r="U608"/>
      <c r="V608"/>
      <c r="W608" s="223"/>
    </row>
    <row r="609" spans="1:23" x14ac:dyDescent="0.2">
      <c r="A609" s="253" t="s">
        <v>819</v>
      </c>
      <c r="B609" s="101">
        <v>10</v>
      </c>
      <c r="C609" s="101">
        <v>10</v>
      </c>
      <c r="D609" s="101">
        <v>9</v>
      </c>
      <c r="E609" s="101">
        <v>-2</v>
      </c>
      <c r="F609" s="101">
        <v>-10</v>
      </c>
      <c r="G609" s="101">
        <v>90</v>
      </c>
      <c r="H609" s="101">
        <v>-5</v>
      </c>
      <c r="I609" s="101">
        <v>-1</v>
      </c>
      <c r="J609" s="102">
        <v>0.73</v>
      </c>
      <c r="K609" s="102">
        <v>2</v>
      </c>
      <c r="L609" s="101">
        <v>20.5</v>
      </c>
      <c r="M609" s="101">
        <v>1.2</v>
      </c>
      <c r="N609" s="101" t="s">
        <v>956</v>
      </c>
      <c r="O609" s="101">
        <v>2002</v>
      </c>
      <c r="P609" s="101" t="s">
        <v>742</v>
      </c>
      <c r="Q609" s="101">
        <v>450981</v>
      </c>
      <c r="R609" t="s">
        <v>818</v>
      </c>
      <c r="S609" t="s">
        <v>781</v>
      </c>
      <c r="T609"/>
      <c r="U609"/>
      <c r="V609"/>
      <c r="W609" s="223"/>
    </row>
    <row r="610" spans="1:23" x14ac:dyDescent="0.2">
      <c r="A610" s="253" t="s">
        <v>706</v>
      </c>
      <c r="B610" s="101">
        <v>15</v>
      </c>
      <c r="C610" s="101">
        <v>15</v>
      </c>
      <c r="D610" s="101">
        <v>-4</v>
      </c>
      <c r="E610" s="101">
        <v>-16</v>
      </c>
      <c r="F610" s="101">
        <v>-14</v>
      </c>
      <c r="G610" s="101">
        <v>40</v>
      </c>
      <c r="H610" s="101">
        <v>-7</v>
      </c>
      <c r="I610" s="101">
        <v>-1</v>
      </c>
      <c r="J610" s="102">
        <v>0.73</v>
      </c>
      <c r="K610" s="102">
        <v>2.15</v>
      </c>
      <c r="L610" s="101">
        <v>28.7</v>
      </c>
      <c r="M610" s="101">
        <v>0.6</v>
      </c>
      <c r="N610" s="101" t="s">
        <v>957</v>
      </c>
      <c r="O610" s="101">
        <v>2006</v>
      </c>
      <c r="P610" s="101" t="s">
        <v>742</v>
      </c>
      <c r="Q610" s="101">
        <v>233460</v>
      </c>
      <c r="R610" t="s">
        <v>930</v>
      </c>
      <c r="S610" t="s">
        <v>150</v>
      </c>
      <c r="T610"/>
      <c r="U610"/>
      <c r="V610"/>
      <c r="W610" s="223"/>
    </row>
    <row r="611" spans="1:23" x14ac:dyDescent="0.2">
      <c r="A611" s="253" t="s">
        <v>889</v>
      </c>
      <c r="B611" s="101">
        <v>4</v>
      </c>
      <c r="C611" s="101">
        <v>4</v>
      </c>
      <c r="D611" s="101">
        <v>6</v>
      </c>
      <c r="E611" s="101">
        <v>2</v>
      </c>
      <c r="F611" s="101">
        <v>-1</v>
      </c>
      <c r="G611" s="101">
        <v>27</v>
      </c>
      <c r="H611" s="101">
        <v>-12</v>
      </c>
      <c r="I611" s="101">
        <v>-3</v>
      </c>
      <c r="J611" s="102">
        <v>0.73</v>
      </c>
      <c r="K611" s="102">
        <v>1.82</v>
      </c>
      <c r="L611" s="101">
        <v>10.199999999999999</v>
      </c>
      <c r="M611" s="101">
        <v>0.8</v>
      </c>
      <c r="N611" s="101" t="s">
        <v>955</v>
      </c>
      <c r="O611" s="101">
        <v>2008</v>
      </c>
      <c r="P611" s="101" t="s">
        <v>742</v>
      </c>
      <c r="Q611" s="101">
        <v>224311</v>
      </c>
      <c r="R611" t="s">
        <v>882</v>
      </c>
      <c r="S611" t="s">
        <v>166</v>
      </c>
      <c r="T611"/>
      <c r="U611"/>
      <c r="V611"/>
      <c r="W611" s="223"/>
    </row>
    <row r="612" spans="1:23" x14ac:dyDescent="0.2">
      <c r="A612" s="253" t="s">
        <v>285</v>
      </c>
      <c r="B612" s="101">
        <v>13</v>
      </c>
      <c r="C612" s="101">
        <v>13</v>
      </c>
      <c r="D612" s="101">
        <v>6</v>
      </c>
      <c r="E612" s="101">
        <v>-10</v>
      </c>
      <c r="F612" s="101">
        <v>-20</v>
      </c>
      <c r="G612" s="101">
        <v>44</v>
      </c>
      <c r="H612" s="101">
        <v>-20</v>
      </c>
      <c r="I612" s="101">
        <v>-4</v>
      </c>
      <c r="J612" s="102">
        <v>0.73</v>
      </c>
      <c r="K612" s="102">
        <v>2</v>
      </c>
      <c r="L612" s="101">
        <v>20.7</v>
      </c>
      <c r="M612" s="101">
        <v>0.7</v>
      </c>
      <c r="N612" s="101" t="s">
        <v>956</v>
      </c>
      <c r="O612" s="101">
        <v>2002</v>
      </c>
      <c r="P612" s="101" t="s">
        <v>742</v>
      </c>
      <c r="Q612" s="101">
        <v>634386</v>
      </c>
      <c r="R612" t="s">
        <v>818</v>
      </c>
      <c r="S612" t="s">
        <v>268</v>
      </c>
      <c r="T612"/>
      <c r="U612"/>
      <c r="V612"/>
      <c r="W612" s="223"/>
    </row>
    <row r="613" spans="1:23" x14ac:dyDescent="0.2">
      <c r="A613" s="253" t="s">
        <v>284</v>
      </c>
      <c r="B613" s="101">
        <v>7</v>
      </c>
      <c r="C613" s="101">
        <v>7</v>
      </c>
      <c r="D613" s="101">
        <v>2</v>
      </c>
      <c r="E613" s="101">
        <v>-14</v>
      </c>
      <c r="F613" s="101">
        <v>-21</v>
      </c>
      <c r="G613" s="101">
        <v>37</v>
      </c>
      <c r="H613" s="101">
        <v>-28</v>
      </c>
      <c r="I613" s="101">
        <v>-6</v>
      </c>
      <c r="J613" s="102">
        <v>0.73</v>
      </c>
      <c r="K613" s="102">
        <v>2</v>
      </c>
      <c r="L613" s="101">
        <v>21.9</v>
      </c>
      <c r="M613" s="101">
        <v>0.6</v>
      </c>
      <c r="N613" s="101" t="s">
        <v>956</v>
      </c>
      <c r="O613" s="101">
        <v>2002</v>
      </c>
      <c r="P613" s="101" t="s">
        <v>742</v>
      </c>
      <c r="Q613" s="101">
        <v>562728</v>
      </c>
      <c r="R613" t="s">
        <v>818</v>
      </c>
      <c r="S613" t="s">
        <v>268</v>
      </c>
      <c r="T613"/>
      <c r="U613"/>
      <c r="V613"/>
      <c r="W613" s="223"/>
    </row>
    <row r="614" spans="1:23" x14ac:dyDescent="0.2">
      <c r="A614" s="253" t="s">
        <v>48</v>
      </c>
      <c r="B614" s="101">
        <v>9</v>
      </c>
      <c r="C614" s="101">
        <v>9</v>
      </c>
      <c r="D614" s="101">
        <v>5</v>
      </c>
      <c r="E614" s="101">
        <v>-8</v>
      </c>
      <c r="F614" s="101">
        <v>-15</v>
      </c>
      <c r="G614" s="101">
        <v>38</v>
      </c>
      <c r="H614" s="101">
        <v>-28</v>
      </c>
      <c r="I614" s="101">
        <v>-6</v>
      </c>
      <c r="J614" s="102">
        <v>0.73</v>
      </c>
      <c r="K614" s="102">
        <v>2</v>
      </c>
      <c r="L614" s="101">
        <v>19</v>
      </c>
      <c r="M614" s="101">
        <v>0.7</v>
      </c>
      <c r="N614" s="101" t="s">
        <v>956</v>
      </c>
      <c r="O614" s="101">
        <v>2002</v>
      </c>
      <c r="P614" s="101" t="s">
        <v>742</v>
      </c>
      <c r="Q614" s="101">
        <v>598557</v>
      </c>
      <c r="R614" t="s">
        <v>818</v>
      </c>
      <c r="S614" t="s">
        <v>861</v>
      </c>
      <c r="T614"/>
      <c r="U614"/>
      <c r="V614"/>
      <c r="W614" s="223"/>
    </row>
    <row r="615" spans="1:23" x14ac:dyDescent="0.2">
      <c r="A615" s="253" t="s">
        <v>106</v>
      </c>
      <c r="B615" s="101">
        <v>13</v>
      </c>
      <c r="C615" s="101">
        <v>13</v>
      </c>
      <c r="D615" s="101">
        <v>7</v>
      </c>
      <c r="E615" s="101">
        <v>-7</v>
      </c>
      <c r="F615" s="101">
        <v>-11</v>
      </c>
      <c r="G615" s="101">
        <v>37</v>
      </c>
      <c r="H615" s="101">
        <v>-36</v>
      </c>
      <c r="I615" s="101">
        <v>-8</v>
      </c>
      <c r="J615" s="102">
        <v>0.73</v>
      </c>
      <c r="K615" s="102">
        <v>2</v>
      </c>
      <c r="L615" s="101">
        <v>20.7</v>
      </c>
      <c r="M615" s="101">
        <v>0.6</v>
      </c>
      <c r="N615" s="101" t="s">
        <v>956</v>
      </c>
      <c r="O615" s="101">
        <v>2006</v>
      </c>
      <c r="P615" s="101" t="s">
        <v>742</v>
      </c>
      <c r="Q615" s="101">
        <v>316695</v>
      </c>
      <c r="R615" t="s">
        <v>818</v>
      </c>
      <c r="S615" t="s">
        <v>104</v>
      </c>
      <c r="T615"/>
      <c r="U615"/>
      <c r="V615"/>
      <c r="W615" s="223"/>
    </row>
    <row r="616" spans="1:23" x14ac:dyDescent="0.2">
      <c r="A616" s="253" t="s">
        <v>50</v>
      </c>
      <c r="B616" s="101">
        <v>10</v>
      </c>
      <c r="C616" s="101">
        <v>10</v>
      </c>
      <c r="D616" s="101">
        <v>6</v>
      </c>
      <c r="E616" s="101">
        <v>-9</v>
      </c>
      <c r="F616" s="101">
        <v>-7</v>
      </c>
      <c r="G616" s="101">
        <v>39</v>
      </c>
      <c r="H616" s="101">
        <v>-37</v>
      </c>
      <c r="I616" s="101">
        <v>-9</v>
      </c>
      <c r="J616" s="102">
        <v>0.73</v>
      </c>
      <c r="K616" s="102">
        <v>2</v>
      </c>
      <c r="L616" s="101">
        <v>19.3</v>
      </c>
      <c r="M616" s="101">
        <v>0.6</v>
      </c>
      <c r="N616" s="101" t="s">
        <v>956</v>
      </c>
      <c r="O616" s="101">
        <v>2006</v>
      </c>
      <c r="P616" s="101" t="s">
        <v>742</v>
      </c>
      <c r="Q616" s="101">
        <v>280867</v>
      </c>
      <c r="R616" t="s">
        <v>818</v>
      </c>
      <c r="S616" t="s">
        <v>49</v>
      </c>
      <c r="T616"/>
      <c r="U616"/>
      <c r="V616"/>
      <c r="W616" s="223"/>
    </row>
    <row r="617" spans="1:23" x14ac:dyDescent="0.2">
      <c r="A617" s="253" t="s">
        <v>377</v>
      </c>
      <c r="B617" s="101">
        <v>4</v>
      </c>
      <c r="C617" s="101">
        <v>4</v>
      </c>
      <c r="D617" s="101">
        <v>1</v>
      </c>
      <c r="E617" s="101">
        <v>-14</v>
      </c>
      <c r="F617" s="101"/>
      <c r="G617" s="101"/>
      <c r="H617" s="101"/>
      <c r="I617" s="101"/>
      <c r="J617" s="102">
        <v>0.73</v>
      </c>
      <c r="K617" s="102">
        <v>2.15</v>
      </c>
      <c r="L617" s="101"/>
      <c r="M617" s="101"/>
      <c r="N617" s="101" t="s">
        <v>955</v>
      </c>
      <c r="O617" s="101">
        <v>2011</v>
      </c>
      <c r="P617" s="101" t="s">
        <v>742</v>
      </c>
      <c r="Q617" s="101">
        <v>954198</v>
      </c>
      <c r="R617" t="s">
        <v>930</v>
      </c>
      <c r="S617" t="s">
        <v>49</v>
      </c>
      <c r="T617"/>
      <c r="U617"/>
      <c r="V617"/>
      <c r="W617" s="223"/>
    </row>
    <row r="618" spans="1:23" x14ac:dyDescent="0.2">
      <c r="A618" s="253" t="s">
        <v>704</v>
      </c>
      <c r="B618" s="101">
        <v>6</v>
      </c>
      <c r="C618" s="101">
        <v>6</v>
      </c>
      <c r="D618" s="101">
        <v>10</v>
      </c>
      <c r="E618" s="101">
        <v>-4</v>
      </c>
      <c r="F618" s="101">
        <v>6</v>
      </c>
      <c r="G618" s="101">
        <v>86</v>
      </c>
      <c r="H618" s="101"/>
      <c r="I618" s="101"/>
      <c r="J618" s="102">
        <v>0.73</v>
      </c>
      <c r="K618" s="102">
        <v>2.15</v>
      </c>
      <c r="L618" s="101">
        <v>18.5</v>
      </c>
      <c r="M618" s="101">
        <v>1.2</v>
      </c>
      <c r="N618" s="101" t="s">
        <v>957</v>
      </c>
      <c r="O618" s="101">
        <v>2008</v>
      </c>
      <c r="P618" s="101" t="s">
        <v>742</v>
      </c>
      <c r="Q618" s="101">
        <v>169060</v>
      </c>
      <c r="R618" t="s">
        <v>930</v>
      </c>
      <c r="S618" t="s">
        <v>150</v>
      </c>
      <c r="T618"/>
      <c r="U618"/>
      <c r="V618"/>
      <c r="W618" s="223"/>
    </row>
    <row r="619" spans="1:23" x14ac:dyDescent="0.2">
      <c r="A619" s="253" t="s">
        <v>364</v>
      </c>
      <c r="B619" s="101">
        <v>4</v>
      </c>
      <c r="C619" s="101">
        <v>4</v>
      </c>
      <c r="D619" s="101">
        <v>11</v>
      </c>
      <c r="E619" s="101">
        <v>6</v>
      </c>
      <c r="F619" s="101"/>
      <c r="G619" s="101"/>
      <c r="H619" s="101"/>
      <c r="I619" s="101"/>
      <c r="J619" s="102">
        <v>0.73</v>
      </c>
      <c r="K619" s="102">
        <v>2.15</v>
      </c>
      <c r="L619" s="101"/>
      <c r="M619" s="101"/>
      <c r="N619" s="101" t="s">
        <v>957</v>
      </c>
      <c r="O619" s="101">
        <v>2011</v>
      </c>
      <c r="P619" s="101" t="s">
        <v>742</v>
      </c>
      <c r="Q619" s="101">
        <v>197517</v>
      </c>
      <c r="R619" t="s">
        <v>930</v>
      </c>
      <c r="S619" t="s">
        <v>114</v>
      </c>
      <c r="T619"/>
      <c r="U619"/>
      <c r="V619"/>
      <c r="W619" s="223"/>
    </row>
    <row r="620" spans="1:23" x14ac:dyDescent="0.2">
      <c r="A620" s="253" t="s">
        <v>365</v>
      </c>
      <c r="B620" s="101">
        <v>7</v>
      </c>
      <c r="C620" s="101">
        <v>7</v>
      </c>
      <c r="D620" s="101">
        <v>4</v>
      </c>
      <c r="E620" s="101">
        <v>-1</v>
      </c>
      <c r="F620" s="101"/>
      <c r="G620" s="101"/>
      <c r="H620" s="101"/>
      <c r="I620" s="101"/>
      <c r="J620" s="102">
        <v>0.73</v>
      </c>
      <c r="K620" s="102">
        <v>2.15</v>
      </c>
      <c r="L620" s="101"/>
      <c r="M620" s="101"/>
      <c r="N620" s="101" t="s">
        <v>957</v>
      </c>
      <c r="O620" s="101">
        <v>2011</v>
      </c>
      <c r="P620" s="101" t="s">
        <v>742</v>
      </c>
      <c r="Q620" s="101">
        <v>233346</v>
      </c>
      <c r="R620" t="s">
        <v>930</v>
      </c>
      <c r="S620" t="s">
        <v>312</v>
      </c>
      <c r="T620"/>
      <c r="U620"/>
      <c r="V620"/>
      <c r="W620" s="223"/>
    </row>
    <row r="621" spans="1:23" x14ac:dyDescent="0.2">
      <c r="A621" s="253" t="s">
        <v>367</v>
      </c>
      <c r="B621" s="101">
        <v>8</v>
      </c>
      <c r="C621" s="101">
        <v>8</v>
      </c>
      <c r="D621" s="101">
        <v>-1</v>
      </c>
      <c r="E621" s="101">
        <v>-5</v>
      </c>
      <c r="F621" s="101"/>
      <c r="G621" s="101"/>
      <c r="H621" s="101"/>
      <c r="I621" s="101"/>
      <c r="J621" s="102">
        <v>0.73</v>
      </c>
      <c r="K621" s="102">
        <v>2.15</v>
      </c>
      <c r="L621" s="101"/>
      <c r="M621" s="101"/>
      <c r="N621" s="101" t="s">
        <v>957</v>
      </c>
      <c r="O621" s="101">
        <v>2011</v>
      </c>
      <c r="P621" s="101" t="s">
        <v>742</v>
      </c>
      <c r="Q621" s="101">
        <v>305003</v>
      </c>
      <c r="R621" t="s">
        <v>930</v>
      </c>
      <c r="S621" t="s">
        <v>312</v>
      </c>
      <c r="T621"/>
      <c r="U621"/>
      <c r="V621"/>
      <c r="W621" s="223"/>
    </row>
    <row r="622" spans="1:23" x14ac:dyDescent="0.2">
      <c r="A622" s="253" t="s">
        <v>372</v>
      </c>
      <c r="B622" s="101">
        <v>7</v>
      </c>
      <c r="C622" s="101">
        <v>7</v>
      </c>
      <c r="D622" s="101">
        <v>7</v>
      </c>
      <c r="E622" s="101">
        <v>-2</v>
      </c>
      <c r="F622" s="101"/>
      <c r="G622" s="101"/>
      <c r="H622" s="101"/>
      <c r="I622" s="101"/>
      <c r="J622" s="102">
        <v>0.73</v>
      </c>
      <c r="K622" s="102">
        <v>2.15</v>
      </c>
      <c r="L622" s="101"/>
      <c r="M622" s="101"/>
      <c r="N622" s="101" t="s">
        <v>957</v>
      </c>
      <c r="O622" s="101">
        <v>2011</v>
      </c>
      <c r="P622" s="101" t="s">
        <v>742</v>
      </c>
      <c r="Q622" s="101">
        <v>846709</v>
      </c>
      <c r="R622" t="s">
        <v>930</v>
      </c>
      <c r="S622" t="s">
        <v>114</v>
      </c>
      <c r="T622"/>
      <c r="U622"/>
      <c r="V622"/>
      <c r="W622" s="223"/>
    </row>
    <row r="623" spans="1:23" x14ac:dyDescent="0.2">
      <c r="A623" s="253" t="s">
        <v>373</v>
      </c>
      <c r="B623" s="101">
        <v>3</v>
      </c>
      <c r="C623" s="101">
        <v>3</v>
      </c>
      <c r="D623" s="101">
        <v>9</v>
      </c>
      <c r="E623" s="101">
        <v>8</v>
      </c>
      <c r="F623" s="101"/>
      <c r="G623" s="101"/>
      <c r="H623" s="101"/>
      <c r="I623" s="101"/>
      <c r="J623" s="102">
        <v>0.73</v>
      </c>
      <c r="K623" s="102">
        <v>2.15</v>
      </c>
      <c r="L623" s="101"/>
      <c r="M623" s="101"/>
      <c r="N623" s="101" t="s">
        <v>957</v>
      </c>
      <c r="O623" s="101">
        <v>2011</v>
      </c>
      <c r="P623" s="101" t="s">
        <v>742</v>
      </c>
      <c r="Q623" s="101">
        <v>882530</v>
      </c>
      <c r="R623" t="s">
        <v>930</v>
      </c>
      <c r="S623" t="s">
        <v>419</v>
      </c>
      <c r="T623"/>
      <c r="U623"/>
      <c r="V623"/>
      <c r="W623" s="223"/>
    </row>
    <row r="624" spans="1:23" x14ac:dyDescent="0.2">
      <c r="A624" s="253" t="s">
        <v>376</v>
      </c>
      <c r="B624" s="101">
        <v>5</v>
      </c>
      <c r="C624" s="101">
        <v>5</v>
      </c>
      <c r="D624" s="101">
        <v>3</v>
      </c>
      <c r="E624" s="101">
        <v>-5</v>
      </c>
      <c r="F624" s="101"/>
      <c r="G624" s="101"/>
      <c r="H624" s="101"/>
      <c r="I624" s="101"/>
      <c r="J624" s="102">
        <v>0.73</v>
      </c>
      <c r="K624" s="102">
        <v>2.15</v>
      </c>
      <c r="L624" s="101"/>
      <c r="M624" s="101"/>
      <c r="N624" s="101" t="s">
        <v>957</v>
      </c>
      <c r="O624" s="101">
        <v>2011</v>
      </c>
      <c r="P624" s="101" t="s">
        <v>742</v>
      </c>
      <c r="Q624" s="101">
        <v>918367</v>
      </c>
      <c r="R624" t="s">
        <v>930</v>
      </c>
      <c r="S624" t="s">
        <v>312</v>
      </c>
      <c r="T624"/>
      <c r="U624"/>
      <c r="V624"/>
      <c r="W624" s="223"/>
    </row>
    <row r="625" spans="1:23" x14ac:dyDescent="0.2">
      <c r="A625" s="253" t="s">
        <v>496</v>
      </c>
      <c r="B625" s="101">
        <v>5</v>
      </c>
      <c r="C625" s="101">
        <v>5</v>
      </c>
      <c r="D625" s="101">
        <v>8</v>
      </c>
      <c r="E625" s="101">
        <v>7</v>
      </c>
      <c r="F625" s="101">
        <v>4</v>
      </c>
      <c r="G625" s="101">
        <v>48</v>
      </c>
      <c r="H625" s="101">
        <v>9</v>
      </c>
      <c r="I625" s="101">
        <v>2</v>
      </c>
      <c r="J625" s="102">
        <v>0.74</v>
      </c>
      <c r="K625" s="102">
        <v>1.8360000000000001</v>
      </c>
      <c r="L625" s="101">
        <v>13.8</v>
      </c>
      <c r="M625" s="101">
        <v>1.1000000000000001</v>
      </c>
      <c r="N625" s="101" t="s">
        <v>957</v>
      </c>
      <c r="O625" s="101">
        <v>2006</v>
      </c>
      <c r="P625" s="101" t="s">
        <v>742</v>
      </c>
      <c r="Q625" s="101">
        <v>401695</v>
      </c>
      <c r="R625" t="s">
        <v>140</v>
      </c>
      <c r="S625" t="s">
        <v>293</v>
      </c>
      <c r="T625"/>
      <c r="U625"/>
      <c r="V625"/>
      <c r="W625" s="223"/>
    </row>
    <row r="626" spans="1:23" x14ac:dyDescent="0.2">
      <c r="A626" s="253" t="s">
        <v>1027</v>
      </c>
      <c r="B626" s="101">
        <v>7</v>
      </c>
      <c r="C626" s="101">
        <v>7</v>
      </c>
      <c r="D626" s="101">
        <v>7</v>
      </c>
      <c r="E626" s="101">
        <v>-6</v>
      </c>
      <c r="F626" s="101">
        <v>-12</v>
      </c>
      <c r="G626" s="101">
        <v>22</v>
      </c>
      <c r="H626" s="101">
        <v>8</v>
      </c>
      <c r="I626" s="101">
        <v>2</v>
      </c>
      <c r="J626" s="102">
        <v>0.74</v>
      </c>
      <c r="K626" s="102">
        <v>2</v>
      </c>
      <c r="L626" s="101">
        <v>18.100000000000001</v>
      </c>
      <c r="M626" s="101">
        <v>0.4</v>
      </c>
      <c r="N626" s="101" t="s">
        <v>952</v>
      </c>
      <c r="O626" s="101">
        <v>2000</v>
      </c>
      <c r="P626" s="101" t="s">
        <v>867</v>
      </c>
      <c r="Q626" s="101">
        <v>688457</v>
      </c>
      <c r="R626" t="s">
        <v>972</v>
      </c>
      <c r="S626" t="s">
        <v>416</v>
      </c>
      <c r="T626"/>
      <c r="U626"/>
      <c r="V626"/>
      <c r="W626" s="223"/>
    </row>
    <row r="627" spans="1:23" x14ac:dyDescent="0.2">
      <c r="A627" s="253" t="s">
        <v>887</v>
      </c>
      <c r="B627" s="101">
        <v>7</v>
      </c>
      <c r="C627" s="101">
        <v>7</v>
      </c>
      <c r="D627" s="101">
        <v>6</v>
      </c>
      <c r="E627" s="101">
        <v>-9</v>
      </c>
      <c r="F627" s="101">
        <v>-10</v>
      </c>
      <c r="G627" s="101">
        <v>49</v>
      </c>
      <c r="H627" s="101">
        <v>7</v>
      </c>
      <c r="I627" s="101">
        <v>1</v>
      </c>
      <c r="J627" s="102">
        <v>0.74</v>
      </c>
      <c r="K627" s="102">
        <v>1.84</v>
      </c>
      <c r="L627" s="101">
        <v>18.5</v>
      </c>
      <c r="M627" s="101">
        <v>0.8</v>
      </c>
      <c r="N627" s="101" t="s">
        <v>957</v>
      </c>
      <c r="O627" s="101">
        <v>2008</v>
      </c>
      <c r="P627" s="101" t="s">
        <v>742</v>
      </c>
      <c r="Q627" s="101">
        <v>295972</v>
      </c>
      <c r="R627" t="s">
        <v>882</v>
      </c>
      <c r="S627" t="s">
        <v>183</v>
      </c>
      <c r="T627"/>
      <c r="U627"/>
      <c r="V627"/>
      <c r="W627" s="223"/>
    </row>
    <row r="628" spans="1:23" x14ac:dyDescent="0.2">
      <c r="A628" s="253" t="s">
        <v>292</v>
      </c>
      <c r="B628" s="101">
        <v>11</v>
      </c>
      <c r="C628" s="101">
        <v>11</v>
      </c>
      <c r="D628" s="101">
        <v>1</v>
      </c>
      <c r="E628" s="101">
        <v>-9</v>
      </c>
      <c r="F628" s="101">
        <v>-18</v>
      </c>
      <c r="G628" s="101">
        <v>36</v>
      </c>
      <c r="H628" s="101">
        <v>-10</v>
      </c>
      <c r="I628" s="101">
        <v>-2</v>
      </c>
      <c r="J628" s="102">
        <v>0.74</v>
      </c>
      <c r="K628" s="102">
        <v>1.83</v>
      </c>
      <c r="L628" s="101">
        <v>19.5</v>
      </c>
      <c r="M628" s="101">
        <v>0.6</v>
      </c>
      <c r="N628" s="101" t="s">
        <v>955</v>
      </c>
      <c r="O628" s="101">
        <v>2000</v>
      </c>
      <c r="P628" s="101" t="s">
        <v>742</v>
      </c>
      <c r="Q628" s="101">
        <v>182584</v>
      </c>
      <c r="R628" t="s">
        <v>291</v>
      </c>
      <c r="S628" t="s">
        <v>268</v>
      </c>
      <c r="T628"/>
      <c r="U628"/>
      <c r="V628"/>
      <c r="W628" s="223"/>
    </row>
    <row r="629" spans="1:23" x14ac:dyDescent="0.2">
      <c r="A629" s="253" t="s">
        <v>130</v>
      </c>
      <c r="B629" s="101">
        <v>0</v>
      </c>
      <c r="C629" s="101">
        <v>0</v>
      </c>
      <c r="D629" s="101">
        <v>0</v>
      </c>
      <c r="E629" s="101">
        <v>0</v>
      </c>
      <c r="F629" s="101">
        <v>-6</v>
      </c>
      <c r="G629" s="101">
        <v>21</v>
      </c>
      <c r="H629" s="101">
        <v>-18</v>
      </c>
      <c r="I629" s="101">
        <v>-4</v>
      </c>
      <c r="J629" s="102">
        <v>0.74</v>
      </c>
      <c r="K629" s="102">
        <v>2.1800000000000002</v>
      </c>
      <c r="L629" s="101">
        <v>12.4</v>
      </c>
      <c r="M629" s="101">
        <v>0.5</v>
      </c>
      <c r="N629" s="101" t="s">
        <v>957</v>
      </c>
      <c r="O629" s="101">
        <v>2000</v>
      </c>
      <c r="P629" s="101" t="s">
        <v>742</v>
      </c>
      <c r="Q629" s="101">
        <v>762534</v>
      </c>
      <c r="R629" t="s">
        <v>63</v>
      </c>
      <c r="S629" t="s">
        <v>114</v>
      </c>
      <c r="T629"/>
      <c r="U629"/>
      <c r="V629"/>
      <c r="W629" s="223"/>
    </row>
    <row r="630" spans="1:23" x14ac:dyDescent="0.2">
      <c r="A630" s="253" t="s">
        <v>917</v>
      </c>
      <c r="B630" s="101">
        <v>7</v>
      </c>
      <c r="C630" s="101">
        <v>7</v>
      </c>
      <c r="D630" s="101">
        <v>2</v>
      </c>
      <c r="E630" s="101">
        <v>-9</v>
      </c>
      <c r="F630" s="101">
        <v>-10</v>
      </c>
      <c r="G630" s="101">
        <v>66</v>
      </c>
      <c r="H630" s="101">
        <v>-23</v>
      </c>
      <c r="I630" s="101">
        <v>-5</v>
      </c>
      <c r="J630" s="102">
        <v>0.74</v>
      </c>
      <c r="K630" s="102">
        <v>1.96</v>
      </c>
      <c r="L630" s="101">
        <v>16.7</v>
      </c>
      <c r="M630" s="101">
        <v>1.1000000000000001</v>
      </c>
      <c r="N630" s="101" t="s">
        <v>955</v>
      </c>
      <c r="O630" s="101">
        <v>2005</v>
      </c>
      <c r="P630" s="101" t="s">
        <v>742</v>
      </c>
      <c r="Q630" s="101">
        <v>116293</v>
      </c>
      <c r="R630" t="s">
        <v>99</v>
      </c>
      <c r="S630" t="s">
        <v>104</v>
      </c>
      <c r="T630"/>
      <c r="U630"/>
      <c r="V630"/>
      <c r="W630" s="223"/>
    </row>
    <row r="631" spans="1:23" x14ac:dyDescent="0.2">
      <c r="A631" s="253" t="s">
        <v>696</v>
      </c>
      <c r="B631" s="101">
        <v>13</v>
      </c>
      <c r="C631" s="101">
        <v>13</v>
      </c>
      <c r="D631" s="101">
        <v>7</v>
      </c>
      <c r="E631" s="101">
        <v>-12</v>
      </c>
      <c r="F631" s="101">
        <v>-14</v>
      </c>
      <c r="G631" s="101">
        <v>87</v>
      </c>
      <c r="H631" s="101">
        <v>-22</v>
      </c>
      <c r="I631" s="101">
        <v>-5</v>
      </c>
      <c r="J631" s="102">
        <v>0.74</v>
      </c>
      <c r="K631" s="102">
        <v>2.254</v>
      </c>
      <c r="L631" s="101">
        <v>26.7</v>
      </c>
      <c r="M631" s="101">
        <v>1</v>
      </c>
      <c r="N631" s="101" t="s">
        <v>955</v>
      </c>
      <c r="O631" s="101">
        <v>2004</v>
      </c>
      <c r="P631" s="101" t="s">
        <v>742</v>
      </c>
      <c r="Q631" s="101">
        <v>987784</v>
      </c>
      <c r="R631" t="s">
        <v>874</v>
      </c>
      <c r="S631" t="s">
        <v>234</v>
      </c>
      <c r="T631"/>
      <c r="U631"/>
      <c r="V631"/>
      <c r="W631" s="223"/>
    </row>
    <row r="632" spans="1:23" x14ac:dyDescent="0.2">
      <c r="A632" s="253" t="s">
        <v>187</v>
      </c>
      <c r="B632" s="101">
        <v>6</v>
      </c>
      <c r="C632" s="101">
        <v>6</v>
      </c>
      <c r="D632" s="101">
        <v>4</v>
      </c>
      <c r="E632" s="101">
        <v>-4</v>
      </c>
      <c r="F632" s="101">
        <v>2</v>
      </c>
      <c r="G632" s="101">
        <v>54</v>
      </c>
      <c r="H632" s="101">
        <v>-28</v>
      </c>
      <c r="I632" s="101">
        <v>-6</v>
      </c>
      <c r="J632" s="102">
        <v>0.74</v>
      </c>
      <c r="K632" s="102">
        <v>1.83</v>
      </c>
      <c r="L632" s="101">
        <v>14.9</v>
      </c>
      <c r="M632" s="101">
        <v>1</v>
      </c>
      <c r="N632" s="101" t="s">
        <v>955</v>
      </c>
      <c r="O632" s="101">
        <v>2008</v>
      </c>
      <c r="P632" s="101" t="s">
        <v>742</v>
      </c>
      <c r="Q632" s="101">
        <v>152652</v>
      </c>
      <c r="R632" t="s">
        <v>882</v>
      </c>
      <c r="S632" t="s">
        <v>104</v>
      </c>
      <c r="T632"/>
      <c r="U632"/>
      <c r="V632"/>
      <c r="W632" s="223"/>
    </row>
    <row r="633" spans="1:23" x14ac:dyDescent="0.2">
      <c r="A633" s="253" t="s">
        <v>217</v>
      </c>
      <c r="B633" s="101">
        <v>0</v>
      </c>
      <c r="C633" s="101">
        <v>0</v>
      </c>
      <c r="D633" s="101">
        <v>7</v>
      </c>
      <c r="E633" s="101">
        <v>10</v>
      </c>
      <c r="F633" s="101">
        <v>13</v>
      </c>
      <c r="G633" s="101">
        <v>23</v>
      </c>
      <c r="H633" s="101">
        <v>44</v>
      </c>
      <c r="I633" s="101">
        <v>8</v>
      </c>
      <c r="J633" s="102">
        <v>0.75</v>
      </c>
      <c r="K633" s="102">
        <v>1.95</v>
      </c>
      <c r="L633" s="101">
        <v>11.8</v>
      </c>
      <c r="M633" s="101">
        <v>0.5</v>
      </c>
      <c r="N633" s="101" t="s">
        <v>957</v>
      </c>
      <c r="O633" s="101">
        <v>2003</v>
      </c>
      <c r="P633" s="101" t="s">
        <v>742</v>
      </c>
      <c r="Q633" s="101">
        <v>173435</v>
      </c>
      <c r="R633" t="s">
        <v>490</v>
      </c>
      <c r="S633" t="s">
        <v>735</v>
      </c>
      <c r="T633"/>
      <c r="U633"/>
      <c r="V633"/>
      <c r="W633" s="223"/>
    </row>
    <row r="634" spans="1:23" x14ac:dyDescent="0.2">
      <c r="A634" s="253" t="s">
        <v>849</v>
      </c>
      <c r="B634" s="101">
        <v>7</v>
      </c>
      <c r="C634" s="101">
        <v>7</v>
      </c>
      <c r="D634" s="101">
        <v>6</v>
      </c>
      <c r="E634" s="101">
        <v>-2</v>
      </c>
      <c r="F634" s="101">
        <v>-4</v>
      </c>
      <c r="G634" s="101">
        <v>33</v>
      </c>
      <c r="H634" s="101">
        <v>1</v>
      </c>
      <c r="I634" s="101">
        <v>0</v>
      </c>
      <c r="J634" s="102">
        <v>0.75</v>
      </c>
      <c r="K634" s="102">
        <v>1.8680000000000001</v>
      </c>
      <c r="L634" s="101">
        <v>12.7</v>
      </c>
      <c r="M634" s="101">
        <v>0.8</v>
      </c>
      <c r="N634" s="101" t="s">
        <v>955</v>
      </c>
      <c r="O634" s="101">
        <v>2010</v>
      </c>
      <c r="P634" s="101" t="s">
        <v>742</v>
      </c>
      <c r="Q634" s="101">
        <v>523050</v>
      </c>
      <c r="R634" t="s">
        <v>140</v>
      </c>
      <c r="S634" t="s">
        <v>166</v>
      </c>
      <c r="T634"/>
      <c r="U634"/>
      <c r="V634"/>
      <c r="W634" s="223"/>
    </row>
    <row r="635" spans="1:23" x14ac:dyDescent="0.2">
      <c r="A635" s="253" t="s">
        <v>305</v>
      </c>
      <c r="B635" s="101">
        <v>0</v>
      </c>
      <c r="C635" s="101">
        <v>0</v>
      </c>
      <c r="D635" s="101">
        <v>9</v>
      </c>
      <c r="E635" s="101">
        <v>7</v>
      </c>
      <c r="F635" s="101">
        <v>11</v>
      </c>
      <c r="G635" s="101">
        <v>7</v>
      </c>
      <c r="H635" s="101">
        <v>-4</v>
      </c>
      <c r="I635" s="101">
        <v>-1</v>
      </c>
      <c r="J635" s="102">
        <v>0.75</v>
      </c>
      <c r="K635" s="102">
        <v>1.87</v>
      </c>
      <c r="L635" s="101">
        <v>9.8000000000000007</v>
      </c>
      <c r="M635" s="101">
        <v>0.2</v>
      </c>
      <c r="N635" s="101" t="s">
        <v>955</v>
      </c>
      <c r="O635" s="101">
        <v>2002</v>
      </c>
      <c r="P635" s="101" t="s">
        <v>742</v>
      </c>
      <c r="Q635" s="101">
        <v>231753</v>
      </c>
      <c r="R635" t="s">
        <v>291</v>
      </c>
      <c r="S635" t="s">
        <v>302</v>
      </c>
      <c r="T635"/>
      <c r="U635"/>
      <c r="V635"/>
      <c r="W635" s="223"/>
    </row>
    <row r="636" spans="1:23" x14ac:dyDescent="0.2">
      <c r="A636" s="253" t="s">
        <v>854</v>
      </c>
      <c r="B636" s="101">
        <v>3</v>
      </c>
      <c r="C636" s="101">
        <v>3</v>
      </c>
      <c r="D636" s="101">
        <v>1</v>
      </c>
      <c r="E636" s="101">
        <v>-5</v>
      </c>
      <c r="F636" s="101">
        <v>-10</v>
      </c>
      <c r="G636" s="101">
        <v>38</v>
      </c>
      <c r="H636" s="101">
        <v>-11</v>
      </c>
      <c r="I636" s="101">
        <v>-2</v>
      </c>
      <c r="J636" s="102">
        <v>0.75</v>
      </c>
      <c r="K636" s="102">
        <v>1.859</v>
      </c>
      <c r="L636" s="101">
        <v>15.7</v>
      </c>
      <c r="M636" s="101">
        <v>0.8</v>
      </c>
      <c r="N636" s="101" t="s">
        <v>955</v>
      </c>
      <c r="O636" s="101">
        <v>2010</v>
      </c>
      <c r="P636" s="101" t="s">
        <v>742</v>
      </c>
      <c r="Q636" s="101">
        <v>773861</v>
      </c>
      <c r="R636" t="s">
        <v>140</v>
      </c>
      <c r="S636" t="s">
        <v>49</v>
      </c>
      <c r="T636"/>
      <c r="U636"/>
      <c r="V636"/>
      <c r="W636" s="223"/>
    </row>
    <row r="637" spans="1:23" x14ac:dyDescent="0.2">
      <c r="A637" s="253" t="s">
        <v>1148</v>
      </c>
      <c r="B637" s="101">
        <v>4</v>
      </c>
      <c r="C637" s="101">
        <v>4</v>
      </c>
      <c r="D637" s="101">
        <v>7</v>
      </c>
      <c r="E637" s="101">
        <v>3</v>
      </c>
      <c r="F637" s="101">
        <v>2</v>
      </c>
      <c r="G637" s="101">
        <v>30</v>
      </c>
      <c r="H637" s="101">
        <v>-12</v>
      </c>
      <c r="I637" s="101">
        <v>-2</v>
      </c>
      <c r="J637" s="102">
        <v>0.75</v>
      </c>
      <c r="K637" s="102">
        <v>1.859</v>
      </c>
      <c r="L637" s="101">
        <v>10.199999999999999</v>
      </c>
      <c r="M637" s="101">
        <v>0.9</v>
      </c>
      <c r="N637" s="101" t="s">
        <v>955</v>
      </c>
      <c r="O637" s="101">
        <v>2010</v>
      </c>
      <c r="P637" s="101" t="s">
        <v>742</v>
      </c>
      <c r="Q637" s="101">
        <v>594713</v>
      </c>
      <c r="R637" t="s">
        <v>140</v>
      </c>
      <c r="S637" t="s">
        <v>166</v>
      </c>
      <c r="T637" t="s">
        <v>953</v>
      </c>
      <c r="U637"/>
      <c r="V637"/>
      <c r="W637" s="223"/>
    </row>
    <row r="638" spans="1:23" x14ac:dyDescent="0.2">
      <c r="A638" s="253" t="s">
        <v>850</v>
      </c>
      <c r="B638" s="101">
        <v>7</v>
      </c>
      <c r="C638" s="101">
        <v>7</v>
      </c>
      <c r="D638" s="101">
        <v>8</v>
      </c>
      <c r="E638" s="101">
        <v>3</v>
      </c>
      <c r="F638" s="101">
        <v>5</v>
      </c>
      <c r="G638" s="101">
        <v>43</v>
      </c>
      <c r="H638" s="101">
        <v>-25</v>
      </c>
      <c r="I638" s="101">
        <v>-6</v>
      </c>
      <c r="J638" s="102">
        <v>0.75</v>
      </c>
      <c r="K638" s="102">
        <v>1.871</v>
      </c>
      <c r="L638" s="101">
        <v>15.2</v>
      </c>
      <c r="M638" s="101">
        <v>0.8</v>
      </c>
      <c r="N638" s="101" t="s">
        <v>955</v>
      </c>
      <c r="O638" s="101">
        <v>2010</v>
      </c>
      <c r="P638" s="101" t="s">
        <v>742</v>
      </c>
      <c r="Q638" s="101">
        <v>558882</v>
      </c>
      <c r="R638" t="s">
        <v>140</v>
      </c>
      <c r="S638" t="s">
        <v>312</v>
      </c>
      <c r="T638"/>
      <c r="U638"/>
      <c r="V638"/>
      <c r="W638" s="223"/>
    </row>
    <row r="639" spans="1:23" x14ac:dyDescent="0.2">
      <c r="A639" s="253" t="s">
        <v>454</v>
      </c>
      <c r="B639" s="101">
        <v>7</v>
      </c>
      <c r="C639" s="101">
        <v>7</v>
      </c>
      <c r="D639" s="101">
        <v>3</v>
      </c>
      <c r="E639" s="101">
        <v>-12</v>
      </c>
      <c r="F639" s="101">
        <v>-18</v>
      </c>
      <c r="G639" s="101">
        <v>43</v>
      </c>
      <c r="H639" s="101">
        <v>-31</v>
      </c>
      <c r="I639" s="101">
        <v>-7</v>
      </c>
      <c r="J639" s="102">
        <v>0.75</v>
      </c>
      <c r="K639" s="102">
        <v>2.04</v>
      </c>
      <c r="L639" s="101">
        <v>19.7</v>
      </c>
      <c r="M639" s="101">
        <v>0.7</v>
      </c>
      <c r="N639" s="101" t="s">
        <v>955</v>
      </c>
      <c r="O639" s="101">
        <v>2005</v>
      </c>
      <c r="P639" s="101" t="s">
        <v>742</v>
      </c>
      <c r="Q639" s="101">
        <v>170951</v>
      </c>
      <c r="R639" t="s">
        <v>1025</v>
      </c>
      <c r="S639" t="s">
        <v>861</v>
      </c>
      <c r="T639"/>
      <c r="U639"/>
      <c r="V639"/>
      <c r="W639" s="223"/>
    </row>
    <row r="640" spans="1:23" x14ac:dyDescent="0.2">
      <c r="A640" s="253" t="s">
        <v>453</v>
      </c>
      <c r="B640" s="101">
        <v>14</v>
      </c>
      <c r="C640" s="101">
        <v>14</v>
      </c>
      <c r="D640" s="101">
        <v>6</v>
      </c>
      <c r="E640" s="101">
        <v>-16</v>
      </c>
      <c r="F640" s="101">
        <v>-18</v>
      </c>
      <c r="G640" s="101">
        <v>160</v>
      </c>
      <c r="H640" s="101"/>
      <c r="I640" s="101"/>
      <c r="J640" s="102">
        <v>0.75</v>
      </c>
      <c r="K640" s="102">
        <v>2.65</v>
      </c>
      <c r="L640" s="101">
        <v>34.700000000000003</v>
      </c>
      <c r="M640" s="101">
        <v>1.1000000000000001</v>
      </c>
      <c r="N640" s="101" t="s">
        <v>952</v>
      </c>
      <c r="O640" s="101">
        <v>2011</v>
      </c>
      <c r="P640" s="101" t="s">
        <v>742</v>
      </c>
      <c r="Q640" s="101">
        <v>473231</v>
      </c>
      <c r="R640" t="s">
        <v>909</v>
      </c>
      <c r="S640" t="s">
        <v>417</v>
      </c>
      <c r="T640"/>
      <c r="U640"/>
      <c r="V640"/>
      <c r="W640" s="223"/>
    </row>
    <row r="641" spans="1:23" x14ac:dyDescent="0.2">
      <c r="A641" s="253" t="s">
        <v>885</v>
      </c>
      <c r="B641" s="101">
        <v>4</v>
      </c>
      <c r="C641" s="101">
        <v>4</v>
      </c>
      <c r="D641" s="101">
        <v>6</v>
      </c>
      <c r="E641" s="101">
        <v>-1</v>
      </c>
      <c r="F641" s="101">
        <v>-7</v>
      </c>
      <c r="G641" s="101">
        <v>18</v>
      </c>
      <c r="H641" s="101"/>
      <c r="I641" s="101"/>
      <c r="J641" s="102">
        <v>0.75</v>
      </c>
      <c r="K641" s="102">
        <v>1.85</v>
      </c>
      <c r="L641" s="101">
        <v>12.7</v>
      </c>
      <c r="M641" s="101">
        <v>0.4</v>
      </c>
      <c r="N641" s="101" t="s">
        <v>955</v>
      </c>
      <c r="O641" s="101">
        <v>2008</v>
      </c>
      <c r="P641" s="101" t="s">
        <v>742</v>
      </c>
      <c r="Q641" s="101">
        <v>439299</v>
      </c>
      <c r="R641" t="s">
        <v>882</v>
      </c>
      <c r="S641" t="s">
        <v>312</v>
      </c>
      <c r="T641" t="s">
        <v>953</v>
      </c>
      <c r="U641"/>
      <c r="V641"/>
      <c r="W641" s="223"/>
    </row>
    <row r="642" spans="1:23" x14ac:dyDescent="0.2">
      <c r="A642" s="253" t="s">
        <v>355</v>
      </c>
      <c r="B642" s="101">
        <v>7</v>
      </c>
      <c r="C642" s="101">
        <v>7</v>
      </c>
      <c r="D642" s="101">
        <v>7</v>
      </c>
      <c r="E642" s="101">
        <v>-3</v>
      </c>
      <c r="F642" s="101">
        <v>-7</v>
      </c>
      <c r="G642" s="101"/>
      <c r="H642" s="101"/>
      <c r="I642" s="101"/>
      <c r="J642" s="102">
        <v>0.75</v>
      </c>
      <c r="K642" s="102">
        <v>1.9</v>
      </c>
      <c r="L642" s="101"/>
      <c r="M642" s="101"/>
      <c r="N642" s="101" t="s">
        <v>952</v>
      </c>
      <c r="O642" s="101">
        <v>2010</v>
      </c>
      <c r="P642" s="101" t="s">
        <v>867</v>
      </c>
      <c r="Q642" s="101">
        <v>660290</v>
      </c>
      <c r="R642" t="s">
        <v>37</v>
      </c>
      <c r="S642" t="s">
        <v>416</v>
      </c>
      <c r="T642"/>
      <c r="U642"/>
      <c r="V642"/>
      <c r="W642" s="223"/>
    </row>
    <row r="643" spans="1:23" x14ac:dyDescent="0.2">
      <c r="A643" s="253" t="s">
        <v>852</v>
      </c>
      <c r="B643" s="101">
        <v>8</v>
      </c>
      <c r="C643" s="101">
        <v>8</v>
      </c>
      <c r="D643" s="101">
        <v>8</v>
      </c>
      <c r="E643" s="101">
        <v>-7</v>
      </c>
      <c r="F643" s="101">
        <v>-8</v>
      </c>
      <c r="G643" s="101">
        <v>39</v>
      </c>
      <c r="H643" s="101">
        <v>24</v>
      </c>
      <c r="I643" s="101">
        <v>4</v>
      </c>
      <c r="J643" s="102">
        <v>0.76</v>
      </c>
      <c r="K643" s="102">
        <v>1.883</v>
      </c>
      <c r="L643" s="101">
        <v>18.600000000000001</v>
      </c>
      <c r="M643" s="101">
        <v>0.7</v>
      </c>
      <c r="N643" s="101" t="s">
        <v>957</v>
      </c>
      <c r="O643" s="101">
        <v>2010</v>
      </c>
      <c r="P643" s="101" t="s">
        <v>742</v>
      </c>
      <c r="Q643" s="101">
        <v>666370</v>
      </c>
      <c r="R643" t="s">
        <v>140</v>
      </c>
      <c r="S643" t="s">
        <v>416</v>
      </c>
      <c r="T643"/>
      <c r="U643"/>
      <c r="V643"/>
      <c r="W643" s="223"/>
    </row>
    <row r="644" spans="1:23" x14ac:dyDescent="0.2">
      <c r="A644" s="253" t="s">
        <v>154</v>
      </c>
      <c r="B644" s="101">
        <v>7</v>
      </c>
      <c r="C644" s="101">
        <v>7</v>
      </c>
      <c r="D644" s="101">
        <v>7</v>
      </c>
      <c r="E644" s="101">
        <v>-6</v>
      </c>
      <c r="F644" s="101">
        <v>-7</v>
      </c>
      <c r="G644" s="101">
        <v>40</v>
      </c>
      <c r="H644" s="101">
        <v>6</v>
      </c>
      <c r="I644" s="101">
        <v>1</v>
      </c>
      <c r="J644" s="102">
        <v>0.76</v>
      </c>
      <c r="K644" s="102">
        <v>1.903</v>
      </c>
      <c r="L644" s="101">
        <v>16.2</v>
      </c>
      <c r="M644" s="101">
        <v>0.7</v>
      </c>
      <c r="N644" s="101" t="s">
        <v>957</v>
      </c>
      <c r="O644" s="101">
        <v>2000</v>
      </c>
      <c r="P644" s="101" t="s">
        <v>742</v>
      </c>
      <c r="Q644" s="101">
        <v>992099</v>
      </c>
      <c r="R644" t="s">
        <v>140</v>
      </c>
      <c r="S644" t="s">
        <v>150</v>
      </c>
      <c r="T644"/>
      <c r="U644"/>
      <c r="V644"/>
      <c r="W644" s="223"/>
    </row>
    <row r="645" spans="1:23" x14ac:dyDescent="0.2">
      <c r="A645" s="253" t="s">
        <v>190</v>
      </c>
      <c r="B645" s="101">
        <v>8</v>
      </c>
      <c r="C645" s="101">
        <v>8</v>
      </c>
      <c r="D645" s="101">
        <v>5</v>
      </c>
      <c r="E645" s="101">
        <v>-10</v>
      </c>
      <c r="F645" s="101">
        <v>-11</v>
      </c>
      <c r="G645" s="101">
        <v>44</v>
      </c>
      <c r="H645" s="101">
        <v>-5</v>
      </c>
      <c r="I645" s="101">
        <v>-1</v>
      </c>
      <c r="J645" s="102">
        <v>0.76</v>
      </c>
      <c r="K645" s="102">
        <v>1.887</v>
      </c>
      <c r="L645" s="101">
        <v>17.399999999999999</v>
      </c>
      <c r="M645" s="101">
        <v>0.7</v>
      </c>
      <c r="N645" s="101" t="s">
        <v>957</v>
      </c>
      <c r="O645" s="101">
        <v>2001</v>
      </c>
      <c r="P645" s="101" t="s">
        <v>742</v>
      </c>
      <c r="Q645" s="101">
        <v>828111</v>
      </c>
      <c r="R645" t="s">
        <v>140</v>
      </c>
      <c r="S645" t="s">
        <v>183</v>
      </c>
      <c r="T645"/>
      <c r="U645"/>
      <c r="V645"/>
      <c r="W645" s="223"/>
    </row>
    <row r="646" spans="1:23" x14ac:dyDescent="0.2">
      <c r="A646" s="253" t="s">
        <v>1002</v>
      </c>
      <c r="B646" s="101">
        <v>3</v>
      </c>
      <c r="C646" s="101">
        <v>3</v>
      </c>
      <c r="D646" s="101">
        <v>-1</v>
      </c>
      <c r="E646" s="101">
        <v>-10</v>
      </c>
      <c r="F646" s="101">
        <v>-5</v>
      </c>
      <c r="G646" s="101">
        <v>6</v>
      </c>
      <c r="H646" s="101"/>
      <c r="I646" s="101"/>
      <c r="J646" s="102">
        <v>0.76</v>
      </c>
      <c r="K646" s="102">
        <v>1.9</v>
      </c>
      <c r="L646" s="101">
        <v>14.4</v>
      </c>
      <c r="M646" s="101">
        <v>0.1</v>
      </c>
      <c r="N646" s="101" t="s">
        <v>955</v>
      </c>
      <c r="O646" s="101">
        <v>2008</v>
      </c>
      <c r="P646" s="101" t="s">
        <v>742</v>
      </c>
      <c r="Q646" s="101">
        <v>698605</v>
      </c>
      <c r="R646" t="s">
        <v>831</v>
      </c>
      <c r="S646" t="s">
        <v>312</v>
      </c>
      <c r="T646"/>
      <c r="U646"/>
      <c r="V646"/>
      <c r="W646" s="223"/>
    </row>
    <row r="647" spans="1:23" x14ac:dyDescent="0.2">
      <c r="A647" s="253" t="s">
        <v>526</v>
      </c>
      <c r="B647" s="101">
        <v>-1</v>
      </c>
      <c r="C647" s="101">
        <v>-1</v>
      </c>
      <c r="D647" s="101">
        <v>-5</v>
      </c>
      <c r="E647" s="101">
        <v>1</v>
      </c>
      <c r="F647" s="101">
        <v>-9</v>
      </c>
      <c r="G647" s="101"/>
      <c r="H647" s="101"/>
      <c r="I647" s="101"/>
      <c r="J647" s="102">
        <v>0.76</v>
      </c>
      <c r="K647" s="102">
        <v>1.9</v>
      </c>
      <c r="L647" s="101"/>
      <c r="M647" s="101"/>
      <c r="N647" s="101" t="s">
        <v>952</v>
      </c>
      <c r="O647" s="101">
        <v>2010</v>
      </c>
      <c r="P647" s="101" t="s">
        <v>742</v>
      </c>
      <c r="Q647" s="101">
        <v>237008</v>
      </c>
      <c r="R647" t="s">
        <v>527</v>
      </c>
      <c r="S647" t="s">
        <v>166</v>
      </c>
      <c r="T647"/>
      <c r="U647"/>
      <c r="V647"/>
      <c r="W647" s="223"/>
    </row>
    <row r="648" spans="1:23" x14ac:dyDescent="0.2">
      <c r="A648" s="253" t="s">
        <v>709</v>
      </c>
      <c r="B648" s="101">
        <v>9</v>
      </c>
      <c r="C648" s="101">
        <v>9</v>
      </c>
      <c r="D648" s="101">
        <v>7</v>
      </c>
      <c r="E648" s="101">
        <v>0</v>
      </c>
      <c r="F648" s="101">
        <v>-4</v>
      </c>
      <c r="G648" s="101">
        <v>80</v>
      </c>
      <c r="H648" s="101"/>
      <c r="I648" s="101"/>
      <c r="J648" s="102">
        <v>0.76</v>
      </c>
      <c r="K648" s="102">
        <v>2.31</v>
      </c>
      <c r="L648" s="101">
        <v>18.100000000000001</v>
      </c>
      <c r="M648" s="101">
        <v>1.2</v>
      </c>
      <c r="N648" s="101" t="s">
        <v>952</v>
      </c>
      <c r="O648" s="101">
        <v>2011</v>
      </c>
      <c r="P648" s="101" t="s">
        <v>867</v>
      </c>
      <c r="Q648" s="101">
        <v>524231</v>
      </c>
      <c r="R648" t="s">
        <v>932</v>
      </c>
      <c r="S648" t="s">
        <v>837</v>
      </c>
      <c r="T648"/>
      <c r="U648"/>
      <c r="V648"/>
      <c r="W648" s="223"/>
    </row>
    <row r="649" spans="1:23" x14ac:dyDescent="0.2">
      <c r="A649" s="253" t="s">
        <v>363</v>
      </c>
      <c r="B649" s="101">
        <v>8</v>
      </c>
      <c r="C649" s="101">
        <v>8</v>
      </c>
      <c r="D649" s="101">
        <v>5</v>
      </c>
      <c r="E649" s="101">
        <v>-8</v>
      </c>
      <c r="F649" s="101"/>
      <c r="G649" s="101"/>
      <c r="H649" s="101"/>
      <c r="I649" s="101"/>
      <c r="J649" s="102">
        <v>0.76</v>
      </c>
      <c r="K649" s="102">
        <v>2.25</v>
      </c>
      <c r="L649" s="101"/>
      <c r="M649" s="101"/>
      <c r="N649" s="101" t="s">
        <v>957</v>
      </c>
      <c r="O649" s="101">
        <v>2011</v>
      </c>
      <c r="P649" s="101" t="s">
        <v>742</v>
      </c>
      <c r="Q649" s="101">
        <v>161687</v>
      </c>
      <c r="R649" t="s">
        <v>930</v>
      </c>
      <c r="S649" t="s">
        <v>183</v>
      </c>
      <c r="T649"/>
      <c r="U649"/>
      <c r="V649"/>
      <c r="W649" s="223"/>
    </row>
    <row r="650" spans="1:23" x14ac:dyDescent="0.2">
      <c r="A650" s="253" t="s">
        <v>371</v>
      </c>
      <c r="B650" s="101">
        <v>4</v>
      </c>
      <c r="C650" s="101">
        <v>4</v>
      </c>
      <c r="D650" s="101">
        <v>2</v>
      </c>
      <c r="E650" s="101">
        <v>-10</v>
      </c>
      <c r="F650" s="101"/>
      <c r="G650" s="101"/>
      <c r="H650" s="101"/>
      <c r="I650" s="101"/>
      <c r="J650" s="102">
        <v>0.76</v>
      </c>
      <c r="K650" s="102">
        <v>1.7</v>
      </c>
      <c r="L650" s="101"/>
      <c r="M650" s="101"/>
      <c r="N650" s="101" t="s">
        <v>955</v>
      </c>
      <c r="O650" s="101">
        <v>2011</v>
      </c>
      <c r="P650" s="101" t="s">
        <v>742</v>
      </c>
      <c r="Q650" s="101">
        <v>707638</v>
      </c>
      <c r="R650" t="s">
        <v>930</v>
      </c>
      <c r="S650" t="s">
        <v>49</v>
      </c>
      <c r="T650"/>
      <c r="U650"/>
      <c r="V650"/>
      <c r="W650" s="223"/>
    </row>
    <row r="651" spans="1:23" x14ac:dyDescent="0.2">
      <c r="A651" s="253" t="s">
        <v>1149</v>
      </c>
      <c r="B651" s="101">
        <v>12</v>
      </c>
      <c r="C651" s="101">
        <v>12</v>
      </c>
      <c r="D651" s="101">
        <v>4</v>
      </c>
      <c r="E651" s="101">
        <v>-16</v>
      </c>
      <c r="F651" s="101"/>
      <c r="G651" s="101"/>
      <c r="H651" s="101"/>
      <c r="I651" s="101"/>
      <c r="J651" s="102">
        <v>0.76</v>
      </c>
      <c r="K651" s="102">
        <v>2.25</v>
      </c>
      <c r="L651" s="101"/>
      <c r="M651" s="101"/>
      <c r="N651" s="101" t="s">
        <v>955</v>
      </c>
      <c r="O651" s="101">
        <v>2011</v>
      </c>
      <c r="P651" s="101" t="s">
        <v>742</v>
      </c>
      <c r="Q651" s="101">
        <v>990028</v>
      </c>
      <c r="R651" t="s">
        <v>930</v>
      </c>
      <c r="S651" t="s">
        <v>234</v>
      </c>
      <c r="T651"/>
      <c r="U651"/>
      <c r="V651"/>
      <c r="W651" s="223"/>
    </row>
    <row r="652" spans="1:23" x14ac:dyDescent="0.2">
      <c r="A652" s="253" t="s">
        <v>274</v>
      </c>
      <c r="B652" s="101">
        <v>6</v>
      </c>
      <c r="C652" s="101">
        <v>6</v>
      </c>
      <c r="D652" s="101">
        <v>1</v>
      </c>
      <c r="E652" s="101">
        <v>-13</v>
      </c>
      <c r="F652" s="101">
        <v>-12</v>
      </c>
      <c r="G652" s="101">
        <v>21</v>
      </c>
      <c r="H652" s="101"/>
      <c r="I652" s="101"/>
      <c r="J652" s="102">
        <v>0.76</v>
      </c>
      <c r="K652" s="102">
        <v>1.89</v>
      </c>
      <c r="L652" s="101">
        <v>17.600000000000001</v>
      </c>
      <c r="M652" s="101">
        <v>0.5</v>
      </c>
      <c r="N652" s="101" t="s">
        <v>955</v>
      </c>
      <c r="O652" s="101">
        <v>2008</v>
      </c>
      <c r="P652" s="101" t="s">
        <v>742</v>
      </c>
      <c r="Q652" s="101">
        <v>255893</v>
      </c>
      <c r="R652" t="s">
        <v>882</v>
      </c>
      <c r="S652" t="s">
        <v>150</v>
      </c>
      <c r="T652"/>
      <c r="U652"/>
      <c r="V652"/>
      <c r="W652" s="223"/>
    </row>
    <row r="653" spans="1:23" x14ac:dyDescent="0.2">
      <c r="A653" s="253" t="s">
        <v>327</v>
      </c>
      <c r="B653" s="101">
        <v>0</v>
      </c>
      <c r="C653" s="101">
        <v>0</v>
      </c>
      <c r="D653" s="101">
        <v>0</v>
      </c>
      <c r="E653" s="101">
        <v>0</v>
      </c>
      <c r="F653" s="101">
        <v>0</v>
      </c>
      <c r="G653" s="101">
        <v>35</v>
      </c>
      <c r="H653" s="101">
        <v>27</v>
      </c>
      <c r="I653" s="101">
        <v>5</v>
      </c>
      <c r="J653" s="102">
        <v>0.77</v>
      </c>
      <c r="K653" s="102">
        <v>2.2799999999999998</v>
      </c>
      <c r="L653" s="101">
        <v>27.3</v>
      </c>
      <c r="M653" s="101">
        <v>0.5</v>
      </c>
      <c r="N653" s="101" t="s">
        <v>957</v>
      </c>
      <c r="O653" s="101">
        <v>2003</v>
      </c>
      <c r="P653" s="101" t="s">
        <v>742</v>
      </c>
      <c r="Q653" s="101">
        <v>406009</v>
      </c>
      <c r="R653" t="s">
        <v>63</v>
      </c>
      <c r="S653" t="s">
        <v>312</v>
      </c>
      <c r="T653"/>
      <c r="U653"/>
      <c r="V653"/>
      <c r="W653" s="223"/>
    </row>
    <row r="654" spans="1:23" x14ac:dyDescent="0.2">
      <c r="A654" s="253" t="s">
        <v>189</v>
      </c>
      <c r="B654" s="101">
        <v>11</v>
      </c>
      <c r="C654" s="101">
        <v>11</v>
      </c>
      <c r="D654" s="101">
        <v>6</v>
      </c>
      <c r="E654" s="101">
        <v>-4</v>
      </c>
      <c r="F654" s="101">
        <v>-10</v>
      </c>
      <c r="G654" s="101">
        <v>62</v>
      </c>
      <c r="H654" s="101">
        <v>24</v>
      </c>
      <c r="I654" s="101">
        <v>4</v>
      </c>
      <c r="J654" s="102">
        <v>0.77</v>
      </c>
      <c r="K654" s="102">
        <v>1.923</v>
      </c>
      <c r="L654" s="101">
        <v>21</v>
      </c>
      <c r="M654" s="101">
        <v>0.9</v>
      </c>
      <c r="N654" s="101" t="s">
        <v>957</v>
      </c>
      <c r="O654" s="101">
        <v>2000</v>
      </c>
      <c r="P654" s="101" t="s">
        <v>742</v>
      </c>
      <c r="Q654" s="101">
        <v>956268</v>
      </c>
      <c r="R654" t="s">
        <v>140</v>
      </c>
      <c r="S654" t="s">
        <v>418</v>
      </c>
      <c r="T654"/>
      <c r="U654"/>
      <c r="V654"/>
      <c r="W654" s="223"/>
    </row>
    <row r="655" spans="1:23" x14ac:dyDescent="0.2">
      <c r="A655" s="253" t="s">
        <v>977</v>
      </c>
      <c r="B655" s="101">
        <v>3</v>
      </c>
      <c r="C655" s="101">
        <v>3</v>
      </c>
      <c r="D655" s="101">
        <v>5</v>
      </c>
      <c r="E655" s="101">
        <v>-5</v>
      </c>
      <c r="F655" s="101">
        <v>-13</v>
      </c>
      <c r="G655" s="101">
        <v>9</v>
      </c>
      <c r="H655" s="101">
        <v>-22</v>
      </c>
      <c r="I655" s="101">
        <v>-5</v>
      </c>
      <c r="J655" s="102">
        <v>0.77</v>
      </c>
      <c r="K655" s="102">
        <v>1.92</v>
      </c>
      <c r="L655" s="101">
        <v>15.1</v>
      </c>
      <c r="M655" s="101">
        <v>0.2</v>
      </c>
      <c r="N655" s="101" t="s">
        <v>955</v>
      </c>
      <c r="O655" s="101">
        <v>2011</v>
      </c>
      <c r="P655" s="101" t="s">
        <v>742</v>
      </c>
      <c r="Q655" s="101">
        <v>306837</v>
      </c>
      <c r="R655" t="s">
        <v>340</v>
      </c>
      <c r="S655" t="s">
        <v>166</v>
      </c>
      <c r="T655" t="s">
        <v>953</v>
      </c>
      <c r="U655"/>
      <c r="V655"/>
      <c r="W655" s="223"/>
    </row>
    <row r="656" spans="1:23" x14ac:dyDescent="0.2">
      <c r="A656" s="253" t="s">
        <v>799</v>
      </c>
      <c r="B656" s="101">
        <v>7</v>
      </c>
      <c r="C656" s="101">
        <v>7</v>
      </c>
      <c r="D656" s="101">
        <v>6</v>
      </c>
      <c r="E656" s="101">
        <v>-5</v>
      </c>
      <c r="F656" s="101">
        <v>-8</v>
      </c>
      <c r="G656" s="101">
        <v>22</v>
      </c>
      <c r="H656" s="101">
        <v>-26</v>
      </c>
      <c r="I656" s="101">
        <v>-6</v>
      </c>
      <c r="J656" s="102">
        <v>0.77</v>
      </c>
      <c r="K656" s="102">
        <v>1.5129999999999999</v>
      </c>
      <c r="L656" s="101">
        <v>13.7</v>
      </c>
      <c r="M656" s="101">
        <v>0.6</v>
      </c>
      <c r="N656" s="101" t="s">
        <v>952</v>
      </c>
      <c r="O656" s="101">
        <v>2007</v>
      </c>
      <c r="P656" s="101" t="s">
        <v>867</v>
      </c>
      <c r="Q656" s="101">
        <v>102897</v>
      </c>
      <c r="R656" t="s">
        <v>588</v>
      </c>
      <c r="S656" t="s">
        <v>49</v>
      </c>
      <c r="T656"/>
      <c r="U656"/>
      <c r="V656"/>
      <c r="W656" s="223"/>
    </row>
    <row r="657" spans="1:23" x14ac:dyDescent="0.2">
      <c r="A657" s="253" t="s">
        <v>851</v>
      </c>
      <c r="B657" s="101">
        <v>0</v>
      </c>
      <c r="C657" s="101">
        <v>0</v>
      </c>
      <c r="D657" s="101">
        <v>6</v>
      </c>
      <c r="E657" s="101">
        <v>-3</v>
      </c>
      <c r="F657" s="101">
        <v>-8</v>
      </c>
      <c r="G657" s="101">
        <v>23</v>
      </c>
      <c r="H657" s="101"/>
      <c r="I657" s="101"/>
      <c r="J657" s="102">
        <v>0.77</v>
      </c>
      <c r="K657" s="102">
        <v>1.93</v>
      </c>
      <c r="L657" s="101">
        <v>20</v>
      </c>
      <c r="M657" s="101">
        <v>0.4</v>
      </c>
      <c r="N657" s="101" t="s">
        <v>955</v>
      </c>
      <c r="O657" s="101">
        <v>2010</v>
      </c>
      <c r="P657" s="101" t="s">
        <v>742</v>
      </c>
      <c r="Q657" s="101">
        <v>630541</v>
      </c>
      <c r="R657" t="s">
        <v>140</v>
      </c>
      <c r="S657" t="s">
        <v>183</v>
      </c>
      <c r="T657"/>
      <c r="U657"/>
      <c r="V657"/>
      <c r="W657" s="223"/>
    </row>
    <row r="658" spans="1:23" x14ac:dyDescent="0.2">
      <c r="A658" s="253" t="s">
        <v>682</v>
      </c>
      <c r="B658" s="101">
        <v>13</v>
      </c>
      <c r="C658" s="101">
        <v>13</v>
      </c>
      <c r="D658" s="101">
        <v>5</v>
      </c>
      <c r="E658" s="101">
        <v>-15</v>
      </c>
      <c r="F658" s="101">
        <v>-20</v>
      </c>
      <c r="G658" s="101">
        <v>85</v>
      </c>
      <c r="H658" s="101"/>
      <c r="I658" s="101"/>
      <c r="J658" s="102">
        <v>0.77</v>
      </c>
      <c r="K658" s="102">
        <v>2.7</v>
      </c>
      <c r="L658" s="101">
        <v>25.2</v>
      </c>
      <c r="M658" s="101">
        <v>1</v>
      </c>
      <c r="N658" s="101" t="s">
        <v>955</v>
      </c>
      <c r="O658" s="101">
        <v>2010</v>
      </c>
      <c r="P658" s="101" t="s">
        <v>742</v>
      </c>
      <c r="Q658" s="101">
        <v>586800</v>
      </c>
      <c r="R658" t="s">
        <v>1037</v>
      </c>
      <c r="S658" t="s">
        <v>234</v>
      </c>
      <c r="T658"/>
      <c r="U658"/>
      <c r="V658"/>
      <c r="W658" s="223"/>
    </row>
    <row r="659" spans="1:23" x14ac:dyDescent="0.2">
      <c r="A659" s="253" t="s">
        <v>912</v>
      </c>
      <c r="B659" s="101">
        <v>7</v>
      </c>
      <c r="C659" s="101">
        <v>7</v>
      </c>
      <c r="D659" s="101">
        <v>10</v>
      </c>
      <c r="E659" s="101">
        <v>0</v>
      </c>
      <c r="F659" s="101">
        <v>0</v>
      </c>
      <c r="G659" s="101">
        <v>36</v>
      </c>
      <c r="H659" s="101">
        <v>-2</v>
      </c>
      <c r="I659" s="101">
        <v>0</v>
      </c>
      <c r="J659" s="102">
        <v>0.78</v>
      </c>
      <c r="K659" s="102">
        <v>2</v>
      </c>
      <c r="L659" s="101">
        <v>15.6</v>
      </c>
      <c r="M659" s="101">
        <v>0.7</v>
      </c>
      <c r="N659" s="101" t="s">
        <v>952</v>
      </c>
      <c r="O659" s="101">
        <v>2006</v>
      </c>
      <c r="P659" s="101" t="s">
        <v>867</v>
      </c>
      <c r="Q659" s="101">
        <v>534099</v>
      </c>
      <c r="R659" t="s">
        <v>37</v>
      </c>
      <c r="S659" t="s">
        <v>183</v>
      </c>
      <c r="T659"/>
      <c r="U659"/>
      <c r="V659"/>
      <c r="W659" s="223"/>
    </row>
    <row r="660" spans="1:23" x14ac:dyDescent="0.2">
      <c r="A660" s="253" t="s">
        <v>161</v>
      </c>
      <c r="B660" s="101">
        <v>15</v>
      </c>
      <c r="C660" s="101">
        <v>15</v>
      </c>
      <c r="D660" s="101">
        <v>-2</v>
      </c>
      <c r="E660" s="101">
        <v>-10</v>
      </c>
      <c r="F660" s="101">
        <v>-11</v>
      </c>
      <c r="G660" s="101">
        <v>36</v>
      </c>
      <c r="H660" s="101">
        <v>-11</v>
      </c>
      <c r="I660" s="101">
        <v>-2</v>
      </c>
      <c r="J660" s="102">
        <v>0.78</v>
      </c>
      <c r="K660" s="102">
        <v>2</v>
      </c>
      <c r="L660" s="101">
        <v>24.8</v>
      </c>
      <c r="M660" s="101">
        <v>0.5</v>
      </c>
      <c r="N660" s="101" t="s">
        <v>952</v>
      </c>
      <c r="O660" s="101">
        <v>2005</v>
      </c>
      <c r="P660" s="101" t="s">
        <v>867</v>
      </c>
      <c r="Q660" s="101">
        <v>722983</v>
      </c>
      <c r="R660" t="s">
        <v>37</v>
      </c>
      <c r="S660" t="s">
        <v>150</v>
      </c>
      <c r="T660"/>
      <c r="U660"/>
      <c r="V660"/>
      <c r="W660" s="223"/>
    </row>
    <row r="661" spans="1:23" x14ac:dyDescent="0.2">
      <c r="A661" s="253" t="s">
        <v>488</v>
      </c>
      <c r="B661" s="101">
        <v>5</v>
      </c>
      <c r="C661" s="101">
        <v>5</v>
      </c>
      <c r="D661" s="101">
        <v>6</v>
      </c>
      <c r="E661" s="101">
        <v>-6</v>
      </c>
      <c r="F661" s="101">
        <v>-8</v>
      </c>
      <c r="G661" s="101">
        <v>25</v>
      </c>
      <c r="H661" s="101">
        <v>-24</v>
      </c>
      <c r="I661" s="101">
        <v>-5</v>
      </c>
      <c r="J661" s="102">
        <v>0.78</v>
      </c>
      <c r="K661" s="102">
        <v>2</v>
      </c>
      <c r="L661" s="101">
        <v>14.7</v>
      </c>
      <c r="M661" s="101">
        <v>0.6</v>
      </c>
      <c r="N661" s="101" t="s">
        <v>952</v>
      </c>
      <c r="O661" s="101">
        <v>2006</v>
      </c>
      <c r="P661" s="101" t="s">
        <v>867</v>
      </c>
      <c r="Q661" s="101">
        <v>602094</v>
      </c>
      <c r="R661" t="s">
        <v>37</v>
      </c>
      <c r="S661" t="s">
        <v>150</v>
      </c>
      <c r="T661"/>
      <c r="U661"/>
      <c r="V661"/>
      <c r="W661" s="223"/>
    </row>
    <row r="662" spans="1:23" x14ac:dyDescent="0.2">
      <c r="A662" s="253" t="s">
        <v>218</v>
      </c>
      <c r="B662" s="101">
        <v>4</v>
      </c>
      <c r="C662" s="101">
        <v>4</v>
      </c>
      <c r="D662" s="101">
        <v>0</v>
      </c>
      <c r="E662" s="101">
        <v>-7</v>
      </c>
      <c r="F662" s="101">
        <v>-9</v>
      </c>
      <c r="G662" s="101">
        <v>16</v>
      </c>
      <c r="H662" s="101">
        <v>-35</v>
      </c>
      <c r="I662" s="101">
        <v>-8</v>
      </c>
      <c r="J662" s="102">
        <v>0.78</v>
      </c>
      <c r="K662" s="102">
        <v>2.02</v>
      </c>
      <c r="L662" s="101">
        <v>13</v>
      </c>
      <c r="M662" s="101">
        <v>0.4</v>
      </c>
      <c r="N662" s="101" t="s">
        <v>955</v>
      </c>
      <c r="O662" s="101">
        <v>2000</v>
      </c>
      <c r="P662" s="101" t="s">
        <v>742</v>
      </c>
      <c r="Q662" s="101">
        <v>475897</v>
      </c>
      <c r="R662" t="s">
        <v>490</v>
      </c>
      <c r="S662" t="s">
        <v>49</v>
      </c>
      <c r="T662"/>
      <c r="U662"/>
      <c r="V662"/>
      <c r="W662" s="223"/>
    </row>
    <row r="663" spans="1:23" x14ac:dyDescent="0.2">
      <c r="A663" s="253" t="s">
        <v>250</v>
      </c>
      <c r="B663" s="101">
        <v>13</v>
      </c>
      <c r="C663" s="101">
        <v>13</v>
      </c>
      <c r="D663" s="101">
        <v>6</v>
      </c>
      <c r="E663" s="101">
        <v>-11</v>
      </c>
      <c r="F663" s="101">
        <v>-15</v>
      </c>
      <c r="G663" s="101">
        <v>34</v>
      </c>
      <c r="H663" s="101">
        <v>-42</v>
      </c>
      <c r="I663" s="101">
        <v>-10</v>
      </c>
      <c r="J663" s="102">
        <v>0.78</v>
      </c>
      <c r="K663" s="102">
        <v>2</v>
      </c>
      <c r="L663" s="101">
        <v>21.8</v>
      </c>
      <c r="M663" s="101">
        <v>0.6</v>
      </c>
      <c r="N663" s="101" t="s">
        <v>952</v>
      </c>
      <c r="O663" s="101">
        <v>2005</v>
      </c>
      <c r="P663" s="101" t="s">
        <v>867</v>
      </c>
      <c r="Q663" s="101">
        <v>286948</v>
      </c>
      <c r="R663" t="s">
        <v>37</v>
      </c>
      <c r="S663" t="s">
        <v>234</v>
      </c>
      <c r="T663"/>
      <c r="U663"/>
      <c r="V663"/>
      <c r="W663" s="223"/>
    </row>
    <row r="664" spans="1:23" x14ac:dyDescent="0.2">
      <c r="A664" s="253" t="s">
        <v>256</v>
      </c>
      <c r="B664" s="101">
        <v>6</v>
      </c>
      <c r="C664" s="101">
        <v>6</v>
      </c>
      <c r="D664" s="101">
        <v>6</v>
      </c>
      <c r="E664" s="101">
        <v>-8</v>
      </c>
      <c r="F664" s="101">
        <v>-16</v>
      </c>
      <c r="G664" s="101">
        <v>-13</v>
      </c>
      <c r="H664" s="101">
        <v>-41</v>
      </c>
      <c r="I664" s="101">
        <v>-10</v>
      </c>
      <c r="J664" s="102">
        <v>0.78</v>
      </c>
      <c r="K664" s="102">
        <v>2.08</v>
      </c>
      <c r="L664" s="101">
        <v>16.8</v>
      </c>
      <c r="M664" s="101">
        <v>-0.2</v>
      </c>
      <c r="N664" s="101" t="s">
        <v>955</v>
      </c>
      <c r="O664" s="101">
        <v>2007</v>
      </c>
      <c r="P664" s="101" t="s">
        <v>742</v>
      </c>
      <c r="Q664" s="101">
        <v>118067</v>
      </c>
      <c r="R664" t="s">
        <v>99</v>
      </c>
      <c r="S664" t="s">
        <v>166</v>
      </c>
      <c r="T664" t="s">
        <v>953</v>
      </c>
      <c r="U664"/>
      <c r="V664"/>
      <c r="W664" s="223"/>
    </row>
    <row r="665" spans="1:23" x14ac:dyDescent="0.2">
      <c r="A665" s="253" t="s">
        <v>1026</v>
      </c>
      <c r="B665" s="101">
        <v>6</v>
      </c>
      <c r="C665" s="101">
        <v>6</v>
      </c>
      <c r="D665" s="101">
        <v>-3</v>
      </c>
      <c r="E665" s="101">
        <v>-4</v>
      </c>
      <c r="F665" s="101">
        <v>-7</v>
      </c>
      <c r="G665" s="101"/>
      <c r="H665" s="101"/>
      <c r="I665" s="101"/>
      <c r="J665" s="102">
        <v>0.78</v>
      </c>
      <c r="K665" s="102">
        <v>2</v>
      </c>
      <c r="L665" s="101"/>
      <c r="M665" s="101"/>
      <c r="N665" s="101" t="s">
        <v>952</v>
      </c>
      <c r="O665" s="101">
        <v>2009</v>
      </c>
      <c r="P665" s="101" t="s">
        <v>867</v>
      </c>
      <c r="Q665" s="101">
        <v>191494</v>
      </c>
      <c r="R665" t="s">
        <v>37</v>
      </c>
      <c r="S665" t="s">
        <v>166</v>
      </c>
      <c r="T665"/>
      <c r="U665"/>
      <c r="V665"/>
      <c r="W665" s="223"/>
    </row>
    <row r="666" spans="1:23" x14ac:dyDescent="0.2">
      <c r="A666" s="253" t="s">
        <v>303</v>
      </c>
      <c r="B666" s="101">
        <v>8</v>
      </c>
      <c r="C666" s="101">
        <v>8</v>
      </c>
      <c r="D666" s="101">
        <v>16</v>
      </c>
      <c r="E666" s="101">
        <v>10</v>
      </c>
      <c r="F666" s="101">
        <v>17</v>
      </c>
      <c r="G666" s="101">
        <v>25</v>
      </c>
      <c r="H666" s="101">
        <v>35</v>
      </c>
      <c r="I666" s="101">
        <v>6</v>
      </c>
      <c r="J666" s="102">
        <v>0.79</v>
      </c>
      <c r="K666" s="102">
        <v>2.1</v>
      </c>
      <c r="L666" s="101">
        <v>17.399999999999999</v>
      </c>
      <c r="M666" s="101">
        <v>0.4</v>
      </c>
      <c r="N666" s="101" t="s">
        <v>957</v>
      </c>
      <c r="O666" s="101">
        <v>2000</v>
      </c>
      <c r="P666" s="101" t="s">
        <v>742</v>
      </c>
      <c r="Q666" s="101">
        <v>364158</v>
      </c>
      <c r="R666" t="s">
        <v>99</v>
      </c>
      <c r="S666" t="s">
        <v>420</v>
      </c>
      <c r="T666"/>
      <c r="U666"/>
      <c r="V666"/>
      <c r="W666" s="223"/>
    </row>
    <row r="667" spans="1:23" x14ac:dyDescent="0.2">
      <c r="A667" s="253" t="s">
        <v>522</v>
      </c>
      <c r="B667" s="101">
        <v>5</v>
      </c>
      <c r="C667" s="101">
        <v>5</v>
      </c>
      <c r="D667" s="101">
        <v>5</v>
      </c>
      <c r="E667" s="101">
        <v>-4</v>
      </c>
      <c r="F667" s="101">
        <v>7</v>
      </c>
      <c r="G667" s="101">
        <v>122</v>
      </c>
      <c r="H667" s="101">
        <v>27</v>
      </c>
      <c r="I667" s="101">
        <v>5</v>
      </c>
      <c r="J667" s="102">
        <v>0.79</v>
      </c>
      <c r="K667" s="102">
        <v>2.11</v>
      </c>
      <c r="L667" s="101">
        <v>18.3</v>
      </c>
      <c r="M667" s="101">
        <v>1.5</v>
      </c>
      <c r="N667" s="101" t="s">
        <v>957</v>
      </c>
      <c r="O667" s="101">
        <v>2010</v>
      </c>
      <c r="P667" s="101" t="s">
        <v>742</v>
      </c>
      <c r="Q667" s="101">
        <v>843698</v>
      </c>
      <c r="R667" t="s">
        <v>99</v>
      </c>
      <c r="S667" t="s">
        <v>312</v>
      </c>
      <c r="T667"/>
      <c r="U667"/>
      <c r="V667"/>
      <c r="W667" s="223"/>
    </row>
    <row r="668" spans="1:23" x14ac:dyDescent="0.2">
      <c r="A668" s="253" t="s">
        <v>273</v>
      </c>
      <c r="B668" s="101">
        <v>5</v>
      </c>
      <c r="C668" s="101">
        <v>5</v>
      </c>
      <c r="D668" s="101">
        <v>8</v>
      </c>
      <c r="E668" s="101">
        <v>5</v>
      </c>
      <c r="F668" s="101">
        <v>9</v>
      </c>
      <c r="G668" s="101">
        <v>51</v>
      </c>
      <c r="H668" s="101">
        <v>18</v>
      </c>
      <c r="I668" s="101">
        <v>3</v>
      </c>
      <c r="J668" s="102">
        <v>0.79</v>
      </c>
      <c r="K668" s="102">
        <v>2.1</v>
      </c>
      <c r="L668" s="101">
        <v>12.8</v>
      </c>
      <c r="M668" s="101">
        <v>1</v>
      </c>
      <c r="N668" s="101" t="s">
        <v>957</v>
      </c>
      <c r="O668" s="101">
        <v>2008</v>
      </c>
      <c r="P668" s="101" t="s">
        <v>742</v>
      </c>
      <c r="Q668" s="101">
        <v>626945</v>
      </c>
      <c r="R668" t="s">
        <v>99</v>
      </c>
      <c r="S668" t="s">
        <v>114</v>
      </c>
      <c r="T668"/>
      <c r="U668"/>
      <c r="V668"/>
      <c r="W668" s="223"/>
    </row>
    <row r="669" spans="1:23" x14ac:dyDescent="0.2">
      <c r="A669" s="253" t="s">
        <v>1035</v>
      </c>
      <c r="B669" s="101">
        <v>8</v>
      </c>
      <c r="C669" s="101">
        <v>8</v>
      </c>
      <c r="D669" s="101">
        <v>8</v>
      </c>
      <c r="E669" s="101">
        <v>5</v>
      </c>
      <c r="F669" s="101">
        <v>2</v>
      </c>
      <c r="G669" s="101">
        <v>49</v>
      </c>
      <c r="H669" s="101">
        <v>-1</v>
      </c>
      <c r="I669" s="101">
        <v>0</v>
      </c>
      <c r="J669" s="102">
        <v>0.79</v>
      </c>
      <c r="K669" s="102">
        <v>2.1</v>
      </c>
      <c r="L669" s="101">
        <v>14.9</v>
      </c>
      <c r="M669" s="101">
        <v>0.9</v>
      </c>
      <c r="N669" s="101" t="s">
        <v>957</v>
      </c>
      <c r="O669" s="101">
        <v>2000</v>
      </c>
      <c r="P669" s="101" t="s">
        <v>742</v>
      </c>
      <c r="Q669" s="101">
        <v>614966</v>
      </c>
      <c r="R669" t="s">
        <v>99</v>
      </c>
      <c r="S669" t="s">
        <v>293</v>
      </c>
      <c r="T669"/>
      <c r="U669"/>
      <c r="V669"/>
      <c r="W669" s="223"/>
    </row>
    <row r="670" spans="1:23" x14ac:dyDescent="0.2">
      <c r="A670" s="253" t="s">
        <v>42</v>
      </c>
      <c r="B670" s="101">
        <v>7</v>
      </c>
      <c r="C670" s="101">
        <v>7</v>
      </c>
      <c r="D670" s="101">
        <v>6</v>
      </c>
      <c r="E670" s="101">
        <v>-7</v>
      </c>
      <c r="F670" s="101">
        <v>-13</v>
      </c>
      <c r="G670" s="101">
        <v>29</v>
      </c>
      <c r="H670" s="101">
        <v>-6</v>
      </c>
      <c r="I670" s="101">
        <v>-1</v>
      </c>
      <c r="J670" s="102">
        <v>0.79</v>
      </c>
      <c r="K670" s="102">
        <v>1.969525</v>
      </c>
      <c r="L670" s="101">
        <v>16.8</v>
      </c>
      <c r="M670" s="101">
        <v>0.5</v>
      </c>
      <c r="N670" s="101" t="s">
        <v>957</v>
      </c>
      <c r="O670" s="101">
        <v>2005</v>
      </c>
      <c r="P670" s="101" t="s">
        <v>742</v>
      </c>
      <c r="Q670" s="101">
        <v>246868</v>
      </c>
      <c r="R670" t="s">
        <v>504</v>
      </c>
      <c r="S670" t="s">
        <v>416</v>
      </c>
      <c r="T670"/>
      <c r="U670"/>
      <c r="V670"/>
      <c r="W670" s="223"/>
    </row>
    <row r="671" spans="1:23" x14ac:dyDescent="0.2">
      <c r="A671" s="253" t="s">
        <v>304</v>
      </c>
      <c r="B671" s="101">
        <v>2</v>
      </c>
      <c r="C671" s="101">
        <v>2</v>
      </c>
      <c r="D671" s="101">
        <v>10</v>
      </c>
      <c r="E671" s="101">
        <v>4</v>
      </c>
      <c r="F671" s="101">
        <v>8</v>
      </c>
      <c r="G671" s="101">
        <v>4</v>
      </c>
      <c r="H671" s="101">
        <v>-9</v>
      </c>
      <c r="I671" s="101">
        <v>-2</v>
      </c>
      <c r="J671" s="102">
        <v>0.79</v>
      </c>
      <c r="K671" s="102">
        <v>2.1</v>
      </c>
      <c r="L671" s="101">
        <v>11.9</v>
      </c>
      <c r="M671" s="101">
        <v>0</v>
      </c>
      <c r="N671" s="101" t="s">
        <v>957</v>
      </c>
      <c r="O671" s="101">
        <v>2000</v>
      </c>
      <c r="P671" s="101" t="s">
        <v>742</v>
      </c>
      <c r="Q671" s="101">
        <v>579136</v>
      </c>
      <c r="R671" t="s">
        <v>99</v>
      </c>
      <c r="S671" t="s">
        <v>302</v>
      </c>
      <c r="T671"/>
      <c r="U671"/>
      <c r="V671"/>
      <c r="W671" s="223"/>
    </row>
    <row r="672" spans="1:23" x14ac:dyDescent="0.2">
      <c r="A672" s="253" t="s">
        <v>314</v>
      </c>
      <c r="B672" s="101">
        <v>5</v>
      </c>
      <c r="C672" s="101">
        <v>5</v>
      </c>
      <c r="D672" s="101">
        <v>9</v>
      </c>
      <c r="E672" s="101">
        <v>3</v>
      </c>
      <c r="F672" s="101">
        <v>1</v>
      </c>
      <c r="G672" s="101">
        <v>34</v>
      </c>
      <c r="H672" s="101">
        <v>-13</v>
      </c>
      <c r="I672" s="101">
        <v>-3</v>
      </c>
      <c r="J672" s="102">
        <v>0.79</v>
      </c>
      <c r="K672" s="102">
        <v>2.1</v>
      </c>
      <c r="L672" s="101">
        <v>13.4</v>
      </c>
      <c r="M672" s="101">
        <v>0.7</v>
      </c>
      <c r="N672" s="101" t="s">
        <v>969</v>
      </c>
      <c r="O672" s="101">
        <v>2000</v>
      </c>
      <c r="P672" s="101" t="s">
        <v>742</v>
      </c>
      <c r="Q672" s="101">
        <v>435818</v>
      </c>
      <c r="R672" t="s">
        <v>99</v>
      </c>
      <c r="S672" t="s">
        <v>166</v>
      </c>
      <c r="T672" t="s">
        <v>953</v>
      </c>
      <c r="U672"/>
      <c r="V672"/>
      <c r="W672" s="223"/>
    </row>
    <row r="673" spans="1:23" x14ac:dyDescent="0.2">
      <c r="A673" s="253" t="s">
        <v>683</v>
      </c>
      <c r="B673" s="101">
        <v>14</v>
      </c>
      <c r="C673" s="101">
        <v>14</v>
      </c>
      <c r="D673" s="101">
        <v>8</v>
      </c>
      <c r="E673" s="101">
        <v>-15</v>
      </c>
      <c r="F673" s="101">
        <v>-17</v>
      </c>
      <c r="G673" s="101">
        <v>145</v>
      </c>
      <c r="H673" s="101">
        <v>-20</v>
      </c>
      <c r="I673" s="101">
        <v>-4</v>
      </c>
      <c r="J673" s="102">
        <v>0.79</v>
      </c>
      <c r="K673" s="102">
        <v>2.78</v>
      </c>
      <c r="L673" s="101">
        <v>31.8</v>
      </c>
      <c r="M673" s="101">
        <v>1.1000000000000001</v>
      </c>
      <c r="N673" s="101" t="s">
        <v>955</v>
      </c>
      <c r="O673" s="101">
        <v>2010</v>
      </c>
      <c r="P673" s="101" t="s">
        <v>742</v>
      </c>
      <c r="Q673" s="101">
        <v>622639</v>
      </c>
      <c r="R673" t="s">
        <v>1037</v>
      </c>
      <c r="S673" t="s">
        <v>417</v>
      </c>
      <c r="T673"/>
      <c r="U673"/>
      <c r="V673"/>
      <c r="W673" s="223"/>
    </row>
    <row r="674" spans="1:23" x14ac:dyDescent="0.2">
      <c r="A674" s="253" t="s">
        <v>743</v>
      </c>
      <c r="B674" s="101">
        <v>6</v>
      </c>
      <c r="C674" s="101">
        <v>6</v>
      </c>
      <c r="D674" s="101">
        <v>3</v>
      </c>
      <c r="E674" s="101">
        <v>-8</v>
      </c>
      <c r="F674" s="101">
        <v>-13</v>
      </c>
      <c r="G674" s="101">
        <v>14</v>
      </c>
      <c r="H674" s="101">
        <v>-27</v>
      </c>
      <c r="I674" s="101">
        <v>-6</v>
      </c>
      <c r="J674" s="102">
        <v>0.79</v>
      </c>
      <c r="K674" s="102">
        <v>1.99</v>
      </c>
      <c r="L674" s="101">
        <v>12.3</v>
      </c>
      <c r="M674" s="101">
        <v>0.4</v>
      </c>
      <c r="N674" s="101" t="s">
        <v>955</v>
      </c>
      <c r="O674" s="101">
        <v>2006</v>
      </c>
      <c r="P674" s="101" t="s">
        <v>742</v>
      </c>
      <c r="Q674" s="101">
        <v>882068</v>
      </c>
      <c r="R674" t="s">
        <v>411</v>
      </c>
      <c r="S674" t="s">
        <v>166</v>
      </c>
      <c r="T674"/>
      <c r="U674"/>
      <c r="V674"/>
      <c r="W674" s="223"/>
    </row>
    <row r="675" spans="1:23" x14ac:dyDescent="0.2">
      <c r="A675" s="253" t="s">
        <v>358</v>
      </c>
      <c r="B675" s="101">
        <v>11</v>
      </c>
      <c r="C675" s="101">
        <v>11</v>
      </c>
      <c r="D675" s="101">
        <v>2</v>
      </c>
      <c r="E675" s="101">
        <v>-19</v>
      </c>
      <c r="F675" s="101">
        <v>-24</v>
      </c>
      <c r="G675" s="101">
        <v>12</v>
      </c>
      <c r="H675" s="101">
        <v>-34</v>
      </c>
      <c r="I675" s="101">
        <v>-8</v>
      </c>
      <c r="J675" s="102">
        <v>0.79</v>
      </c>
      <c r="K675" s="102">
        <v>2.1</v>
      </c>
      <c r="L675" s="101">
        <v>20.7</v>
      </c>
      <c r="M675" s="101">
        <v>0.3</v>
      </c>
      <c r="N675" s="101" t="s">
        <v>955</v>
      </c>
      <c r="O675" s="101">
        <v>2002</v>
      </c>
      <c r="P675" s="101" t="s">
        <v>742</v>
      </c>
      <c r="Q675" s="101">
        <v>467985</v>
      </c>
      <c r="R675" t="s">
        <v>520</v>
      </c>
      <c r="S675" t="s">
        <v>166</v>
      </c>
      <c r="T675"/>
      <c r="U675"/>
      <c r="V675"/>
      <c r="W675" s="223"/>
    </row>
    <row r="676" spans="1:23" x14ac:dyDescent="0.2">
      <c r="A676" s="253" t="s">
        <v>802</v>
      </c>
      <c r="B676" s="101">
        <v>11</v>
      </c>
      <c r="C676" s="101">
        <v>11</v>
      </c>
      <c r="D676" s="101">
        <v>0</v>
      </c>
      <c r="E676" s="101">
        <v>-18</v>
      </c>
      <c r="F676" s="101">
        <v>-19</v>
      </c>
      <c r="G676" s="101">
        <v>38</v>
      </c>
      <c r="H676" s="101">
        <v>-37</v>
      </c>
      <c r="I676" s="101">
        <v>-9</v>
      </c>
      <c r="J676" s="102">
        <v>0.79</v>
      </c>
      <c r="K676" s="102">
        <v>2.13</v>
      </c>
      <c r="L676" s="101">
        <v>24.3</v>
      </c>
      <c r="M676" s="101">
        <v>0.6</v>
      </c>
      <c r="N676" s="101" t="s">
        <v>952</v>
      </c>
      <c r="O676" s="101">
        <v>2005</v>
      </c>
      <c r="P676" s="101" t="s">
        <v>742</v>
      </c>
      <c r="Q676" s="101">
        <v>539585</v>
      </c>
      <c r="R676" t="s">
        <v>801</v>
      </c>
      <c r="S676" t="s">
        <v>234</v>
      </c>
      <c r="T676"/>
      <c r="U676"/>
      <c r="V676"/>
      <c r="W676" s="223"/>
    </row>
    <row r="677" spans="1:23" x14ac:dyDescent="0.2">
      <c r="A677" s="253" t="s">
        <v>1071</v>
      </c>
      <c r="B677" s="101">
        <v>4</v>
      </c>
      <c r="C677" s="101">
        <v>4</v>
      </c>
      <c r="D677" s="101">
        <v>5</v>
      </c>
      <c r="E677" s="101"/>
      <c r="F677" s="101"/>
      <c r="G677" s="101"/>
      <c r="H677" s="101"/>
      <c r="I677" s="101"/>
      <c r="J677" s="102">
        <v>0.79</v>
      </c>
      <c r="K677" s="102">
        <v>2.5</v>
      </c>
      <c r="L677" s="101"/>
      <c r="M677" s="101"/>
      <c r="N677" s="101" t="s">
        <v>952</v>
      </c>
      <c r="O677" s="101">
        <v>2011</v>
      </c>
      <c r="P677" s="101" t="s">
        <v>742</v>
      </c>
      <c r="Q677" s="101">
        <v>948117</v>
      </c>
      <c r="R677" t="s">
        <v>450</v>
      </c>
      <c r="S677" t="s">
        <v>338</v>
      </c>
      <c r="T677"/>
      <c r="U677"/>
      <c r="V677"/>
      <c r="W677" s="223"/>
    </row>
    <row r="678" spans="1:23" x14ac:dyDescent="0.2">
      <c r="A678" s="253" t="s">
        <v>72</v>
      </c>
      <c r="B678" s="101">
        <v>6</v>
      </c>
      <c r="C678" s="101">
        <v>6</v>
      </c>
      <c r="D678" s="101">
        <v>2</v>
      </c>
      <c r="E678" s="101">
        <v>-10</v>
      </c>
      <c r="F678" s="101">
        <v>-13</v>
      </c>
      <c r="G678" s="101">
        <v>15</v>
      </c>
      <c r="H678" s="101"/>
      <c r="I678" s="101"/>
      <c r="J678" s="102">
        <v>0.79</v>
      </c>
      <c r="K678" s="102">
        <v>1.99</v>
      </c>
      <c r="L678" s="101">
        <v>12.3</v>
      </c>
      <c r="M678" s="101">
        <v>0.4</v>
      </c>
      <c r="N678" s="101" t="s">
        <v>955</v>
      </c>
      <c r="O678" s="101">
        <v>2008</v>
      </c>
      <c r="P678" s="101" t="s">
        <v>742</v>
      </c>
      <c r="Q678" s="101">
        <v>199406</v>
      </c>
      <c r="R678" t="s">
        <v>411</v>
      </c>
      <c r="S678" t="s">
        <v>166</v>
      </c>
      <c r="T678" t="s">
        <v>953</v>
      </c>
      <c r="U678"/>
      <c r="V678"/>
      <c r="W678" s="223"/>
    </row>
    <row r="679" spans="1:23" x14ac:dyDescent="0.2">
      <c r="A679" s="253" t="s">
        <v>1038</v>
      </c>
      <c r="B679" s="101">
        <v>4</v>
      </c>
      <c r="C679" s="101">
        <v>4</v>
      </c>
      <c r="D679" s="101">
        <v>0</v>
      </c>
      <c r="E679" s="101">
        <v>-3</v>
      </c>
      <c r="F679" s="101">
        <v>1</v>
      </c>
      <c r="G679" s="101">
        <v>0</v>
      </c>
      <c r="H679" s="101">
        <v>11</v>
      </c>
      <c r="I679" s="101">
        <v>2</v>
      </c>
      <c r="J679" s="102">
        <v>0.8</v>
      </c>
      <c r="K679" s="102">
        <v>2.11</v>
      </c>
      <c r="L679" s="101">
        <v>9.1</v>
      </c>
      <c r="M679" s="101">
        <v>0</v>
      </c>
      <c r="N679" s="101" t="s">
        <v>955</v>
      </c>
      <c r="O679" s="101">
        <v>2009</v>
      </c>
      <c r="P679" s="101" t="s">
        <v>742</v>
      </c>
      <c r="Q679" s="101">
        <v>838268</v>
      </c>
      <c r="R679" t="s">
        <v>407</v>
      </c>
      <c r="S679" t="s">
        <v>721</v>
      </c>
      <c r="T679"/>
      <c r="U679"/>
      <c r="V679"/>
      <c r="W679" s="223"/>
    </row>
    <row r="680" spans="1:23" x14ac:dyDescent="0.2">
      <c r="A680" s="253" t="s">
        <v>733</v>
      </c>
      <c r="B680" s="101">
        <v>11</v>
      </c>
      <c r="C680" s="101">
        <v>11</v>
      </c>
      <c r="D680" s="101">
        <v>8</v>
      </c>
      <c r="E680" s="101">
        <v>-5</v>
      </c>
      <c r="F680" s="101">
        <v>-7</v>
      </c>
      <c r="G680" s="101">
        <v>92</v>
      </c>
      <c r="H680" s="101">
        <v>12</v>
      </c>
      <c r="I680" s="101">
        <v>2</v>
      </c>
      <c r="J680" s="102">
        <v>0.8</v>
      </c>
      <c r="K680" s="102">
        <v>2.0041669999999998</v>
      </c>
      <c r="L680" s="101">
        <v>18.899999999999999</v>
      </c>
      <c r="M680" s="101">
        <v>1.2</v>
      </c>
      <c r="N680" s="101" t="s">
        <v>955</v>
      </c>
      <c r="O680" s="101">
        <v>2006</v>
      </c>
      <c r="P680" s="101" t="s">
        <v>742</v>
      </c>
      <c r="Q680" s="101">
        <v>785493</v>
      </c>
      <c r="R680" t="s">
        <v>46</v>
      </c>
      <c r="S680" t="s">
        <v>861</v>
      </c>
      <c r="T680"/>
      <c r="U680"/>
      <c r="V680"/>
      <c r="W680" s="223"/>
    </row>
    <row r="681" spans="1:23" x14ac:dyDescent="0.2">
      <c r="A681" s="253" t="s">
        <v>320</v>
      </c>
      <c r="B681" s="101">
        <v>5</v>
      </c>
      <c r="C681" s="101">
        <v>5</v>
      </c>
      <c r="D681" s="101">
        <v>6</v>
      </c>
      <c r="E681" s="101">
        <v>-5</v>
      </c>
      <c r="F681" s="101">
        <v>-1</v>
      </c>
      <c r="G681" s="101">
        <v>45</v>
      </c>
      <c r="H681" s="101">
        <v>2</v>
      </c>
      <c r="I681" s="101">
        <v>0</v>
      </c>
      <c r="J681" s="102">
        <v>0.8</v>
      </c>
      <c r="K681" s="102">
        <v>2.0041669999999998</v>
      </c>
      <c r="L681" s="101">
        <v>14.7</v>
      </c>
      <c r="M681" s="101">
        <v>0.9</v>
      </c>
      <c r="N681" s="101" t="s">
        <v>955</v>
      </c>
      <c r="O681" s="101">
        <v>2001</v>
      </c>
      <c r="P681" s="101" t="s">
        <v>742</v>
      </c>
      <c r="Q681" s="101">
        <v>202002</v>
      </c>
      <c r="R681" t="s">
        <v>46</v>
      </c>
      <c r="S681" t="s">
        <v>312</v>
      </c>
      <c r="T681"/>
      <c r="U681"/>
      <c r="V681"/>
      <c r="W681" s="223"/>
    </row>
    <row r="682" spans="1:23" x14ac:dyDescent="0.2">
      <c r="A682" s="253" t="s">
        <v>47</v>
      </c>
      <c r="B682" s="101">
        <v>13</v>
      </c>
      <c r="C682" s="101">
        <v>13</v>
      </c>
      <c r="D682" s="101">
        <v>8</v>
      </c>
      <c r="E682" s="101">
        <v>-5</v>
      </c>
      <c r="F682" s="101">
        <v>-11</v>
      </c>
      <c r="G682" s="101">
        <v>112</v>
      </c>
      <c r="H682" s="101">
        <v>-2</v>
      </c>
      <c r="I682" s="101">
        <v>0</v>
      </c>
      <c r="J682" s="102">
        <v>0.8</v>
      </c>
      <c r="K682" s="102">
        <v>2.0041669999999998</v>
      </c>
      <c r="L682" s="101">
        <v>24.8</v>
      </c>
      <c r="M682" s="101">
        <v>1.1000000000000001</v>
      </c>
      <c r="N682" s="101" t="s">
        <v>955</v>
      </c>
      <c r="O682" s="101">
        <v>2001</v>
      </c>
      <c r="P682" s="101" t="s">
        <v>742</v>
      </c>
      <c r="Q682" s="101">
        <v>237834</v>
      </c>
      <c r="R682" t="s">
        <v>46</v>
      </c>
      <c r="S682" t="s">
        <v>861</v>
      </c>
      <c r="T682"/>
      <c r="U682"/>
      <c r="V682"/>
      <c r="W682" s="223"/>
    </row>
    <row r="683" spans="1:23" x14ac:dyDescent="0.2">
      <c r="A683" s="253" t="s">
        <v>286</v>
      </c>
      <c r="B683" s="101">
        <v>15</v>
      </c>
      <c r="C683" s="101">
        <v>15</v>
      </c>
      <c r="D683" s="101">
        <v>6</v>
      </c>
      <c r="E683" s="101">
        <v>-7</v>
      </c>
      <c r="F683" s="101">
        <v>-16</v>
      </c>
      <c r="G683" s="101">
        <v>60</v>
      </c>
      <c r="H683" s="101">
        <v>-6</v>
      </c>
      <c r="I683" s="101">
        <v>-1</v>
      </c>
      <c r="J683" s="102">
        <v>0.8</v>
      </c>
      <c r="K683" s="102">
        <v>2.0041669999999998</v>
      </c>
      <c r="L683" s="101">
        <v>22.3</v>
      </c>
      <c r="M683" s="101">
        <v>0.8</v>
      </c>
      <c r="N683" s="101" t="s">
        <v>955</v>
      </c>
      <c r="O683" s="101">
        <v>2001</v>
      </c>
      <c r="P683" s="101" t="s">
        <v>742</v>
      </c>
      <c r="Q683" s="101">
        <v>273664</v>
      </c>
      <c r="R683" t="s">
        <v>46</v>
      </c>
      <c r="S683" t="s">
        <v>268</v>
      </c>
      <c r="T683"/>
      <c r="U683"/>
      <c r="V683"/>
      <c r="W683" s="223"/>
    </row>
    <row r="684" spans="1:23" x14ac:dyDescent="0.2">
      <c r="A684" s="253" t="s">
        <v>829</v>
      </c>
      <c r="B684" s="101">
        <v>0</v>
      </c>
      <c r="C684" s="101">
        <v>0</v>
      </c>
      <c r="D684" s="101">
        <v>0</v>
      </c>
      <c r="E684" s="101">
        <v>-11</v>
      </c>
      <c r="F684" s="101">
        <v>-15</v>
      </c>
      <c r="G684" s="101">
        <v>3</v>
      </c>
      <c r="H684" s="101">
        <v>-35</v>
      </c>
      <c r="I684" s="101">
        <v>-8</v>
      </c>
      <c r="J684" s="102">
        <v>0.8</v>
      </c>
      <c r="K684" s="102">
        <v>2</v>
      </c>
      <c r="L684" s="101">
        <v>14.5</v>
      </c>
      <c r="M684" s="101">
        <v>0.1</v>
      </c>
      <c r="N684" s="101" t="s">
        <v>955</v>
      </c>
      <c r="O684" s="101">
        <v>2000</v>
      </c>
      <c r="P684" s="101" t="s">
        <v>742</v>
      </c>
      <c r="Q684" s="101">
        <v>532382</v>
      </c>
      <c r="R684" t="s">
        <v>1020</v>
      </c>
      <c r="S684" t="s">
        <v>49</v>
      </c>
      <c r="T684"/>
      <c r="U684"/>
      <c r="V684"/>
      <c r="W684" s="223"/>
    </row>
    <row r="685" spans="1:23" x14ac:dyDescent="0.2">
      <c r="A685" s="253" t="s">
        <v>259</v>
      </c>
      <c r="B685" s="101">
        <v>9</v>
      </c>
      <c r="C685" s="101">
        <v>9</v>
      </c>
      <c r="D685" s="101">
        <v>1</v>
      </c>
      <c r="E685" s="101">
        <v>-12</v>
      </c>
      <c r="F685" s="101">
        <v>-17</v>
      </c>
      <c r="G685" s="101">
        <v>23</v>
      </c>
      <c r="H685" s="101">
        <v>-34</v>
      </c>
      <c r="I685" s="101">
        <v>-8</v>
      </c>
      <c r="J685" s="102">
        <v>0.8</v>
      </c>
      <c r="K685" s="102">
        <v>2</v>
      </c>
      <c r="L685" s="101">
        <v>16.100000000000001</v>
      </c>
      <c r="M685" s="101">
        <v>0.5</v>
      </c>
      <c r="N685" s="101" t="s">
        <v>955</v>
      </c>
      <c r="O685" s="101">
        <v>2007</v>
      </c>
      <c r="P685" s="101" t="s">
        <v>742</v>
      </c>
      <c r="Q685" s="101">
        <v>371294</v>
      </c>
      <c r="R685" t="s">
        <v>411</v>
      </c>
      <c r="S685" t="s">
        <v>49</v>
      </c>
      <c r="T685"/>
      <c r="U685"/>
      <c r="V685"/>
      <c r="W685" s="223"/>
    </row>
    <row r="686" spans="1:23" x14ac:dyDescent="0.2">
      <c r="A686" s="253" t="s">
        <v>632</v>
      </c>
      <c r="B686" s="101">
        <v>9</v>
      </c>
      <c r="C686" s="101">
        <v>9</v>
      </c>
      <c r="D686" s="101">
        <v>4</v>
      </c>
      <c r="E686" s="101">
        <v>-17</v>
      </c>
      <c r="F686" s="101"/>
      <c r="G686" s="101"/>
      <c r="H686" s="101"/>
      <c r="I686" s="101"/>
      <c r="J686" s="102">
        <v>0.8</v>
      </c>
      <c r="K686" s="102">
        <v>2</v>
      </c>
      <c r="L686" s="101"/>
      <c r="M686" s="101"/>
      <c r="N686" s="101" t="s">
        <v>955</v>
      </c>
      <c r="O686" s="101">
        <v>2011</v>
      </c>
      <c r="P686" s="101" t="s">
        <v>742</v>
      </c>
      <c r="Q686" s="101">
        <v>174433</v>
      </c>
      <c r="R686" t="s">
        <v>450</v>
      </c>
      <c r="S686" t="s">
        <v>417</v>
      </c>
      <c r="T686"/>
      <c r="U686"/>
      <c r="V686"/>
      <c r="W686" s="223"/>
    </row>
    <row r="687" spans="1:23" x14ac:dyDescent="0.2">
      <c r="A687" s="253" t="s">
        <v>1032</v>
      </c>
      <c r="B687" s="101">
        <v>4</v>
      </c>
      <c r="C687" s="101">
        <v>4</v>
      </c>
      <c r="D687" s="101">
        <v>0</v>
      </c>
      <c r="E687" s="101">
        <v>-6</v>
      </c>
      <c r="F687" s="101">
        <v>-13</v>
      </c>
      <c r="G687" s="101">
        <v>18</v>
      </c>
      <c r="H687" s="101"/>
      <c r="I687" s="101"/>
      <c r="J687" s="102">
        <v>0.8</v>
      </c>
      <c r="K687" s="102">
        <v>2.0099999999999998</v>
      </c>
      <c r="L687" s="101">
        <v>14.4</v>
      </c>
      <c r="M687" s="101">
        <v>0.5</v>
      </c>
      <c r="N687" s="101" t="s">
        <v>952</v>
      </c>
      <c r="O687" s="101">
        <v>2009</v>
      </c>
      <c r="P687" s="101" t="s">
        <v>867</v>
      </c>
      <c r="Q687" s="101">
        <v>592295</v>
      </c>
      <c r="R687" t="s">
        <v>815</v>
      </c>
      <c r="S687" t="s">
        <v>328</v>
      </c>
      <c r="T687"/>
      <c r="U687"/>
      <c r="V687"/>
      <c r="W687" s="223"/>
    </row>
    <row r="688" spans="1:23" x14ac:dyDescent="0.2">
      <c r="A688" s="253" t="s">
        <v>541</v>
      </c>
      <c r="B688" s="101">
        <v>10</v>
      </c>
      <c r="C688" s="101">
        <v>10</v>
      </c>
      <c r="D688" s="101">
        <v>-3</v>
      </c>
      <c r="E688" s="101">
        <v>-23</v>
      </c>
      <c r="F688" s="101">
        <v>-31</v>
      </c>
      <c r="G688" s="101">
        <v>123</v>
      </c>
      <c r="H688" s="101"/>
      <c r="I688" s="101"/>
      <c r="J688" s="102">
        <v>0.8</v>
      </c>
      <c r="K688" s="102">
        <v>2.0019999999999998</v>
      </c>
      <c r="L688" s="101">
        <v>33.5</v>
      </c>
      <c r="M688" s="101">
        <v>1</v>
      </c>
      <c r="N688" s="101" t="s">
        <v>955</v>
      </c>
      <c r="O688" s="101">
        <v>2011</v>
      </c>
      <c r="P688" s="101" t="s">
        <v>742</v>
      </c>
      <c r="Q688" s="101">
        <v>985770</v>
      </c>
      <c r="R688" t="s">
        <v>540</v>
      </c>
      <c r="S688" t="s">
        <v>417</v>
      </c>
      <c r="T688" t="s">
        <v>953</v>
      </c>
      <c r="U688"/>
      <c r="V688"/>
      <c r="W688" s="223"/>
    </row>
    <row r="689" spans="1:23" x14ac:dyDescent="0.2">
      <c r="A689" s="253" t="s">
        <v>1030</v>
      </c>
      <c r="B689" s="101">
        <v>8</v>
      </c>
      <c r="C689" s="101">
        <v>8</v>
      </c>
      <c r="D689" s="101">
        <v>4</v>
      </c>
      <c r="E689" s="101">
        <v>-7</v>
      </c>
      <c r="F689" s="101">
        <v>-6</v>
      </c>
      <c r="G689" s="101"/>
      <c r="H689" s="101"/>
      <c r="I689" s="101"/>
      <c r="J689" s="102">
        <v>0.8</v>
      </c>
      <c r="K689" s="102">
        <v>2.0041669999999998</v>
      </c>
      <c r="L689" s="101"/>
      <c r="M689" s="101"/>
      <c r="N689" s="101" t="s">
        <v>955</v>
      </c>
      <c r="O689" s="101">
        <v>2009</v>
      </c>
      <c r="P689" s="101" t="s">
        <v>742</v>
      </c>
      <c r="Q689" s="101">
        <v>356063</v>
      </c>
      <c r="R689" t="s">
        <v>46</v>
      </c>
      <c r="S689" t="s">
        <v>104</v>
      </c>
      <c r="T689"/>
      <c r="U689"/>
      <c r="V689"/>
      <c r="W689" s="223"/>
    </row>
    <row r="690" spans="1:23" x14ac:dyDescent="0.2">
      <c r="A690" s="253" t="s">
        <v>483</v>
      </c>
      <c r="B690" s="101">
        <v>9</v>
      </c>
      <c r="C690" s="101">
        <v>9</v>
      </c>
      <c r="D690" s="101">
        <v>9</v>
      </c>
      <c r="E690" s="101">
        <v>1</v>
      </c>
      <c r="F690" s="101"/>
      <c r="G690" s="101"/>
      <c r="H690" s="101"/>
      <c r="I690" s="101"/>
      <c r="J690" s="102">
        <v>0.8</v>
      </c>
      <c r="K690" s="102">
        <v>2</v>
      </c>
      <c r="L690" s="101"/>
      <c r="M690" s="101"/>
      <c r="N690" s="101" t="s">
        <v>955</v>
      </c>
      <c r="O690" s="101">
        <v>2011</v>
      </c>
      <c r="P690" s="101" t="s">
        <v>742</v>
      </c>
      <c r="Q690" s="101">
        <v>724633</v>
      </c>
      <c r="R690" t="s">
        <v>46</v>
      </c>
      <c r="S690" t="s">
        <v>49</v>
      </c>
      <c r="T690" t="s">
        <v>953</v>
      </c>
      <c r="U690"/>
      <c r="V690"/>
      <c r="W690" s="223"/>
    </row>
    <row r="691" spans="1:23" x14ac:dyDescent="0.2">
      <c r="A691" s="253" t="s">
        <v>356</v>
      </c>
      <c r="B691" s="101">
        <v>4</v>
      </c>
      <c r="C691" s="101">
        <v>4</v>
      </c>
      <c r="D691" s="101">
        <v>2</v>
      </c>
      <c r="E691" s="101">
        <v>0</v>
      </c>
      <c r="F691" s="101">
        <v>-5</v>
      </c>
      <c r="G691" s="101">
        <v>29</v>
      </c>
      <c r="H691" s="101"/>
      <c r="I691" s="101"/>
      <c r="J691" s="102">
        <v>0.8</v>
      </c>
      <c r="K691" s="102">
        <v>2</v>
      </c>
      <c r="L691" s="101">
        <v>11.2</v>
      </c>
      <c r="M691" s="101">
        <v>0.8</v>
      </c>
      <c r="N691" s="101" t="s">
        <v>952</v>
      </c>
      <c r="O691" s="101">
        <v>2010</v>
      </c>
      <c r="P691" s="101" t="s">
        <v>867</v>
      </c>
      <c r="Q691" s="101">
        <v>422238</v>
      </c>
      <c r="R691" t="s">
        <v>1068</v>
      </c>
      <c r="S691" t="s">
        <v>328</v>
      </c>
      <c r="T691"/>
      <c r="U691"/>
      <c r="V691"/>
      <c r="W691" s="223"/>
    </row>
    <row r="692" spans="1:23" x14ac:dyDescent="0.2">
      <c r="A692" s="253" t="s">
        <v>281</v>
      </c>
      <c r="B692" s="101">
        <v>0</v>
      </c>
      <c r="C692" s="101">
        <v>0</v>
      </c>
      <c r="D692" s="101">
        <v>0</v>
      </c>
      <c r="E692" s="101">
        <v>0</v>
      </c>
      <c r="F692" s="101">
        <v>7</v>
      </c>
      <c r="G692" s="101">
        <v>97</v>
      </c>
      <c r="H692" s="101">
        <v>19</v>
      </c>
      <c r="I692" s="101">
        <v>4</v>
      </c>
      <c r="J692" s="102">
        <v>0.81</v>
      </c>
      <c r="K692" s="102">
        <v>2.4500000000000002</v>
      </c>
      <c r="L692" s="101">
        <v>14.2</v>
      </c>
      <c r="M692" s="101">
        <v>1.6</v>
      </c>
      <c r="N692" s="101" t="s">
        <v>957</v>
      </c>
      <c r="O692" s="101">
        <v>2008</v>
      </c>
      <c r="P692" s="101" t="s">
        <v>742</v>
      </c>
      <c r="Q692" s="101">
        <v>736264</v>
      </c>
      <c r="R692" t="s">
        <v>63</v>
      </c>
      <c r="S692" t="s">
        <v>312</v>
      </c>
      <c r="T692"/>
      <c r="U692"/>
      <c r="V692"/>
      <c r="W692" s="223"/>
    </row>
    <row r="693" spans="1:23" x14ac:dyDescent="0.2">
      <c r="A693" s="253" t="s">
        <v>888</v>
      </c>
      <c r="B693" s="101">
        <v>4</v>
      </c>
      <c r="C693" s="101">
        <v>4</v>
      </c>
      <c r="D693" s="101">
        <v>10</v>
      </c>
      <c r="E693" s="101">
        <v>7</v>
      </c>
      <c r="F693" s="101">
        <v>6</v>
      </c>
      <c r="G693" s="101">
        <v>30</v>
      </c>
      <c r="H693" s="101">
        <v>-11</v>
      </c>
      <c r="I693" s="101">
        <v>-2</v>
      </c>
      <c r="J693" s="102">
        <v>0.81</v>
      </c>
      <c r="K693" s="102">
        <v>2.0299999999999998</v>
      </c>
      <c r="L693" s="101">
        <v>14.1</v>
      </c>
      <c r="M693" s="101">
        <v>0.6</v>
      </c>
      <c r="N693" s="101" t="s">
        <v>955</v>
      </c>
      <c r="O693" s="101">
        <v>2008</v>
      </c>
      <c r="P693" s="101" t="s">
        <v>742</v>
      </c>
      <c r="Q693" s="101">
        <v>980995</v>
      </c>
      <c r="R693" t="s">
        <v>882</v>
      </c>
      <c r="S693" t="s">
        <v>114</v>
      </c>
      <c r="T693"/>
      <c r="U693"/>
      <c r="V693"/>
      <c r="W693" s="223"/>
    </row>
    <row r="694" spans="1:23" x14ac:dyDescent="0.2">
      <c r="A694" s="253" t="s">
        <v>193</v>
      </c>
      <c r="B694" s="101">
        <v>15</v>
      </c>
      <c r="C694" s="101">
        <v>15</v>
      </c>
      <c r="D694" s="101">
        <v>-1</v>
      </c>
      <c r="E694" s="101">
        <v>-14</v>
      </c>
      <c r="F694" s="101">
        <v>-11</v>
      </c>
      <c r="G694" s="101">
        <v>38</v>
      </c>
      <c r="H694" s="101">
        <v>-9</v>
      </c>
      <c r="I694" s="101">
        <v>-2</v>
      </c>
      <c r="J694" s="102">
        <v>0.81</v>
      </c>
      <c r="K694" s="102">
        <v>2.42</v>
      </c>
      <c r="L694" s="101">
        <v>26.5</v>
      </c>
      <c r="M694" s="101">
        <v>0.5</v>
      </c>
      <c r="N694" s="101" t="s">
        <v>957</v>
      </c>
      <c r="O694" s="101">
        <v>2006</v>
      </c>
      <c r="P694" s="101" t="s">
        <v>742</v>
      </c>
      <c r="Q694" s="101">
        <v>452698</v>
      </c>
      <c r="R694" t="s">
        <v>63</v>
      </c>
      <c r="S694" t="s">
        <v>150</v>
      </c>
      <c r="T694"/>
      <c r="U694"/>
      <c r="V694"/>
      <c r="W694" s="223"/>
    </row>
    <row r="695" spans="1:23" x14ac:dyDescent="0.2">
      <c r="A695" s="253" t="s">
        <v>252</v>
      </c>
      <c r="B695" s="101">
        <v>0</v>
      </c>
      <c r="C695" s="101">
        <v>0</v>
      </c>
      <c r="D695" s="101">
        <v>0</v>
      </c>
      <c r="E695" s="101">
        <v>0</v>
      </c>
      <c r="F695" s="101">
        <v>-3</v>
      </c>
      <c r="G695" s="101">
        <v>103</v>
      </c>
      <c r="H695" s="101">
        <v>-24</v>
      </c>
      <c r="I695" s="101">
        <v>-5</v>
      </c>
      <c r="J695" s="102">
        <v>0.81</v>
      </c>
      <c r="K695" s="102">
        <v>2.42</v>
      </c>
      <c r="L695" s="101">
        <v>20.8</v>
      </c>
      <c r="M695" s="101">
        <v>1.2</v>
      </c>
      <c r="N695" s="101" t="s">
        <v>955</v>
      </c>
      <c r="O695" s="101">
        <v>2000</v>
      </c>
      <c r="P695" s="101" t="s">
        <v>742</v>
      </c>
      <c r="Q695" s="101">
        <v>619213</v>
      </c>
      <c r="R695" t="s">
        <v>63</v>
      </c>
      <c r="S695" t="s">
        <v>234</v>
      </c>
      <c r="T695"/>
      <c r="U695"/>
      <c r="V695"/>
      <c r="W695" s="223"/>
    </row>
    <row r="696" spans="1:23" x14ac:dyDescent="0.2">
      <c r="A696" s="253" t="s">
        <v>710</v>
      </c>
      <c r="B696" s="101">
        <v>2</v>
      </c>
      <c r="C696" s="101">
        <v>2</v>
      </c>
      <c r="D696" s="101">
        <v>2</v>
      </c>
      <c r="E696" s="101">
        <v>-5</v>
      </c>
      <c r="F696" s="101">
        <v>-9</v>
      </c>
      <c r="G696" s="101">
        <v>-19</v>
      </c>
      <c r="H696" s="101">
        <v>-48</v>
      </c>
      <c r="I696" s="101">
        <v>-12</v>
      </c>
      <c r="J696" s="102">
        <v>0.81</v>
      </c>
      <c r="K696" s="102">
        <v>2.0463439999999999</v>
      </c>
      <c r="L696" s="101">
        <v>15.1</v>
      </c>
      <c r="M696" s="101">
        <v>-0.4</v>
      </c>
      <c r="N696" s="101" t="s">
        <v>957</v>
      </c>
      <c r="O696" s="101">
        <v>2005</v>
      </c>
      <c r="P696" s="101" t="s">
        <v>742</v>
      </c>
      <c r="Q696" s="101">
        <v>282699</v>
      </c>
      <c r="R696" t="s">
        <v>504</v>
      </c>
      <c r="S696" t="s">
        <v>254</v>
      </c>
      <c r="T696"/>
      <c r="U696"/>
      <c r="V696"/>
      <c r="W696" s="223"/>
    </row>
    <row r="697" spans="1:23" x14ac:dyDescent="0.2">
      <c r="A697" s="253" t="s">
        <v>19</v>
      </c>
      <c r="B697" s="101">
        <v>2</v>
      </c>
      <c r="C697" s="101">
        <v>2</v>
      </c>
      <c r="D697" s="101">
        <v>6</v>
      </c>
      <c r="E697" s="101"/>
      <c r="F697" s="101"/>
      <c r="G697" s="101"/>
      <c r="H697" s="101"/>
      <c r="I697" s="101"/>
      <c r="J697" s="102">
        <v>0.81</v>
      </c>
      <c r="K697" s="102">
        <v>2.59</v>
      </c>
      <c r="L697" s="101"/>
      <c r="M697" s="101"/>
      <c r="N697" s="101" t="s">
        <v>957</v>
      </c>
      <c r="O697" s="101">
        <v>2011</v>
      </c>
      <c r="P697" s="101" t="s">
        <v>742</v>
      </c>
      <c r="Q697" s="101">
        <v>836379</v>
      </c>
      <c r="R697" t="s">
        <v>20</v>
      </c>
      <c r="S697" t="s">
        <v>114</v>
      </c>
      <c r="T697"/>
      <c r="U697"/>
      <c r="V697"/>
      <c r="W697" s="223"/>
    </row>
    <row r="698" spans="1:23" x14ac:dyDescent="0.2">
      <c r="A698" s="253" t="s">
        <v>1073</v>
      </c>
      <c r="B698" s="101">
        <v>0</v>
      </c>
      <c r="C698" s="101">
        <v>0</v>
      </c>
      <c r="D698" s="101">
        <v>6</v>
      </c>
      <c r="E698" s="101"/>
      <c r="F698" s="101"/>
      <c r="G698" s="101"/>
      <c r="H698" s="101"/>
      <c r="I698" s="101"/>
      <c r="J698" s="102">
        <v>0.81</v>
      </c>
      <c r="K698" s="102">
        <v>2.56</v>
      </c>
      <c r="L698" s="101"/>
      <c r="M698" s="101"/>
      <c r="N698" s="101" t="s">
        <v>957</v>
      </c>
      <c r="O698" s="101">
        <v>2011</v>
      </c>
      <c r="P698" s="101" t="s">
        <v>742</v>
      </c>
      <c r="Q698" s="101">
        <v>872200</v>
      </c>
      <c r="R698" t="s">
        <v>20</v>
      </c>
      <c r="S698" t="s">
        <v>166</v>
      </c>
      <c r="T698"/>
      <c r="U698"/>
      <c r="V698"/>
      <c r="W698" s="223"/>
    </row>
    <row r="699" spans="1:23" x14ac:dyDescent="0.2">
      <c r="A699" s="253" t="s">
        <v>484</v>
      </c>
      <c r="B699" s="101">
        <v>2</v>
      </c>
      <c r="C699" s="101">
        <v>2</v>
      </c>
      <c r="D699" s="101">
        <v>4</v>
      </c>
      <c r="E699" s="101"/>
      <c r="F699" s="101"/>
      <c r="G699" s="101"/>
      <c r="H699" s="101"/>
      <c r="I699" s="101"/>
      <c r="J699" s="102">
        <v>0.81</v>
      </c>
      <c r="K699" s="102">
        <v>2.56</v>
      </c>
      <c r="L699" s="101"/>
      <c r="M699" s="101"/>
      <c r="N699" s="101" t="s">
        <v>963</v>
      </c>
      <c r="O699" s="101">
        <v>2011</v>
      </c>
      <c r="P699" s="101" t="s">
        <v>742</v>
      </c>
      <c r="Q699" s="101">
        <v>908038</v>
      </c>
      <c r="R699" t="s">
        <v>20</v>
      </c>
      <c r="S699" t="s">
        <v>254</v>
      </c>
      <c r="T699"/>
      <c r="U699"/>
      <c r="V699"/>
      <c r="W699" s="223"/>
    </row>
    <row r="700" spans="1:23" x14ac:dyDescent="0.2">
      <c r="A700" s="253" t="s">
        <v>75</v>
      </c>
      <c r="B700" s="101">
        <v>9</v>
      </c>
      <c r="C700" s="101">
        <v>9</v>
      </c>
      <c r="D700" s="101">
        <v>5</v>
      </c>
      <c r="E700" s="101">
        <v>-1</v>
      </c>
      <c r="F700" s="101">
        <v>-10</v>
      </c>
      <c r="G700" s="101">
        <v>94</v>
      </c>
      <c r="H700" s="101"/>
      <c r="I700" s="101"/>
      <c r="J700" s="102">
        <v>0.81</v>
      </c>
      <c r="K700" s="102">
        <v>1.03</v>
      </c>
      <c r="L700" s="101">
        <v>21.4</v>
      </c>
      <c r="M700" s="101">
        <v>1.2</v>
      </c>
      <c r="N700" s="101" t="s">
        <v>952</v>
      </c>
      <c r="O700" s="101">
        <v>2008</v>
      </c>
      <c r="P700" s="101" t="s">
        <v>867</v>
      </c>
      <c r="Q700" s="101">
        <v>490292</v>
      </c>
      <c r="R700" t="s">
        <v>812</v>
      </c>
      <c r="S700" t="s">
        <v>781</v>
      </c>
      <c r="T700"/>
      <c r="U700"/>
      <c r="V700"/>
      <c r="W700" s="223"/>
    </row>
    <row r="701" spans="1:23" x14ac:dyDescent="0.2">
      <c r="A701" s="253" t="s">
        <v>856</v>
      </c>
      <c r="B701" s="101">
        <v>4</v>
      </c>
      <c r="C701" s="101">
        <v>4</v>
      </c>
      <c r="D701" s="101">
        <v>5</v>
      </c>
      <c r="E701" s="101">
        <v>3</v>
      </c>
      <c r="F701" s="101">
        <v>2</v>
      </c>
      <c r="G701" s="101"/>
      <c r="H701" s="101"/>
      <c r="I701" s="101"/>
      <c r="J701" s="102">
        <v>0.81</v>
      </c>
      <c r="K701" s="102">
        <v>2.5</v>
      </c>
      <c r="L701" s="101"/>
      <c r="M701" s="101"/>
      <c r="N701" s="101" t="s">
        <v>952</v>
      </c>
      <c r="O701" s="101">
        <v>2010</v>
      </c>
      <c r="P701" s="101" t="s">
        <v>867</v>
      </c>
      <c r="Q701" s="101">
        <v>993097</v>
      </c>
      <c r="R701" t="s">
        <v>932</v>
      </c>
      <c r="S701" t="s">
        <v>166</v>
      </c>
      <c r="T701"/>
      <c r="U701"/>
      <c r="V701"/>
      <c r="W701" s="223"/>
    </row>
    <row r="702" spans="1:23" x14ac:dyDescent="0.2">
      <c r="A702" s="253" t="s">
        <v>378</v>
      </c>
      <c r="B702" s="101">
        <v>2</v>
      </c>
      <c r="C702" s="101">
        <v>2</v>
      </c>
      <c r="D702" s="101">
        <v>2</v>
      </c>
      <c r="E702" s="101">
        <v>-3</v>
      </c>
      <c r="F702" s="101">
        <v>-6</v>
      </c>
      <c r="G702" s="101">
        <v>25</v>
      </c>
      <c r="H702" s="101">
        <v>19</v>
      </c>
      <c r="I702" s="101">
        <v>4</v>
      </c>
      <c r="J702" s="102">
        <v>0.82</v>
      </c>
      <c r="K702" s="102">
        <v>1.78</v>
      </c>
      <c r="L702" s="101">
        <v>9.9</v>
      </c>
      <c r="M702" s="101">
        <v>0.8</v>
      </c>
      <c r="N702" s="101" t="s">
        <v>952</v>
      </c>
      <c r="O702" s="101">
        <v>2005</v>
      </c>
      <c r="P702" s="101" t="s">
        <v>867</v>
      </c>
      <c r="Q702" s="101">
        <v>855973</v>
      </c>
      <c r="R702" t="s">
        <v>784</v>
      </c>
      <c r="S702" t="s">
        <v>338</v>
      </c>
      <c r="T702"/>
      <c r="U702"/>
      <c r="V702"/>
      <c r="W702" s="223"/>
    </row>
    <row r="703" spans="1:23" x14ac:dyDescent="0.2">
      <c r="A703" s="253" t="s">
        <v>163</v>
      </c>
      <c r="B703" s="101">
        <v>0</v>
      </c>
      <c r="C703" s="101">
        <v>0</v>
      </c>
      <c r="D703" s="101">
        <v>0</v>
      </c>
      <c r="E703" s="101">
        <v>0</v>
      </c>
      <c r="F703" s="101">
        <v>-1</v>
      </c>
      <c r="G703" s="101">
        <v>39</v>
      </c>
      <c r="H703" s="101">
        <v>12</v>
      </c>
      <c r="I703" s="101">
        <v>2</v>
      </c>
      <c r="J703" s="102">
        <v>0.82</v>
      </c>
      <c r="K703" s="102">
        <v>2.4700000000000002</v>
      </c>
      <c r="L703" s="101">
        <v>16.5</v>
      </c>
      <c r="M703" s="101">
        <v>0.7</v>
      </c>
      <c r="N703" s="101" t="s">
        <v>957</v>
      </c>
      <c r="O703" s="101">
        <v>2005</v>
      </c>
      <c r="P703" s="101" t="s">
        <v>742</v>
      </c>
      <c r="Q703" s="101">
        <v>337352</v>
      </c>
      <c r="R703" t="s">
        <v>63</v>
      </c>
      <c r="S703" t="s">
        <v>416</v>
      </c>
      <c r="T703"/>
      <c r="U703"/>
      <c r="V703"/>
      <c r="W703" s="223"/>
    </row>
    <row r="704" spans="1:23" x14ac:dyDescent="0.2">
      <c r="A704" s="253" t="s">
        <v>289</v>
      </c>
      <c r="B704" s="101">
        <v>5</v>
      </c>
      <c r="C704" s="101">
        <v>5</v>
      </c>
      <c r="D704" s="101">
        <v>2</v>
      </c>
      <c r="E704" s="101">
        <v>-9</v>
      </c>
      <c r="F704" s="101">
        <v>-11</v>
      </c>
      <c r="G704" s="101">
        <v>8</v>
      </c>
      <c r="H704" s="101">
        <v>-35</v>
      </c>
      <c r="I704" s="101">
        <v>-8</v>
      </c>
      <c r="J704" s="102">
        <v>0.82</v>
      </c>
      <c r="K704" s="102">
        <v>2.0499999999999998</v>
      </c>
      <c r="L704" s="101">
        <v>15.3</v>
      </c>
      <c r="M704" s="101">
        <v>0.3</v>
      </c>
      <c r="N704" s="101" t="s">
        <v>955</v>
      </c>
      <c r="O704" s="101">
        <v>2002</v>
      </c>
      <c r="P704" s="101" t="s">
        <v>742</v>
      </c>
      <c r="Q704" s="101">
        <v>579722</v>
      </c>
      <c r="R704" t="s">
        <v>870</v>
      </c>
      <c r="S704" t="s">
        <v>96</v>
      </c>
      <c r="T704"/>
      <c r="U704"/>
      <c r="V704"/>
      <c r="W704" s="223"/>
    </row>
    <row r="705" spans="1:23" x14ac:dyDescent="0.2">
      <c r="A705" s="253" t="s">
        <v>935</v>
      </c>
      <c r="B705" s="101">
        <v>11</v>
      </c>
      <c r="C705" s="101">
        <v>11</v>
      </c>
      <c r="D705" s="101">
        <v>-1</v>
      </c>
      <c r="E705" s="101">
        <v>-17</v>
      </c>
      <c r="F705" s="101">
        <v>-25</v>
      </c>
      <c r="G705" s="101">
        <v>8</v>
      </c>
      <c r="H705" s="101">
        <v>-58</v>
      </c>
      <c r="I705" s="101">
        <v>-16</v>
      </c>
      <c r="J705" s="102">
        <v>0.82</v>
      </c>
      <c r="K705" s="102">
        <v>2.5392790000000001</v>
      </c>
      <c r="L705" s="101">
        <v>24.9</v>
      </c>
      <c r="M705" s="101">
        <v>0.2</v>
      </c>
      <c r="N705" s="101" t="s">
        <v>952</v>
      </c>
      <c r="O705" s="101">
        <v>2003</v>
      </c>
      <c r="P705" s="101" t="s">
        <v>867</v>
      </c>
      <c r="Q705" s="101">
        <v>534156</v>
      </c>
      <c r="R705" t="s">
        <v>932</v>
      </c>
      <c r="S705" t="s">
        <v>234</v>
      </c>
      <c r="T705"/>
      <c r="U705"/>
      <c r="V705"/>
      <c r="W705" s="223"/>
    </row>
    <row r="706" spans="1:23" x14ac:dyDescent="0.2">
      <c r="A706" s="253" t="s">
        <v>853</v>
      </c>
      <c r="B706" s="101">
        <v>1</v>
      </c>
      <c r="C706" s="101">
        <v>1</v>
      </c>
      <c r="D706" s="101">
        <v>-4</v>
      </c>
      <c r="E706" s="101">
        <v>-13</v>
      </c>
      <c r="F706" s="101">
        <v>-19</v>
      </c>
      <c r="G706" s="101"/>
      <c r="H706" s="101"/>
      <c r="I706" s="101"/>
      <c r="J706" s="102">
        <v>0.82</v>
      </c>
      <c r="K706" s="102">
        <v>2.0499999999999998</v>
      </c>
      <c r="L706" s="101"/>
      <c r="M706" s="101"/>
      <c r="N706" s="101" t="s">
        <v>952</v>
      </c>
      <c r="O706" s="101">
        <v>2010</v>
      </c>
      <c r="P706" s="101" t="s">
        <v>867</v>
      </c>
      <c r="Q706" s="101">
        <v>554634</v>
      </c>
      <c r="R706" t="s">
        <v>847</v>
      </c>
      <c r="S706" t="s">
        <v>338</v>
      </c>
      <c r="T706"/>
      <c r="U706"/>
      <c r="V706"/>
      <c r="W706" s="223"/>
    </row>
    <row r="707" spans="1:23" x14ac:dyDescent="0.2">
      <c r="A707" s="253" t="s">
        <v>34</v>
      </c>
      <c r="B707" s="101">
        <v>2</v>
      </c>
      <c r="C707" s="101">
        <v>2</v>
      </c>
      <c r="D707" s="101">
        <v>1</v>
      </c>
      <c r="E707" s="101">
        <v>0</v>
      </c>
      <c r="F707" s="101">
        <v>3</v>
      </c>
      <c r="G707" s="101">
        <v>-1</v>
      </c>
      <c r="H707" s="101">
        <v>13</v>
      </c>
      <c r="I707" s="101">
        <v>2</v>
      </c>
      <c r="J707" s="102">
        <v>0.83</v>
      </c>
      <c r="K707" s="102">
        <v>2.19</v>
      </c>
      <c r="L707" s="101">
        <v>8</v>
      </c>
      <c r="M707" s="101">
        <v>-0.1</v>
      </c>
      <c r="N707" s="101" t="s">
        <v>955</v>
      </c>
      <c r="O707" s="101">
        <v>2000</v>
      </c>
      <c r="P707" s="101" t="s">
        <v>742</v>
      </c>
      <c r="Q707" s="101">
        <v>966598</v>
      </c>
      <c r="R707" t="s">
        <v>407</v>
      </c>
      <c r="S707" t="s">
        <v>721</v>
      </c>
      <c r="T707"/>
      <c r="U707"/>
      <c r="V707"/>
      <c r="W707" s="223"/>
    </row>
    <row r="708" spans="1:23" x14ac:dyDescent="0.2">
      <c r="A708" s="253" t="s">
        <v>934</v>
      </c>
      <c r="B708" s="101">
        <v>15</v>
      </c>
      <c r="C708" s="101">
        <v>15</v>
      </c>
      <c r="D708" s="101">
        <v>8</v>
      </c>
      <c r="E708" s="101">
        <v>-15</v>
      </c>
      <c r="F708" s="101">
        <v>-23</v>
      </c>
      <c r="G708" s="101">
        <v>119</v>
      </c>
      <c r="H708" s="101">
        <v>-44</v>
      </c>
      <c r="I708" s="101">
        <v>-11</v>
      </c>
      <c r="J708" s="102">
        <v>0.83</v>
      </c>
      <c r="K708" s="102">
        <v>2.0951089999999999</v>
      </c>
      <c r="L708" s="101">
        <v>32.200000000000003</v>
      </c>
      <c r="M708" s="101">
        <v>1</v>
      </c>
      <c r="N708" s="101" t="s">
        <v>952</v>
      </c>
      <c r="O708" s="101">
        <v>2005</v>
      </c>
      <c r="P708" s="101" t="s">
        <v>867</v>
      </c>
      <c r="Q708" s="101">
        <v>649491</v>
      </c>
      <c r="R708" t="s">
        <v>932</v>
      </c>
      <c r="S708" t="s">
        <v>417</v>
      </c>
      <c r="T708"/>
      <c r="U708"/>
      <c r="V708"/>
      <c r="W708" s="223"/>
    </row>
    <row r="709" spans="1:23" x14ac:dyDescent="0.2">
      <c r="A709" s="253" t="s">
        <v>287</v>
      </c>
      <c r="B709" s="101">
        <v>5</v>
      </c>
      <c r="C709" s="101">
        <v>5</v>
      </c>
      <c r="D709" s="101">
        <v>-3</v>
      </c>
      <c r="E709" s="101">
        <v>-14</v>
      </c>
      <c r="F709" s="101">
        <v>-6</v>
      </c>
      <c r="G709" s="101">
        <v>25</v>
      </c>
      <c r="H709" s="101">
        <v>-49</v>
      </c>
      <c r="I709" s="101">
        <v>-12</v>
      </c>
      <c r="J709" s="102">
        <v>0.83</v>
      </c>
      <c r="K709" s="102">
        <v>2.09</v>
      </c>
      <c r="L709" s="101">
        <v>14.9</v>
      </c>
      <c r="M709" s="101">
        <v>0.6</v>
      </c>
      <c r="N709" s="101" t="s">
        <v>955</v>
      </c>
      <c r="O709" s="101">
        <v>2004</v>
      </c>
      <c r="P709" s="101" t="s">
        <v>742</v>
      </c>
      <c r="Q709" s="101">
        <v>252353</v>
      </c>
      <c r="R709" t="s">
        <v>870</v>
      </c>
      <c r="S709" t="s">
        <v>312</v>
      </c>
      <c r="T709"/>
      <c r="U709"/>
      <c r="V709"/>
      <c r="W709" s="223"/>
    </row>
    <row r="710" spans="1:23" x14ac:dyDescent="0.2">
      <c r="A710" s="253" t="s">
        <v>322</v>
      </c>
      <c r="B710" s="101">
        <v>0</v>
      </c>
      <c r="C710" s="101">
        <v>0</v>
      </c>
      <c r="D710" s="101">
        <v>0</v>
      </c>
      <c r="E710" s="101">
        <v>0</v>
      </c>
      <c r="F710" s="101">
        <v>-5</v>
      </c>
      <c r="G710" s="101">
        <v>9</v>
      </c>
      <c r="H710" s="101">
        <v>-54</v>
      </c>
      <c r="I710" s="101">
        <v>-14</v>
      </c>
      <c r="J710" s="102">
        <v>0.83</v>
      </c>
      <c r="K710" s="102">
        <v>2.4900000000000002</v>
      </c>
      <c r="L710" s="101">
        <v>27.8</v>
      </c>
      <c r="M710" s="101">
        <v>0.3</v>
      </c>
      <c r="N710" s="101" t="s">
        <v>955</v>
      </c>
      <c r="O710" s="101">
        <v>2000</v>
      </c>
      <c r="P710" s="101" t="s">
        <v>742</v>
      </c>
      <c r="Q710" s="101">
        <v>511725</v>
      </c>
      <c r="R710" t="s">
        <v>63</v>
      </c>
      <c r="S710" t="s">
        <v>312</v>
      </c>
      <c r="T710"/>
      <c r="U710"/>
      <c r="V710"/>
      <c r="W710" s="223"/>
    </row>
    <row r="711" spans="1:23" x14ac:dyDescent="0.2">
      <c r="A711" s="253" t="s">
        <v>321</v>
      </c>
      <c r="B711" s="101">
        <v>3</v>
      </c>
      <c r="C711" s="101">
        <v>3</v>
      </c>
      <c r="D711" s="101">
        <v>-4</v>
      </c>
      <c r="E711" s="101">
        <v>-16</v>
      </c>
      <c r="F711" s="101">
        <v>-10</v>
      </c>
      <c r="G711" s="101">
        <v>11</v>
      </c>
      <c r="H711" s="101">
        <v>-59</v>
      </c>
      <c r="I711" s="101">
        <v>-16</v>
      </c>
      <c r="J711" s="102">
        <v>0.83</v>
      </c>
      <c r="K711" s="102">
        <v>2.1030410000000002</v>
      </c>
      <c r="L711" s="101">
        <v>14.6</v>
      </c>
      <c r="M711" s="101">
        <v>0.4</v>
      </c>
      <c r="N711" s="101" t="s">
        <v>955</v>
      </c>
      <c r="O711" s="101">
        <v>2004</v>
      </c>
      <c r="P711" s="101" t="s">
        <v>742</v>
      </c>
      <c r="Q711" s="101">
        <v>665315</v>
      </c>
      <c r="R711" t="s">
        <v>945</v>
      </c>
      <c r="S711" t="s">
        <v>312</v>
      </c>
      <c r="T711"/>
      <c r="U711"/>
      <c r="V711"/>
      <c r="W711" s="223"/>
    </row>
    <row r="712" spans="1:23" x14ac:dyDescent="0.2">
      <c r="A712" s="253" t="s">
        <v>563</v>
      </c>
      <c r="B712" s="101">
        <v>6</v>
      </c>
      <c r="C712" s="101">
        <v>6</v>
      </c>
      <c r="D712" s="101">
        <v>4</v>
      </c>
      <c r="E712" s="101">
        <v>-5</v>
      </c>
      <c r="F712" s="101">
        <v>-10</v>
      </c>
      <c r="G712" s="101">
        <v>1</v>
      </c>
      <c r="H712" s="101"/>
      <c r="I712" s="101"/>
      <c r="J712" s="102">
        <v>0.83</v>
      </c>
      <c r="K712" s="102">
        <v>2.09</v>
      </c>
      <c r="L712" s="101">
        <v>10.9</v>
      </c>
      <c r="M712" s="101">
        <v>0</v>
      </c>
      <c r="N712" s="101" t="s">
        <v>955</v>
      </c>
      <c r="O712" s="101">
        <v>2008</v>
      </c>
      <c r="P712" s="101" t="s">
        <v>742</v>
      </c>
      <c r="Q712" s="101">
        <v>639690</v>
      </c>
      <c r="R712" t="s">
        <v>67</v>
      </c>
      <c r="S712" t="s">
        <v>312</v>
      </c>
      <c r="T712" t="s">
        <v>953</v>
      </c>
      <c r="U712"/>
      <c r="V712"/>
      <c r="W712" s="223"/>
    </row>
    <row r="713" spans="1:23" x14ac:dyDescent="0.2">
      <c r="A713" s="253" t="s">
        <v>116</v>
      </c>
      <c r="B713" s="101">
        <v>6</v>
      </c>
      <c r="C713" s="101">
        <v>6</v>
      </c>
      <c r="D713" s="101">
        <v>14</v>
      </c>
      <c r="E713" s="101">
        <v>7</v>
      </c>
      <c r="F713" s="101">
        <v>3</v>
      </c>
      <c r="G713" s="101">
        <v>62</v>
      </c>
      <c r="H713" s="101">
        <v>0</v>
      </c>
      <c r="I713" s="101">
        <v>0</v>
      </c>
      <c r="J713" s="102">
        <v>0.84</v>
      </c>
      <c r="K713" s="102">
        <v>2.1187689999999999</v>
      </c>
      <c r="L713" s="101">
        <v>21.6</v>
      </c>
      <c r="M713" s="101">
        <v>0.8</v>
      </c>
      <c r="N713" s="101" t="s">
        <v>957</v>
      </c>
      <c r="O713" s="101">
        <v>2004</v>
      </c>
      <c r="P713" s="101" t="s">
        <v>742</v>
      </c>
      <c r="Q713" s="101">
        <v>107201</v>
      </c>
      <c r="R713" t="s">
        <v>945</v>
      </c>
      <c r="S713" t="s">
        <v>114</v>
      </c>
      <c r="T713"/>
      <c r="U713"/>
      <c r="V713"/>
      <c r="W713" s="223"/>
    </row>
    <row r="714" spans="1:23" x14ac:dyDescent="0.2">
      <c r="A714" s="253" t="s">
        <v>828</v>
      </c>
      <c r="B714" s="101">
        <v>0</v>
      </c>
      <c r="C714" s="101">
        <v>0</v>
      </c>
      <c r="D714" s="101">
        <v>2</v>
      </c>
      <c r="E714" s="101">
        <v>-1</v>
      </c>
      <c r="F714" s="101">
        <v>-3</v>
      </c>
      <c r="G714" s="101">
        <v>14</v>
      </c>
      <c r="H714" s="101">
        <v>-3</v>
      </c>
      <c r="I714" s="101">
        <v>-1</v>
      </c>
      <c r="J714" s="102">
        <v>0.84</v>
      </c>
      <c r="K714" s="102">
        <v>2.1320000000000001</v>
      </c>
      <c r="L714" s="101">
        <v>9.1999999999999993</v>
      </c>
      <c r="M714" s="101">
        <v>0.4</v>
      </c>
      <c r="N714" s="101" t="s">
        <v>955</v>
      </c>
      <c r="O714" s="101">
        <v>2003</v>
      </c>
      <c r="P714" s="101" t="s">
        <v>742</v>
      </c>
      <c r="Q714" s="101">
        <v>532325</v>
      </c>
      <c r="R714" t="s">
        <v>918</v>
      </c>
      <c r="S714" t="s">
        <v>166</v>
      </c>
      <c r="T714"/>
      <c r="U714"/>
      <c r="V714"/>
      <c r="W714" s="223"/>
    </row>
    <row r="715" spans="1:23" x14ac:dyDescent="0.2">
      <c r="A715" s="253" t="s">
        <v>804</v>
      </c>
      <c r="B715" s="101">
        <v>4</v>
      </c>
      <c r="C715" s="101">
        <v>4</v>
      </c>
      <c r="D715" s="101">
        <v>2</v>
      </c>
      <c r="E715" s="101">
        <v>-11</v>
      </c>
      <c r="F715" s="101">
        <v>-13</v>
      </c>
      <c r="G715" s="101">
        <v>37</v>
      </c>
      <c r="H715" s="101">
        <v>-18</v>
      </c>
      <c r="I715" s="101">
        <v>-4</v>
      </c>
      <c r="J715" s="102">
        <v>0.84</v>
      </c>
      <c r="K715" s="102">
        <v>2.1151070000000001</v>
      </c>
      <c r="L715" s="101">
        <v>15.3</v>
      </c>
      <c r="M715" s="101">
        <v>0.8</v>
      </c>
      <c r="N715" s="101" t="s">
        <v>955</v>
      </c>
      <c r="O715" s="101">
        <v>2004</v>
      </c>
      <c r="P715" s="101" t="s">
        <v>742</v>
      </c>
      <c r="Q715" s="101">
        <v>920371</v>
      </c>
      <c r="R715" t="s">
        <v>945</v>
      </c>
      <c r="S715" t="s">
        <v>104</v>
      </c>
      <c r="T715"/>
      <c r="U715"/>
      <c r="V715"/>
      <c r="W715" s="223"/>
    </row>
    <row r="716" spans="1:23" x14ac:dyDescent="0.2">
      <c r="A716" s="253" t="s">
        <v>374</v>
      </c>
      <c r="B716" s="101">
        <v>4</v>
      </c>
      <c r="C716" s="101">
        <v>4</v>
      </c>
      <c r="D716" s="101">
        <v>6</v>
      </c>
      <c r="E716" s="101">
        <v>-4</v>
      </c>
      <c r="F716" s="101">
        <v>-4</v>
      </c>
      <c r="G716" s="101">
        <v>4</v>
      </c>
      <c r="H716" s="101">
        <v>-29</v>
      </c>
      <c r="I716" s="101">
        <v>-7</v>
      </c>
      <c r="J716" s="102">
        <v>0.84</v>
      </c>
      <c r="K716" s="102">
        <v>2.11</v>
      </c>
      <c r="L716" s="101">
        <v>15.1</v>
      </c>
      <c r="M716" s="101">
        <v>0.2</v>
      </c>
      <c r="N716" s="101" t="s">
        <v>963</v>
      </c>
      <c r="O716" s="101">
        <v>2000</v>
      </c>
      <c r="P716" s="101" t="s">
        <v>742</v>
      </c>
      <c r="Q716" s="101">
        <v>910109</v>
      </c>
      <c r="R716" t="s">
        <v>490</v>
      </c>
      <c r="S716" t="s">
        <v>254</v>
      </c>
      <c r="T716"/>
      <c r="U716"/>
      <c r="V716"/>
      <c r="W716" s="223"/>
    </row>
    <row r="717" spans="1:23" x14ac:dyDescent="0.2">
      <c r="A717" s="253" t="s">
        <v>663</v>
      </c>
      <c r="B717" s="101">
        <v>0</v>
      </c>
      <c r="C717" s="101">
        <v>0</v>
      </c>
      <c r="D717" s="101">
        <v>0</v>
      </c>
      <c r="E717" s="101">
        <v>0</v>
      </c>
      <c r="F717" s="101">
        <v>2</v>
      </c>
      <c r="G717" s="101">
        <v>21</v>
      </c>
      <c r="H717" s="101">
        <v>-29</v>
      </c>
      <c r="I717" s="101">
        <v>-7</v>
      </c>
      <c r="J717" s="102">
        <v>0.84</v>
      </c>
      <c r="K717" s="102">
        <v>2.5299999999999998</v>
      </c>
      <c r="L717" s="101">
        <v>12.4</v>
      </c>
      <c r="M717" s="101">
        <v>0.6</v>
      </c>
      <c r="N717" s="101" t="s">
        <v>955</v>
      </c>
      <c r="O717" s="101">
        <v>2008</v>
      </c>
      <c r="P717" s="101" t="s">
        <v>742</v>
      </c>
      <c r="Q717" s="101">
        <v>422295</v>
      </c>
      <c r="R717" t="s">
        <v>63</v>
      </c>
      <c r="S717" t="s">
        <v>49</v>
      </c>
      <c r="T717"/>
      <c r="U717"/>
      <c r="V717"/>
      <c r="W717" s="223"/>
    </row>
    <row r="718" spans="1:23" x14ac:dyDescent="0.2">
      <c r="A718" s="253" t="s">
        <v>219</v>
      </c>
      <c r="B718" s="101">
        <v>4</v>
      </c>
      <c r="C718" s="101">
        <v>4</v>
      </c>
      <c r="D718" s="101">
        <v>5</v>
      </c>
      <c r="E718" s="101">
        <v>-6</v>
      </c>
      <c r="F718" s="101">
        <v>-7</v>
      </c>
      <c r="G718" s="101">
        <v>-8</v>
      </c>
      <c r="H718" s="101">
        <v>-42</v>
      </c>
      <c r="I718" s="101">
        <v>-10</v>
      </c>
      <c r="J718" s="102">
        <v>0.84</v>
      </c>
      <c r="K718" s="102">
        <v>2.13</v>
      </c>
      <c r="L718" s="101">
        <v>15.2</v>
      </c>
      <c r="M718" s="101">
        <v>-0.1</v>
      </c>
      <c r="N718" s="101" t="s">
        <v>963</v>
      </c>
      <c r="O718" s="101">
        <v>2006</v>
      </c>
      <c r="P718" s="101" t="s">
        <v>742</v>
      </c>
      <c r="Q718" s="101">
        <v>866897</v>
      </c>
      <c r="R718" t="s">
        <v>490</v>
      </c>
      <c r="S718" t="s">
        <v>254</v>
      </c>
      <c r="T718"/>
      <c r="U718"/>
      <c r="V718"/>
      <c r="W718" s="223"/>
    </row>
    <row r="719" spans="1:23" x14ac:dyDescent="0.2">
      <c r="A719" s="253" t="s">
        <v>830</v>
      </c>
      <c r="B719" s="101">
        <v>0</v>
      </c>
      <c r="C719" s="101">
        <v>0</v>
      </c>
      <c r="D719" s="101">
        <v>4</v>
      </c>
      <c r="E719" s="101">
        <v>6</v>
      </c>
      <c r="F719" s="101">
        <v>9</v>
      </c>
      <c r="G719" s="101">
        <v>3</v>
      </c>
      <c r="H719" s="101">
        <v>-1</v>
      </c>
      <c r="I719" s="101">
        <v>0</v>
      </c>
      <c r="J719" s="102">
        <v>0.85</v>
      </c>
      <c r="K719" s="102">
        <v>2.1349999999999998</v>
      </c>
      <c r="L719" s="101">
        <v>13</v>
      </c>
      <c r="M719" s="101">
        <v>0</v>
      </c>
      <c r="N719" s="101" t="s">
        <v>955</v>
      </c>
      <c r="O719" s="101">
        <v>2003</v>
      </c>
      <c r="P719" s="101" t="s">
        <v>742</v>
      </c>
      <c r="Q719" s="101">
        <v>603985</v>
      </c>
      <c r="R719" t="s">
        <v>918</v>
      </c>
      <c r="S719" t="s">
        <v>254</v>
      </c>
      <c r="T719"/>
      <c r="U719"/>
      <c r="V719"/>
      <c r="W719" s="223"/>
    </row>
    <row r="720" spans="1:23" x14ac:dyDescent="0.2">
      <c r="A720" s="253" t="s">
        <v>68</v>
      </c>
      <c r="B720" s="101">
        <v>4</v>
      </c>
      <c r="C720" s="101">
        <v>4</v>
      </c>
      <c r="D720" s="101">
        <v>4</v>
      </c>
      <c r="E720" s="101">
        <v>-7</v>
      </c>
      <c r="F720" s="101">
        <v>-4</v>
      </c>
      <c r="G720" s="101">
        <v>14</v>
      </c>
      <c r="H720" s="101">
        <v>-15</v>
      </c>
      <c r="I720" s="101">
        <v>-3</v>
      </c>
      <c r="J720" s="102">
        <v>0.85</v>
      </c>
      <c r="K720" s="102">
        <v>2.14</v>
      </c>
      <c r="L720" s="101">
        <v>11.4</v>
      </c>
      <c r="M720" s="101">
        <v>0.3</v>
      </c>
      <c r="N720" s="101" t="s">
        <v>955</v>
      </c>
      <c r="O720" s="101">
        <v>2001</v>
      </c>
      <c r="P720" s="101" t="s">
        <v>742</v>
      </c>
      <c r="Q720" s="101">
        <v>309492</v>
      </c>
      <c r="R720" t="s">
        <v>67</v>
      </c>
      <c r="S720" t="s">
        <v>49</v>
      </c>
      <c r="T720" t="s">
        <v>953</v>
      </c>
      <c r="U720"/>
      <c r="V720"/>
      <c r="W720" s="223"/>
    </row>
    <row r="721" spans="1:23" x14ac:dyDescent="0.2">
      <c r="A721" s="253" t="s">
        <v>455</v>
      </c>
      <c r="B721" s="101">
        <v>4</v>
      </c>
      <c r="C721" s="101">
        <v>4</v>
      </c>
      <c r="D721" s="101">
        <v>4</v>
      </c>
      <c r="E721" s="101">
        <v>-5</v>
      </c>
      <c r="F721" s="101">
        <v>-8</v>
      </c>
      <c r="G721" s="101">
        <v>20</v>
      </c>
      <c r="H721" s="101"/>
      <c r="I721" s="101"/>
      <c r="J721" s="102">
        <v>0.85</v>
      </c>
      <c r="K721" s="102">
        <v>2.14</v>
      </c>
      <c r="L721" s="101">
        <v>12</v>
      </c>
      <c r="M721" s="101">
        <v>0.5</v>
      </c>
      <c r="N721" s="101" t="s">
        <v>955</v>
      </c>
      <c r="O721" s="101">
        <v>2008</v>
      </c>
      <c r="P721" s="101" t="s">
        <v>742</v>
      </c>
      <c r="Q721" s="101">
        <v>306894</v>
      </c>
      <c r="R721" t="s">
        <v>411</v>
      </c>
      <c r="S721" t="s">
        <v>166</v>
      </c>
      <c r="T721"/>
      <c r="U721"/>
      <c r="V721"/>
      <c r="W721" s="223"/>
    </row>
    <row r="722" spans="1:23" x14ac:dyDescent="0.2">
      <c r="A722" s="253" t="s">
        <v>1039</v>
      </c>
      <c r="B722" s="101">
        <v>6</v>
      </c>
      <c r="C722" s="101">
        <v>6</v>
      </c>
      <c r="D722" s="101">
        <v>0</v>
      </c>
      <c r="E722" s="101">
        <v>-5</v>
      </c>
      <c r="F722" s="101">
        <v>-3</v>
      </c>
      <c r="G722" s="101">
        <v>39</v>
      </c>
      <c r="H722" s="101">
        <v>20</v>
      </c>
      <c r="I722" s="101">
        <v>4</v>
      </c>
      <c r="J722" s="102">
        <v>0.86</v>
      </c>
      <c r="K722" s="102">
        <v>2.2799999999999998</v>
      </c>
      <c r="L722" s="101">
        <v>12.3</v>
      </c>
      <c r="M722" s="101">
        <v>0.9</v>
      </c>
      <c r="N722" s="101" t="s">
        <v>955</v>
      </c>
      <c r="O722" s="101">
        <v>2000</v>
      </c>
      <c r="P722" s="101" t="s">
        <v>742</v>
      </c>
      <c r="Q722" s="101">
        <v>930768</v>
      </c>
      <c r="R722" t="s">
        <v>407</v>
      </c>
      <c r="S722" t="s">
        <v>721</v>
      </c>
      <c r="T722"/>
      <c r="U722"/>
      <c r="V722"/>
      <c r="W722" s="223"/>
    </row>
    <row r="723" spans="1:23" x14ac:dyDescent="0.2">
      <c r="A723" s="253" t="s">
        <v>78</v>
      </c>
      <c r="B723" s="101">
        <v>5</v>
      </c>
      <c r="C723" s="101">
        <v>5</v>
      </c>
      <c r="D723" s="101">
        <v>4</v>
      </c>
      <c r="E723" s="101">
        <v>-5</v>
      </c>
      <c r="F723" s="101">
        <v>-5</v>
      </c>
      <c r="G723" s="101">
        <v>13</v>
      </c>
      <c r="H723" s="101">
        <v>-19</v>
      </c>
      <c r="I723" s="101">
        <v>-4</v>
      </c>
      <c r="J723" s="102">
        <v>0.86</v>
      </c>
      <c r="K723" s="102">
        <v>2.19</v>
      </c>
      <c r="L723" s="101">
        <v>10.6</v>
      </c>
      <c r="M723" s="101">
        <v>0.4</v>
      </c>
      <c r="N723" s="101" t="s">
        <v>955</v>
      </c>
      <c r="O723" s="101">
        <v>2002</v>
      </c>
      <c r="P723" s="101" t="s">
        <v>742</v>
      </c>
      <c r="Q723" s="101">
        <v>651380</v>
      </c>
      <c r="R723" t="s">
        <v>870</v>
      </c>
      <c r="S723" t="s">
        <v>49</v>
      </c>
      <c r="T723" t="s">
        <v>953</v>
      </c>
      <c r="U723"/>
      <c r="V723"/>
      <c r="W723" s="223"/>
    </row>
    <row r="724" spans="1:23" x14ac:dyDescent="0.2">
      <c r="A724" s="253" t="s">
        <v>456</v>
      </c>
      <c r="B724" s="101">
        <v>1</v>
      </c>
      <c r="C724" s="101">
        <v>1</v>
      </c>
      <c r="D724" s="101">
        <v>3</v>
      </c>
      <c r="E724" s="101">
        <v>-1</v>
      </c>
      <c r="F724" s="101">
        <v>-3</v>
      </c>
      <c r="G724" s="101">
        <v>10</v>
      </c>
      <c r="H724" s="101"/>
      <c r="I724" s="101"/>
      <c r="J724" s="102">
        <v>0.86</v>
      </c>
      <c r="K724" s="102">
        <v>2.1800000000000002</v>
      </c>
      <c r="L724" s="101">
        <v>8.1</v>
      </c>
      <c r="M724" s="101">
        <v>0.2</v>
      </c>
      <c r="N724" s="101" t="s">
        <v>952</v>
      </c>
      <c r="O724" s="101">
        <v>2011</v>
      </c>
      <c r="P724" s="101" t="s">
        <v>742</v>
      </c>
      <c r="Q724" s="101">
        <v>123430</v>
      </c>
      <c r="R724" t="s">
        <v>450</v>
      </c>
      <c r="S724" t="s">
        <v>166</v>
      </c>
      <c r="T724"/>
      <c r="U724"/>
      <c r="V724"/>
      <c r="W724" s="223"/>
    </row>
    <row r="725" spans="1:23" x14ac:dyDescent="0.2">
      <c r="A725" s="253" t="s">
        <v>1040</v>
      </c>
      <c r="B725" s="101">
        <v>8</v>
      </c>
      <c r="C725" s="101">
        <v>8</v>
      </c>
      <c r="D725" s="101">
        <v>7</v>
      </c>
      <c r="E725" s="101">
        <v>-6</v>
      </c>
      <c r="F725" s="101">
        <v>-6</v>
      </c>
      <c r="G725" s="101">
        <v>61</v>
      </c>
      <c r="H725" s="101"/>
      <c r="I725" s="101"/>
      <c r="J725" s="102">
        <v>0.86</v>
      </c>
      <c r="K725" s="102">
        <v>2.34</v>
      </c>
      <c r="L725" s="101">
        <v>17.600000000000001</v>
      </c>
      <c r="M725" s="101">
        <v>1</v>
      </c>
      <c r="N725" s="101" t="s">
        <v>957</v>
      </c>
      <c r="O725" s="101">
        <v>2009</v>
      </c>
      <c r="P725" s="101" t="s">
        <v>742</v>
      </c>
      <c r="Q725" s="101">
        <v>817601</v>
      </c>
      <c r="R725" t="s">
        <v>99</v>
      </c>
      <c r="S725" t="s">
        <v>150</v>
      </c>
      <c r="T725"/>
      <c r="U725"/>
      <c r="V725"/>
      <c r="W725" s="223"/>
    </row>
    <row r="726" spans="1:23" x14ac:dyDescent="0.2">
      <c r="A726" s="253" t="s">
        <v>1072</v>
      </c>
      <c r="B726" s="101">
        <v>13</v>
      </c>
      <c r="C726" s="101">
        <v>13</v>
      </c>
      <c r="D726" s="101">
        <v>12</v>
      </c>
      <c r="E726" s="101">
        <v>-20</v>
      </c>
      <c r="F726" s="101">
        <v>-25</v>
      </c>
      <c r="G726" s="101"/>
      <c r="H726" s="101"/>
      <c r="I726" s="101"/>
      <c r="J726" s="102">
        <v>0.86</v>
      </c>
      <c r="K726" s="102">
        <v>2.1928800000000002</v>
      </c>
      <c r="L726" s="101"/>
      <c r="M726" s="101"/>
      <c r="N726" s="101" t="s">
        <v>955</v>
      </c>
      <c r="O726" s="101">
        <v>2010</v>
      </c>
      <c r="P726" s="101" t="s">
        <v>742</v>
      </c>
      <c r="Q726" s="101">
        <v>717371</v>
      </c>
      <c r="R726" t="s">
        <v>685</v>
      </c>
      <c r="S726" t="s">
        <v>234</v>
      </c>
      <c r="T726"/>
      <c r="U726"/>
      <c r="V726"/>
      <c r="W726" s="223"/>
    </row>
    <row r="727" spans="1:23" x14ac:dyDescent="0.2">
      <c r="A727" s="253" t="s">
        <v>806</v>
      </c>
      <c r="B727" s="101">
        <v>7</v>
      </c>
      <c r="C727" s="101">
        <v>7</v>
      </c>
      <c r="D727" s="101">
        <v>3</v>
      </c>
      <c r="E727" s="101">
        <v>-10</v>
      </c>
      <c r="F727" s="101">
        <v>-13</v>
      </c>
      <c r="G727" s="101">
        <v>40</v>
      </c>
      <c r="H727" s="101">
        <v>-28</v>
      </c>
      <c r="I727" s="101">
        <v>-6</v>
      </c>
      <c r="J727" s="102">
        <v>0.87</v>
      </c>
      <c r="K727" s="102">
        <v>2.2000000000000002</v>
      </c>
      <c r="L727" s="101">
        <v>15.6</v>
      </c>
      <c r="M727" s="101">
        <v>0.8</v>
      </c>
      <c r="N727" s="101" t="s">
        <v>955</v>
      </c>
      <c r="O727" s="101">
        <v>2007</v>
      </c>
      <c r="P727" s="101" t="s">
        <v>742</v>
      </c>
      <c r="Q727" s="101">
        <v>904490</v>
      </c>
      <c r="R727" t="s">
        <v>1020</v>
      </c>
      <c r="S727" t="s">
        <v>104</v>
      </c>
      <c r="T727"/>
      <c r="U727"/>
      <c r="V727"/>
      <c r="W727" s="223"/>
    </row>
    <row r="728" spans="1:23" x14ac:dyDescent="0.2">
      <c r="A728" s="253" t="s">
        <v>684</v>
      </c>
      <c r="B728" s="101">
        <v>6</v>
      </c>
      <c r="C728" s="101">
        <v>6</v>
      </c>
      <c r="D728" s="101">
        <v>3</v>
      </c>
      <c r="E728" s="101">
        <v>-8</v>
      </c>
      <c r="F728" s="101">
        <v>-8</v>
      </c>
      <c r="G728" s="101"/>
      <c r="H728" s="101"/>
      <c r="I728" s="101"/>
      <c r="J728" s="102">
        <v>0.87</v>
      </c>
      <c r="K728" s="102">
        <v>2.1932</v>
      </c>
      <c r="L728" s="101"/>
      <c r="M728" s="101"/>
      <c r="N728" s="101" t="s">
        <v>955</v>
      </c>
      <c r="O728" s="101">
        <v>2010</v>
      </c>
      <c r="P728" s="101" t="s">
        <v>742</v>
      </c>
      <c r="Q728" s="101">
        <v>789032</v>
      </c>
      <c r="R728" t="s">
        <v>685</v>
      </c>
      <c r="S728" t="s">
        <v>234</v>
      </c>
      <c r="T728"/>
      <c r="U728"/>
      <c r="V728"/>
      <c r="W728" s="223"/>
    </row>
    <row r="729" spans="1:23" x14ac:dyDescent="0.2">
      <c r="A729" s="253" t="s">
        <v>1101</v>
      </c>
      <c r="B729" s="101">
        <v>0</v>
      </c>
      <c r="C729" s="101">
        <v>0</v>
      </c>
      <c r="D729" s="101">
        <v>4</v>
      </c>
      <c r="E729" s="101"/>
      <c r="F729" s="101"/>
      <c r="G729" s="101"/>
      <c r="H729" s="101"/>
      <c r="I729" s="101"/>
      <c r="J729" s="102">
        <v>0.87</v>
      </c>
      <c r="K729" s="102">
        <v>2.2000000000000002</v>
      </c>
      <c r="L729" s="101"/>
      <c r="M729" s="101"/>
      <c r="N729" s="101" t="s">
        <v>952</v>
      </c>
      <c r="O729" s="101">
        <v>2011</v>
      </c>
      <c r="P729" s="101" t="s">
        <v>867</v>
      </c>
      <c r="Q729" s="101">
        <v>208439</v>
      </c>
      <c r="R729" t="s">
        <v>847</v>
      </c>
      <c r="S729" t="s">
        <v>166</v>
      </c>
      <c r="T729"/>
      <c r="U729"/>
      <c r="V729"/>
      <c r="W729" s="223"/>
    </row>
    <row r="730" spans="1:23" x14ac:dyDescent="0.2">
      <c r="A730" s="253" t="s">
        <v>915</v>
      </c>
      <c r="B730" s="101">
        <v>9</v>
      </c>
      <c r="C730" s="101">
        <v>9</v>
      </c>
      <c r="D730" s="101">
        <v>7</v>
      </c>
      <c r="E730" s="101">
        <v>-5</v>
      </c>
      <c r="F730" s="101">
        <v>-3</v>
      </c>
      <c r="G730" s="101">
        <v>64</v>
      </c>
      <c r="H730" s="101">
        <v>10</v>
      </c>
      <c r="I730" s="101">
        <v>2</v>
      </c>
      <c r="J730" s="102">
        <v>0.88</v>
      </c>
      <c r="K730" s="102">
        <v>2.4</v>
      </c>
      <c r="L730" s="101">
        <v>19.600000000000001</v>
      </c>
      <c r="M730" s="101">
        <v>0.9</v>
      </c>
      <c r="N730" s="101" t="s">
        <v>957</v>
      </c>
      <c r="O730" s="101">
        <v>2005</v>
      </c>
      <c r="P730" s="101" t="s">
        <v>742</v>
      </c>
      <c r="Q730" s="101">
        <v>980466</v>
      </c>
      <c r="R730" t="s">
        <v>99</v>
      </c>
      <c r="S730" t="s">
        <v>183</v>
      </c>
      <c r="T730"/>
      <c r="U730"/>
      <c r="V730"/>
      <c r="W730" s="223"/>
    </row>
    <row r="731" spans="1:23" x14ac:dyDescent="0.2">
      <c r="A731" s="253" t="s">
        <v>236</v>
      </c>
      <c r="B731" s="101">
        <v>10</v>
      </c>
      <c r="C731" s="101">
        <v>10</v>
      </c>
      <c r="D731" s="101">
        <v>0</v>
      </c>
      <c r="E731" s="101">
        <v>-19</v>
      </c>
      <c r="F731" s="101">
        <v>-18</v>
      </c>
      <c r="G731" s="101">
        <v>31</v>
      </c>
      <c r="H731" s="101">
        <v>-32</v>
      </c>
      <c r="I731" s="101">
        <v>-7</v>
      </c>
      <c r="J731" s="102">
        <v>0.88</v>
      </c>
      <c r="K731" s="102">
        <v>2.4</v>
      </c>
      <c r="L731" s="101">
        <v>25.3</v>
      </c>
      <c r="M731" s="101">
        <v>0.5</v>
      </c>
      <c r="N731" s="101" t="s">
        <v>955</v>
      </c>
      <c r="O731" s="101">
        <v>2001</v>
      </c>
      <c r="P731" s="101" t="s">
        <v>742</v>
      </c>
      <c r="Q731" s="101">
        <v>779538</v>
      </c>
      <c r="R731" t="s">
        <v>99</v>
      </c>
      <c r="S731" t="s">
        <v>234</v>
      </c>
      <c r="T731"/>
      <c r="U731"/>
      <c r="V731"/>
      <c r="W731" s="223"/>
    </row>
    <row r="732" spans="1:23" x14ac:dyDescent="0.2">
      <c r="A732" s="253" t="s">
        <v>143</v>
      </c>
      <c r="B732" s="101">
        <v>0</v>
      </c>
      <c r="C732" s="101">
        <v>0</v>
      </c>
      <c r="D732" s="101">
        <v>0</v>
      </c>
      <c r="E732" s="101">
        <v>0</v>
      </c>
      <c r="F732" s="101">
        <v>-3</v>
      </c>
      <c r="G732" s="101">
        <v>26</v>
      </c>
      <c r="H732" s="101">
        <v>-36</v>
      </c>
      <c r="I732" s="101">
        <v>-9</v>
      </c>
      <c r="J732" s="102">
        <v>0.88</v>
      </c>
      <c r="K732" s="102">
        <v>2.66</v>
      </c>
      <c r="L732" s="101">
        <v>17.899999999999999</v>
      </c>
      <c r="M732" s="101">
        <v>0.4</v>
      </c>
      <c r="N732" s="101" t="s">
        <v>957</v>
      </c>
      <c r="O732" s="101">
        <v>2001</v>
      </c>
      <c r="P732" s="101" t="s">
        <v>742</v>
      </c>
      <c r="Q732" s="101">
        <v>421230</v>
      </c>
      <c r="R732" t="s">
        <v>63</v>
      </c>
      <c r="S732" t="s">
        <v>419</v>
      </c>
      <c r="T732"/>
      <c r="U732"/>
      <c r="V732"/>
      <c r="W732" s="223"/>
    </row>
    <row r="733" spans="1:23" x14ac:dyDescent="0.2">
      <c r="A733" s="253" t="s">
        <v>485</v>
      </c>
      <c r="B733" s="101">
        <v>9</v>
      </c>
      <c r="C733" s="101">
        <v>9</v>
      </c>
      <c r="D733" s="101">
        <v>5</v>
      </c>
      <c r="E733" s="101"/>
      <c r="F733" s="101"/>
      <c r="G733" s="101"/>
      <c r="H733" s="101"/>
      <c r="I733" s="101"/>
      <c r="J733" s="102">
        <v>0.88</v>
      </c>
      <c r="K733" s="102">
        <v>1.5</v>
      </c>
      <c r="L733" s="101"/>
      <c r="M733" s="101"/>
      <c r="N733" s="101" t="s">
        <v>952</v>
      </c>
      <c r="O733" s="101">
        <v>2011</v>
      </c>
      <c r="P733" s="101" t="s">
        <v>867</v>
      </c>
      <c r="Q733" s="101">
        <v>357830</v>
      </c>
      <c r="R733" t="s">
        <v>18</v>
      </c>
      <c r="S733" t="s">
        <v>150</v>
      </c>
      <c r="T733"/>
      <c r="U733"/>
      <c r="V733"/>
      <c r="W733" s="223"/>
    </row>
    <row r="734" spans="1:23" x14ac:dyDescent="0.2">
      <c r="A734" s="253" t="s">
        <v>524</v>
      </c>
      <c r="B734" s="101">
        <v>8</v>
      </c>
      <c r="C734" s="101">
        <v>8</v>
      </c>
      <c r="D734" s="101">
        <v>1</v>
      </c>
      <c r="E734" s="101">
        <v>-15</v>
      </c>
      <c r="F734" s="101">
        <v>-25</v>
      </c>
      <c r="G734" s="101">
        <v>24</v>
      </c>
      <c r="H734" s="101"/>
      <c r="I734" s="101"/>
      <c r="J734" s="102">
        <v>0.88</v>
      </c>
      <c r="K734" s="102">
        <v>2.39</v>
      </c>
      <c r="L734" s="101">
        <v>20.8</v>
      </c>
      <c r="M734" s="101">
        <v>0.4</v>
      </c>
      <c r="N734" s="101" t="s">
        <v>957</v>
      </c>
      <c r="O734" s="101">
        <v>2010</v>
      </c>
      <c r="P734" s="101" t="s">
        <v>742</v>
      </c>
      <c r="Q734" s="101">
        <v>807867</v>
      </c>
      <c r="R734" t="s">
        <v>99</v>
      </c>
      <c r="S734" t="s">
        <v>183</v>
      </c>
      <c r="T734" t="s">
        <v>953</v>
      </c>
      <c r="U734"/>
      <c r="V734"/>
      <c r="W734" s="223"/>
    </row>
    <row r="735" spans="1:23" x14ac:dyDescent="0.2">
      <c r="A735" s="253" t="s">
        <v>162</v>
      </c>
      <c r="B735" s="101">
        <v>7</v>
      </c>
      <c r="C735" s="101">
        <v>7</v>
      </c>
      <c r="D735" s="101">
        <v>3</v>
      </c>
      <c r="E735" s="101">
        <v>-12</v>
      </c>
      <c r="F735" s="101">
        <v>-17</v>
      </c>
      <c r="G735" s="101">
        <v>42</v>
      </c>
      <c r="H735" s="101">
        <v>18</v>
      </c>
      <c r="I735" s="101">
        <v>3</v>
      </c>
      <c r="J735" s="102">
        <v>0.89</v>
      </c>
      <c r="K735" s="102">
        <v>2.41</v>
      </c>
      <c r="L735" s="101">
        <v>21.2</v>
      </c>
      <c r="M735" s="101">
        <v>0.6</v>
      </c>
      <c r="N735" s="101" t="s">
        <v>957</v>
      </c>
      <c r="O735" s="101">
        <v>2005</v>
      </c>
      <c r="P735" s="101" t="s">
        <v>742</v>
      </c>
      <c r="Q735" s="101">
        <v>908806</v>
      </c>
      <c r="R735" t="s">
        <v>99</v>
      </c>
      <c r="S735" t="s">
        <v>416</v>
      </c>
      <c r="T735"/>
      <c r="U735"/>
      <c r="V735"/>
      <c r="W735" s="223"/>
    </row>
    <row r="736" spans="1:23" x14ac:dyDescent="0.2">
      <c r="A736" s="253" t="s">
        <v>916</v>
      </c>
      <c r="B736" s="101">
        <v>12</v>
      </c>
      <c r="C736" s="101">
        <v>12</v>
      </c>
      <c r="D736" s="101">
        <v>4</v>
      </c>
      <c r="E736" s="101">
        <v>-18</v>
      </c>
      <c r="F736" s="101">
        <v>-21</v>
      </c>
      <c r="G736" s="101">
        <v>124</v>
      </c>
      <c r="H736" s="101">
        <v>-15</v>
      </c>
      <c r="I736" s="101">
        <v>-3</v>
      </c>
      <c r="J736" s="102">
        <v>0.89</v>
      </c>
      <c r="K736" s="102">
        <v>2.42</v>
      </c>
      <c r="L736" s="101">
        <v>36.200000000000003</v>
      </c>
      <c r="M736" s="101">
        <v>0.9</v>
      </c>
      <c r="N736" s="101" t="s">
        <v>957</v>
      </c>
      <c r="O736" s="101">
        <v>2008</v>
      </c>
      <c r="P736" s="101" t="s">
        <v>742</v>
      </c>
      <c r="Q736" s="101">
        <v>770263</v>
      </c>
      <c r="R736" t="s">
        <v>99</v>
      </c>
      <c r="S736" t="s">
        <v>417</v>
      </c>
      <c r="T736"/>
      <c r="U736"/>
      <c r="V736"/>
      <c r="W736" s="223"/>
    </row>
    <row r="737" spans="1:23" x14ac:dyDescent="0.2">
      <c r="A737" s="253" t="s">
        <v>1135</v>
      </c>
      <c r="B737" s="101"/>
      <c r="C737" s="101"/>
      <c r="D737" s="101"/>
      <c r="E737" s="101"/>
      <c r="F737" s="101"/>
      <c r="G737" s="101"/>
      <c r="H737" s="101"/>
      <c r="I737" s="101"/>
      <c r="J737" s="102">
        <v>0.89</v>
      </c>
      <c r="K737" s="102">
        <v>2.25</v>
      </c>
      <c r="L737" s="101"/>
      <c r="M737" s="101"/>
      <c r="N737" s="101" t="s">
        <v>952</v>
      </c>
      <c r="O737" s="101">
        <v>2011</v>
      </c>
      <c r="P737" s="101" t="s">
        <v>867</v>
      </c>
      <c r="Q737" s="101">
        <v>615310</v>
      </c>
      <c r="R737" t="s">
        <v>1134</v>
      </c>
      <c r="S737" t="s">
        <v>338</v>
      </c>
      <c r="T737"/>
      <c r="U737"/>
      <c r="V737"/>
      <c r="W737" s="223"/>
    </row>
    <row r="738" spans="1:23" x14ac:dyDescent="0.2">
      <c r="A738" s="253" t="s">
        <v>1136</v>
      </c>
      <c r="B738" s="101"/>
      <c r="C738" s="101"/>
      <c r="D738" s="101"/>
      <c r="E738" s="101"/>
      <c r="F738" s="101"/>
      <c r="G738" s="101"/>
      <c r="H738" s="101"/>
      <c r="I738" s="101"/>
      <c r="J738" s="102">
        <v>0.89</v>
      </c>
      <c r="K738" s="102">
        <v>2.25</v>
      </c>
      <c r="L738" s="101"/>
      <c r="M738" s="101"/>
      <c r="N738" s="101" t="s">
        <v>952</v>
      </c>
      <c r="O738" s="101">
        <v>2011</v>
      </c>
      <c r="P738" s="101" t="s">
        <v>867</v>
      </c>
      <c r="Q738" s="101">
        <v>691220</v>
      </c>
      <c r="R738" t="s">
        <v>1134</v>
      </c>
      <c r="S738" t="s">
        <v>338</v>
      </c>
      <c r="T738"/>
      <c r="U738"/>
      <c r="V738"/>
      <c r="W738" s="223"/>
    </row>
    <row r="739" spans="1:23" x14ac:dyDescent="0.2">
      <c r="A739" s="253" t="s">
        <v>671</v>
      </c>
      <c r="B739" s="101">
        <v>0</v>
      </c>
      <c r="C739" s="101">
        <v>0</v>
      </c>
      <c r="D739" s="101">
        <v>0</v>
      </c>
      <c r="E739" s="101">
        <v>0</v>
      </c>
      <c r="F739" s="101">
        <v>-5</v>
      </c>
      <c r="G739" s="101">
        <v>56</v>
      </c>
      <c r="H739" s="101"/>
      <c r="I739" s="101"/>
      <c r="J739" s="102">
        <v>0.89</v>
      </c>
      <c r="K739" s="102">
        <v>2.72</v>
      </c>
      <c r="L739" s="101">
        <v>17.7</v>
      </c>
      <c r="M739" s="101">
        <v>0.9</v>
      </c>
      <c r="N739" s="101" t="s">
        <v>957</v>
      </c>
      <c r="O739" s="101">
        <v>2008</v>
      </c>
      <c r="P739" s="101" t="s">
        <v>742</v>
      </c>
      <c r="Q739" s="101">
        <v>700435</v>
      </c>
      <c r="R739" t="s">
        <v>63</v>
      </c>
      <c r="S739" t="s">
        <v>418</v>
      </c>
      <c r="T739"/>
      <c r="U739"/>
      <c r="V739"/>
      <c r="W739" s="223"/>
    </row>
    <row r="740" spans="1:23" x14ac:dyDescent="0.2">
      <c r="A740" s="253" t="s">
        <v>1133</v>
      </c>
      <c r="B740" s="101"/>
      <c r="C740" s="101"/>
      <c r="D740" s="101"/>
      <c r="E740" s="101"/>
      <c r="F740" s="101"/>
      <c r="G740" s="101"/>
      <c r="H740" s="101"/>
      <c r="I740" s="101"/>
      <c r="J740" s="102">
        <v>0.89</v>
      </c>
      <c r="K740" s="102">
        <v>2.25</v>
      </c>
      <c r="L740" s="101"/>
      <c r="M740" s="101"/>
      <c r="N740" s="101" t="s">
        <v>952</v>
      </c>
      <c r="O740" s="101">
        <v>2011</v>
      </c>
      <c r="P740" s="101" t="s">
        <v>867</v>
      </c>
      <c r="Q740" s="101">
        <v>727057</v>
      </c>
      <c r="R740" t="s">
        <v>1134</v>
      </c>
      <c r="S740" t="s">
        <v>338</v>
      </c>
      <c r="T740"/>
      <c r="U740"/>
      <c r="V740"/>
      <c r="W740" s="223"/>
    </row>
    <row r="741" spans="1:23" x14ac:dyDescent="0.2">
      <c r="A741" s="253" t="s">
        <v>1021</v>
      </c>
      <c r="B741" s="101">
        <v>1</v>
      </c>
      <c r="C741" s="101">
        <v>1</v>
      </c>
      <c r="D741" s="101">
        <v>-1</v>
      </c>
      <c r="E741" s="101">
        <v>-3</v>
      </c>
      <c r="F741" s="101">
        <v>0</v>
      </c>
      <c r="G741" s="101"/>
      <c r="H741" s="101"/>
      <c r="I741" s="101"/>
      <c r="J741" s="102">
        <v>0.9</v>
      </c>
      <c r="K741" s="102">
        <v>2.2799999999999998</v>
      </c>
      <c r="L741" s="101"/>
      <c r="M741" s="101"/>
      <c r="N741" s="101" t="s">
        <v>955</v>
      </c>
      <c r="O741" s="101">
        <v>2009</v>
      </c>
      <c r="P741" s="101" t="s">
        <v>742</v>
      </c>
      <c r="Q741" s="101">
        <v>541292</v>
      </c>
      <c r="R741" t="s">
        <v>1022</v>
      </c>
      <c r="S741" t="s">
        <v>183</v>
      </c>
      <c r="T741"/>
      <c r="U741"/>
      <c r="V741"/>
      <c r="W741" s="223"/>
    </row>
    <row r="742" spans="1:23" x14ac:dyDescent="0.2">
      <c r="A742" s="253" t="s">
        <v>1102</v>
      </c>
      <c r="B742" s="101">
        <v>2</v>
      </c>
      <c r="C742" s="101">
        <v>2</v>
      </c>
      <c r="D742" s="101">
        <v>1</v>
      </c>
      <c r="E742" s="101">
        <v>-4</v>
      </c>
      <c r="F742" s="101">
        <v>-8</v>
      </c>
      <c r="G742" s="101"/>
      <c r="H742" s="101"/>
      <c r="I742" s="101"/>
      <c r="J742" s="102">
        <v>0.92</v>
      </c>
      <c r="K742" s="102">
        <v>2.7570000000000001</v>
      </c>
      <c r="L742" s="101"/>
      <c r="M742" s="101"/>
      <c r="N742" s="101" t="s">
        <v>952</v>
      </c>
      <c r="O742" s="101">
        <v>2011</v>
      </c>
      <c r="P742" s="101" t="s">
        <v>867</v>
      </c>
      <c r="Q742" s="101">
        <v>558239</v>
      </c>
      <c r="R742" t="s">
        <v>784</v>
      </c>
      <c r="S742" t="s">
        <v>338</v>
      </c>
      <c r="T742"/>
      <c r="U742"/>
      <c r="V742"/>
      <c r="W742" s="223"/>
    </row>
    <row r="743" spans="1:23" x14ac:dyDescent="0.2">
      <c r="A743" s="253" t="s">
        <v>525</v>
      </c>
      <c r="B743" s="101">
        <v>6</v>
      </c>
      <c r="C743" s="101">
        <v>6</v>
      </c>
      <c r="D743" s="101">
        <v>5</v>
      </c>
      <c r="E743" s="101">
        <v>-4</v>
      </c>
      <c r="F743" s="101">
        <v>-5</v>
      </c>
      <c r="G743" s="101">
        <v>31</v>
      </c>
      <c r="H743" s="101">
        <v>-18</v>
      </c>
      <c r="I743" s="101">
        <v>-4</v>
      </c>
      <c r="J743" s="102">
        <v>0.93</v>
      </c>
      <c r="K743" s="102">
        <v>2.38</v>
      </c>
      <c r="L743" s="101">
        <v>12</v>
      </c>
      <c r="M743" s="101">
        <v>0.7</v>
      </c>
      <c r="N743" s="101" t="s">
        <v>955</v>
      </c>
      <c r="O743" s="101">
        <v>2007</v>
      </c>
      <c r="P743" s="101" t="s">
        <v>742</v>
      </c>
      <c r="Q743" s="101">
        <v>299636</v>
      </c>
      <c r="R743" t="s">
        <v>411</v>
      </c>
      <c r="S743" t="s">
        <v>166</v>
      </c>
      <c r="T743"/>
      <c r="U743"/>
      <c r="V743"/>
      <c r="W743" s="223"/>
    </row>
    <row r="744" spans="1:23" x14ac:dyDescent="0.2">
      <c r="A744" s="253" t="s">
        <v>288</v>
      </c>
      <c r="B744" s="101">
        <v>11</v>
      </c>
      <c r="C744" s="101">
        <v>11</v>
      </c>
      <c r="D744" s="101">
        <v>1</v>
      </c>
      <c r="E744" s="101">
        <v>-17</v>
      </c>
      <c r="F744" s="101">
        <v>-19</v>
      </c>
      <c r="G744" s="101">
        <v>23</v>
      </c>
      <c r="H744" s="101">
        <v>-36</v>
      </c>
      <c r="I744" s="101">
        <v>-9</v>
      </c>
      <c r="J744" s="102">
        <v>0.93</v>
      </c>
      <c r="K744" s="102">
        <v>2.39</v>
      </c>
      <c r="L744" s="101">
        <v>23.2</v>
      </c>
      <c r="M744" s="101">
        <v>0.4</v>
      </c>
      <c r="N744" s="101" t="s">
        <v>955</v>
      </c>
      <c r="O744" s="101">
        <v>2004</v>
      </c>
      <c r="P744" s="101" t="s">
        <v>742</v>
      </c>
      <c r="Q744" s="101">
        <v>288183</v>
      </c>
      <c r="R744" t="s">
        <v>870</v>
      </c>
      <c r="S744" t="s">
        <v>234</v>
      </c>
      <c r="T744"/>
      <c r="U744"/>
      <c r="V744"/>
      <c r="W744" s="223"/>
    </row>
    <row r="745" spans="1:23" x14ac:dyDescent="0.2">
      <c r="A745" s="253" t="s">
        <v>833</v>
      </c>
      <c r="B745" s="101">
        <v>12</v>
      </c>
      <c r="C745" s="101">
        <v>12</v>
      </c>
      <c r="D745" s="101">
        <v>8</v>
      </c>
      <c r="E745" s="101">
        <v>2</v>
      </c>
      <c r="F745" s="101">
        <v>-2</v>
      </c>
      <c r="G745" s="101">
        <v>76</v>
      </c>
      <c r="H745" s="101"/>
      <c r="I745" s="101"/>
      <c r="J745" s="102">
        <v>0.93</v>
      </c>
      <c r="K745" s="102">
        <v>2.5499999999999998</v>
      </c>
      <c r="L745" s="101">
        <v>24.8</v>
      </c>
      <c r="M745" s="101">
        <v>0.9</v>
      </c>
      <c r="N745" s="101" t="s">
        <v>957</v>
      </c>
      <c r="O745" s="101">
        <v>2008</v>
      </c>
      <c r="P745" s="101" t="s">
        <v>742</v>
      </c>
      <c r="Q745" s="101">
        <v>806091</v>
      </c>
      <c r="R745" t="s">
        <v>99</v>
      </c>
      <c r="S745" t="s">
        <v>268</v>
      </c>
      <c r="T745"/>
      <c r="U745"/>
      <c r="V745"/>
      <c r="W745" s="223"/>
    </row>
    <row r="746" spans="1:23" x14ac:dyDescent="0.2">
      <c r="A746" s="253" t="s">
        <v>36</v>
      </c>
      <c r="B746" s="101">
        <v>13</v>
      </c>
      <c r="C746" s="101">
        <v>13</v>
      </c>
      <c r="D746" s="101">
        <v>8</v>
      </c>
      <c r="E746" s="101">
        <v>-14</v>
      </c>
      <c r="F746" s="101">
        <v>-12</v>
      </c>
      <c r="G746" s="101">
        <v>149</v>
      </c>
      <c r="H746" s="101">
        <v>-18</v>
      </c>
      <c r="I746" s="101">
        <v>-4</v>
      </c>
      <c r="J746" s="102">
        <v>0.94</v>
      </c>
      <c r="K746" s="102">
        <v>2.5749499999999999</v>
      </c>
      <c r="L746" s="101">
        <v>33.299999999999997</v>
      </c>
      <c r="M746" s="101">
        <v>1.1000000000000001</v>
      </c>
      <c r="N746" s="101" t="s">
        <v>952</v>
      </c>
      <c r="O746" s="101">
        <v>2004</v>
      </c>
      <c r="P746" s="101" t="s">
        <v>867</v>
      </c>
      <c r="Q746" s="101">
        <v>671982</v>
      </c>
      <c r="R746" t="s">
        <v>974</v>
      </c>
      <c r="S746" t="s">
        <v>417</v>
      </c>
      <c r="T746"/>
      <c r="U746"/>
      <c r="V746"/>
      <c r="W746" s="223"/>
    </row>
    <row r="747" spans="1:23" x14ac:dyDescent="0.2">
      <c r="A747" s="253" t="s">
        <v>523</v>
      </c>
      <c r="B747" s="101">
        <v>7</v>
      </c>
      <c r="C747" s="101">
        <v>7</v>
      </c>
      <c r="D747" s="101">
        <v>2</v>
      </c>
      <c r="E747" s="101">
        <v>-8</v>
      </c>
      <c r="F747" s="101">
        <v>-4</v>
      </c>
      <c r="G747" s="101">
        <v>51</v>
      </c>
      <c r="H747" s="101">
        <v>11</v>
      </c>
      <c r="I747" s="101">
        <v>2</v>
      </c>
      <c r="J747" s="102">
        <v>0.95</v>
      </c>
      <c r="K747" s="102">
        <v>2.4300000000000002</v>
      </c>
      <c r="L747" s="101">
        <v>17.3</v>
      </c>
      <c r="M747" s="101">
        <v>0.9</v>
      </c>
      <c r="N747" s="101" t="s">
        <v>955</v>
      </c>
      <c r="O747" s="101">
        <v>2008</v>
      </c>
      <c r="P747" s="101" t="s">
        <v>742</v>
      </c>
      <c r="Q747" s="101">
        <v>403469</v>
      </c>
      <c r="R747" t="s">
        <v>882</v>
      </c>
      <c r="S747" t="s">
        <v>150</v>
      </c>
      <c r="T747"/>
      <c r="U747"/>
      <c r="V747"/>
      <c r="W747" s="223"/>
    </row>
    <row r="748" spans="1:23" x14ac:dyDescent="0.2">
      <c r="A748" s="253" t="s">
        <v>1011</v>
      </c>
      <c r="B748" s="101">
        <v>5</v>
      </c>
      <c r="C748" s="101">
        <v>5</v>
      </c>
      <c r="D748" s="101">
        <v>-6</v>
      </c>
      <c r="E748" s="101">
        <v>-19</v>
      </c>
      <c r="F748" s="101">
        <v>-16</v>
      </c>
      <c r="G748" s="101">
        <v>49</v>
      </c>
      <c r="H748" s="101">
        <v>-39</v>
      </c>
      <c r="I748" s="101">
        <v>-9</v>
      </c>
      <c r="J748" s="102">
        <v>0.96</v>
      </c>
      <c r="K748" s="102">
        <v>2.36</v>
      </c>
      <c r="L748" s="101">
        <v>21.6</v>
      </c>
      <c r="M748" s="101">
        <v>0.6</v>
      </c>
      <c r="N748" s="101" t="s">
        <v>955</v>
      </c>
      <c r="O748" s="101">
        <v>2010</v>
      </c>
      <c r="P748" s="101" t="s">
        <v>742</v>
      </c>
      <c r="Q748" s="101">
        <v>772038</v>
      </c>
      <c r="R748" t="s">
        <v>1012</v>
      </c>
      <c r="S748" t="s">
        <v>234</v>
      </c>
      <c r="T748"/>
      <c r="U748"/>
      <c r="V748"/>
      <c r="W748" s="223"/>
    </row>
    <row r="749" spans="1:23" x14ac:dyDescent="0.2">
      <c r="A749" s="253" t="s">
        <v>970</v>
      </c>
      <c r="B749" s="101">
        <v>4</v>
      </c>
      <c r="C749" s="101">
        <v>4</v>
      </c>
      <c r="D749" s="101">
        <v>5</v>
      </c>
      <c r="E749" s="101">
        <v>3</v>
      </c>
      <c r="F749" s="101"/>
      <c r="G749" s="101"/>
      <c r="H749" s="101"/>
      <c r="I749" s="101"/>
      <c r="J749" s="102">
        <v>0.96</v>
      </c>
      <c r="K749" s="102">
        <v>2.4500000000000002</v>
      </c>
      <c r="L749" s="101"/>
      <c r="M749" s="101"/>
      <c r="N749" s="101" t="s">
        <v>952</v>
      </c>
      <c r="O749" s="101">
        <v>2011</v>
      </c>
      <c r="P749" s="101" t="s">
        <v>867</v>
      </c>
      <c r="Q749" s="101">
        <v>874032</v>
      </c>
      <c r="R749" t="s">
        <v>588</v>
      </c>
      <c r="S749" t="s">
        <v>338</v>
      </c>
      <c r="T749"/>
      <c r="U749"/>
      <c r="V749"/>
      <c r="W749" s="223"/>
    </row>
    <row r="750" spans="1:23" x14ac:dyDescent="0.2">
      <c r="A750" s="253" t="s">
        <v>245</v>
      </c>
      <c r="B750" s="101">
        <v>8</v>
      </c>
      <c r="C750" s="101">
        <v>8</v>
      </c>
      <c r="D750" s="101">
        <v>6</v>
      </c>
      <c r="E750" s="101">
        <v>2</v>
      </c>
      <c r="F750" s="101">
        <v>-2</v>
      </c>
      <c r="G750" s="101">
        <v>80</v>
      </c>
      <c r="H750" s="101">
        <v>26</v>
      </c>
      <c r="I750" s="101">
        <v>5</v>
      </c>
      <c r="J750" s="102">
        <v>0.97</v>
      </c>
      <c r="K750" s="102">
        <v>2.9</v>
      </c>
      <c r="L750" s="101">
        <v>21</v>
      </c>
      <c r="M750" s="101">
        <v>1</v>
      </c>
      <c r="N750" s="101" t="s">
        <v>957</v>
      </c>
      <c r="O750" s="101">
        <v>2008</v>
      </c>
      <c r="P750" s="101" t="s">
        <v>742</v>
      </c>
      <c r="Q750" s="101">
        <v>369462</v>
      </c>
      <c r="R750" t="s">
        <v>899</v>
      </c>
      <c r="S750" t="s">
        <v>418</v>
      </c>
      <c r="T750"/>
      <c r="U750"/>
      <c r="V750"/>
      <c r="W750" s="223"/>
    </row>
    <row r="751" spans="1:23" x14ac:dyDescent="0.2">
      <c r="A751" s="253" t="s">
        <v>249</v>
      </c>
      <c r="B751" s="101">
        <v>12</v>
      </c>
      <c r="C751" s="101">
        <v>12</v>
      </c>
      <c r="D751" s="101">
        <v>5</v>
      </c>
      <c r="E751" s="101">
        <v>-9</v>
      </c>
      <c r="F751" s="101">
        <v>-14</v>
      </c>
      <c r="G751" s="101">
        <v>88</v>
      </c>
      <c r="H751" s="101">
        <v>7</v>
      </c>
      <c r="I751" s="101">
        <v>1</v>
      </c>
      <c r="J751" s="102">
        <v>0.97</v>
      </c>
      <c r="K751" s="102">
        <v>2.9</v>
      </c>
      <c r="L751" s="101">
        <v>25.3</v>
      </c>
      <c r="M751" s="101">
        <v>1</v>
      </c>
      <c r="N751" s="101" t="s">
        <v>955</v>
      </c>
      <c r="O751" s="101">
        <v>2008</v>
      </c>
      <c r="P751" s="101" t="s">
        <v>742</v>
      </c>
      <c r="Q751" s="101">
        <v>938498</v>
      </c>
      <c r="R751" t="s">
        <v>899</v>
      </c>
      <c r="S751" t="s">
        <v>312</v>
      </c>
      <c r="T751"/>
      <c r="U751"/>
      <c r="V751"/>
      <c r="W751" s="223"/>
    </row>
    <row r="752" spans="1:23" x14ac:dyDescent="0.2">
      <c r="A752" s="253" t="s">
        <v>244</v>
      </c>
      <c r="B752" s="101">
        <v>13</v>
      </c>
      <c r="C752" s="101">
        <v>13</v>
      </c>
      <c r="D752" s="101">
        <v>-2</v>
      </c>
      <c r="E752" s="101">
        <v>-10</v>
      </c>
      <c r="F752" s="101">
        <v>-8</v>
      </c>
      <c r="G752" s="101">
        <v>45</v>
      </c>
      <c r="H752" s="101">
        <v>-3</v>
      </c>
      <c r="I752" s="101">
        <v>-1</v>
      </c>
      <c r="J752" s="102">
        <v>0.97</v>
      </c>
      <c r="K752" s="102">
        <v>2.9</v>
      </c>
      <c r="L752" s="101">
        <v>25.3</v>
      </c>
      <c r="M752" s="101">
        <v>0.6</v>
      </c>
      <c r="N752" s="101" t="s">
        <v>957</v>
      </c>
      <c r="O752" s="101">
        <v>2008</v>
      </c>
      <c r="P752" s="101" t="s">
        <v>742</v>
      </c>
      <c r="Q752" s="101">
        <v>333633</v>
      </c>
      <c r="R752" t="s">
        <v>899</v>
      </c>
      <c r="S752" t="s">
        <v>150</v>
      </c>
      <c r="T752"/>
      <c r="U752"/>
      <c r="V752"/>
      <c r="W752" s="223"/>
    </row>
    <row r="753" spans="1:23" x14ac:dyDescent="0.2">
      <c r="A753" s="253" t="s">
        <v>246</v>
      </c>
      <c r="B753" s="101">
        <v>3</v>
      </c>
      <c r="C753" s="101">
        <v>3</v>
      </c>
      <c r="D753" s="101">
        <v>4</v>
      </c>
      <c r="E753" s="101">
        <v>-2</v>
      </c>
      <c r="F753" s="101">
        <v>-4</v>
      </c>
      <c r="G753" s="101">
        <v>17</v>
      </c>
      <c r="H753" s="101">
        <v>-24</v>
      </c>
      <c r="I753" s="101">
        <v>-5</v>
      </c>
      <c r="J753" s="102">
        <v>0.97</v>
      </c>
      <c r="K753" s="102">
        <v>2.9</v>
      </c>
      <c r="L753" s="101">
        <v>12.7</v>
      </c>
      <c r="M753" s="101">
        <v>0.5</v>
      </c>
      <c r="N753" s="101" t="s">
        <v>957</v>
      </c>
      <c r="O753" s="101">
        <v>2008</v>
      </c>
      <c r="P753" s="101" t="s">
        <v>742</v>
      </c>
      <c r="Q753" s="101">
        <v>405290</v>
      </c>
      <c r="R753" t="s">
        <v>899</v>
      </c>
      <c r="S753" t="s">
        <v>166</v>
      </c>
      <c r="T753"/>
      <c r="U753"/>
      <c r="V753"/>
      <c r="W753" s="223"/>
    </row>
    <row r="754" spans="1:23" x14ac:dyDescent="0.2">
      <c r="A754" s="253" t="s">
        <v>248</v>
      </c>
      <c r="B754" s="101">
        <v>4</v>
      </c>
      <c r="C754" s="101">
        <v>4</v>
      </c>
      <c r="D754" s="101">
        <v>1</v>
      </c>
      <c r="E754" s="101">
        <v>-5</v>
      </c>
      <c r="F754" s="101">
        <v>-8</v>
      </c>
      <c r="G754" s="101">
        <v>0</v>
      </c>
      <c r="H754" s="101">
        <v>-37</v>
      </c>
      <c r="I754" s="101">
        <v>-9</v>
      </c>
      <c r="J754" s="102">
        <v>0.97</v>
      </c>
      <c r="K754" s="102">
        <v>2.9</v>
      </c>
      <c r="L754" s="101">
        <v>15</v>
      </c>
      <c r="M754" s="101">
        <v>0.1</v>
      </c>
      <c r="N754" s="101" t="s">
        <v>955</v>
      </c>
      <c r="O754" s="101">
        <v>2008</v>
      </c>
      <c r="P754" s="101" t="s">
        <v>742</v>
      </c>
      <c r="Q754" s="101">
        <v>902668</v>
      </c>
      <c r="R754" t="s">
        <v>899</v>
      </c>
      <c r="S754" t="s">
        <v>49</v>
      </c>
      <c r="T754"/>
      <c r="U754"/>
      <c r="V754"/>
      <c r="W754" s="223"/>
    </row>
    <row r="755" spans="1:23" x14ac:dyDescent="0.2">
      <c r="A755" s="253" t="s">
        <v>1105</v>
      </c>
      <c r="B755" s="101">
        <v>16</v>
      </c>
      <c r="C755" s="101">
        <v>16</v>
      </c>
      <c r="D755" s="101">
        <v>10</v>
      </c>
      <c r="E755" s="101"/>
      <c r="F755" s="101"/>
      <c r="G755" s="101"/>
      <c r="H755" s="101"/>
      <c r="I755" s="101"/>
      <c r="J755" s="102">
        <v>0.97</v>
      </c>
      <c r="K755" s="102">
        <v>2.5</v>
      </c>
      <c r="L755" s="101"/>
      <c r="M755" s="101"/>
      <c r="N755" s="101" t="s">
        <v>952</v>
      </c>
      <c r="O755" s="101">
        <v>2011</v>
      </c>
      <c r="P755" s="101" t="s">
        <v>867</v>
      </c>
      <c r="Q755" s="101">
        <v>741637</v>
      </c>
      <c r="R755" t="s">
        <v>1104</v>
      </c>
      <c r="S755" t="s">
        <v>417</v>
      </c>
      <c r="T755"/>
      <c r="U755"/>
      <c r="V755"/>
      <c r="W755" s="223"/>
    </row>
    <row r="756" spans="1:23" x14ac:dyDescent="0.2">
      <c r="A756" s="253" t="s">
        <v>1150</v>
      </c>
      <c r="B756" s="101"/>
      <c r="C756" s="101"/>
      <c r="D756" s="101"/>
      <c r="E756" s="101"/>
      <c r="F756" s="101"/>
      <c r="G756" s="101"/>
      <c r="H756" s="101"/>
      <c r="I756" s="101"/>
      <c r="J756" s="102">
        <v>0.97</v>
      </c>
      <c r="K756" s="102" t="e">
        <v>#N/A</v>
      </c>
      <c r="L756" s="101"/>
      <c r="M756" s="101"/>
      <c r="N756" s="101" t="s">
        <v>952</v>
      </c>
      <c r="O756" s="101">
        <v>2012</v>
      </c>
      <c r="P756" s="101" t="s">
        <v>867</v>
      </c>
      <c r="Q756" s="101">
        <v>632315</v>
      </c>
      <c r="R756" t="s">
        <v>1104</v>
      </c>
      <c r="S756" t="s">
        <v>183</v>
      </c>
      <c r="T756"/>
      <c r="U756"/>
      <c r="V756"/>
      <c r="W756" s="223"/>
    </row>
    <row r="757" spans="1:23" x14ac:dyDescent="0.2">
      <c r="A757" s="253" t="s">
        <v>1103</v>
      </c>
      <c r="B757" s="101">
        <v>7</v>
      </c>
      <c r="C757" s="101">
        <v>7</v>
      </c>
      <c r="D757" s="101">
        <v>0</v>
      </c>
      <c r="E757" s="101"/>
      <c r="F757" s="101"/>
      <c r="G757" s="101"/>
      <c r="H757" s="101"/>
      <c r="I757" s="101"/>
      <c r="J757" s="102">
        <v>0.97</v>
      </c>
      <c r="K757" s="102">
        <v>2.5</v>
      </c>
      <c r="L757" s="101"/>
      <c r="M757" s="101"/>
      <c r="N757" s="101" t="s">
        <v>952</v>
      </c>
      <c r="O757" s="101">
        <v>2011</v>
      </c>
      <c r="P757" s="101" t="s">
        <v>867</v>
      </c>
      <c r="Q757" s="101">
        <v>705806</v>
      </c>
      <c r="R757" t="s">
        <v>1104</v>
      </c>
      <c r="S757" t="s">
        <v>268</v>
      </c>
      <c r="T757"/>
      <c r="U757"/>
      <c r="V757"/>
      <c r="W757" s="223"/>
    </row>
    <row r="758" spans="1:23" x14ac:dyDescent="0.2">
      <c r="A758" s="253" t="s">
        <v>280</v>
      </c>
      <c r="B758" s="101">
        <v>7</v>
      </c>
      <c r="C758" s="101">
        <v>7</v>
      </c>
      <c r="D758" s="101">
        <v>4</v>
      </c>
      <c r="E758" s="101">
        <v>-11</v>
      </c>
      <c r="F758" s="101">
        <v>-15</v>
      </c>
      <c r="G758" s="101">
        <v>72</v>
      </c>
      <c r="H758" s="101">
        <v>-6</v>
      </c>
      <c r="I758" s="101">
        <v>-1</v>
      </c>
      <c r="J758" s="102">
        <v>0.98</v>
      </c>
      <c r="K758" s="102">
        <v>1.8</v>
      </c>
      <c r="L758" s="101">
        <v>23</v>
      </c>
      <c r="M758" s="101">
        <v>0.9</v>
      </c>
      <c r="N758" s="101" t="s">
        <v>956</v>
      </c>
      <c r="O758" s="101">
        <v>2004</v>
      </c>
      <c r="P758" s="101" t="s">
        <v>742</v>
      </c>
      <c r="Q758" s="101">
        <v>821389</v>
      </c>
      <c r="R758" t="s">
        <v>868</v>
      </c>
      <c r="S758" t="s">
        <v>268</v>
      </c>
      <c r="T758"/>
      <c r="U758"/>
      <c r="V758"/>
      <c r="W758" s="223"/>
    </row>
    <row r="759" spans="1:23" x14ac:dyDescent="0.2">
      <c r="A759" s="253" t="s">
        <v>1106</v>
      </c>
      <c r="B759" s="101">
        <v>2</v>
      </c>
      <c r="C759" s="101">
        <v>2</v>
      </c>
      <c r="D759" s="101">
        <v>3</v>
      </c>
      <c r="E759" s="101"/>
      <c r="F759" s="101"/>
      <c r="G759" s="101"/>
      <c r="H759" s="101"/>
      <c r="I759" s="101"/>
      <c r="J759" s="102">
        <v>0.98</v>
      </c>
      <c r="K759" s="102">
        <v>2.52</v>
      </c>
      <c r="L759" s="101"/>
      <c r="M759" s="101"/>
      <c r="N759" s="101" t="s">
        <v>952</v>
      </c>
      <c r="O759" s="101">
        <v>2011</v>
      </c>
      <c r="P759" s="101" t="s">
        <v>742</v>
      </c>
      <c r="Q759" s="101">
        <v>356006</v>
      </c>
      <c r="R759" t="s">
        <v>1107</v>
      </c>
      <c r="S759" t="s">
        <v>338</v>
      </c>
      <c r="T759"/>
      <c r="U759"/>
      <c r="V759"/>
      <c r="W759" s="223"/>
    </row>
    <row r="760" spans="1:23" x14ac:dyDescent="0.2">
      <c r="A760" s="253" t="s">
        <v>237</v>
      </c>
      <c r="B760" s="101">
        <v>12</v>
      </c>
      <c r="C760" s="101">
        <v>12</v>
      </c>
      <c r="D760" s="101">
        <v>2</v>
      </c>
      <c r="E760" s="101">
        <v>-24</v>
      </c>
      <c r="F760" s="101">
        <v>-29</v>
      </c>
      <c r="G760" s="101">
        <v>130</v>
      </c>
      <c r="H760" s="101">
        <v>-33</v>
      </c>
      <c r="I760" s="101">
        <v>-8</v>
      </c>
      <c r="J760" s="102">
        <v>0.99</v>
      </c>
      <c r="K760" s="102">
        <v>3</v>
      </c>
      <c r="L760" s="101">
        <v>31.6</v>
      </c>
      <c r="M760" s="101">
        <v>1.1000000000000001</v>
      </c>
      <c r="N760" s="101" t="s">
        <v>955</v>
      </c>
      <c r="O760" s="101">
        <v>2004</v>
      </c>
      <c r="P760" s="101" t="s">
        <v>742</v>
      </c>
      <c r="Q760" s="101">
        <v>889386</v>
      </c>
      <c r="R760" t="s">
        <v>880</v>
      </c>
      <c r="S760" t="s">
        <v>417</v>
      </c>
      <c r="T760"/>
      <c r="U760"/>
      <c r="V760"/>
      <c r="W760" s="223"/>
    </row>
    <row r="761" spans="1:23" x14ac:dyDescent="0.2">
      <c r="A761" s="253" t="s">
        <v>493</v>
      </c>
      <c r="B761" s="101">
        <v>3</v>
      </c>
      <c r="C761" s="101">
        <v>3</v>
      </c>
      <c r="D761" s="101">
        <v>2</v>
      </c>
      <c r="E761" s="101">
        <v>-24</v>
      </c>
      <c r="F761" s="101">
        <v>-40</v>
      </c>
      <c r="G761" s="101">
        <v>20</v>
      </c>
      <c r="H761" s="101">
        <v>-59</v>
      </c>
      <c r="I761" s="101">
        <v>-16</v>
      </c>
      <c r="J761" s="102">
        <v>0.99</v>
      </c>
      <c r="K761" s="102">
        <v>3</v>
      </c>
      <c r="L761" s="101">
        <v>27.8</v>
      </c>
      <c r="M761" s="101">
        <v>0.3</v>
      </c>
      <c r="N761" s="101" t="s">
        <v>955</v>
      </c>
      <c r="O761" s="101">
        <v>2007</v>
      </c>
      <c r="P761" s="101" t="s">
        <v>742</v>
      </c>
      <c r="Q761" s="101">
        <v>704098</v>
      </c>
      <c r="R761" t="s">
        <v>880</v>
      </c>
      <c r="S761" t="s">
        <v>234</v>
      </c>
      <c r="T761"/>
      <c r="U761"/>
      <c r="V761"/>
      <c r="W761" s="223"/>
    </row>
    <row r="762" spans="1:23" x14ac:dyDescent="0.2">
      <c r="A762" s="253" t="s">
        <v>1042</v>
      </c>
      <c r="B762" s="101">
        <v>3</v>
      </c>
      <c r="C762" s="101">
        <v>3</v>
      </c>
      <c r="D762" s="101">
        <v>3</v>
      </c>
      <c r="E762" s="101">
        <v>-4</v>
      </c>
      <c r="F762" s="101">
        <v>-5</v>
      </c>
      <c r="G762" s="101">
        <v>16</v>
      </c>
      <c r="H762" s="101">
        <v>-22</v>
      </c>
      <c r="I762" s="101">
        <v>-5</v>
      </c>
      <c r="J762" s="102">
        <v>1</v>
      </c>
      <c r="K762" s="102">
        <v>2.57</v>
      </c>
      <c r="L762" s="101">
        <v>12.2</v>
      </c>
      <c r="M762" s="101">
        <v>0.5</v>
      </c>
      <c r="N762" s="101" t="s">
        <v>955</v>
      </c>
      <c r="O762" s="101">
        <v>2000</v>
      </c>
      <c r="P762" s="101" t="s">
        <v>742</v>
      </c>
      <c r="Q762" s="101">
        <v>317404</v>
      </c>
      <c r="R762" t="s">
        <v>407</v>
      </c>
      <c r="S762" t="s">
        <v>49</v>
      </c>
      <c r="T762"/>
      <c r="U762"/>
      <c r="V762"/>
      <c r="W762" s="223"/>
    </row>
    <row r="763" spans="1:23" x14ac:dyDescent="0.2">
      <c r="A763" s="253" t="s">
        <v>1108</v>
      </c>
      <c r="B763" s="101">
        <v>4</v>
      </c>
      <c r="C763" s="101">
        <v>4</v>
      </c>
      <c r="D763" s="101">
        <v>-12</v>
      </c>
      <c r="E763" s="101"/>
      <c r="F763" s="101"/>
      <c r="G763" s="101"/>
      <c r="H763" s="101"/>
      <c r="I763" s="101"/>
      <c r="J763" s="102">
        <v>1.01</v>
      </c>
      <c r="K763" s="102">
        <v>2.59</v>
      </c>
      <c r="L763" s="101"/>
      <c r="M763" s="101"/>
      <c r="N763" s="101" t="s">
        <v>952</v>
      </c>
      <c r="O763" s="101">
        <v>2011</v>
      </c>
      <c r="P763" s="101" t="s">
        <v>867</v>
      </c>
      <c r="Q763" s="101">
        <v>172601</v>
      </c>
      <c r="R763" t="s">
        <v>907</v>
      </c>
      <c r="S763" t="s">
        <v>338</v>
      </c>
      <c r="T763"/>
      <c r="U763"/>
      <c r="V763"/>
      <c r="W763" s="223"/>
    </row>
    <row r="764" spans="1:23" x14ac:dyDescent="0.2">
      <c r="A764" s="253" t="s">
        <v>1109</v>
      </c>
      <c r="B764" s="101">
        <v>7</v>
      </c>
      <c r="C764" s="101">
        <v>7</v>
      </c>
      <c r="D764" s="101">
        <v>6</v>
      </c>
      <c r="E764" s="101"/>
      <c r="F764" s="101"/>
      <c r="G764" s="101"/>
      <c r="H764" s="101"/>
      <c r="I764" s="101"/>
      <c r="J764" s="102">
        <v>1.02</v>
      </c>
      <c r="K764" s="102">
        <v>2.64</v>
      </c>
      <c r="L764" s="101"/>
      <c r="M764" s="101"/>
      <c r="N764" s="101" t="s">
        <v>952</v>
      </c>
      <c r="O764" s="101">
        <v>2011</v>
      </c>
      <c r="P764" s="101" t="s">
        <v>742</v>
      </c>
      <c r="Q764" s="101">
        <v>391839</v>
      </c>
      <c r="R764" t="s">
        <v>1107</v>
      </c>
      <c r="S764" t="s">
        <v>338</v>
      </c>
      <c r="T764"/>
      <c r="U764"/>
      <c r="V764"/>
      <c r="W764" s="223"/>
    </row>
    <row r="765" spans="1:23" x14ac:dyDescent="0.2">
      <c r="A765" s="253" t="s">
        <v>686</v>
      </c>
      <c r="B765" s="101">
        <v>-1</v>
      </c>
      <c r="C765" s="101">
        <v>-1</v>
      </c>
      <c r="D765" s="101">
        <v>3</v>
      </c>
      <c r="E765" s="101">
        <v>3</v>
      </c>
      <c r="F765" s="101">
        <v>14</v>
      </c>
      <c r="G765" s="101">
        <v>33</v>
      </c>
      <c r="H765" s="101">
        <v>10</v>
      </c>
      <c r="I765" s="101">
        <v>2</v>
      </c>
      <c r="J765" s="102">
        <v>1.04</v>
      </c>
      <c r="K765" s="102">
        <v>2.69</v>
      </c>
      <c r="L765" s="101">
        <v>8.6999999999999993</v>
      </c>
      <c r="M765" s="101">
        <v>1.2</v>
      </c>
      <c r="N765" s="101" t="s">
        <v>957</v>
      </c>
      <c r="O765" s="101">
        <v>2010</v>
      </c>
      <c r="P765" s="101" t="s">
        <v>867</v>
      </c>
      <c r="Q765" s="101">
        <v>989434</v>
      </c>
      <c r="R765" t="s">
        <v>407</v>
      </c>
      <c r="S765" t="s">
        <v>166</v>
      </c>
      <c r="T765"/>
      <c r="U765"/>
      <c r="V765"/>
      <c r="W765" s="223"/>
    </row>
    <row r="766" spans="1:23" x14ac:dyDescent="0.2">
      <c r="A766" s="253" t="s">
        <v>224</v>
      </c>
      <c r="B766" s="101">
        <v>2</v>
      </c>
      <c r="C766" s="101">
        <v>2</v>
      </c>
      <c r="D766" s="101">
        <v>2</v>
      </c>
      <c r="E766" s="101">
        <v>-3</v>
      </c>
      <c r="F766" s="101">
        <v>-1</v>
      </c>
      <c r="G766" s="101">
        <v>42</v>
      </c>
      <c r="H766" s="101">
        <v>12</v>
      </c>
      <c r="I766" s="101">
        <v>2</v>
      </c>
      <c r="J766" s="102">
        <v>1.04</v>
      </c>
      <c r="K766" s="102">
        <v>2.68</v>
      </c>
      <c r="L766" s="101">
        <v>10.199999999999999</v>
      </c>
      <c r="M766" s="101">
        <v>1.1000000000000001</v>
      </c>
      <c r="N766" s="101" t="s">
        <v>957</v>
      </c>
      <c r="O766" s="101">
        <v>2000</v>
      </c>
      <c r="P766" s="101" t="s">
        <v>742</v>
      </c>
      <c r="Q766" s="101">
        <v>296749</v>
      </c>
      <c r="R766" t="s">
        <v>490</v>
      </c>
      <c r="S766" t="s">
        <v>293</v>
      </c>
      <c r="T766"/>
      <c r="U766"/>
      <c r="V766"/>
      <c r="W766" s="223"/>
    </row>
    <row r="767" spans="1:23" x14ac:dyDescent="0.2">
      <c r="A767" s="253" t="s">
        <v>220</v>
      </c>
      <c r="B767" s="101">
        <v>6</v>
      </c>
      <c r="C767" s="101">
        <v>6</v>
      </c>
      <c r="D767" s="101">
        <v>-1</v>
      </c>
      <c r="E767" s="101">
        <v>-9</v>
      </c>
      <c r="F767" s="101">
        <v>4</v>
      </c>
      <c r="G767" s="101">
        <v>84</v>
      </c>
      <c r="H767" s="101">
        <v>8</v>
      </c>
      <c r="I767" s="101">
        <v>2</v>
      </c>
      <c r="J767" s="102">
        <v>1.04</v>
      </c>
      <c r="K767" s="102">
        <v>2.69</v>
      </c>
      <c r="L767" s="101">
        <v>15.2</v>
      </c>
      <c r="M767" s="101">
        <v>1.4</v>
      </c>
      <c r="N767" s="101" t="s">
        <v>955</v>
      </c>
      <c r="O767" s="101">
        <v>2005</v>
      </c>
      <c r="P767" s="101" t="s">
        <v>742</v>
      </c>
      <c r="Q767" s="101">
        <v>923383</v>
      </c>
      <c r="R767" t="s">
        <v>490</v>
      </c>
      <c r="S767" t="s">
        <v>166</v>
      </c>
      <c r="T767"/>
      <c r="U767"/>
      <c r="V767"/>
      <c r="W767" s="223"/>
    </row>
    <row r="768" spans="1:23" x14ac:dyDescent="0.2">
      <c r="A768" s="253" t="s">
        <v>225</v>
      </c>
      <c r="B768" s="101">
        <v>4</v>
      </c>
      <c r="C768" s="101">
        <v>4</v>
      </c>
      <c r="D768" s="101">
        <v>7</v>
      </c>
      <c r="E768" s="101">
        <v>3</v>
      </c>
      <c r="F768" s="101">
        <v>5</v>
      </c>
      <c r="G768" s="101">
        <v>18</v>
      </c>
      <c r="H768" s="101">
        <v>-6</v>
      </c>
      <c r="I768" s="101">
        <v>-1</v>
      </c>
      <c r="J768" s="102">
        <v>1.04</v>
      </c>
      <c r="K768" s="102">
        <v>2.7</v>
      </c>
      <c r="L768" s="101">
        <v>11.3</v>
      </c>
      <c r="M768" s="101">
        <v>0.5</v>
      </c>
      <c r="N768" s="101" t="s">
        <v>955</v>
      </c>
      <c r="O768" s="101">
        <v>2000</v>
      </c>
      <c r="P768" s="101" t="s">
        <v>742</v>
      </c>
      <c r="Q768" s="101">
        <v>189258</v>
      </c>
      <c r="R768" t="s">
        <v>490</v>
      </c>
      <c r="S768" t="s">
        <v>312</v>
      </c>
      <c r="T768" t="s">
        <v>953</v>
      </c>
      <c r="U768"/>
      <c r="V768"/>
      <c r="W768" s="223"/>
    </row>
    <row r="769" spans="1:23" x14ac:dyDescent="0.2">
      <c r="A769" s="253" t="s">
        <v>228</v>
      </c>
      <c r="B769" s="101">
        <v>7</v>
      </c>
      <c r="C769" s="101">
        <v>7</v>
      </c>
      <c r="D769" s="101">
        <v>2</v>
      </c>
      <c r="E769" s="101">
        <v>-9</v>
      </c>
      <c r="F769" s="101">
        <v>-10</v>
      </c>
      <c r="G769" s="101">
        <v>33</v>
      </c>
      <c r="H769" s="101">
        <v>-23</v>
      </c>
      <c r="I769" s="101">
        <v>-5</v>
      </c>
      <c r="J769" s="102">
        <v>1.04</v>
      </c>
      <c r="K769" s="102">
        <v>2.69</v>
      </c>
      <c r="L769" s="101">
        <v>14.5</v>
      </c>
      <c r="M769" s="101">
        <v>0.7</v>
      </c>
      <c r="N769" s="101" t="s">
        <v>955</v>
      </c>
      <c r="O769" s="101">
        <v>2000</v>
      </c>
      <c r="P769" s="101" t="s">
        <v>742</v>
      </c>
      <c r="Q769" s="101">
        <v>440065</v>
      </c>
      <c r="R769" t="s">
        <v>490</v>
      </c>
      <c r="S769" t="s">
        <v>104</v>
      </c>
      <c r="T769"/>
      <c r="U769"/>
      <c r="V769"/>
      <c r="W769" s="223"/>
    </row>
    <row r="770" spans="1:23" x14ac:dyDescent="0.2">
      <c r="A770" s="253" t="s">
        <v>1110</v>
      </c>
      <c r="B770" s="101">
        <v>7</v>
      </c>
      <c r="C770" s="101">
        <v>7</v>
      </c>
      <c r="D770" s="101">
        <v>5</v>
      </c>
      <c r="E770" s="101"/>
      <c r="F770" s="101"/>
      <c r="G770" s="101"/>
      <c r="H770" s="101"/>
      <c r="I770" s="101"/>
      <c r="J770" s="102">
        <v>1.04</v>
      </c>
      <c r="K770" s="102">
        <v>2.69</v>
      </c>
      <c r="L770" s="101"/>
      <c r="M770" s="101"/>
      <c r="N770" s="101" t="s">
        <v>952</v>
      </c>
      <c r="O770" s="101">
        <v>2011</v>
      </c>
      <c r="P770" s="101" t="s">
        <v>867</v>
      </c>
      <c r="Q770" s="101">
        <v>374835</v>
      </c>
      <c r="R770" t="s">
        <v>907</v>
      </c>
      <c r="S770" t="s">
        <v>166</v>
      </c>
      <c r="T770"/>
      <c r="U770"/>
      <c r="V770"/>
      <c r="W770" s="223"/>
    </row>
    <row r="771" spans="1:23" x14ac:dyDescent="0.2">
      <c r="A771" s="253" t="s">
        <v>221</v>
      </c>
      <c r="B771" s="101">
        <v>4</v>
      </c>
      <c r="C771" s="101">
        <v>4</v>
      </c>
      <c r="D771" s="101">
        <v>3</v>
      </c>
      <c r="E771" s="101">
        <v>-8</v>
      </c>
      <c r="F771" s="101">
        <v>-15</v>
      </c>
      <c r="G771" s="101">
        <v>-5</v>
      </c>
      <c r="H771" s="101"/>
      <c r="I771" s="101"/>
      <c r="J771" s="102">
        <v>1.04</v>
      </c>
      <c r="K771" s="102">
        <v>2.7</v>
      </c>
      <c r="L771" s="101">
        <v>17</v>
      </c>
      <c r="M771" s="101">
        <v>-0.1</v>
      </c>
      <c r="N771" s="101" t="s">
        <v>957</v>
      </c>
      <c r="O771" s="101">
        <v>2007</v>
      </c>
      <c r="P771" s="101" t="s">
        <v>742</v>
      </c>
      <c r="Q771" s="101">
        <v>887497</v>
      </c>
      <c r="R771" t="s">
        <v>490</v>
      </c>
      <c r="S771" t="s">
        <v>312</v>
      </c>
      <c r="T771" t="s">
        <v>953</v>
      </c>
      <c r="U771"/>
      <c r="V771"/>
      <c r="W771" s="223"/>
    </row>
    <row r="772" spans="1:23" x14ac:dyDescent="0.2">
      <c r="A772" s="253" t="s">
        <v>25</v>
      </c>
      <c r="B772" s="101">
        <v>6</v>
      </c>
      <c r="C772" s="101">
        <v>6</v>
      </c>
      <c r="D772" s="101">
        <v>9</v>
      </c>
      <c r="E772" s="101">
        <v>4</v>
      </c>
      <c r="F772" s="101">
        <v>-9</v>
      </c>
      <c r="G772" s="101"/>
      <c r="H772" s="101"/>
      <c r="I772" s="101"/>
      <c r="J772" s="102">
        <v>1.04</v>
      </c>
      <c r="K772" s="102">
        <v>2.69</v>
      </c>
      <c r="L772" s="101"/>
      <c r="M772" s="101"/>
      <c r="N772" s="101" t="s">
        <v>957</v>
      </c>
      <c r="O772" s="101">
        <v>2010</v>
      </c>
      <c r="P772" s="101" t="s">
        <v>742</v>
      </c>
      <c r="Q772" s="101">
        <v>755033</v>
      </c>
      <c r="R772" t="s">
        <v>490</v>
      </c>
      <c r="S772" t="s">
        <v>312</v>
      </c>
      <c r="T772" t="s">
        <v>953</v>
      </c>
      <c r="U772"/>
      <c r="V772"/>
      <c r="W772" s="223"/>
    </row>
    <row r="773" spans="1:23" x14ac:dyDescent="0.2">
      <c r="A773" s="253" t="s">
        <v>35</v>
      </c>
      <c r="B773" s="101">
        <v>0</v>
      </c>
      <c r="C773" s="101">
        <v>0</v>
      </c>
      <c r="D773" s="101">
        <v>6</v>
      </c>
      <c r="E773" s="101">
        <v>8</v>
      </c>
      <c r="F773" s="101">
        <v>13</v>
      </c>
      <c r="G773" s="101">
        <v>21</v>
      </c>
      <c r="H773" s="101">
        <v>27</v>
      </c>
      <c r="I773" s="101">
        <v>5</v>
      </c>
      <c r="J773" s="102">
        <v>1.05</v>
      </c>
      <c r="K773" s="102">
        <v>2.8</v>
      </c>
      <c r="L773" s="101">
        <v>10.6</v>
      </c>
      <c r="M773" s="101">
        <v>0.6</v>
      </c>
      <c r="N773" s="101" t="s">
        <v>957</v>
      </c>
      <c r="O773" s="101">
        <v>2001</v>
      </c>
      <c r="P773" s="101" t="s">
        <v>742</v>
      </c>
      <c r="Q773" s="101">
        <v>103010</v>
      </c>
      <c r="R773" t="s">
        <v>407</v>
      </c>
      <c r="S773" t="s">
        <v>735</v>
      </c>
      <c r="T773"/>
      <c r="U773"/>
      <c r="V773"/>
      <c r="W773" s="223"/>
    </row>
    <row r="774" spans="1:23" x14ac:dyDescent="0.2">
      <c r="A774" s="253" t="s">
        <v>229</v>
      </c>
      <c r="B774" s="101">
        <v>7</v>
      </c>
      <c r="C774" s="101">
        <v>7</v>
      </c>
      <c r="D774" s="101">
        <v>5</v>
      </c>
      <c r="E774" s="101">
        <v>-8</v>
      </c>
      <c r="F774" s="101">
        <v>-11</v>
      </c>
      <c r="G774" s="101">
        <v>53</v>
      </c>
      <c r="H774" s="101">
        <v>11</v>
      </c>
      <c r="I774" s="101">
        <v>2</v>
      </c>
      <c r="J774" s="102">
        <v>1.05</v>
      </c>
      <c r="K774" s="102">
        <v>2.73</v>
      </c>
      <c r="L774" s="101">
        <v>17.7</v>
      </c>
      <c r="M774" s="101">
        <v>0.7</v>
      </c>
      <c r="N774" s="101" t="s">
        <v>957</v>
      </c>
      <c r="O774" s="101">
        <v>2003</v>
      </c>
      <c r="P774" s="101" t="s">
        <v>742</v>
      </c>
      <c r="Q774" s="101">
        <v>882126</v>
      </c>
      <c r="R774" t="s">
        <v>490</v>
      </c>
      <c r="S774" t="s">
        <v>416</v>
      </c>
      <c r="T774"/>
      <c r="U774"/>
      <c r="V774"/>
      <c r="W774" s="223"/>
    </row>
    <row r="775" spans="1:23" x14ac:dyDescent="0.2">
      <c r="A775" s="253" t="s">
        <v>227</v>
      </c>
      <c r="B775" s="101">
        <v>3</v>
      </c>
      <c r="C775" s="101">
        <v>3</v>
      </c>
      <c r="D775" s="101">
        <v>6</v>
      </c>
      <c r="E775" s="101">
        <v>2</v>
      </c>
      <c r="F775" s="101">
        <v>-3</v>
      </c>
      <c r="G775" s="101">
        <v>37</v>
      </c>
      <c r="H775" s="101">
        <v>9</v>
      </c>
      <c r="I775" s="101">
        <v>2</v>
      </c>
      <c r="J775" s="102">
        <v>1.05</v>
      </c>
      <c r="K775" s="102">
        <v>2.73</v>
      </c>
      <c r="L775" s="101">
        <v>11.1</v>
      </c>
      <c r="M775" s="101">
        <v>0.9</v>
      </c>
      <c r="N775" s="101" t="s">
        <v>957</v>
      </c>
      <c r="O775" s="101">
        <v>2006</v>
      </c>
      <c r="P775" s="101" t="s">
        <v>742</v>
      </c>
      <c r="Q775" s="101">
        <v>968891</v>
      </c>
      <c r="R775" t="s">
        <v>490</v>
      </c>
      <c r="S775" t="s">
        <v>312</v>
      </c>
      <c r="T775"/>
      <c r="U775"/>
      <c r="V775"/>
      <c r="W775" s="223"/>
    </row>
    <row r="776" spans="1:23" x14ac:dyDescent="0.2">
      <c r="A776" s="253" t="s">
        <v>398</v>
      </c>
      <c r="B776" s="101">
        <v>6</v>
      </c>
      <c r="C776" s="101">
        <v>6</v>
      </c>
      <c r="D776" s="101">
        <v>4</v>
      </c>
      <c r="E776" s="101">
        <v>0</v>
      </c>
      <c r="F776" s="101">
        <v>6</v>
      </c>
      <c r="G776" s="101">
        <v>59</v>
      </c>
      <c r="H776" s="101">
        <v>6</v>
      </c>
      <c r="I776" s="101">
        <v>1</v>
      </c>
      <c r="J776" s="102">
        <v>1.05</v>
      </c>
      <c r="K776" s="102">
        <v>2.73</v>
      </c>
      <c r="L776" s="101">
        <v>14.2</v>
      </c>
      <c r="M776" s="101">
        <v>1.1000000000000001</v>
      </c>
      <c r="N776" s="101" t="s">
        <v>955</v>
      </c>
      <c r="O776" s="101">
        <v>2000</v>
      </c>
      <c r="P776" s="101" t="s">
        <v>742</v>
      </c>
      <c r="Q776" s="101">
        <v>174086</v>
      </c>
      <c r="R776" t="s">
        <v>407</v>
      </c>
      <c r="S776" t="s">
        <v>114</v>
      </c>
      <c r="T776"/>
      <c r="U776"/>
      <c r="V776"/>
      <c r="W776" s="223"/>
    </row>
    <row r="777" spans="1:23" x14ac:dyDescent="0.2">
      <c r="A777" s="253" t="s">
        <v>146</v>
      </c>
      <c r="B777" s="101">
        <v>0</v>
      </c>
      <c r="C777" s="101">
        <v>0</v>
      </c>
      <c r="D777" s="101">
        <v>0</v>
      </c>
      <c r="E777" s="101">
        <v>0</v>
      </c>
      <c r="F777" s="101">
        <v>-4</v>
      </c>
      <c r="G777" s="101">
        <v>26</v>
      </c>
      <c r="H777" s="101">
        <v>-21</v>
      </c>
      <c r="I777" s="101">
        <v>-5</v>
      </c>
      <c r="J777" s="102">
        <v>1.05</v>
      </c>
      <c r="K777" s="102">
        <v>3.25</v>
      </c>
      <c r="L777" s="101">
        <v>12.4</v>
      </c>
      <c r="M777" s="101">
        <v>0.6</v>
      </c>
      <c r="N777" s="101" t="s">
        <v>957</v>
      </c>
      <c r="O777" s="101">
        <v>2003</v>
      </c>
      <c r="P777" s="101" t="s">
        <v>742</v>
      </c>
      <c r="Q777" s="101">
        <v>477661</v>
      </c>
      <c r="R777" t="s">
        <v>63</v>
      </c>
      <c r="S777" t="s">
        <v>114</v>
      </c>
      <c r="T777"/>
      <c r="U777"/>
      <c r="V777"/>
      <c r="W777" s="223"/>
    </row>
    <row r="778" spans="1:23" x14ac:dyDescent="0.2">
      <c r="A778" s="253" t="s">
        <v>457</v>
      </c>
      <c r="B778" s="101">
        <v>1</v>
      </c>
      <c r="C778" s="101">
        <v>1</v>
      </c>
      <c r="D778" s="101">
        <v>4</v>
      </c>
      <c r="E778" s="101">
        <v>-2</v>
      </c>
      <c r="F778" s="101">
        <v>-5</v>
      </c>
      <c r="G778" s="101">
        <v>12</v>
      </c>
      <c r="H778" s="101"/>
      <c r="I778" s="101"/>
      <c r="J778" s="102">
        <v>1.05</v>
      </c>
      <c r="K778" s="102">
        <v>2.73</v>
      </c>
      <c r="L778" s="101">
        <v>12.4</v>
      </c>
      <c r="M778" s="101">
        <v>0.2</v>
      </c>
      <c r="N778" s="101" t="s">
        <v>952</v>
      </c>
      <c r="O778" s="101">
        <v>2011</v>
      </c>
      <c r="P778" s="101" t="s">
        <v>742</v>
      </c>
      <c r="Q778" s="101">
        <v>987602</v>
      </c>
      <c r="R778" t="s">
        <v>450</v>
      </c>
      <c r="S778" t="s">
        <v>166</v>
      </c>
      <c r="T778"/>
      <c r="U778"/>
      <c r="V778"/>
      <c r="W778" s="223"/>
    </row>
    <row r="779" spans="1:23" x14ac:dyDescent="0.2">
      <c r="A779" s="253" t="s">
        <v>223</v>
      </c>
      <c r="B779" s="101">
        <v>5</v>
      </c>
      <c r="C779" s="101">
        <v>5</v>
      </c>
      <c r="D779" s="101">
        <v>4</v>
      </c>
      <c r="E779" s="101">
        <v>-6</v>
      </c>
      <c r="F779" s="101">
        <v>-6</v>
      </c>
      <c r="G779" s="101">
        <v>32</v>
      </c>
      <c r="H779" s="101">
        <v>7</v>
      </c>
      <c r="I779" s="101">
        <v>1</v>
      </c>
      <c r="J779" s="102">
        <v>1.06</v>
      </c>
      <c r="K779" s="102">
        <v>2.74</v>
      </c>
      <c r="L779" s="101">
        <v>12.9</v>
      </c>
      <c r="M779" s="101">
        <v>0.7</v>
      </c>
      <c r="N779" s="101" t="s">
        <v>957</v>
      </c>
      <c r="O779" s="101">
        <v>2004</v>
      </c>
      <c r="P779" s="101" t="s">
        <v>742</v>
      </c>
      <c r="Q779" s="101">
        <v>688986</v>
      </c>
      <c r="R779" t="s">
        <v>490</v>
      </c>
      <c r="S779" t="s">
        <v>302</v>
      </c>
      <c r="T779"/>
      <c r="U779"/>
      <c r="V779"/>
      <c r="W779" s="223"/>
    </row>
    <row r="780" spans="1:23" x14ac:dyDescent="0.2">
      <c r="A780" s="253" t="s">
        <v>26</v>
      </c>
      <c r="B780" s="101">
        <v>8</v>
      </c>
      <c r="C780" s="101">
        <v>8</v>
      </c>
      <c r="D780" s="101">
        <v>12</v>
      </c>
      <c r="E780" s="101">
        <v>5</v>
      </c>
      <c r="F780" s="101">
        <v>6</v>
      </c>
      <c r="G780" s="101">
        <v>-14</v>
      </c>
      <c r="H780" s="101">
        <v>-1</v>
      </c>
      <c r="I780" s="101">
        <v>0</v>
      </c>
      <c r="J780" s="102">
        <v>1.06</v>
      </c>
      <c r="K780" s="102">
        <v>2.74</v>
      </c>
      <c r="L780" s="101">
        <v>18.100000000000001</v>
      </c>
      <c r="M780" s="101">
        <v>-0.3</v>
      </c>
      <c r="N780" s="101" t="s">
        <v>957</v>
      </c>
      <c r="O780" s="101">
        <v>2000</v>
      </c>
      <c r="P780" s="101" t="s">
        <v>742</v>
      </c>
      <c r="Q780" s="101">
        <v>260919</v>
      </c>
      <c r="R780" t="s">
        <v>490</v>
      </c>
      <c r="S780" t="s">
        <v>420</v>
      </c>
      <c r="T780"/>
      <c r="U780"/>
      <c r="V780"/>
      <c r="W780" s="223"/>
    </row>
    <row r="781" spans="1:23" x14ac:dyDescent="0.2">
      <c r="A781" s="253" t="s">
        <v>226</v>
      </c>
      <c r="B781" s="101">
        <v>7</v>
      </c>
      <c r="C781" s="101">
        <v>7</v>
      </c>
      <c r="D781" s="101">
        <v>6</v>
      </c>
      <c r="E781" s="101">
        <v>-6</v>
      </c>
      <c r="F781" s="101">
        <v>-6</v>
      </c>
      <c r="G781" s="101">
        <v>37</v>
      </c>
      <c r="H781" s="101">
        <v>-7</v>
      </c>
      <c r="I781" s="101">
        <v>-2</v>
      </c>
      <c r="J781" s="102">
        <v>1.06</v>
      </c>
      <c r="K781" s="102">
        <v>2.74</v>
      </c>
      <c r="L781" s="101">
        <v>17.8</v>
      </c>
      <c r="M781" s="101">
        <v>0.7</v>
      </c>
      <c r="N781" s="101" t="s">
        <v>957</v>
      </c>
      <c r="O781" s="101">
        <v>2003</v>
      </c>
      <c r="P781" s="101" t="s">
        <v>742</v>
      </c>
      <c r="Q781" s="101">
        <v>917955</v>
      </c>
      <c r="R781" t="s">
        <v>490</v>
      </c>
      <c r="S781" t="s">
        <v>150</v>
      </c>
      <c r="T781"/>
      <c r="U781"/>
      <c r="V781"/>
      <c r="W781" s="223"/>
    </row>
    <row r="782" spans="1:23" x14ac:dyDescent="0.2">
      <c r="A782" s="253" t="s">
        <v>1036</v>
      </c>
      <c r="B782" s="101">
        <v>12</v>
      </c>
      <c r="C782" s="101">
        <v>12</v>
      </c>
      <c r="D782" s="101">
        <v>2</v>
      </c>
      <c r="E782" s="101">
        <v>-18</v>
      </c>
      <c r="F782" s="101">
        <v>-26</v>
      </c>
      <c r="G782" s="101">
        <v>7</v>
      </c>
      <c r="H782" s="101">
        <v>-52</v>
      </c>
      <c r="I782" s="101">
        <v>-14</v>
      </c>
      <c r="J782" s="102">
        <v>1.06</v>
      </c>
      <c r="K782" s="102">
        <v>3.91</v>
      </c>
      <c r="L782" s="101">
        <v>20.399999999999999</v>
      </c>
      <c r="M782" s="101">
        <v>0.2</v>
      </c>
      <c r="N782" s="101" t="s">
        <v>955</v>
      </c>
      <c r="O782" s="101">
        <v>2009</v>
      </c>
      <c r="P782" s="101" t="s">
        <v>742</v>
      </c>
      <c r="Q782" s="101">
        <v>357897</v>
      </c>
      <c r="R782" t="s">
        <v>1037</v>
      </c>
      <c r="S782" t="s">
        <v>234</v>
      </c>
      <c r="T782"/>
      <c r="U782"/>
      <c r="V782"/>
      <c r="W782" s="223"/>
    </row>
    <row r="783" spans="1:23" x14ac:dyDescent="0.2">
      <c r="A783" s="253" t="s">
        <v>1111</v>
      </c>
      <c r="B783" s="101">
        <v>7</v>
      </c>
      <c r="C783" s="101">
        <v>7</v>
      </c>
      <c r="D783" s="101">
        <v>12</v>
      </c>
      <c r="E783" s="101"/>
      <c r="F783" s="101"/>
      <c r="G783" s="101"/>
      <c r="H783" s="101"/>
      <c r="I783" s="101"/>
      <c r="J783" s="102">
        <v>1.06</v>
      </c>
      <c r="K783" s="102">
        <v>2.74</v>
      </c>
      <c r="L783" s="101"/>
      <c r="M783" s="101"/>
      <c r="N783" s="101" t="s">
        <v>952</v>
      </c>
      <c r="O783" s="101">
        <v>2011</v>
      </c>
      <c r="P783" s="101" t="s">
        <v>867</v>
      </c>
      <c r="Q783" s="101">
        <v>339002</v>
      </c>
      <c r="R783" t="s">
        <v>907</v>
      </c>
      <c r="S783" t="s">
        <v>166</v>
      </c>
      <c r="T783"/>
      <c r="U783"/>
      <c r="V783"/>
      <c r="W783" s="223"/>
    </row>
    <row r="784" spans="1:23" x14ac:dyDescent="0.2">
      <c r="A784" s="253" t="s">
        <v>1028</v>
      </c>
      <c r="B784" s="101">
        <v>5</v>
      </c>
      <c r="C784" s="101">
        <v>5</v>
      </c>
      <c r="D784" s="101">
        <v>4</v>
      </c>
      <c r="E784" s="101">
        <v>-1</v>
      </c>
      <c r="F784" s="101">
        <v>-3</v>
      </c>
      <c r="G784" s="101"/>
      <c r="H784" s="101"/>
      <c r="I784" s="101"/>
      <c r="J784" s="102">
        <v>1.06</v>
      </c>
      <c r="K784" s="102">
        <v>2.74</v>
      </c>
      <c r="L784" s="101"/>
      <c r="M784" s="101"/>
      <c r="N784" s="101" t="s">
        <v>952</v>
      </c>
      <c r="O784" s="101">
        <v>2009</v>
      </c>
      <c r="P784" s="101" t="s">
        <v>742</v>
      </c>
      <c r="Q784" s="101">
        <v>539460</v>
      </c>
      <c r="R784" t="s">
        <v>1029</v>
      </c>
      <c r="S784" t="s">
        <v>338</v>
      </c>
      <c r="T784"/>
      <c r="U784"/>
      <c r="V784"/>
      <c r="W784" s="223"/>
    </row>
    <row r="785" spans="1:23" x14ac:dyDescent="0.2">
      <c r="A785" s="253" t="s">
        <v>1041</v>
      </c>
      <c r="B785" s="101">
        <v>9</v>
      </c>
      <c r="C785" s="101">
        <v>9</v>
      </c>
      <c r="D785" s="101">
        <v>2</v>
      </c>
      <c r="E785" s="101">
        <v>-17</v>
      </c>
      <c r="F785" s="101">
        <v>-19</v>
      </c>
      <c r="G785" s="101">
        <v>-14</v>
      </c>
      <c r="H785" s="101"/>
      <c r="I785" s="101"/>
      <c r="J785" s="102">
        <v>1.06</v>
      </c>
      <c r="K785" s="102">
        <v>2.7495799999999999</v>
      </c>
      <c r="L785" s="101">
        <v>20</v>
      </c>
      <c r="M785" s="101">
        <v>-0.2</v>
      </c>
      <c r="N785" s="101" t="s">
        <v>952</v>
      </c>
      <c r="O785" s="101">
        <v>2009</v>
      </c>
      <c r="P785" s="101" t="s">
        <v>742</v>
      </c>
      <c r="Q785" s="101">
        <v>575290</v>
      </c>
      <c r="R785" t="s">
        <v>1033</v>
      </c>
      <c r="S785" t="s">
        <v>338</v>
      </c>
      <c r="T785"/>
      <c r="U785"/>
      <c r="V785"/>
      <c r="W785" s="223"/>
    </row>
    <row r="786" spans="1:23" x14ac:dyDescent="0.2">
      <c r="A786" s="253" t="s">
        <v>30</v>
      </c>
      <c r="B786" s="101">
        <v>5</v>
      </c>
      <c r="C786" s="101">
        <v>5</v>
      </c>
      <c r="D786" s="101">
        <v>-2</v>
      </c>
      <c r="E786" s="101">
        <v>-15</v>
      </c>
      <c r="F786" s="101">
        <v>-8</v>
      </c>
      <c r="G786" s="101">
        <v>26</v>
      </c>
      <c r="H786" s="101">
        <v>-57</v>
      </c>
      <c r="I786" s="101">
        <v>-15</v>
      </c>
      <c r="J786" s="102">
        <v>1.07</v>
      </c>
      <c r="K786" s="102">
        <v>2.79</v>
      </c>
      <c r="L786" s="101">
        <v>16.2</v>
      </c>
      <c r="M786" s="101">
        <v>0.6</v>
      </c>
      <c r="N786" s="101" t="s">
        <v>955</v>
      </c>
      <c r="O786" s="101">
        <v>2000</v>
      </c>
      <c r="P786" s="101" t="s">
        <v>742</v>
      </c>
      <c r="Q786" s="101">
        <v>353235</v>
      </c>
      <c r="R786" t="s">
        <v>407</v>
      </c>
      <c r="S786" t="s">
        <v>312</v>
      </c>
      <c r="T786"/>
      <c r="U786"/>
      <c r="V786"/>
      <c r="W786" s="223"/>
    </row>
    <row r="787" spans="1:23" x14ac:dyDescent="0.2">
      <c r="A787" s="253" t="s">
        <v>1151</v>
      </c>
      <c r="B787" s="101">
        <v>0</v>
      </c>
      <c r="C787" s="101">
        <v>0</v>
      </c>
      <c r="D787" s="101"/>
      <c r="E787" s="101"/>
      <c r="F787" s="101"/>
      <c r="G787" s="101"/>
      <c r="H787" s="101"/>
      <c r="I787" s="101"/>
      <c r="J787" s="102">
        <v>1.07</v>
      </c>
      <c r="K787" s="102">
        <v>2.7759999999999998</v>
      </c>
      <c r="L787" s="101"/>
      <c r="M787" s="101"/>
      <c r="N787" s="101" t="s">
        <v>952</v>
      </c>
      <c r="O787" s="101">
        <v>2012</v>
      </c>
      <c r="P787" s="101" t="s">
        <v>742</v>
      </c>
      <c r="Q787" s="101">
        <v>910455</v>
      </c>
      <c r="R787" t="s">
        <v>1152</v>
      </c>
      <c r="S787" t="s">
        <v>338</v>
      </c>
      <c r="T787"/>
      <c r="U787"/>
      <c r="V787"/>
      <c r="W787" s="223"/>
    </row>
    <row r="788" spans="1:23" x14ac:dyDescent="0.2">
      <c r="A788" s="253" t="s">
        <v>230</v>
      </c>
      <c r="B788" s="101">
        <v>15</v>
      </c>
      <c r="C788" s="101">
        <v>15</v>
      </c>
      <c r="D788" s="101">
        <v>1</v>
      </c>
      <c r="E788" s="101">
        <v>-18</v>
      </c>
      <c r="F788" s="101">
        <v>-19</v>
      </c>
      <c r="G788" s="101">
        <v>168</v>
      </c>
      <c r="H788" s="101"/>
      <c r="I788" s="101"/>
      <c r="J788" s="102">
        <v>1.07</v>
      </c>
      <c r="K788" s="102">
        <v>2.79</v>
      </c>
      <c r="L788" s="101">
        <v>36.5</v>
      </c>
      <c r="M788" s="101">
        <v>1.1000000000000001</v>
      </c>
      <c r="N788" s="101" t="s">
        <v>957</v>
      </c>
      <c r="O788" s="101">
        <v>2009</v>
      </c>
      <c r="P788" s="101" t="s">
        <v>742</v>
      </c>
      <c r="Q788" s="101">
        <v>925099</v>
      </c>
      <c r="R788" t="s">
        <v>490</v>
      </c>
      <c r="S788" t="s">
        <v>417</v>
      </c>
      <c r="T788"/>
      <c r="U788"/>
      <c r="V788"/>
      <c r="W788" s="223"/>
    </row>
    <row r="789" spans="1:23" x14ac:dyDescent="0.2">
      <c r="A789" s="253" t="s">
        <v>855</v>
      </c>
      <c r="B789" s="101">
        <v>0</v>
      </c>
      <c r="C789" s="101">
        <v>0</v>
      </c>
      <c r="D789" s="101">
        <v>-5</v>
      </c>
      <c r="E789" s="101">
        <v>-7</v>
      </c>
      <c r="F789" s="101">
        <v>-11</v>
      </c>
      <c r="G789" s="101"/>
      <c r="H789" s="101"/>
      <c r="I789" s="101"/>
      <c r="J789" s="102">
        <v>1.07</v>
      </c>
      <c r="K789" s="102">
        <v>2.78</v>
      </c>
      <c r="L789" s="101"/>
      <c r="M789" s="101"/>
      <c r="N789" s="101" t="s">
        <v>952</v>
      </c>
      <c r="O789" s="101">
        <v>2010</v>
      </c>
      <c r="P789" s="101" t="s">
        <v>867</v>
      </c>
      <c r="Q789" s="101">
        <v>590463</v>
      </c>
      <c r="R789" t="s">
        <v>847</v>
      </c>
      <c r="S789" t="s">
        <v>338</v>
      </c>
      <c r="T789"/>
      <c r="U789"/>
      <c r="V789"/>
      <c r="W789" s="223"/>
    </row>
    <row r="790" spans="1:23" x14ac:dyDescent="0.2">
      <c r="A790" s="253" t="s">
        <v>399</v>
      </c>
      <c r="B790" s="101">
        <v>2</v>
      </c>
      <c r="C790" s="101">
        <v>2</v>
      </c>
      <c r="D790" s="101">
        <v>7</v>
      </c>
      <c r="E790" s="101">
        <v>8</v>
      </c>
      <c r="F790" s="101">
        <v>14</v>
      </c>
      <c r="G790" s="101">
        <v>44</v>
      </c>
      <c r="H790" s="101">
        <v>7</v>
      </c>
      <c r="I790" s="101">
        <v>1</v>
      </c>
      <c r="J790" s="102">
        <v>1.08</v>
      </c>
      <c r="K790" s="102">
        <v>2.8</v>
      </c>
      <c r="L790" s="101">
        <v>10.7</v>
      </c>
      <c r="M790" s="101">
        <v>1.1000000000000001</v>
      </c>
      <c r="N790" s="101" t="s">
        <v>957</v>
      </c>
      <c r="O790" s="101">
        <v>2007</v>
      </c>
      <c r="P790" s="101" t="s">
        <v>742</v>
      </c>
      <c r="Q790" s="101">
        <v>815837</v>
      </c>
      <c r="R790" t="s">
        <v>407</v>
      </c>
      <c r="S790" t="s">
        <v>114</v>
      </c>
      <c r="T790"/>
      <c r="U790"/>
      <c r="V790"/>
      <c r="W790" s="223"/>
    </row>
    <row r="791" spans="1:23" x14ac:dyDescent="0.2">
      <c r="A791" s="253" t="s">
        <v>864</v>
      </c>
      <c r="B791" s="101">
        <v>6</v>
      </c>
      <c r="C791" s="101">
        <v>6</v>
      </c>
      <c r="D791" s="101">
        <v>5</v>
      </c>
      <c r="E791" s="101">
        <v>-9</v>
      </c>
      <c r="F791" s="101">
        <v>-7</v>
      </c>
      <c r="G791" s="101">
        <v>45</v>
      </c>
      <c r="H791" s="101">
        <v>6</v>
      </c>
      <c r="I791" s="101">
        <v>1</v>
      </c>
      <c r="J791" s="102">
        <v>1.08</v>
      </c>
      <c r="K791" s="102">
        <v>2.8</v>
      </c>
      <c r="L791" s="101">
        <v>17</v>
      </c>
      <c r="M791" s="101">
        <v>0.8</v>
      </c>
      <c r="N791" s="101" t="s">
        <v>957</v>
      </c>
      <c r="O791" s="101">
        <v>2001</v>
      </c>
      <c r="P791" s="101" t="s">
        <v>742</v>
      </c>
      <c r="Q791" s="101">
        <v>389650</v>
      </c>
      <c r="R791" t="s">
        <v>407</v>
      </c>
      <c r="S791" t="s">
        <v>150</v>
      </c>
      <c r="T791"/>
      <c r="U791"/>
      <c r="V791"/>
      <c r="W791" s="223"/>
    </row>
    <row r="792" spans="1:23" x14ac:dyDescent="0.2">
      <c r="A792" s="253" t="s">
        <v>1044</v>
      </c>
      <c r="B792" s="101">
        <v>5</v>
      </c>
      <c r="C792" s="101">
        <v>5</v>
      </c>
      <c r="D792" s="101">
        <v>6</v>
      </c>
      <c r="E792" s="101">
        <v>2</v>
      </c>
      <c r="F792" s="101">
        <v>9</v>
      </c>
      <c r="G792" s="101">
        <v>21</v>
      </c>
      <c r="H792" s="101"/>
      <c r="I792" s="101"/>
      <c r="J792" s="102">
        <v>1.0900000000000001</v>
      </c>
      <c r="K792" s="102">
        <v>2.94</v>
      </c>
      <c r="L792" s="101">
        <v>8.5</v>
      </c>
      <c r="M792" s="101">
        <v>0.7</v>
      </c>
      <c r="N792" s="101" t="s">
        <v>957</v>
      </c>
      <c r="O792" s="101">
        <v>2009</v>
      </c>
      <c r="P792" s="101" t="s">
        <v>742</v>
      </c>
      <c r="Q792" s="101">
        <v>874099</v>
      </c>
      <c r="R792" t="s">
        <v>407</v>
      </c>
      <c r="S792" t="s">
        <v>735</v>
      </c>
      <c r="T792"/>
      <c r="U792"/>
      <c r="V792"/>
      <c r="W792" s="223"/>
    </row>
    <row r="793" spans="1:23" x14ac:dyDescent="0.2">
      <c r="A793" s="253" t="s">
        <v>1043</v>
      </c>
      <c r="B793" s="101">
        <v>5</v>
      </c>
      <c r="C793" s="101">
        <v>5</v>
      </c>
      <c r="D793" s="101">
        <v>1</v>
      </c>
      <c r="E793" s="101">
        <v>-9</v>
      </c>
      <c r="F793" s="101">
        <v>-14</v>
      </c>
      <c r="G793" s="101">
        <v>6</v>
      </c>
      <c r="H793" s="101">
        <v>-31</v>
      </c>
      <c r="I793" s="101">
        <v>-7</v>
      </c>
      <c r="J793" s="102">
        <v>1.1100000000000001</v>
      </c>
      <c r="K793" s="102">
        <v>2.9</v>
      </c>
      <c r="L793" s="101">
        <v>15.8</v>
      </c>
      <c r="M793" s="101">
        <v>0.2</v>
      </c>
      <c r="N793" s="101" t="s">
        <v>955</v>
      </c>
      <c r="O793" s="101">
        <v>2004</v>
      </c>
      <c r="P793" s="101" t="s">
        <v>742</v>
      </c>
      <c r="Q793" s="101">
        <v>155788</v>
      </c>
      <c r="R793" t="s">
        <v>407</v>
      </c>
      <c r="S793" t="s">
        <v>49</v>
      </c>
      <c r="T793"/>
      <c r="U793"/>
      <c r="V793"/>
      <c r="W793" s="223"/>
    </row>
    <row r="794" spans="1:23" x14ac:dyDescent="0.2">
      <c r="A794" s="253" t="s">
        <v>29</v>
      </c>
      <c r="B794" s="101">
        <v>6</v>
      </c>
      <c r="C794" s="101">
        <v>6</v>
      </c>
      <c r="D794" s="101">
        <v>4</v>
      </c>
      <c r="E794" s="101">
        <v>-6</v>
      </c>
      <c r="F794" s="101">
        <v>-4</v>
      </c>
      <c r="G794" s="101">
        <v>44</v>
      </c>
      <c r="H794" s="101"/>
      <c r="I794" s="101"/>
      <c r="J794" s="102">
        <v>1.1100000000000001</v>
      </c>
      <c r="K794" s="102">
        <v>2.9</v>
      </c>
      <c r="L794" s="101">
        <v>15.4</v>
      </c>
      <c r="M794" s="101">
        <v>0.9</v>
      </c>
      <c r="N794" s="101" t="s">
        <v>957</v>
      </c>
      <c r="O794" s="101">
        <v>2007</v>
      </c>
      <c r="P794" s="101" t="s">
        <v>742</v>
      </c>
      <c r="Q794" s="101">
        <v>136895</v>
      </c>
      <c r="R794" t="s">
        <v>407</v>
      </c>
      <c r="S794" t="s">
        <v>312</v>
      </c>
      <c r="T794"/>
      <c r="U794"/>
      <c r="V794"/>
      <c r="W794" s="223"/>
    </row>
    <row r="795" spans="1:23" x14ac:dyDescent="0.2">
      <c r="A795" s="253" t="s">
        <v>232</v>
      </c>
      <c r="B795" s="101">
        <v>5</v>
      </c>
      <c r="C795" s="101">
        <v>5</v>
      </c>
      <c r="D795" s="101">
        <v>5</v>
      </c>
      <c r="E795" s="101">
        <v>-2</v>
      </c>
      <c r="F795" s="101">
        <v>-3</v>
      </c>
      <c r="G795" s="101">
        <v>23</v>
      </c>
      <c r="H795" s="101"/>
      <c r="I795" s="101"/>
      <c r="J795" s="102">
        <v>1.1200000000000001</v>
      </c>
      <c r="K795" s="102">
        <v>2.92</v>
      </c>
      <c r="L795" s="101">
        <v>10.9</v>
      </c>
      <c r="M795" s="101">
        <v>0.6</v>
      </c>
      <c r="N795" s="101" t="s">
        <v>957</v>
      </c>
      <c r="O795" s="101">
        <v>2009</v>
      </c>
      <c r="P795" s="101" t="s">
        <v>742</v>
      </c>
      <c r="Q795" s="101">
        <v>690693</v>
      </c>
      <c r="R795" t="s">
        <v>490</v>
      </c>
      <c r="S795" t="s">
        <v>166</v>
      </c>
      <c r="T795"/>
      <c r="U795"/>
      <c r="V795"/>
      <c r="W795" s="223"/>
    </row>
    <row r="796" spans="1:23" x14ac:dyDescent="0.2">
      <c r="A796" s="253" t="s">
        <v>809</v>
      </c>
      <c r="B796" s="101">
        <v>9</v>
      </c>
      <c r="C796" s="101">
        <v>9</v>
      </c>
      <c r="D796" s="101">
        <v>7</v>
      </c>
      <c r="E796" s="101">
        <v>0</v>
      </c>
      <c r="F796" s="101">
        <v>-5</v>
      </c>
      <c r="G796" s="101">
        <v>68</v>
      </c>
      <c r="H796" s="101">
        <v>14</v>
      </c>
      <c r="I796" s="101">
        <v>3</v>
      </c>
      <c r="J796" s="102">
        <v>1.1299999999999999</v>
      </c>
      <c r="K796" s="102">
        <v>2.95</v>
      </c>
      <c r="L796" s="101">
        <v>20.3</v>
      </c>
      <c r="M796" s="101">
        <v>1</v>
      </c>
      <c r="N796" s="101" t="s">
        <v>957</v>
      </c>
      <c r="O796" s="101">
        <v>2001</v>
      </c>
      <c r="P796" s="101" t="s">
        <v>742</v>
      </c>
      <c r="Q796" s="101">
        <v>174672</v>
      </c>
      <c r="R796" t="s">
        <v>407</v>
      </c>
      <c r="S796" t="s">
        <v>418</v>
      </c>
      <c r="T796"/>
      <c r="U796"/>
      <c r="V796"/>
      <c r="W796" s="223"/>
    </row>
    <row r="797" spans="1:23" x14ac:dyDescent="0.2">
      <c r="A797" s="253" t="s">
        <v>919</v>
      </c>
      <c r="B797" s="101">
        <v>6</v>
      </c>
      <c r="C797" s="101">
        <v>6</v>
      </c>
      <c r="D797" s="101">
        <v>5</v>
      </c>
      <c r="E797" s="101">
        <v>-6</v>
      </c>
      <c r="F797" s="101">
        <v>-5</v>
      </c>
      <c r="G797" s="101">
        <v>51</v>
      </c>
      <c r="H797" s="101">
        <v>-4</v>
      </c>
      <c r="I797" s="101">
        <v>-1</v>
      </c>
      <c r="J797" s="102">
        <v>1.1299999999999999</v>
      </c>
      <c r="K797" s="102">
        <v>2.96</v>
      </c>
      <c r="L797" s="101">
        <v>16.3</v>
      </c>
      <c r="M797" s="101">
        <v>0.9</v>
      </c>
      <c r="N797" s="101" t="s">
        <v>957</v>
      </c>
      <c r="O797" s="101">
        <v>2001</v>
      </c>
      <c r="P797" s="101" t="s">
        <v>742</v>
      </c>
      <c r="Q797" s="101">
        <v>317990</v>
      </c>
      <c r="R797" t="s">
        <v>407</v>
      </c>
      <c r="S797" t="s">
        <v>183</v>
      </c>
      <c r="T797"/>
      <c r="U797"/>
      <c r="V797"/>
      <c r="W797" s="223"/>
    </row>
    <row r="798" spans="1:23" x14ac:dyDescent="0.2">
      <c r="A798" s="253" t="s">
        <v>231</v>
      </c>
      <c r="B798" s="101">
        <v>18</v>
      </c>
      <c r="C798" s="101">
        <v>18</v>
      </c>
      <c r="D798" s="101">
        <v>-2</v>
      </c>
      <c r="E798" s="101">
        <v>-15</v>
      </c>
      <c r="F798" s="101">
        <v>-16</v>
      </c>
      <c r="G798" s="101">
        <v>33</v>
      </c>
      <c r="H798" s="101">
        <v>-13</v>
      </c>
      <c r="I798" s="101">
        <v>-3</v>
      </c>
      <c r="J798" s="102">
        <v>1.1299999999999999</v>
      </c>
      <c r="K798" s="102">
        <v>2.96</v>
      </c>
      <c r="L798" s="101">
        <v>29.2</v>
      </c>
      <c r="M798" s="101">
        <v>0.5</v>
      </c>
      <c r="N798" s="101" t="s">
        <v>957</v>
      </c>
      <c r="O798" s="101">
        <v>2000</v>
      </c>
      <c r="P798" s="101" t="s">
        <v>742</v>
      </c>
      <c r="Q798" s="101">
        <v>874271</v>
      </c>
      <c r="R798" t="s">
        <v>490</v>
      </c>
      <c r="S798" t="s">
        <v>150</v>
      </c>
      <c r="T798"/>
      <c r="U798"/>
      <c r="V798"/>
      <c r="W798" s="223"/>
    </row>
    <row r="799" spans="1:23" x14ac:dyDescent="0.2">
      <c r="A799" s="253" t="s">
        <v>1153</v>
      </c>
      <c r="B799" s="101">
        <v>3</v>
      </c>
      <c r="C799" s="101">
        <v>3</v>
      </c>
      <c r="D799" s="101"/>
      <c r="E799" s="101"/>
      <c r="F799" s="101"/>
      <c r="G799" s="101"/>
      <c r="H799" s="101"/>
      <c r="I799" s="101"/>
      <c r="J799" s="102">
        <v>1.1299999999999999</v>
      </c>
      <c r="K799" s="102">
        <v>2.9340000000000002</v>
      </c>
      <c r="L799" s="101"/>
      <c r="M799" s="101"/>
      <c r="N799" s="101" t="s">
        <v>952</v>
      </c>
      <c r="O799" s="101">
        <v>2012</v>
      </c>
      <c r="P799" s="101" t="s">
        <v>742</v>
      </c>
      <c r="Q799" s="101">
        <v>982116</v>
      </c>
      <c r="R799" t="s">
        <v>1152</v>
      </c>
      <c r="S799" t="s">
        <v>338</v>
      </c>
      <c r="T799"/>
      <c r="U799"/>
      <c r="V799"/>
      <c r="W799" s="223"/>
    </row>
    <row r="800" spans="1:23" x14ac:dyDescent="0.2">
      <c r="A800" s="253" t="s">
        <v>865</v>
      </c>
      <c r="B800" s="101">
        <v>13</v>
      </c>
      <c r="C800" s="101">
        <v>13</v>
      </c>
      <c r="D800" s="101">
        <v>-2</v>
      </c>
      <c r="E800" s="101">
        <v>-14</v>
      </c>
      <c r="F800" s="101">
        <v>-15</v>
      </c>
      <c r="G800" s="101">
        <v>41</v>
      </c>
      <c r="H800" s="101"/>
      <c r="I800" s="101"/>
      <c r="J800" s="102">
        <v>1.1299999999999999</v>
      </c>
      <c r="K800" s="102">
        <v>2.95</v>
      </c>
      <c r="L800" s="101">
        <v>24.6</v>
      </c>
      <c r="M800" s="101">
        <v>0.6</v>
      </c>
      <c r="N800" s="101" t="s">
        <v>957</v>
      </c>
      <c r="O800" s="101">
        <v>2007</v>
      </c>
      <c r="P800" s="101" t="s">
        <v>742</v>
      </c>
      <c r="Q800" s="101">
        <v>780007</v>
      </c>
      <c r="R800" t="s">
        <v>407</v>
      </c>
      <c r="S800" t="s">
        <v>150</v>
      </c>
      <c r="T800"/>
      <c r="U800"/>
      <c r="V800"/>
      <c r="W800" s="223"/>
    </row>
    <row r="801" spans="1:23" x14ac:dyDescent="0.2">
      <c r="A801" s="253" t="s">
        <v>1154</v>
      </c>
      <c r="B801" s="101">
        <v>3</v>
      </c>
      <c r="C801" s="101">
        <v>3</v>
      </c>
      <c r="D801" s="101"/>
      <c r="E801" s="101"/>
      <c r="F801" s="101"/>
      <c r="G801" s="101"/>
      <c r="H801" s="101"/>
      <c r="I801" s="101"/>
      <c r="J801" s="102">
        <v>1.1399999999999999</v>
      </c>
      <c r="K801" s="102">
        <v>2.9780000000000002</v>
      </c>
      <c r="L801" s="101"/>
      <c r="M801" s="101"/>
      <c r="N801" s="101" t="s">
        <v>952</v>
      </c>
      <c r="O801" s="101">
        <v>2012</v>
      </c>
      <c r="P801" s="101" t="s">
        <v>742</v>
      </c>
      <c r="Q801" s="101">
        <v>946285</v>
      </c>
      <c r="R801" t="s">
        <v>1152</v>
      </c>
      <c r="S801" t="s">
        <v>338</v>
      </c>
      <c r="T801"/>
      <c r="U801"/>
      <c r="V801"/>
      <c r="W801" s="223"/>
    </row>
    <row r="802" spans="1:23" x14ac:dyDescent="0.2">
      <c r="A802" s="253" t="s">
        <v>486</v>
      </c>
      <c r="B802" s="101">
        <v>4</v>
      </c>
      <c r="C802" s="101">
        <v>4</v>
      </c>
      <c r="D802" s="101">
        <v>3</v>
      </c>
      <c r="E802" s="101"/>
      <c r="F802" s="101"/>
      <c r="G802" s="101"/>
      <c r="H802" s="101"/>
      <c r="I802" s="101"/>
      <c r="J802" s="102">
        <v>1.1499999999999999</v>
      </c>
      <c r="K802" s="102">
        <v>3</v>
      </c>
      <c r="L802" s="101"/>
      <c r="M802" s="101"/>
      <c r="N802" s="101" t="s">
        <v>952</v>
      </c>
      <c r="O802" s="101">
        <v>2011</v>
      </c>
      <c r="P802" s="101" t="s">
        <v>867</v>
      </c>
      <c r="Q802" s="101">
        <v>250340</v>
      </c>
      <c r="R802" t="s">
        <v>932</v>
      </c>
      <c r="S802" t="s">
        <v>338</v>
      </c>
      <c r="T802"/>
      <c r="U802"/>
      <c r="V802"/>
      <c r="W802" s="223"/>
    </row>
    <row r="803" spans="1:23" x14ac:dyDescent="0.2">
      <c r="A803" s="253" t="s">
        <v>634</v>
      </c>
      <c r="B803" s="101">
        <v>3</v>
      </c>
      <c r="C803" s="101">
        <v>3</v>
      </c>
      <c r="D803" s="101">
        <v>3</v>
      </c>
      <c r="E803" s="101"/>
      <c r="F803" s="101"/>
      <c r="G803" s="101"/>
      <c r="H803" s="101"/>
      <c r="I803" s="101"/>
      <c r="J803" s="102">
        <v>1.1499999999999999</v>
      </c>
      <c r="K803" s="102">
        <v>3</v>
      </c>
      <c r="L803" s="101"/>
      <c r="M803" s="101"/>
      <c r="N803" s="101" t="s">
        <v>952</v>
      </c>
      <c r="O803" s="101">
        <v>2011</v>
      </c>
      <c r="P803" s="101" t="s">
        <v>867</v>
      </c>
      <c r="Q803" s="101">
        <v>286179</v>
      </c>
      <c r="R803" t="s">
        <v>932</v>
      </c>
      <c r="S803" t="s">
        <v>338</v>
      </c>
      <c r="T803"/>
      <c r="U803"/>
      <c r="V803"/>
      <c r="W803" s="223"/>
    </row>
    <row r="804" spans="1:23" x14ac:dyDescent="0.2">
      <c r="A804" s="253" t="s">
        <v>633</v>
      </c>
      <c r="B804" s="101">
        <v>2</v>
      </c>
      <c r="C804" s="101">
        <v>2</v>
      </c>
      <c r="D804" s="101">
        <v>2</v>
      </c>
      <c r="E804" s="101"/>
      <c r="F804" s="101"/>
      <c r="G804" s="101"/>
      <c r="H804" s="101"/>
      <c r="I804" s="101"/>
      <c r="J804" s="102">
        <v>1.1499999999999999</v>
      </c>
      <c r="K804" s="102">
        <v>3</v>
      </c>
      <c r="L804" s="101"/>
      <c r="M804" s="101"/>
      <c r="N804" s="101" t="s">
        <v>952</v>
      </c>
      <c r="O804" s="101">
        <v>2011</v>
      </c>
      <c r="P804" s="101" t="s">
        <v>867</v>
      </c>
      <c r="Q804" s="101">
        <v>322008</v>
      </c>
      <c r="R804" t="s">
        <v>932</v>
      </c>
      <c r="S804" t="s">
        <v>338</v>
      </c>
      <c r="T804"/>
      <c r="U804"/>
      <c r="V804"/>
      <c r="W804" s="223"/>
    </row>
    <row r="805" spans="1:23" x14ac:dyDescent="0.2">
      <c r="A805" s="253" t="s">
        <v>1137</v>
      </c>
      <c r="B805" s="101">
        <v>1</v>
      </c>
      <c r="C805" s="101">
        <v>1</v>
      </c>
      <c r="D805" s="101"/>
      <c r="E805" s="101"/>
      <c r="F805" s="101"/>
      <c r="G805" s="101"/>
      <c r="H805" s="101"/>
      <c r="I805" s="101"/>
      <c r="J805" s="102">
        <v>1.1499999999999999</v>
      </c>
      <c r="K805" s="102">
        <v>3</v>
      </c>
      <c r="L805" s="101"/>
      <c r="M805" s="101"/>
      <c r="N805" s="101" t="s">
        <v>952</v>
      </c>
      <c r="O805" s="101">
        <v>2011</v>
      </c>
      <c r="P805" s="101" t="s">
        <v>867</v>
      </c>
      <c r="Q805" s="101">
        <v>651141</v>
      </c>
      <c r="R805" t="s">
        <v>847</v>
      </c>
      <c r="S805" t="s">
        <v>338</v>
      </c>
      <c r="T805"/>
      <c r="U805"/>
      <c r="V805"/>
      <c r="W805" s="223"/>
    </row>
    <row r="806" spans="1:23" x14ac:dyDescent="0.2">
      <c r="A806" s="253" t="s">
        <v>1138</v>
      </c>
      <c r="B806" s="101">
        <v>4</v>
      </c>
      <c r="C806" s="101">
        <v>4</v>
      </c>
      <c r="D806" s="101"/>
      <c r="E806" s="101"/>
      <c r="F806" s="101"/>
      <c r="G806" s="101"/>
      <c r="H806" s="101"/>
      <c r="I806" s="101"/>
      <c r="J806" s="102">
        <v>1.1499999999999999</v>
      </c>
      <c r="K806" s="102">
        <v>3</v>
      </c>
      <c r="L806" s="101"/>
      <c r="M806" s="101"/>
      <c r="N806" s="101" t="s">
        <v>952</v>
      </c>
      <c r="O806" s="101">
        <v>2011</v>
      </c>
      <c r="P806" s="101" t="s">
        <v>867</v>
      </c>
      <c r="Q806" s="101">
        <v>686972</v>
      </c>
      <c r="R806" t="s">
        <v>847</v>
      </c>
      <c r="S806" t="s">
        <v>338</v>
      </c>
      <c r="T806"/>
      <c r="U806"/>
      <c r="V806"/>
      <c r="W806" s="223"/>
    </row>
    <row r="807" spans="1:23" x14ac:dyDescent="0.2">
      <c r="A807" s="253" t="s">
        <v>27</v>
      </c>
      <c r="B807" s="101">
        <v>8</v>
      </c>
      <c r="C807" s="101">
        <v>8</v>
      </c>
      <c r="D807" s="101">
        <v>4</v>
      </c>
      <c r="E807" s="101">
        <v>-10</v>
      </c>
      <c r="F807" s="101">
        <v>-11</v>
      </c>
      <c r="G807" s="101">
        <v>46</v>
      </c>
      <c r="H807" s="101">
        <v>-9</v>
      </c>
      <c r="I807" s="101">
        <v>-2</v>
      </c>
      <c r="J807" s="102">
        <v>1.17</v>
      </c>
      <c r="K807" s="102">
        <v>3.05</v>
      </c>
      <c r="L807" s="101">
        <v>17.3</v>
      </c>
      <c r="M807" s="101">
        <v>0.8</v>
      </c>
      <c r="N807" s="101" t="s">
        <v>957</v>
      </c>
      <c r="O807" s="101">
        <v>2000</v>
      </c>
      <c r="P807" s="101" t="s">
        <v>742</v>
      </c>
      <c r="Q807" s="101">
        <v>404236</v>
      </c>
      <c r="R807" t="s">
        <v>490</v>
      </c>
      <c r="S807" t="s">
        <v>183</v>
      </c>
      <c r="T807"/>
      <c r="U807"/>
      <c r="V807"/>
      <c r="W807" s="223"/>
    </row>
    <row r="808" spans="1:23" x14ac:dyDescent="0.2">
      <c r="A808" s="253" t="s">
        <v>1045</v>
      </c>
      <c r="B808" s="101">
        <v>8</v>
      </c>
      <c r="C808" s="101">
        <v>8</v>
      </c>
      <c r="D808" s="101">
        <v>5</v>
      </c>
      <c r="E808" s="101">
        <v>-8</v>
      </c>
      <c r="F808" s="101">
        <v>-10</v>
      </c>
      <c r="G808" s="101">
        <v>42</v>
      </c>
      <c r="H808" s="101">
        <v>-19</v>
      </c>
      <c r="I808" s="101">
        <v>-4</v>
      </c>
      <c r="J808" s="102">
        <v>1.17</v>
      </c>
      <c r="K808" s="102">
        <v>3.05</v>
      </c>
      <c r="L808" s="101">
        <v>17.7</v>
      </c>
      <c r="M808" s="101">
        <v>0.8</v>
      </c>
      <c r="N808" s="101" t="s">
        <v>955</v>
      </c>
      <c r="O808" s="101">
        <v>2001</v>
      </c>
      <c r="P808" s="101" t="s">
        <v>742</v>
      </c>
      <c r="Q808" s="101">
        <v>353821</v>
      </c>
      <c r="R808" t="s">
        <v>407</v>
      </c>
      <c r="S808" t="s">
        <v>234</v>
      </c>
      <c r="T808"/>
      <c r="U808"/>
      <c r="V808"/>
      <c r="W808" s="223"/>
    </row>
    <row r="809" spans="1:23" x14ac:dyDescent="0.2">
      <c r="A809" s="253" t="s">
        <v>95</v>
      </c>
      <c r="B809" s="101">
        <v>0</v>
      </c>
      <c r="C809" s="101">
        <v>0</v>
      </c>
      <c r="D809" s="101">
        <v>0</v>
      </c>
      <c r="E809" s="101">
        <v>0</v>
      </c>
      <c r="F809" s="101">
        <v>2</v>
      </c>
      <c r="G809" s="101">
        <v>-3</v>
      </c>
      <c r="H809" s="101">
        <v>0</v>
      </c>
      <c r="I809" s="101">
        <v>0</v>
      </c>
      <c r="J809" s="102">
        <v>1.18</v>
      </c>
      <c r="K809" s="102">
        <v>3.09</v>
      </c>
      <c r="L809" s="101">
        <v>6.1</v>
      </c>
      <c r="M809" s="101">
        <v>-0.3</v>
      </c>
      <c r="N809" s="101" t="s">
        <v>955</v>
      </c>
      <c r="O809" s="101">
        <v>2008</v>
      </c>
      <c r="P809" s="101" t="s">
        <v>742</v>
      </c>
      <c r="Q809" s="101">
        <v>252239</v>
      </c>
      <c r="R809" t="s">
        <v>65</v>
      </c>
      <c r="S809" t="s">
        <v>338</v>
      </c>
      <c r="T809"/>
      <c r="U809"/>
      <c r="V809"/>
      <c r="W809" s="223"/>
    </row>
    <row r="810" spans="1:23" x14ac:dyDescent="0.2">
      <c r="A810" s="253" t="s">
        <v>233</v>
      </c>
      <c r="B810" s="101">
        <v>12</v>
      </c>
      <c r="C810" s="101">
        <v>12</v>
      </c>
      <c r="D810" s="101">
        <v>1</v>
      </c>
      <c r="E810" s="101">
        <v>-17</v>
      </c>
      <c r="F810" s="101">
        <v>-18</v>
      </c>
      <c r="G810" s="101">
        <v>114</v>
      </c>
      <c r="H810" s="101">
        <v>-26</v>
      </c>
      <c r="I810" s="101">
        <v>-6</v>
      </c>
      <c r="J810" s="102">
        <v>1.18</v>
      </c>
      <c r="K810" s="102">
        <v>3.1</v>
      </c>
      <c r="L810" s="101">
        <v>30</v>
      </c>
      <c r="M810" s="101">
        <v>1</v>
      </c>
      <c r="N810" s="101" t="s">
        <v>955</v>
      </c>
      <c r="O810" s="101">
        <v>2000</v>
      </c>
      <c r="P810" s="101" t="s">
        <v>742</v>
      </c>
      <c r="Q810" s="101">
        <v>368407</v>
      </c>
      <c r="R810" t="s">
        <v>490</v>
      </c>
      <c r="S810" t="s">
        <v>234</v>
      </c>
      <c r="T810"/>
      <c r="U810"/>
      <c r="V810"/>
      <c r="W810" s="223"/>
    </row>
    <row r="811" spans="1:23" x14ac:dyDescent="0.2">
      <c r="A811" s="253" t="s">
        <v>269</v>
      </c>
      <c r="B811" s="101">
        <v>11</v>
      </c>
      <c r="C811" s="101">
        <v>11</v>
      </c>
      <c r="D811" s="101">
        <v>8</v>
      </c>
      <c r="E811" s="101">
        <v>-3</v>
      </c>
      <c r="F811" s="101">
        <v>-7</v>
      </c>
      <c r="G811" s="101">
        <v>78</v>
      </c>
      <c r="H811" s="101">
        <v>32</v>
      </c>
      <c r="I811" s="101">
        <v>6</v>
      </c>
      <c r="J811" s="102">
        <v>1.19</v>
      </c>
      <c r="K811" s="102">
        <v>3.3</v>
      </c>
      <c r="L811" s="101">
        <v>22.9</v>
      </c>
      <c r="M811" s="101">
        <v>0.9</v>
      </c>
      <c r="N811" s="101" t="s">
        <v>955</v>
      </c>
      <c r="O811" s="101">
        <v>2005</v>
      </c>
      <c r="P811" s="101" t="s">
        <v>742</v>
      </c>
      <c r="Q811" s="101">
        <v>135129</v>
      </c>
      <c r="R811" t="s">
        <v>520</v>
      </c>
      <c r="S811" t="s">
        <v>268</v>
      </c>
      <c r="T811"/>
      <c r="U811"/>
      <c r="V811"/>
      <c r="W811" s="223"/>
    </row>
    <row r="812" spans="1:23" x14ac:dyDescent="0.2">
      <c r="A812" s="253" t="s">
        <v>156</v>
      </c>
      <c r="B812" s="101">
        <v>13</v>
      </c>
      <c r="C812" s="101">
        <v>13</v>
      </c>
      <c r="D812" s="101">
        <v>-4</v>
      </c>
      <c r="E812" s="101">
        <v>-14</v>
      </c>
      <c r="F812" s="101">
        <v>-16</v>
      </c>
      <c r="G812" s="101">
        <v>26</v>
      </c>
      <c r="H812" s="101">
        <v>-11</v>
      </c>
      <c r="I812" s="101">
        <v>-2</v>
      </c>
      <c r="J812" s="102">
        <v>1.19</v>
      </c>
      <c r="K812" s="102">
        <v>3.3</v>
      </c>
      <c r="L812" s="101">
        <v>27.1</v>
      </c>
      <c r="M812" s="101">
        <v>0.4</v>
      </c>
      <c r="N812" s="101" t="s">
        <v>955</v>
      </c>
      <c r="O812" s="101">
        <v>2003</v>
      </c>
      <c r="P812" s="101" t="s">
        <v>742</v>
      </c>
      <c r="Q812" s="101">
        <v>220186</v>
      </c>
      <c r="R812" t="s">
        <v>520</v>
      </c>
      <c r="S812" t="s">
        <v>150</v>
      </c>
      <c r="T812"/>
      <c r="U812"/>
      <c r="V812"/>
      <c r="W812" s="223"/>
    </row>
    <row r="813" spans="1:23" x14ac:dyDescent="0.2">
      <c r="A813" s="253" t="s">
        <v>891</v>
      </c>
      <c r="B813" s="101">
        <v>13</v>
      </c>
      <c r="C813" s="101">
        <v>13</v>
      </c>
      <c r="D813" s="101">
        <v>5</v>
      </c>
      <c r="E813" s="101">
        <v>-8</v>
      </c>
      <c r="F813" s="101">
        <v>-12</v>
      </c>
      <c r="G813" s="101">
        <v>42</v>
      </c>
      <c r="H813" s="101">
        <v>-11</v>
      </c>
      <c r="I813" s="101">
        <v>-2</v>
      </c>
      <c r="J813" s="102">
        <v>1.19</v>
      </c>
      <c r="K813" s="102">
        <v>3.3</v>
      </c>
      <c r="L813" s="101">
        <v>21.4</v>
      </c>
      <c r="M813" s="101">
        <v>0.6</v>
      </c>
      <c r="N813" s="101" t="s">
        <v>955</v>
      </c>
      <c r="O813" s="101">
        <v>2007</v>
      </c>
      <c r="P813" s="101" t="s">
        <v>742</v>
      </c>
      <c r="Q813" s="101">
        <v>670091</v>
      </c>
      <c r="R813" t="s">
        <v>520</v>
      </c>
      <c r="S813" t="s">
        <v>183</v>
      </c>
      <c r="T813"/>
      <c r="U813"/>
      <c r="V813"/>
      <c r="W813" s="223"/>
    </row>
    <row r="814" spans="1:23" x14ac:dyDescent="0.2">
      <c r="A814" s="253" t="s">
        <v>241</v>
      </c>
      <c r="B814" s="101">
        <v>11</v>
      </c>
      <c r="C814" s="101">
        <v>11</v>
      </c>
      <c r="D814" s="101">
        <v>3</v>
      </c>
      <c r="E814" s="101">
        <v>-21</v>
      </c>
      <c r="F814" s="101">
        <v>-27</v>
      </c>
      <c r="G814" s="101">
        <v>131</v>
      </c>
      <c r="H814" s="101">
        <v>-12</v>
      </c>
      <c r="I814" s="101">
        <v>-3</v>
      </c>
      <c r="J814" s="102">
        <v>1.19</v>
      </c>
      <c r="K814" s="102">
        <v>3.3</v>
      </c>
      <c r="L814" s="101">
        <v>36.6</v>
      </c>
      <c r="M814" s="101">
        <v>0.9</v>
      </c>
      <c r="N814" s="101" t="s">
        <v>955</v>
      </c>
      <c r="O814" s="101">
        <v>2002</v>
      </c>
      <c r="P814" s="101" t="s">
        <v>742</v>
      </c>
      <c r="Q814" s="101">
        <v>396325</v>
      </c>
      <c r="R814" t="s">
        <v>520</v>
      </c>
      <c r="S814" t="s">
        <v>417</v>
      </c>
      <c r="T814"/>
      <c r="U814"/>
      <c r="V814"/>
      <c r="W814" s="223"/>
    </row>
    <row r="815" spans="1:23" x14ac:dyDescent="0.2">
      <c r="A815" s="253" t="s">
        <v>157</v>
      </c>
      <c r="B815" s="101">
        <v>9</v>
      </c>
      <c r="C815" s="101">
        <v>9</v>
      </c>
      <c r="D815" s="101">
        <v>7</v>
      </c>
      <c r="E815" s="101">
        <v>-10</v>
      </c>
      <c r="F815" s="101">
        <v>-20</v>
      </c>
      <c r="G815" s="101">
        <v>5</v>
      </c>
      <c r="H815" s="101">
        <v>-25</v>
      </c>
      <c r="I815" s="101">
        <v>-6</v>
      </c>
      <c r="J815" s="102">
        <v>1.19</v>
      </c>
      <c r="K815" s="102">
        <v>3.31</v>
      </c>
      <c r="L815" s="101">
        <v>20</v>
      </c>
      <c r="M815" s="101">
        <v>0.2</v>
      </c>
      <c r="N815" s="101" t="s">
        <v>955</v>
      </c>
      <c r="O815" s="101">
        <v>2002</v>
      </c>
      <c r="P815" s="101" t="s">
        <v>742</v>
      </c>
      <c r="Q815" s="101">
        <v>118182</v>
      </c>
      <c r="R815" t="s">
        <v>520</v>
      </c>
      <c r="S815" t="s">
        <v>416</v>
      </c>
      <c r="T815"/>
    </row>
    <row r="816" spans="1:23" x14ac:dyDescent="0.2">
      <c r="A816" s="253" t="s">
        <v>238</v>
      </c>
      <c r="B816" s="101">
        <v>10</v>
      </c>
      <c r="C816" s="101">
        <v>10</v>
      </c>
      <c r="D816" s="101">
        <v>-2</v>
      </c>
      <c r="E816" s="101">
        <v>-22</v>
      </c>
      <c r="F816" s="101">
        <v>-23</v>
      </c>
      <c r="G816" s="101">
        <v>22</v>
      </c>
      <c r="H816" s="101">
        <v>-41</v>
      </c>
      <c r="I816" s="101">
        <v>-10</v>
      </c>
      <c r="J816" s="102">
        <v>1.19</v>
      </c>
      <c r="K816" s="102">
        <v>3.31</v>
      </c>
      <c r="L816" s="101">
        <v>22.6</v>
      </c>
      <c r="M816" s="101">
        <v>0.4</v>
      </c>
      <c r="N816" s="101" t="s">
        <v>955</v>
      </c>
      <c r="O816" s="101">
        <v>2005</v>
      </c>
      <c r="P816" s="101" t="s">
        <v>742</v>
      </c>
      <c r="Q816" s="101">
        <v>999292</v>
      </c>
      <c r="R816" t="s">
        <v>520</v>
      </c>
      <c r="S816" t="s">
        <v>234</v>
      </c>
      <c r="T816"/>
    </row>
    <row r="817" spans="1:20" x14ac:dyDescent="0.2">
      <c r="A817" s="253" t="s">
        <v>687</v>
      </c>
      <c r="B817" s="101">
        <v>5</v>
      </c>
      <c r="C817" s="101">
        <v>5</v>
      </c>
      <c r="D817" s="101">
        <v>-1</v>
      </c>
      <c r="E817" s="101">
        <v>-33</v>
      </c>
      <c r="F817" s="101">
        <v>-46</v>
      </c>
      <c r="G817" s="101"/>
      <c r="H817" s="101"/>
      <c r="I817" s="101"/>
      <c r="J817" s="102">
        <v>1.19</v>
      </c>
      <c r="K817" s="102">
        <v>2.26668</v>
      </c>
      <c r="L817" s="101"/>
      <c r="M817" s="101"/>
      <c r="N817" s="101" t="s">
        <v>955</v>
      </c>
      <c r="O817" s="101">
        <v>2010</v>
      </c>
      <c r="P817" s="101" t="s">
        <v>742</v>
      </c>
      <c r="Q817" s="101">
        <v>645713</v>
      </c>
      <c r="R817" t="s">
        <v>685</v>
      </c>
      <c r="S817" t="s">
        <v>183</v>
      </c>
      <c r="T817"/>
    </row>
    <row r="818" spans="1:20" x14ac:dyDescent="0.2">
      <c r="A818" s="253" t="s">
        <v>79</v>
      </c>
      <c r="B818" s="101">
        <v>4</v>
      </c>
      <c r="C818" s="101">
        <v>4</v>
      </c>
      <c r="D818" s="101">
        <v>3</v>
      </c>
      <c r="E818" s="101">
        <v>-3</v>
      </c>
      <c r="F818" s="101">
        <v>-4</v>
      </c>
      <c r="G818" s="101">
        <v>12</v>
      </c>
      <c r="H818" s="101">
        <v>-16</v>
      </c>
      <c r="I818" s="101">
        <v>-3</v>
      </c>
      <c r="J818" s="102">
        <v>1.2</v>
      </c>
      <c r="K818" s="102">
        <v>3.14</v>
      </c>
      <c r="L818" s="101">
        <v>8.6999999999999993</v>
      </c>
      <c r="M818" s="101">
        <v>0.4</v>
      </c>
      <c r="N818" s="101" t="s">
        <v>955</v>
      </c>
      <c r="O818" s="101">
        <v>2008</v>
      </c>
      <c r="P818" s="101" t="s">
        <v>742</v>
      </c>
      <c r="Q818" s="101">
        <v>216408</v>
      </c>
      <c r="R818" t="s">
        <v>65</v>
      </c>
      <c r="S818" t="s">
        <v>166</v>
      </c>
      <c r="T818"/>
    </row>
    <row r="819" spans="1:20" x14ac:dyDescent="0.2">
      <c r="A819" s="253" t="s">
        <v>711</v>
      </c>
      <c r="B819" s="101">
        <v>2</v>
      </c>
      <c r="C819" s="101">
        <v>2</v>
      </c>
      <c r="D819" s="101">
        <v>2</v>
      </c>
      <c r="E819" s="101">
        <v>-4</v>
      </c>
      <c r="F819" s="101">
        <v>-4</v>
      </c>
      <c r="G819" s="101">
        <v>8</v>
      </c>
      <c r="H819" s="101">
        <v>-8</v>
      </c>
      <c r="I819" s="101">
        <v>-2</v>
      </c>
      <c r="J819" s="102">
        <v>1.21</v>
      </c>
      <c r="K819" s="102">
        <v>3.19</v>
      </c>
      <c r="L819" s="101">
        <v>7</v>
      </c>
      <c r="M819" s="101">
        <v>0.2</v>
      </c>
      <c r="N819" s="101" t="s">
        <v>955</v>
      </c>
      <c r="O819" s="101">
        <v>2008</v>
      </c>
      <c r="P819" s="101" t="s">
        <v>742</v>
      </c>
      <c r="Q819" s="101">
        <v>323899</v>
      </c>
      <c r="R819" t="s">
        <v>65</v>
      </c>
      <c r="S819" t="s">
        <v>338</v>
      </c>
      <c r="T819"/>
    </row>
    <row r="820" spans="1:20" x14ac:dyDescent="0.2">
      <c r="A820" s="253" t="s">
        <v>506</v>
      </c>
      <c r="B820" s="101">
        <v>0</v>
      </c>
      <c r="C820" s="101">
        <v>0</v>
      </c>
      <c r="D820" s="101">
        <v>5</v>
      </c>
      <c r="E820" s="101">
        <v>-1</v>
      </c>
      <c r="F820" s="101">
        <v>-2</v>
      </c>
      <c r="G820" s="101">
        <v>-16</v>
      </c>
      <c r="H820" s="101"/>
      <c r="I820" s="101"/>
      <c r="J820" s="102">
        <v>1.23</v>
      </c>
      <c r="K820" s="102">
        <v>3.226302</v>
      </c>
      <c r="L820" s="101">
        <v>11.6</v>
      </c>
      <c r="M820" s="101">
        <v>-0.5</v>
      </c>
      <c r="N820" s="101" t="s">
        <v>952</v>
      </c>
      <c r="O820" s="101">
        <v>2009</v>
      </c>
      <c r="P820" s="101" t="s">
        <v>742</v>
      </c>
      <c r="Q820" s="101">
        <v>688861</v>
      </c>
      <c r="R820" t="s">
        <v>1033</v>
      </c>
      <c r="S820" t="s">
        <v>338</v>
      </c>
      <c r="T820"/>
    </row>
    <row r="821" spans="1:20" x14ac:dyDescent="0.2">
      <c r="A821" s="253" t="s">
        <v>862</v>
      </c>
      <c r="B821" s="101">
        <v>11</v>
      </c>
      <c r="C821" s="101">
        <v>11</v>
      </c>
      <c r="D821" s="101">
        <v>4</v>
      </c>
      <c r="E821" s="101">
        <v>-11</v>
      </c>
      <c r="F821" s="101">
        <v>-15</v>
      </c>
      <c r="G821" s="101">
        <v>19</v>
      </c>
      <c r="H821" s="101">
        <v>-39</v>
      </c>
      <c r="I821" s="101">
        <v>-9</v>
      </c>
      <c r="J821" s="102">
        <v>1.26</v>
      </c>
      <c r="K821" s="102">
        <v>3.32</v>
      </c>
      <c r="L821" s="101">
        <v>16.600000000000001</v>
      </c>
      <c r="M821" s="101">
        <v>0.4</v>
      </c>
      <c r="N821" s="101" t="s">
        <v>955</v>
      </c>
      <c r="O821" s="101">
        <v>2003</v>
      </c>
      <c r="P821" s="101" t="s">
        <v>742</v>
      </c>
      <c r="Q821" s="101">
        <v>333757</v>
      </c>
      <c r="R821" t="s">
        <v>407</v>
      </c>
      <c r="S821" t="s">
        <v>104</v>
      </c>
      <c r="T821"/>
    </row>
    <row r="822" spans="1:20" x14ac:dyDescent="0.2">
      <c r="A822" s="253" t="s">
        <v>542</v>
      </c>
      <c r="B822" s="101">
        <v>7</v>
      </c>
      <c r="C822" s="101">
        <v>7</v>
      </c>
      <c r="D822" s="101">
        <v>-5</v>
      </c>
      <c r="E822" s="101">
        <v>-26</v>
      </c>
      <c r="F822" s="101"/>
      <c r="G822" s="101"/>
      <c r="H822" s="101"/>
      <c r="I822" s="101"/>
      <c r="J822" s="102">
        <v>1.26</v>
      </c>
      <c r="K822" s="102">
        <v>3.3130000000000002</v>
      </c>
      <c r="L822" s="101"/>
      <c r="M822" s="101"/>
      <c r="N822" s="101" t="s">
        <v>955</v>
      </c>
      <c r="O822" s="101">
        <v>2011</v>
      </c>
      <c r="P822" s="101" t="s">
        <v>742</v>
      </c>
      <c r="Q822" s="101">
        <v>490235</v>
      </c>
      <c r="R822" t="s">
        <v>543</v>
      </c>
      <c r="S822" t="s">
        <v>234</v>
      </c>
      <c r="T822" t="s">
        <v>953</v>
      </c>
    </row>
    <row r="823" spans="1:20" x14ac:dyDescent="0.2">
      <c r="A823" s="253" t="s">
        <v>803</v>
      </c>
      <c r="B823" s="101">
        <v>5</v>
      </c>
      <c r="C823" s="101">
        <v>5</v>
      </c>
      <c r="D823" s="101">
        <v>3</v>
      </c>
      <c r="E823" s="101">
        <v>-7</v>
      </c>
      <c r="F823" s="101">
        <v>-2</v>
      </c>
      <c r="G823" s="101">
        <v>54</v>
      </c>
      <c r="H823" s="101">
        <v>18</v>
      </c>
      <c r="I823" s="101">
        <v>3</v>
      </c>
      <c r="J823" s="102">
        <v>1.32</v>
      </c>
      <c r="K823" s="102">
        <v>3.49</v>
      </c>
      <c r="L823" s="101">
        <v>13.9</v>
      </c>
      <c r="M823" s="101">
        <v>1</v>
      </c>
      <c r="N823" s="101" t="s">
        <v>957</v>
      </c>
      <c r="O823" s="101">
        <v>2006</v>
      </c>
      <c r="P823" s="101" t="s">
        <v>742</v>
      </c>
      <c r="Q823" s="101">
        <v>683490</v>
      </c>
      <c r="R823" t="s">
        <v>65</v>
      </c>
      <c r="S823" t="s">
        <v>150</v>
      </c>
      <c r="T823"/>
    </row>
    <row r="824" spans="1:20" x14ac:dyDescent="0.2">
      <c r="A824" s="253" t="s">
        <v>544</v>
      </c>
      <c r="B824" s="101">
        <v>17</v>
      </c>
      <c r="C824" s="101">
        <v>17</v>
      </c>
      <c r="D824" s="101">
        <v>-1</v>
      </c>
      <c r="E824" s="101">
        <v>-14</v>
      </c>
      <c r="F824" s="101">
        <v>-26</v>
      </c>
      <c r="G824" s="101">
        <v>69</v>
      </c>
      <c r="H824" s="101"/>
      <c r="I824" s="101"/>
      <c r="J824" s="102">
        <v>1.34</v>
      </c>
      <c r="K824" s="102">
        <v>3.5430000000000001</v>
      </c>
      <c r="L824" s="101">
        <v>33.700000000000003</v>
      </c>
      <c r="M824" s="101">
        <v>0.7</v>
      </c>
      <c r="N824" s="101" t="s">
        <v>955</v>
      </c>
      <c r="O824" s="101">
        <v>2011</v>
      </c>
      <c r="P824" s="101" t="s">
        <v>742</v>
      </c>
      <c r="Q824" s="101">
        <v>121608</v>
      </c>
      <c r="R824" t="s">
        <v>540</v>
      </c>
      <c r="S824" t="s">
        <v>268</v>
      </c>
      <c r="T824" t="s">
        <v>953</v>
      </c>
    </row>
    <row r="825" spans="1:20" x14ac:dyDescent="0.2">
      <c r="A825" s="253" t="s">
        <v>545</v>
      </c>
      <c r="B825" s="101">
        <v>14</v>
      </c>
      <c r="C825" s="101">
        <v>14</v>
      </c>
      <c r="D825" s="101">
        <v>3</v>
      </c>
      <c r="E825" s="101">
        <v>-18</v>
      </c>
      <c r="F825" s="101">
        <v>-26</v>
      </c>
      <c r="G825" s="101"/>
      <c r="H825" s="101"/>
      <c r="I825" s="101"/>
      <c r="J825" s="102">
        <v>1.54</v>
      </c>
      <c r="K825" s="102">
        <v>4.1180000000000003</v>
      </c>
      <c r="L825" s="101"/>
      <c r="M825" s="101"/>
      <c r="N825" s="101" t="s">
        <v>955</v>
      </c>
      <c r="O825" s="101">
        <v>2011</v>
      </c>
      <c r="P825" s="101" t="s">
        <v>742</v>
      </c>
      <c r="Q825" s="101">
        <v>949941</v>
      </c>
      <c r="R825" t="s">
        <v>540</v>
      </c>
      <c r="S825" t="s">
        <v>234</v>
      </c>
      <c r="T825" t="s">
        <v>953</v>
      </c>
    </row>
    <row r="826" spans="1:20" x14ac:dyDescent="0.2">
      <c r="A826" s="253" t="s">
        <v>361</v>
      </c>
      <c r="B826" s="101">
        <v>4</v>
      </c>
      <c r="C826" s="101">
        <v>4</v>
      </c>
      <c r="D826" s="101">
        <v>1</v>
      </c>
      <c r="E826" s="101">
        <v>-12</v>
      </c>
      <c r="F826" s="101"/>
      <c r="G826" s="101"/>
      <c r="H826" s="101"/>
      <c r="I826" s="101"/>
      <c r="J826" s="102">
        <v>1.7</v>
      </c>
      <c r="K826" s="102">
        <v>1.7</v>
      </c>
      <c r="L826" s="101"/>
      <c r="M826" s="101"/>
      <c r="N826" s="101" t="s">
        <v>955</v>
      </c>
      <c r="O826" s="101">
        <v>2011</v>
      </c>
      <c r="P826" s="101" t="s">
        <v>742</v>
      </c>
      <c r="Q826" s="101">
        <v>125856</v>
      </c>
      <c r="R826" t="s">
        <v>930</v>
      </c>
      <c r="S826" t="s">
        <v>96</v>
      </c>
      <c r="T826"/>
    </row>
    <row r="827" spans="1:20" x14ac:dyDescent="0.2">
      <c r="A827" s="253" t="s">
        <v>688</v>
      </c>
      <c r="B827" s="101">
        <v>8</v>
      </c>
      <c r="C827" s="101">
        <v>8</v>
      </c>
      <c r="D827" s="101">
        <v>-1</v>
      </c>
      <c r="E827" s="101">
        <v>-10</v>
      </c>
      <c r="F827" s="101">
        <v>-18</v>
      </c>
      <c r="G827" s="101"/>
      <c r="H827" s="101"/>
      <c r="I827" s="101"/>
      <c r="J827" s="102">
        <v>1.78</v>
      </c>
      <c r="K827" s="102">
        <v>2.2999999999999998</v>
      </c>
      <c r="L827" s="101"/>
      <c r="M827" s="101"/>
      <c r="N827" s="101" t="s">
        <v>955</v>
      </c>
      <c r="O827" s="101">
        <v>2010</v>
      </c>
      <c r="P827" s="101" t="s">
        <v>742</v>
      </c>
      <c r="Q827" s="101">
        <v>681544</v>
      </c>
      <c r="R827" t="s">
        <v>685</v>
      </c>
      <c r="S827" t="s">
        <v>183</v>
      </c>
      <c r="T827"/>
    </row>
    <row r="828" spans="1:20" x14ac:dyDescent="0.2">
      <c r="A828" s="253" t="s">
        <v>529</v>
      </c>
      <c r="B828" s="101">
        <v>9</v>
      </c>
      <c r="C828" s="101">
        <v>9</v>
      </c>
      <c r="D828" s="101">
        <v>5</v>
      </c>
      <c r="E828" s="101">
        <v>-6</v>
      </c>
      <c r="F828" s="101">
        <v>-8</v>
      </c>
      <c r="G828" s="101">
        <v>43</v>
      </c>
      <c r="H828" s="101"/>
      <c r="I828" s="101"/>
      <c r="J828" s="102">
        <v>1.95</v>
      </c>
      <c r="K828" s="102">
        <v>0.436</v>
      </c>
      <c r="L828" s="101">
        <v>15.9</v>
      </c>
      <c r="M828" s="101">
        <v>0.8</v>
      </c>
      <c r="N828" s="101" t="s">
        <v>955</v>
      </c>
      <c r="O828" s="101">
        <v>2009</v>
      </c>
      <c r="P828" s="101" t="s">
        <v>742</v>
      </c>
      <c r="Q828" s="101">
        <v>942094</v>
      </c>
      <c r="R828" t="s">
        <v>295</v>
      </c>
      <c r="S828" t="s">
        <v>312</v>
      </c>
      <c r="T828"/>
    </row>
    <row r="829" spans="1:20" x14ac:dyDescent="0.2">
      <c r="A829" s="253" t="s">
        <v>689</v>
      </c>
      <c r="B829" s="101">
        <v>11</v>
      </c>
      <c r="C829" s="101">
        <v>11</v>
      </c>
      <c r="D829" s="101">
        <v>-2</v>
      </c>
      <c r="E829" s="101">
        <v>-22</v>
      </c>
      <c r="F829" s="101">
        <v>-34</v>
      </c>
      <c r="G829" s="101"/>
      <c r="H829" s="101"/>
      <c r="I829" s="101"/>
      <c r="J829" s="102">
        <v>2.23</v>
      </c>
      <c r="K829" s="102">
        <v>2.3235600000000001</v>
      </c>
      <c r="L829" s="101"/>
      <c r="M829" s="101"/>
      <c r="N829" s="101" t="s">
        <v>955</v>
      </c>
      <c r="O829" s="101">
        <v>2010</v>
      </c>
      <c r="P829" s="101" t="s">
        <v>742</v>
      </c>
      <c r="Q829" s="101">
        <v>753202</v>
      </c>
      <c r="R829" t="s">
        <v>685</v>
      </c>
      <c r="S829" t="s">
        <v>234</v>
      </c>
      <c r="T829"/>
    </row>
    <row r="830" spans="1:20" x14ac:dyDescent="0.2">
      <c r="A830" s="253" t="s">
        <v>680</v>
      </c>
      <c r="B830" s="101">
        <v>4</v>
      </c>
      <c r="C830" s="101">
        <v>4</v>
      </c>
      <c r="D830" s="101">
        <v>5</v>
      </c>
      <c r="E830" s="101">
        <v>1</v>
      </c>
      <c r="F830" s="101">
        <v>-9</v>
      </c>
      <c r="G830" s="101"/>
      <c r="H830" s="101"/>
      <c r="I830" s="101"/>
      <c r="J830" s="102">
        <v>2.57</v>
      </c>
      <c r="K830" s="102">
        <v>0.85</v>
      </c>
      <c r="L830" s="101"/>
      <c r="M830" s="101"/>
      <c r="N830" s="101" t="s">
        <v>952</v>
      </c>
      <c r="O830" s="101">
        <v>2010</v>
      </c>
      <c r="P830" s="101" t="s">
        <v>867</v>
      </c>
      <c r="Q830" s="101">
        <v>806034</v>
      </c>
      <c r="R830" t="s">
        <v>681</v>
      </c>
      <c r="S830" t="s">
        <v>166</v>
      </c>
      <c r="T830"/>
    </row>
    <row r="831" spans="1:20" x14ac:dyDescent="0.2">
      <c r="A831" s="253"/>
      <c r="B831" s="101"/>
      <c r="C831" s="101"/>
      <c r="D831" s="101"/>
      <c r="E831" s="101"/>
      <c r="F831" s="101"/>
      <c r="G831" s="101"/>
      <c r="H831" s="101"/>
      <c r="I831" s="101"/>
      <c r="J831" s="102"/>
      <c r="K831" s="102"/>
      <c r="L831" s="101"/>
      <c r="M831" s="101"/>
      <c r="N831" s="101"/>
      <c r="O831" s="101"/>
      <c r="P831" s="101"/>
      <c r="Q831" s="101"/>
      <c r="R831"/>
      <c r="S831"/>
      <c r="T831"/>
    </row>
    <row r="832" spans="1:20" x14ac:dyDescent="0.2">
      <c r="A832" s="253"/>
      <c r="B832" s="101"/>
      <c r="C832" s="101"/>
      <c r="D832" s="101"/>
      <c r="E832" s="101"/>
      <c r="F832" s="101"/>
      <c r="G832" s="101"/>
      <c r="H832" s="101"/>
      <c r="I832" s="101"/>
      <c r="J832" s="102"/>
      <c r="K832" s="102"/>
      <c r="L832" s="101"/>
      <c r="M832" s="101"/>
      <c r="N832" s="101"/>
      <c r="O832" s="101"/>
      <c r="P832" s="101"/>
      <c r="Q832" s="101"/>
      <c r="R832"/>
      <c r="S832"/>
      <c r="T832"/>
    </row>
    <row r="833" spans="1:20" x14ac:dyDescent="0.2">
      <c r="A833" s="253"/>
      <c r="B833" s="101"/>
      <c r="C833" s="101"/>
      <c r="D833" s="101"/>
      <c r="E833" s="101"/>
      <c r="F833" s="101"/>
      <c r="G833" s="101"/>
      <c r="H833" s="101"/>
      <c r="I833" s="101"/>
      <c r="J833" s="102"/>
      <c r="K833" s="102"/>
      <c r="L833" s="101"/>
      <c r="M833" s="101"/>
      <c r="N833" s="101"/>
      <c r="O833" s="101"/>
      <c r="P833" s="101"/>
      <c r="Q833" s="101"/>
      <c r="R833"/>
      <c r="S833"/>
      <c r="T833"/>
    </row>
    <row r="834" spans="1:20" x14ac:dyDescent="0.2">
      <c r="A834" s="253"/>
      <c r="B834" s="101"/>
      <c r="C834" s="101"/>
      <c r="D834" s="101"/>
      <c r="E834" s="101"/>
      <c r="F834" s="101"/>
      <c r="G834" s="101"/>
      <c r="H834" s="101"/>
      <c r="I834" s="101"/>
      <c r="J834" s="102"/>
      <c r="K834" s="102"/>
      <c r="L834" s="101"/>
      <c r="M834" s="101"/>
      <c r="N834" s="101"/>
      <c r="O834" s="101"/>
      <c r="P834" s="101"/>
      <c r="Q834" s="101"/>
      <c r="R834"/>
      <c r="S834"/>
      <c r="T834"/>
    </row>
    <row r="835" spans="1:20" x14ac:dyDescent="0.2">
      <c r="A835" s="253"/>
      <c r="B835" s="101"/>
      <c r="C835" s="101"/>
      <c r="D835" s="101"/>
      <c r="E835" s="101"/>
      <c r="F835" s="101"/>
      <c r="G835" s="101"/>
      <c r="H835" s="101"/>
      <c r="I835" s="101"/>
      <c r="J835" s="102"/>
      <c r="K835" s="102"/>
      <c r="L835" s="101"/>
      <c r="M835" s="101"/>
      <c r="N835" s="101"/>
      <c r="O835" s="101"/>
      <c r="P835" s="101"/>
      <c r="Q835" s="101"/>
      <c r="R835"/>
      <c r="S835"/>
      <c r="T835"/>
    </row>
    <row r="836" spans="1:20" x14ac:dyDescent="0.2">
      <c r="A836" s="253"/>
      <c r="B836" s="101"/>
      <c r="C836" s="101"/>
      <c r="D836" s="101"/>
      <c r="E836" s="101"/>
      <c r="F836" s="101"/>
      <c r="G836" s="101"/>
      <c r="H836" s="101"/>
      <c r="I836" s="101"/>
      <c r="J836" s="102"/>
      <c r="K836" s="102"/>
      <c r="L836" s="101"/>
      <c r="M836" s="101"/>
      <c r="N836" s="101"/>
      <c r="O836" s="101"/>
      <c r="P836" s="101"/>
      <c r="Q836" s="101"/>
      <c r="R836"/>
      <c r="S836"/>
      <c r="T836"/>
    </row>
    <row r="837" spans="1:20" x14ac:dyDescent="0.2">
      <c r="A837" s="253"/>
      <c r="B837" s="101"/>
      <c r="C837" s="101"/>
      <c r="D837" s="101"/>
      <c r="E837" s="101"/>
      <c r="F837" s="101"/>
      <c r="G837" s="101"/>
      <c r="H837" s="101"/>
      <c r="I837" s="101"/>
      <c r="J837" s="102"/>
      <c r="K837" s="102"/>
      <c r="L837" s="101"/>
      <c r="M837" s="101"/>
      <c r="N837" s="101"/>
      <c r="O837" s="101"/>
      <c r="P837" s="101"/>
      <c r="Q837" s="101"/>
      <c r="R837"/>
      <c r="S837"/>
      <c r="T837"/>
    </row>
    <row r="838" spans="1:20" x14ac:dyDescent="0.2">
      <c r="A838" s="253"/>
      <c r="B838" s="101"/>
      <c r="C838" s="101"/>
      <c r="D838" s="101"/>
      <c r="E838" s="101"/>
      <c r="F838" s="101"/>
      <c r="G838" s="101"/>
      <c r="H838" s="101"/>
      <c r="I838" s="101"/>
      <c r="J838" s="102"/>
      <c r="K838" s="102"/>
      <c r="L838" s="101"/>
      <c r="M838" s="101"/>
      <c r="N838" s="101"/>
      <c r="O838" s="101"/>
      <c r="P838" s="101"/>
      <c r="Q838" s="101"/>
      <c r="R838"/>
      <c r="S838"/>
      <c r="T838"/>
    </row>
    <row r="839" spans="1:20" x14ac:dyDescent="0.2">
      <c r="A839" s="253"/>
      <c r="B839" s="101"/>
      <c r="C839" s="101"/>
      <c r="D839" s="101"/>
      <c r="E839" s="101"/>
      <c r="F839" s="101"/>
      <c r="G839" s="101"/>
      <c r="H839" s="101"/>
      <c r="I839" s="101"/>
      <c r="J839" s="102"/>
      <c r="K839" s="102"/>
      <c r="L839" s="101"/>
      <c r="M839" s="101"/>
      <c r="N839" s="101"/>
      <c r="O839" s="101"/>
      <c r="P839" s="101"/>
      <c r="Q839" s="101"/>
      <c r="R839"/>
      <c r="S839"/>
      <c r="T839"/>
    </row>
    <row r="840" spans="1:20" x14ac:dyDescent="0.2">
      <c r="A840" s="253"/>
      <c r="B840" s="101"/>
      <c r="C840" s="101"/>
      <c r="D840" s="101"/>
      <c r="E840" s="101"/>
      <c r="F840" s="101"/>
      <c r="G840" s="101"/>
      <c r="H840" s="101"/>
      <c r="I840" s="101"/>
      <c r="J840" s="102"/>
      <c r="K840" s="102"/>
      <c r="L840" s="101"/>
      <c r="M840" s="101"/>
      <c r="N840" s="101"/>
      <c r="O840" s="101"/>
      <c r="P840" s="101"/>
      <c r="Q840" s="101"/>
      <c r="R840"/>
      <c r="S840"/>
      <c r="T840"/>
    </row>
    <row r="841" spans="1:20" x14ac:dyDescent="0.2">
      <c r="A841" s="253"/>
      <c r="B841" s="101"/>
      <c r="C841" s="101"/>
      <c r="D841" s="101"/>
      <c r="E841" s="101"/>
      <c r="F841" s="101"/>
      <c r="G841" s="101"/>
      <c r="H841" s="101"/>
      <c r="I841" s="101"/>
      <c r="J841" s="102"/>
      <c r="K841" s="102"/>
      <c r="L841" s="101"/>
      <c r="M841" s="101"/>
      <c r="N841" s="101"/>
      <c r="O841" s="101"/>
      <c r="P841" s="101"/>
      <c r="Q841" s="101"/>
      <c r="R841"/>
      <c r="S841"/>
      <c r="T841"/>
    </row>
    <row r="842" spans="1:20" x14ac:dyDescent="0.2">
      <c r="A842" s="253"/>
      <c r="B842" s="101"/>
      <c r="C842" s="101"/>
      <c r="D842" s="101"/>
      <c r="E842" s="101"/>
      <c r="F842" s="101"/>
      <c r="G842" s="101"/>
      <c r="H842" s="101"/>
      <c r="I842" s="101"/>
      <c r="J842" s="102"/>
      <c r="K842" s="102"/>
      <c r="L842" s="101"/>
      <c r="M842" s="101"/>
      <c r="N842" s="101"/>
      <c r="O842" s="101"/>
      <c r="P842" s="101"/>
      <c r="Q842" s="101"/>
      <c r="R842"/>
      <c r="S842"/>
      <c r="T842"/>
    </row>
    <row r="843" spans="1:20" x14ac:dyDescent="0.2">
      <c r="A843" s="253"/>
      <c r="B843" s="101"/>
      <c r="C843" s="101"/>
      <c r="D843" s="101"/>
      <c r="E843" s="101"/>
      <c r="F843" s="101"/>
      <c r="G843" s="101"/>
      <c r="H843" s="101"/>
      <c r="I843" s="101"/>
      <c r="J843" s="102"/>
      <c r="K843" s="102"/>
      <c r="L843" s="101"/>
      <c r="M843" s="101"/>
      <c r="N843" s="101"/>
      <c r="O843" s="101"/>
      <c r="P843" s="101"/>
      <c r="Q843" s="101"/>
      <c r="R843"/>
      <c r="S843"/>
      <c r="T843"/>
    </row>
    <row r="844" spans="1:20" x14ac:dyDescent="0.2">
      <c r="A844" s="253"/>
      <c r="B844" s="101"/>
      <c r="C844" s="101"/>
      <c r="D844" s="101"/>
      <c r="E844" s="101"/>
      <c r="F844" s="101"/>
      <c r="G844" s="101"/>
      <c r="H844" s="101"/>
      <c r="I844" s="101"/>
      <c r="J844" s="102"/>
      <c r="K844" s="102"/>
      <c r="L844" s="101"/>
      <c r="M844" s="101"/>
      <c r="N844" s="101"/>
      <c r="O844" s="101"/>
      <c r="P844" s="101"/>
      <c r="Q844" s="101"/>
      <c r="R844"/>
      <c r="S844"/>
      <c r="T844"/>
    </row>
    <row r="845" spans="1:20" x14ac:dyDescent="0.2">
      <c r="A845" s="253"/>
      <c r="B845" s="101"/>
      <c r="C845" s="101"/>
      <c r="D845" s="101"/>
      <c r="E845" s="101"/>
      <c r="F845" s="101"/>
      <c r="G845" s="101"/>
      <c r="H845" s="101"/>
      <c r="I845" s="101"/>
      <c r="J845" s="102"/>
      <c r="K845" s="102"/>
      <c r="L845" s="101"/>
      <c r="M845" s="101"/>
      <c r="N845" s="101"/>
      <c r="O845" s="101"/>
      <c r="P845" s="101"/>
      <c r="Q845" s="101"/>
      <c r="R845"/>
      <c r="S845"/>
      <c r="T845"/>
    </row>
    <row r="846" spans="1:20" x14ac:dyDescent="0.2">
      <c r="A846" s="253"/>
      <c r="B846" s="101"/>
      <c r="C846" s="101"/>
      <c r="D846" s="101"/>
      <c r="E846" s="101"/>
      <c r="F846" s="101"/>
      <c r="G846" s="101"/>
      <c r="H846" s="101"/>
      <c r="I846" s="101"/>
      <c r="J846" s="102"/>
      <c r="K846" s="102"/>
      <c r="L846" s="101"/>
      <c r="M846" s="101"/>
      <c r="N846" s="101"/>
      <c r="O846" s="101"/>
      <c r="P846" s="101"/>
      <c r="Q846" s="101"/>
      <c r="R846"/>
      <c r="S846"/>
      <c r="T846"/>
    </row>
    <row r="847" spans="1:20" x14ac:dyDescent="0.2">
      <c r="A847" s="253"/>
      <c r="B847" s="101"/>
      <c r="C847" s="101"/>
      <c r="D847" s="101"/>
      <c r="E847" s="101"/>
      <c r="F847" s="101"/>
      <c r="G847" s="101"/>
      <c r="H847" s="101"/>
      <c r="I847" s="101"/>
      <c r="J847" s="102"/>
      <c r="K847" s="102"/>
      <c r="L847" s="101"/>
      <c r="M847" s="101"/>
      <c r="N847" s="101"/>
      <c r="O847" s="101"/>
      <c r="P847" s="101"/>
      <c r="Q847" s="101"/>
      <c r="R847"/>
      <c r="S847"/>
      <c r="T847"/>
    </row>
    <row r="848" spans="1:20" x14ac:dyDescent="0.2">
      <c r="A848" s="253"/>
      <c r="B848" s="101"/>
      <c r="C848" s="101"/>
      <c r="D848" s="101"/>
      <c r="E848" s="101"/>
      <c r="F848" s="101"/>
      <c r="G848" s="101"/>
      <c r="H848" s="101"/>
      <c r="I848" s="101"/>
      <c r="J848" s="102"/>
      <c r="K848" s="102"/>
      <c r="L848" s="101"/>
      <c r="M848" s="101"/>
      <c r="N848" s="101"/>
      <c r="O848" s="101"/>
      <c r="P848" s="101"/>
      <c r="Q848" s="101"/>
      <c r="R848"/>
      <c r="S848"/>
      <c r="T848"/>
    </row>
    <row r="849" spans="1:20" x14ac:dyDescent="0.2">
      <c r="A849" s="253"/>
      <c r="B849" s="101"/>
      <c r="C849" s="101"/>
      <c r="D849" s="101"/>
      <c r="E849" s="101"/>
      <c r="F849" s="101"/>
      <c r="G849" s="101"/>
      <c r="H849" s="101"/>
      <c r="I849" s="101"/>
      <c r="J849" s="102"/>
      <c r="K849" s="102"/>
      <c r="L849" s="101"/>
      <c r="M849" s="101"/>
      <c r="N849" s="101"/>
      <c r="O849" s="101"/>
      <c r="P849" s="101"/>
      <c r="Q849" s="101"/>
      <c r="R849"/>
      <c r="S849"/>
      <c r="T849"/>
    </row>
    <row r="850" spans="1:20" x14ac:dyDescent="0.2">
      <c r="A850" s="253"/>
      <c r="B850" s="101"/>
      <c r="C850" s="101"/>
      <c r="D850" s="101"/>
      <c r="E850" s="101"/>
      <c r="F850" s="101"/>
      <c r="G850" s="101"/>
      <c r="H850" s="101"/>
      <c r="I850" s="101"/>
      <c r="J850" s="102"/>
      <c r="K850" s="102"/>
      <c r="L850" s="101"/>
      <c r="M850" s="101"/>
      <c r="N850" s="101"/>
      <c r="O850" s="101"/>
      <c r="P850" s="101"/>
      <c r="Q850" s="101"/>
      <c r="R850"/>
      <c r="S850"/>
      <c r="T850"/>
    </row>
    <row r="851" spans="1:20" x14ac:dyDescent="0.2">
      <c r="A851" s="253"/>
      <c r="B851" s="101"/>
      <c r="C851" s="101"/>
      <c r="D851" s="101"/>
      <c r="E851" s="101"/>
      <c r="F851" s="101"/>
      <c r="G851" s="101"/>
      <c r="H851" s="101"/>
      <c r="I851" s="101"/>
      <c r="J851" s="102"/>
      <c r="K851" s="102"/>
      <c r="L851" s="101"/>
      <c r="M851" s="101"/>
      <c r="N851" s="101"/>
      <c r="O851" s="101"/>
      <c r="P851" s="101"/>
      <c r="Q851" s="101"/>
      <c r="R851"/>
      <c r="S851"/>
      <c r="T851"/>
    </row>
    <row r="852" spans="1:20" x14ac:dyDescent="0.2">
      <c r="A852" s="253"/>
      <c r="B852" s="101"/>
      <c r="C852" s="101"/>
      <c r="D852" s="101"/>
      <c r="E852" s="101"/>
      <c r="F852" s="101"/>
      <c r="G852" s="101"/>
      <c r="H852" s="101"/>
      <c r="I852" s="101"/>
      <c r="J852" s="102"/>
      <c r="K852" s="102"/>
      <c r="L852" s="101"/>
      <c r="M852" s="101"/>
      <c r="N852" s="101"/>
      <c r="O852" s="101"/>
      <c r="P852" s="101"/>
      <c r="Q852" s="101"/>
      <c r="R852"/>
      <c r="S852"/>
      <c r="T852"/>
    </row>
    <row r="853" spans="1:20" x14ac:dyDescent="0.2">
      <c r="A853" s="253"/>
      <c r="B853" s="101"/>
      <c r="C853" s="101"/>
      <c r="D853" s="101"/>
      <c r="E853" s="101"/>
      <c r="F853" s="101"/>
      <c r="G853" s="101"/>
      <c r="H853" s="101"/>
      <c r="I853" s="101"/>
      <c r="J853" s="102"/>
      <c r="K853" s="102"/>
      <c r="L853" s="101"/>
      <c r="M853" s="101"/>
      <c r="N853" s="101"/>
      <c r="O853" s="101"/>
      <c r="P853" s="101"/>
      <c r="Q853" s="101"/>
      <c r="R853"/>
      <c r="S853"/>
      <c r="T853"/>
    </row>
    <row r="854" spans="1:20" x14ac:dyDescent="0.2">
      <c r="A854" s="253"/>
      <c r="B854" s="101"/>
      <c r="C854" s="101"/>
      <c r="D854" s="101"/>
      <c r="E854" s="101"/>
      <c r="F854" s="101"/>
      <c r="G854" s="101"/>
      <c r="H854" s="101"/>
      <c r="I854" s="101"/>
      <c r="J854" s="102"/>
      <c r="K854" s="102"/>
      <c r="L854" s="101"/>
      <c r="M854" s="101"/>
      <c r="N854" s="101"/>
      <c r="O854" s="101"/>
      <c r="P854" s="101"/>
      <c r="Q854" s="101"/>
      <c r="R854"/>
      <c r="S854"/>
      <c r="T854"/>
    </row>
    <row r="855" spans="1:20" x14ac:dyDescent="0.2">
      <c r="A855" s="253"/>
      <c r="B855" s="101"/>
      <c r="C855" s="101"/>
      <c r="D855" s="101"/>
      <c r="E855" s="101"/>
      <c r="F855" s="101"/>
      <c r="G855" s="101"/>
      <c r="H855" s="101"/>
      <c r="I855" s="101"/>
      <c r="J855" s="102"/>
      <c r="K855" s="102"/>
      <c r="L855" s="101"/>
      <c r="M855" s="101"/>
      <c r="N855" s="101"/>
      <c r="O855" s="101"/>
      <c r="P855" s="101"/>
      <c r="Q855" s="101"/>
      <c r="R855"/>
      <c r="S855"/>
      <c r="T855"/>
    </row>
    <row r="856" spans="1:20" x14ac:dyDescent="0.2">
      <c r="A856" s="253"/>
      <c r="B856" s="101"/>
      <c r="C856" s="101"/>
      <c r="D856" s="101"/>
      <c r="E856" s="101"/>
      <c r="F856" s="101"/>
      <c r="G856" s="101"/>
      <c r="H856" s="101"/>
      <c r="I856" s="101"/>
      <c r="J856" s="102"/>
      <c r="K856" s="102"/>
      <c r="L856" s="101"/>
      <c r="M856" s="101"/>
      <c r="N856" s="101"/>
      <c r="O856" s="101"/>
      <c r="P856" s="101"/>
      <c r="Q856" s="101"/>
      <c r="R856"/>
      <c r="S856"/>
      <c r="T856"/>
    </row>
    <row r="857" spans="1:20" x14ac:dyDescent="0.2">
      <c r="A857" s="253"/>
      <c r="B857" s="101"/>
      <c r="C857" s="101"/>
      <c r="D857" s="101"/>
      <c r="E857" s="101"/>
      <c r="F857" s="101"/>
      <c r="G857" s="101"/>
      <c r="H857" s="101"/>
      <c r="I857" s="101"/>
      <c r="J857" s="102"/>
      <c r="K857" s="102"/>
      <c r="L857" s="101"/>
      <c r="M857" s="101"/>
      <c r="N857" s="101"/>
      <c r="O857" s="101"/>
      <c r="P857" s="101"/>
      <c r="Q857" s="101"/>
      <c r="R857"/>
      <c r="S857"/>
      <c r="T857"/>
    </row>
    <row r="858" spans="1:20" x14ac:dyDescent="0.2">
      <c r="A858" s="253"/>
      <c r="B858" s="101"/>
      <c r="C858" s="101"/>
      <c r="D858" s="101"/>
      <c r="E858" s="101"/>
      <c r="F858" s="101"/>
      <c r="G858" s="101"/>
      <c r="H858" s="101"/>
      <c r="I858" s="101"/>
      <c r="J858" s="102"/>
      <c r="K858" s="102"/>
      <c r="L858" s="101"/>
      <c r="M858" s="101"/>
      <c r="N858" s="101"/>
      <c r="O858" s="101"/>
      <c r="P858" s="101"/>
      <c r="Q858" s="101"/>
      <c r="R858"/>
      <c r="S858"/>
      <c r="T858"/>
    </row>
    <row r="859" spans="1:20" x14ac:dyDescent="0.2">
      <c r="A859" s="253"/>
      <c r="B859" s="101"/>
      <c r="C859" s="101"/>
      <c r="D859" s="101"/>
      <c r="E859" s="101"/>
      <c r="F859" s="101"/>
      <c r="G859" s="101"/>
      <c r="H859" s="101"/>
      <c r="I859" s="101"/>
      <c r="J859" s="102"/>
      <c r="K859" s="102"/>
      <c r="L859" s="101"/>
      <c r="M859" s="101"/>
      <c r="N859" s="101"/>
      <c r="O859" s="101"/>
      <c r="P859" s="101"/>
      <c r="Q859" s="101"/>
      <c r="R859"/>
      <c r="S859"/>
      <c r="T859"/>
    </row>
    <row r="860" spans="1:20" x14ac:dyDescent="0.2">
      <c r="A860" s="253"/>
      <c r="B860" s="101"/>
      <c r="C860" s="101"/>
      <c r="D860" s="101"/>
      <c r="E860" s="101"/>
      <c r="F860" s="101"/>
      <c r="G860" s="101"/>
      <c r="H860" s="101"/>
      <c r="I860" s="101"/>
      <c r="J860" s="102"/>
      <c r="K860" s="102"/>
      <c r="L860" s="101"/>
      <c r="M860" s="101"/>
      <c r="N860" s="101"/>
      <c r="O860" s="101"/>
      <c r="P860" s="101"/>
      <c r="Q860" s="101"/>
      <c r="R860"/>
      <c r="S860"/>
      <c r="T860"/>
    </row>
    <row r="861" spans="1:20" x14ac:dyDescent="0.2">
      <c r="A861" s="253"/>
      <c r="B861" s="101"/>
      <c r="C861" s="101"/>
      <c r="D861" s="101"/>
      <c r="E861" s="101"/>
      <c r="F861" s="101"/>
      <c r="G861" s="101"/>
      <c r="H861" s="101"/>
      <c r="I861" s="101"/>
      <c r="J861" s="102"/>
      <c r="K861" s="102"/>
      <c r="L861" s="101"/>
      <c r="M861" s="101"/>
      <c r="N861" s="101"/>
      <c r="O861" s="101"/>
      <c r="P861" s="101"/>
      <c r="Q861" s="101"/>
      <c r="R861"/>
      <c r="S861"/>
      <c r="T861"/>
    </row>
    <row r="862" spans="1:20" x14ac:dyDescent="0.2">
      <c r="A862" s="253"/>
      <c r="B862" s="101"/>
      <c r="C862" s="101"/>
      <c r="D862" s="101"/>
      <c r="E862" s="101"/>
      <c r="F862" s="101"/>
      <c r="G862" s="101"/>
      <c r="H862" s="101"/>
      <c r="I862" s="101"/>
      <c r="J862" s="102"/>
      <c r="K862" s="102"/>
      <c r="L862" s="101"/>
      <c r="M862" s="101"/>
      <c r="N862" s="101"/>
      <c r="O862" s="101"/>
      <c r="P862" s="101"/>
      <c r="Q862" s="101"/>
      <c r="R862"/>
      <c r="S862"/>
      <c r="T862"/>
    </row>
    <row r="863" spans="1:20" x14ac:dyDescent="0.2">
      <c r="A863" s="253"/>
      <c r="B863" s="101"/>
      <c r="C863" s="101"/>
      <c r="D863" s="101"/>
      <c r="E863" s="101"/>
      <c r="F863" s="101"/>
      <c r="G863" s="101"/>
      <c r="H863" s="101"/>
      <c r="I863" s="101"/>
      <c r="J863" s="102"/>
      <c r="K863" s="102"/>
      <c r="L863" s="101"/>
      <c r="M863" s="101"/>
      <c r="N863" s="101"/>
      <c r="O863" s="101"/>
      <c r="P863" s="101"/>
      <c r="Q863" s="101"/>
      <c r="R863"/>
      <c r="S863"/>
      <c r="T863"/>
    </row>
    <row r="864" spans="1:20" x14ac:dyDescent="0.2">
      <c r="A864" s="253"/>
      <c r="B864" s="101"/>
      <c r="C864" s="101"/>
      <c r="D864" s="101"/>
      <c r="E864" s="101"/>
      <c r="F864" s="101"/>
      <c r="G864" s="101"/>
      <c r="H864" s="101"/>
      <c r="I864" s="101"/>
      <c r="J864" s="102"/>
      <c r="K864" s="102"/>
      <c r="L864" s="101"/>
      <c r="M864" s="101"/>
      <c r="N864" s="101"/>
      <c r="O864" s="101"/>
      <c r="P864" s="101"/>
      <c r="Q864" s="101"/>
      <c r="R864"/>
      <c r="S864"/>
      <c r="T864"/>
    </row>
    <row r="865" spans="1:20" x14ac:dyDescent="0.2">
      <c r="A865" s="253"/>
      <c r="B865" s="101"/>
      <c r="C865" s="101"/>
      <c r="D865" s="101"/>
      <c r="E865" s="101"/>
      <c r="F865" s="101"/>
      <c r="G865" s="101"/>
      <c r="H865" s="101"/>
      <c r="I865" s="101"/>
      <c r="J865" s="102"/>
      <c r="K865" s="102"/>
      <c r="L865" s="101"/>
      <c r="M865" s="101"/>
      <c r="N865" s="101"/>
      <c r="O865" s="101"/>
      <c r="P865" s="101"/>
      <c r="Q865" s="101"/>
      <c r="R865"/>
      <c r="S865"/>
      <c r="T865"/>
    </row>
    <row r="866" spans="1:20" x14ac:dyDescent="0.2">
      <c r="A866" s="253"/>
      <c r="B866" s="101"/>
      <c r="C866" s="101"/>
      <c r="D866" s="101"/>
      <c r="E866" s="101"/>
      <c r="F866" s="101"/>
      <c r="G866" s="101"/>
      <c r="H866" s="101"/>
      <c r="I866" s="101"/>
      <c r="J866" s="102"/>
      <c r="K866" s="102"/>
      <c r="L866" s="101"/>
      <c r="M866" s="101"/>
      <c r="N866" s="101"/>
      <c r="O866" s="101"/>
      <c r="P866" s="101"/>
      <c r="Q866" s="101"/>
      <c r="R866"/>
      <c r="S866"/>
      <c r="T866"/>
    </row>
    <row r="867" spans="1:20" x14ac:dyDescent="0.2">
      <c r="A867" s="253"/>
      <c r="B867" s="101"/>
      <c r="C867" s="101"/>
      <c r="D867" s="101"/>
      <c r="E867" s="101"/>
      <c r="F867" s="101"/>
      <c r="G867" s="101"/>
      <c r="H867" s="101"/>
      <c r="I867" s="101"/>
      <c r="J867" s="102"/>
      <c r="K867" s="102"/>
      <c r="L867" s="101"/>
      <c r="M867" s="101"/>
      <c r="N867" s="101"/>
      <c r="O867" s="101"/>
      <c r="P867" s="101"/>
      <c r="Q867" s="101"/>
      <c r="R867"/>
      <c r="S867"/>
      <c r="T867"/>
    </row>
    <row r="868" spans="1:20" x14ac:dyDescent="0.2">
      <c r="A868" s="253"/>
      <c r="B868" s="101"/>
      <c r="C868" s="101"/>
      <c r="D868" s="101"/>
      <c r="E868" s="101"/>
      <c r="F868" s="101"/>
      <c r="G868" s="101"/>
      <c r="H868" s="101"/>
      <c r="I868" s="101"/>
      <c r="J868" s="102"/>
      <c r="K868" s="102"/>
      <c r="L868" s="101"/>
      <c r="M868" s="101"/>
      <c r="N868" s="101"/>
      <c r="O868" s="101"/>
      <c r="P868" s="101"/>
      <c r="Q868" s="101"/>
      <c r="R868"/>
      <c r="S868"/>
      <c r="T868"/>
    </row>
    <row r="869" spans="1:20" x14ac:dyDescent="0.2">
      <c r="A869" s="253"/>
      <c r="B869" s="101"/>
      <c r="C869" s="101"/>
      <c r="D869" s="101"/>
      <c r="E869" s="101"/>
      <c r="F869" s="101"/>
      <c r="G869" s="101"/>
      <c r="H869" s="101"/>
      <c r="I869" s="101"/>
      <c r="J869" s="102"/>
      <c r="K869" s="102"/>
      <c r="L869" s="101"/>
      <c r="M869" s="101"/>
      <c r="N869" s="101"/>
      <c r="O869" s="101"/>
      <c r="P869" s="101"/>
      <c r="Q869" s="101"/>
      <c r="R869"/>
      <c r="S869"/>
      <c r="T869"/>
    </row>
    <row r="870" spans="1:20" x14ac:dyDescent="0.2">
      <c r="A870" s="253"/>
      <c r="B870" s="101"/>
      <c r="C870" s="101"/>
      <c r="D870" s="101"/>
      <c r="E870" s="101"/>
      <c r="F870" s="101"/>
      <c r="G870" s="101"/>
      <c r="H870" s="101"/>
      <c r="I870" s="101"/>
      <c r="J870" s="102"/>
      <c r="K870" s="102"/>
      <c r="L870" s="101"/>
      <c r="M870" s="101"/>
      <c r="N870" s="101"/>
      <c r="O870" s="101"/>
      <c r="P870" s="101"/>
      <c r="Q870" s="101"/>
      <c r="R870"/>
      <c r="S870"/>
      <c r="T870"/>
    </row>
    <row r="871" spans="1:20" x14ac:dyDescent="0.2">
      <c r="A871" s="253"/>
      <c r="B871" s="101"/>
      <c r="C871" s="101"/>
      <c r="D871" s="101"/>
      <c r="E871" s="101"/>
      <c r="F871" s="101"/>
      <c r="G871" s="101"/>
      <c r="H871" s="101"/>
      <c r="I871" s="101"/>
      <c r="J871" s="102"/>
      <c r="K871" s="102"/>
      <c r="L871" s="101"/>
      <c r="M871" s="101"/>
      <c r="N871" s="101"/>
      <c r="O871" s="101"/>
      <c r="P871" s="101"/>
      <c r="Q871" s="101"/>
      <c r="R871"/>
      <c r="S871"/>
      <c r="T871"/>
    </row>
    <row r="872" spans="1:20" x14ac:dyDescent="0.2">
      <c r="A872" s="253"/>
      <c r="B872" s="101"/>
      <c r="C872" s="101"/>
      <c r="D872" s="101"/>
      <c r="E872" s="101"/>
      <c r="F872" s="101"/>
      <c r="G872" s="101"/>
      <c r="H872" s="101"/>
      <c r="I872" s="101"/>
      <c r="J872" s="102"/>
      <c r="K872" s="102"/>
      <c r="L872" s="101"/>
      <c r="M872" s="101"/>
      <c r="N872" s="101"/>
      <c r="O872" s="101"/>
      <c r="P872" s="101"/>
      <c r="Q872" s="101"/>
      <c r="R872"/>
      <c r="S872"/>
      <c r="T872"/>
    </row>
    <row r="873" spans="1:20" x14ac:dyDescent="0.2">
      <c r="A873" s="253"/>
      <c r="B873" s="101"/>
      <c r="C873" s="101"/>
      <c r="D873" s="101"/>
      <c r="E873" s="101"/>
      <c r="F873" s="101"/>
      <c r="G873" s="101"/>
      <c r="H873" s="101"/>
      <c r="I873" s="101"/>
      <c r="J873" s="102"/>
      <c r="K873" s="102"/>
      <c r="L873" s="101"/>
      <c r="M873" s="101"/>
      <c r="N873" s="101"/>
      <c r="O873" s="101"/>
      <c r="P873" s="101"/>
      <c r="Q873" s="101"/>
      <c r="R873"/>
      <c r="S873"/>
      <c r="T873"/>
    </row>
    <row r="874" spans="1:20" x14ac:dyDescent="0.2">
      <c r="A874" s="253"/>
      <c r="B874" s="101"/>
      <c r="C874" s="101"/>
      <c r="D874" s="101"/>
      <c r="E874" s="101"/>
      <c r="F874" s="101"/>
      <c r="G874" s="101"/>
      <c r="H874" s="101"/>
      <c r="I874" s="101"/>
      <c r="J874" s="102"/>
      <c r="K874" s="102"/>
      <c r="L874" s="101"/>
      <c r="M874" s="101"/>
      <c r="N874" s="101"/>
      <c r="O874" s="101"/>
      <c r="P874" s="101"/>
      <c r="Q874" s="101"/>
      <c r="R874"/>
      <c r="S874"/>
      <c r="T874"/>
    </row>
    <row r="875" spans="1:20" x14ac:dyDescent="0.2">
      <c r="A875" s="253"/>
      <c r="B875" s="101"/>
      <c r="C875" s="101"/>
      <c r="D875" s="101"/>
      <c r="E875" s="101"/>
      <c r="F875" s="101"/>
      <c r="G875" s="101"/>
      <c r="H875" s="101"/>
      <c r="I875" s="101"/>
      <c r="J875" s="102"/>
      <c r="K875" s="102"/>
      <c r="L875" s="101"/>
      <c r="M875" s="101"/>
      <c r="N875" s="101"/>
      <c r="O875" s="101"/>
      <c r="P875" s="101"/>
      <c r="Q875" s="101"/>
      <c r="R875"/>
      <c r="S875"/>
      <c r="T875"/>
    </row>
    <row r="876" spans="1:20" x14ac:dyDescent="0.2">
      <c r="A876" s="253"/>
      <c r="B876" s="101"/>
      <c r="C876" s="101"/>
      <c r="D876" s="101"/>
      <c r="E876" s="101"/>
      <c r="F876" s="101"/>
      <c r="G876" s="101"/>
      <c r="H876" s="101"/>
      <c r="I876" s="101"/>
      <c r="J876" s="102"/>
      <c r="K876" s="102"/>
      <c r="L876" s="101"/>
      <c r="M876" s="101"/>
      <c r="N876" s="101"/>
      <c r="O876" s="101"/>
      <c r="P876" s="101"/>
      <c r="Q876" s="101"/>
      <c r="R876"/>
      <c r="S876"/>
      <c r="T876"/>
    </row>
    <row r="877" spans="1:20" x14ac:dyDescent="0.2">
      <c r="A877" s="253"/>
      <c r="B877" s="101"/>
      <c r="C877" s="101"/>
      <c r="D877" s="101"/>
      <c r="E877" s="101"/>
      <c r="F877" s="101"/>
      <c r="G877" s="101"/>
      <c r="H877" s="101"/>
      <c r="I877" s="101"/>
      <c r="J877" s="102"/>
      <c r="K877" s="102"/>
      <c r="L877" s="101"/>
      <c r="M877" s="101"/>
      <c r="N877" s="101"/>
      <c r="O877" s="101"/>
      <c r="P877" s="101"/>
      <c r="Q877" s="101"/>
      <c r="R877"/>
      <c r="S877"/>
      <c r="T877"/>
    </row>
    <row r="878" spans="1:20" x14ac:dyDescent="0.2">
      <c r="A878" s="253"/>
      <c r="B878" s="101"/>
      <c r="C878" s="101"/>
      <c r="D878" s="101"/>
      <c r="E878" s="101"/>
      <c r="F878" s="101"/>
      <c r="G878" s="101"/>
      <c r="H878" s="101"/>
      <c r="I878" s="101"/>
      <c r="J878" s="102"/>
      <c r="K878" s="102"/>
      <c r="L878" s="101"/>
      <c r="M878" s="101"/>
      <c r="N878" s="101"/>
      <c r="O878" s="101"/>
      <c r="P878" s="101"/>
      <c r="Q878" s="101"/>
      <c r="R878"/>
      <c r="S878"/>
      <c r="T878"/>
    </row>
    <row r="879" spans="1:20" x14ac:dyDescent="0.2">
      <c r="A879" s="253"/>
      <c r="B879" s="101"/>
      <c r="C879" s="101"/>
      <c r="D879" s="101"/>
      <c r="E879" s="101"/>
      <c r="F879" s="101"/>
      <c r="G879" s="101"/>
      <c r="H879" s="101"/>
      <c r="I879" s="101"/>
      <c r="J879" s="102"/>
      <c r="K879" s="102"/>
      <c r="L879" s="101"/>
      <c r="M879" s="101"/>
      <c r="N879" s="101"/>
      <c r="O879" s="101"/>
      <c r="P879" s="101"/>
      <c r="Q879" s="101"/>
      <c r="R879"/>
      <c r="S879"/>
      <c r="T879"/>
    </row>
    <row r="880" spans="1:20" x14ac:dyDescent="0.2">
      <c r="A880" s="253"/>
      <c r="B880" s="101"/>
      <c r="C880" s="101"/>
      <c r="D880" s="101"/>
      <c r="E880" s="101"/>
      <c r="F880" s="101"/>
      <c r="G880" s="101"/>
      <c r="H880" s="101"/>
      <c r="I880" s="101"/>
      <c r="J880" s="102"/>
      <c r="K880" s="102"/>
      <c r="L880" s="101"/>
      <c r="M880" s="101"/>
      <c r="N880" s="101"/>
      <c r="O880" s="101"/>
      <c r="P880" s="101"/>
      <c r="Q880" s="101"/>
      <c r="R880"/>
      <c r="S880"/>
      <c r="T880"/>
    </row>
    <row r="881" spans="1:20" x14ac:dyDescent="0.2">
      <c r="A881" s="253"/>
      <c r="B881" s="101"/>
      <c r="C881" s="101"/>
      <c r="D881" s="101"/>
      <c r="E881" s="101"/>
      <c r="F881" s="101"/>
      <c r="G881" s="101"/>
      <c r="H881" s="101"/>
      <c r="I881" s="101"/>
      <c r="J881" s="102"/>
      <c r="K881" s="102"/>
      <c r="L881" s="101"/>
      <c r="M881" s="101"/>
      <c r="N881" s="101"/>
      <c r="O881" s="101"/>
      <c r="P881" s="101"/>
      <c r="Q881" s="101"/>
      <c r="R881"/>
      <c r="S881"/>
      <c r="T881"/>
    </row>
    <row r="882" spans="1:20" x14ac:dyDescent="0.2">
      <c r="A882" s="253"/>
      <c r="B882" s="101"/>
      <c r="C882" s="101"/>
      <c r="D882" s="101"/>
      <c r="E882" s="101"/>
      <c r="F882" s="101"/>
      <c r="G882" s="101"/>
      <c r="H882" s="101"/>
      <c r="I882" s="101"/>
      <c r="J882" s="102"/>
      <c r="K882" s="102"/>
      <c r="L882" s="101"/>
      <c r="M882" s="101"/>
      <c r="N882" s="101"/>
      <c r="O882" s="101"/>
      <c r="P882" s="101"/>
      <c r="Q882" s="101"/>
      <c r="R882"/>
      <c r="S882"/>
      <c r="T882"/>
    </row>
    <row r="883" spans="1:20" x14ac:dyDescent="0.2">
      <c r="A883" s="253"/>
      <c r="B883" s="101"/>
      <c r="C883" s="101"/>
      <c r="D883" s="101"/>
      <c r="E883" s="101"/>
      <c r="F883" s="101"/>
      <c r="G883" s="101"/>
      <c r="H883" s="101"/>
      <c r="I883" s="101"/>
      <c r="J883" s="102"/>
      <c r="K883" s="102"/>
      <c r="L883" s="101"/>
      <c r="M883" s="101"/>
      <c r="N883" s="101"/>
      <c r="O883" s="101"/>
      <c r="P883" s="101"/>
      <c r="Q883" s="101"/>
      <c r="R883"/>
      <c r="S883"/>
      <c r="T883"/>
    </row>
    <row r="884" spans="1:20" x14ac:dyDescent="0.2">
      <c r="A884" s="253"/>
      <c r="B884" s="101"/>
      <c r="C884" s="101"/>
      <c r="D884" s="101"/>
      <c r="E884" s="101"/>
      <c r="F884" s="101"/>
      <c r="G884" s="101"/>
      <c r="H884" s="101"/>
      <c r="I884" s="101"/>
      <c r="J884" s="102"/>
      <c r="K884" s="102"/>
      <c r="L884" s="101"/>
      <c r="M884" s="101"/>
      <c r="N884" s="101"/>
      <c r="O884" s="101"/>
      <c r="P884" s="101"/>
      <c r="Q884" s="101"/>
      <c r="R884"/>
      <c r="S884"/>
      <c r="T884"/>
    </row>
    <row r="885" spans="1:20" x14ac:dyDescent="0.2">
      <c r="A885" s="253"/>
      <c r="B885" s="101"/>
      <c r="C885" s="101"/>
      <c r="D885" s="101"/>
      <c r="E885" s="101"/>
      <c r="F885" s="101"/>
      <c r="G885" s="101"/>
      <c r="H885" s="101"/>
      <c r="I885" s="101"/>
      <c r="J885" s="102"/>
      <c r="K885" s="102"/>
      <c r="L885" s="101"/>
      <c r="M885" s="101"/>
      <c r="N885" s="101"/>
      <c r="O885" s="101"/>
      <c r="P885" s="101"/>
      <c r="Q885" s="101"/>
      <c r="R885"/>
      <c r="S885"/>
      <c r="T885"/>
    </row>
    <row r="886" spans="1:20" x14ac:dyDescent="0.2">
      <c r="A886" s="253"/>
      <c r="B886" s="101"/>
      <c r="C886" s="101"/>
      <c r="D886" s="101"/>
      <c r="E886" s="101"/>
      <c r="F886" s="101"/>
      <c r="G886" s="101"/>
      <c r="H886" s="101"/>
      <c r="I886" s="101"/>
      <c r="J886" s="102"/>
      <c r="K886" s="102"/>
      <c r="L886" s="101"/>
      <c r="M886" s="101"/>
      <c r="N886" s="101"/>
      <c r="O886" s="101"/>
      <c r="P886" s="101"/>
      <c r="Q886" s="101"/>
      <c r="R886"/>
      <c r="S886"/>
      <c r="T886"/>
    </row>
    <row r="887" spans="1:20" x14ac:dyDescent="0.2">
      <c r="A887" s="253"/>
      <c r="B887" s="101"/>
      <c r="C887" s="101"/>
      <c r="D887" s="101"/>
      <c r="E887" s="101"/>
      <c r="F887" s="101"/>
      <c r="G887" s="101"/>
      <c r="H887" s="101"/>
      <c r="I887" s="101"/>
      <c r="J887" s="102"/>
      <c r="K887" s="102"/>
      <c r="L887" s="101"/>
      <c r="M887" s="101"/>
      <c r="N887" s="101"/>
      <c r="O887" s="101"/>
      <c r="P887" s="101"/>
      <c r="Q887" s="101"/>
      <c r="R887"/>
      <c r="S887"/>
      <c r="T887"/>
    </row>
    <row r="888" spans="1:20" x14ac:dyDescent="0.2">
      <c r="A888" s="253"/>
      <c r="B888" s="101"/>
      <c r="C888" s="101"/>
      <c r="D888" s="101"/>
      <c r="E888" s="101"/>
      <c r="F888" s="101"/>
      <c r="G888" s="101"/>
      <c r="H888" s="101"/>
      <c r="I888" s="101"/>
      <c r="J888" s="102"/>
      <c r="K888" s="102"/>
      <c r="L888" s="101"/>
      <c r="M888" s="101"/>
      <c r="N888" s="101"/>
      <c r="O888" s="101"/>
      <c r="P888" s="101"/>
      <c r="Q888" s="101"/>
      <c r="R888"/>
      <c r="S888"/>
      <c r="T888"/>
    </row>
    <row r="889" spans="1:20" x14ac:dyDescent="0.2">
      <c r="A889" s="253"/>
      <c r="B889" s="101"/>
      <c r="C889" s="101"/>
      <c r="D889" s="101"/>
      <c r="E889" s="101"/>
      <c r="F889" s="101"/>
      <c r="G889" s="101"/>
      <c r="H889" s="101"/>
      <c r="I889" s="101"/>
      <c r="J889" s="102"/>
      <c r="K889" s="102"/>
      <c r="L889" s="101"/>
      <c r="M889" s="101"/>
      <c r="N889" s="101"/>
      <c r="O889" s="101"/>
      <c r="P889" s="101"/>
      <c r="Q889" s="101"/>
      <c r="R889"/>
      <c r="S889"/>
      <c r="T889"/>
    </row>
    <row r="890" spans="1:20" x14ac:dyDescent="0.2">
      <c r="A890" s="253"/>
      <c r="B890" s="101"/>
      <c r="C890" s="101"/>
      <c r="D890" s="101"/>
      <c r="E890" s="101"/>
      <c r="F890" s="101"/>
      <c r="G890" s="101"/>
      <c r="H890" s="101"/>
      <c r="I890" s="101"/>
      <c r="J890" s="102"/>
      <c r="K890" s="102"/>
      <c r="L890" s="101"/>
      <c r="M890" s="101"/>
      <c r="N890" s="101"/>
      <c r="O890" s="101"/>
      <c r="P890" s="101"/>
      <c r="Q890" s="101"/>
      <c r="R890"/>
      <c r="S890"/>
      <c r="T890"/>
    </row>
    <row r="891" spans="1:20" x14ac:dyDescent="0.2">
      <c r="A891" s="253"/>
      <c r="B891" s="101"/>
      <c r="C891" s="101"/>
      <c r="D891" s="101"/>
      <c r="E891" s="101"/>
      <c r="F891" s="101"/>
      <c r="G891" s="101"/>
      <c r="H891" s="101"/>
      <c r="I891" s="101"/>
      <c r="J891" s="102"/>
      <c r="K891" s="102"/>
      <c r="L891" s="101"/>
      <c r="M891" s="101"/>
      <c r="N891" s="101"/>
      <c r="O891" s="101"/>
      <c r="P891" s="101"/>
      <c r="Q891" s="101"/>
      <c r="R891"/>
      <c r="S891"/>
      <c r="T891"/>
    </row>
    <row r="892" spans="1:20" x14ac:dyDescent="0.2">
      <c r="A892" s="253"/>
      <c r="B892" s="101"/>
      <c r="C892" s="101"/>
      <c r="D892" s="101"/>
      <c r="E892" s="101"/>
      <c r="F892" s="101"/>
      <c r="G892" s="101"/>
      <c r="H892" s="101"/>
      <c r="I892" s="101"/>
      <c r="J892" s="102"/>
      <c r="K892" s="102"/>
      <c r="L892" s="101"/>
      <c r="M892" s="101"/>
      <c r="N892" s="101"/>
      <c r="O892" s="101"/>
      <c r="P892" s="101"/>
      <c r="Q892" s="101"/>
      <c r="R892"/>
      <c r="S892"/>
      <c r="T892"/>
    </row>
    <row r="893" spans="1:20" x14ac:dyDescent="0.2">
      <c r="A893" s="253"/>
      <c r="B893" s="101"/>
      <c r="C893" s="101"/>
      <c r="D893" s="101"/>
      <c r="E893" s="101"/>
      <c r="F893" s="101"/>
      <c r="G893" s="101"/>
      <c r="H893" s="101"/>
      <c r="I893" s="101"/>
      <c r="J893" s="102"/>
      <c r="K893" s="102"/>
      <c r="L893" s="101"/>
      <c r="M893" s="101"/>
      <c r="N893" s="101"/>
      <c r="O893" s="101"/>
      <c r="P893" s="101"/>
      <c r="Q893" s="101"/>
      <c r="R893"/>
      <c r="S893"/>
      <c r="T893"/>
    </row>
    <row r="894" spans="1:20" x14ac:dyDescent="0.2">
      <c r="A894" s="253"/>
      <c r="B894" s="101"/>
      <c r="C894" s="101"/>
      <c r="D894" s="101"/>
      <c r="E894" s="101"/>
      <c r="F894" s="101"/>
      <c r="G894" s="101"/>
      <c r="H894" s="101"/>
      <c r="I894" s="101"/>
      <c r="J894" s="102"/>
      <c r="K894" s="102"/>
      <c r="L894" s="101"/>
      <c r="M894" s="101"/>
      <c r="N894" s="101"/>
      <c r="O894" s="101"/>
      <c r="P894" s="101"/>
      <c r="Q894" s="101"/>
      <c r="R894"/>
      <c r="S894"/>
      <c r="T894"/>
    </row>
    <row r="895" spans="1:20" x14ac:dyDescent="0.2">
      <c r="A895" s="253"/>
      <c r="B895" s="101"/>
      <c r="C895" s="101"/>
      <c r="D895" s="101"/>
      <c r="E895" s="101"/>
      <c r="F895" s="101"/>
      <c r="G895" s="101"/>
      <c r="H895" s="101"/>
      <c r="I895" s="101"/>
      <c r="J895" s="102"/>
      <c r="K895" s="102"/>
      <c r="L895" s="101"/>
      <c r="M895" s="101"/>
      <c r="N895" s="101"/>
      <c r="O895" s="101"/>
      <c r="P895" s="101"/>
      <c r="Q895" s="101"/>
      <c r="R895"/>
      <c r="S895"/>
      <c r="T895"/>
    </row>
    <row r="896" spans="1:20" x14ac:dyDescent="0.2">
      <c r="A896" s="253"/>
      <c r="B896" s="101"/>
      <c r="C896" s="101"/>
      <c r="D896" s="101"/>
      <c r="E896" s="101"/>
      <c r="F896" s="101"/>
      <c r="G896" s="101"/>
      <c r="H896" s="101"/>
      <c r="I896" s="101"/>
      <c r="J896" s="101"/>
      <c r="K896" s="101"/>
      <c r="L896" s="101"/>
      <c r="M896" s="101"/>
      <c r="N896" s="101"/>
      <c r="O896" s="101"/>
      <c r="P896" s="101"/>
      <c r="Q896" s="101"/>
      <c r="R896"/>
      <c r="S896"/>
      <c r="T896"/>
    </row>
    <row r="897" spans="1:20" x14ac:dyDescent="0.2">
      <c r="A897" s="253"/>
      <c r="B897" s="101"/>
      <c r="C897" s="101"/>
      <c r="D897" s="101"/>
      <c r="E897" s="101"/>
      <c r="F897" s="101"/>
      <c r="G897" s="101"/>
      <c r="H897" s="101"/>
      <c r="I897" s="101"/>
      <c r="J897" s="101"/>
      <c r="K897" s="101"/>
      <c r="L897" s="101"/>
      <c r="M897" s="101"/>
      <c r="N897" s="101"/>
      <c r="O897" s="101"/>
      <c r="P897" s="101"/>
      <c r="Q897" s="101"/>
      <c r="R897"/>
      <c r="S897"/>
      <c r="T897"/>
    </row>
    <row r="898" spans="1:20" x14ac:dyDescent="0.2">
      <c r="A898" s="253"/>
      <c r="B898" s="101"/>
      <c r="C898" s="101"/>
      <c r="D898" s="101"/>
      <c r="E898" s="101"/>
      <c r="F898" s="101"/>
      <c r="G898" s="101"/>
      <c r="H898" s="101"/>
      <c r="I898" s="101"/>
      <c r="J898" s="101"/>
      <c r="K898" s="101"/>
      <c r="L898" s="101"/>
      <c r="M898" s="101"/>
      <c r="N898" s="101"/>
      <c r="O898" s="101"/>
      <c r="P898" s="101"/>
      <c r="Q898" s="101"/>
      <c r="R898"/>
      <c r="S898"/>
      <c r="T898"/>
    </row>
    <row r="899" spans="1:20" x14ac:dyDescent="0.2">
      <c r="A899" s="253"/>
      <c r="B899" s="101"/>
      <c r="C899" s="101"/>
      <c r="D899" s="101"/>
      <c r="E899" s="101"/>
      <c r="F899" s="101"/>
      <c r="G899" s="101"/>
      <c r="H899" s="101"/>
      <c r="I899" s="101"/>
      <c r="J899" s="101"/>
      <c r="K899" s="101"/>
      <c r="L899" s="101"/>
      <c r="M899" s="101"/>
      <c r="N899" s="101"/>
      <c r="O899" s="101"/>
      <c r="P899" s="101"/>
      <c r="Q899" s="101"/>
      <c r="R899"/>
      <c r="S899"/>
      <c r="T899"/>
    </row>
    <row r="900" spans="1:20" x14ac:dyDescent="0.2">
      <c r="A900" s="253"/>
      <c r="B900" s="101"/>
      <c r="C900" s="101"/>
      <c r="D900" s="101"/>
      <c r="E900" s="101"/>
      <c r="F900" s="101"/>
      <c r="G900" s="101"/>
      <c r="H900" s="101"/>
      <c r="I900" s="101"/>
      <c r="J900" s="101"/>
      <c r="K900" s="101"/>
      <c r="L900" s="101"/>
      <c r="M900" s="101"/>
      <c r="N900" s="101"/>
      <c r="O900" s="101"/>
      <c r="P900" s="101"/>
      <c r="Q900" s="101"/>
      <c r="R900"/>
      <c r="S900"/>
      <c r="T900"/>
    </row>
    <row r="901" spans="1:20" x14ac:dyDescent="0.2">
      <c r="A901" s="253"/>
      <c r="B901" s="101"/>
      <c r="C901" s="101"/>
      <c r="D901" s="101"/>
      <c r="E901" s="101"/>
      <c r="F901" s="101"/>
      <c r="G901" s="101"/>
      <c r="H901" s="101"/>
      <c r="I901" s="101"/>
      <c r="J901" s="101"/>
      <c r="K901" s="101"/>
      <c r="L901" s="101"/>
      <c r="M901" s="101"/>
      <c r="N901" s="101"/>
      <c r="O901" s="101"/>
      <c r="P901" s="101"/>
      <c r="Q901" s="101"/>
      <c r="R901"/>
      <c r="S901"/>
      <c r="T901"/>
    </row>
    <row r="902" spans="1:20" x14ac:dyDescent="0.2">
      <c r="A902" s="253"/>
      <c r="B902" s="101"/>
      <c r="C902" s="101"/>
      <c r="D902" s="101"/>
      <c r="E902" s="101"/>
      <c r="F902" s="101"/>
      <c r="G902" s="101"/>
      <c r="H902" s="101"/>
      <c r="I902" s="101"/>
      <c r="J902" s="101"/>
      <c r="K902" s="101"/>
      <c r="L902" s="101"/>
      <c r="M902" s="101"/>
      <c r="N902" s="101"/>
      <c r="O902" s="101"/>
      <c r="P902" s="101"/>
      <c r="Q902" s="101"/>
      <c r="R902"/>
      <c r="S902"/>
      <c r="T902"/>
    </row>
    <row r="903" spans="1:20" x14ac:dyDescent="0.2">
      <c r="A903" s="253"/>
      <c r="B903" s="101"/>
      <c r="C903" s="101"/>
      <c r="D903" s="101"/>
      <c r="E903" s="101"/>
      <c r="F903" s="101"/>
      <c r="G903" s="101"/>
      <c r="H903" s="101"/>
      <c r="I903" s="101"/>
      <c r="J903" s="101"/>
      <c r="K903" s="101"/>
      <c r="L903" s="101"/>
      <c r="M903" s="101"/>
      <c r="N903" s="101"/>
      <c r="O903" s="101"/>
      <c r="P903" s="101"/>
      <c r="Q903" s="101"/>
      <c r="R903"/>
      <c r="S903"/>
      <c r="T903"/>
    </row>
    <row r="904" spans="1:20" x14ac:dyDescent="0.2">
      <c r="A904" s="253"/>
      <c r="B904" s="101"/>
      <c r="C904" s="101"/>
      <c r="D904" s="101"/>
      <c r="E904" s="101"/>
      <c r="F904" s="101"/>
      <c r="G904" s="101"/>
      <c r="H904" s="101"/>
      <c r="I904" s="101"/>
      <c r="J904" s="101"/>
      <c r="K904" s="101"/>
      <c r="L904" s="101"/>
      <c r="M904" s="101"/>
      <c r="N904" s="101"/>
      <c r="O904" s="101"/>
      <c r="P904" s="101"/>
      <c r="Q904" s="101"/>
      <c r="R904"/>
      <c r="S904"/>
      <c r="T904"/>
    </row>
    <row r="905" spans="1:20" x14ac:dyDescent="0.2">
      <c r="A905" s="253"/>
      <c r="B905" s="101"/>
      <c r="C905" s="101"/>
      <c r="D905" s="101"/>
      <c r="E905" s="101"/>
      <c r="F905" s="101"/>
      <c r="G905" s="101"/>
      <c r="H905" s="101"/>
      <c r="I905" s="101"/>
      <c r="J905" s="101"/>
      <c r="K905" s="101"/>
      <c r="L905" s="101"/>
      <c r="M905" s="101"/>
      <c r="N905" s="101"/>
      <c r="O905" s="101"/>
      <c r="P905" s="101"/>
      <c r="Q905" s="101"/>
      <c r="R905"/>
      <c r="S905"/>
      <c r="T905"/>
    </row>
    <row r="906" spans="1:20" x14ac:dyDescent="0.2">
      <c r="A906" s="253"/>
      <c r="B906" s="101"/>
      <c r="C906" s="101"/>
      <c r="D906" s="101"/>
      <c r="E906" s="101"/>
      <c r="F906" s="101"/>
      <c r="G906" s="101"/>
      <c r="H906" s="101"/>
      <c r="I906" s="101"/>
      <c r="J906" s="101"/>
      <c r="K906" s="101"/>
      <c r="L906" s="101"/>
      <c r="M906" s="101"/>
      <c r="N906" s="101"/>
      <c r="O906" s="101"/>
      <c r="P906" s="101"/>
      <c r="Q906" s="101"/>
      <c r="R906"/>
      <c r="S906"/>
      <c r="T906"/>
    </row>
    <row r="907" spans="1:20" x14ac:dyDescent="0.2">
      <c r="A907" s="253"/>
      <c r="B907" s="101"/>
      <c r="C907" s="101"/>
      <c r="D907" s="101"/>
      <c r="E907" s="101"/>
      <c r="F907" s="101"/>
      <c r="G907" s="101"/>
      <c r="H907" s="101"/>
      <c r="I907" s="101"/>
      <c r="J907" s="101"/>
      <c r="K907" s="101"/>
      <c r="L907" s="101"/>
      <c r="M907" s="101"/>
      <c r="N907" s="101"/>
      <c r="O907" s="101"/>
      <c r="P907" s="101"/>
      <c r="Q907" s="101"/>
      <c r="R907"/>
      <c r="S907"/>
      <c r="T907"/>
    </row>
    <row r="908" spans="1:20" x14ac:dyDescent="0.2">
      <c r="A908" s="253"/>
      <c r="B908" s="101"/>
      <c r="C908" s="101"/>
      <c r="D908" s="101"/>
      <c r="E908" s="101"/>
      <c r="F908" s="101"/>
      <c r="G908" s="101"/>
      <c r="H908" s="101"/>
      <c r="I908" s="101"/>
      <c r="J908" s="101"/>
      <c r="K908" s="101"/>
      <c r="L908" s="101"/>
      <c r="M908" s="101"/>
      <c r="N908" s="101"/>
      <c r="O908" s="101"/>
      <c r="P908" s="101"/>
      <c r="Q908" s="101"/>
      <c r="R908"/>
      <c r="S908"/>
      <c r="T908"/>
    </row>
    <row r="909" spans="1:20" x14ac:dyDescent="0.2">
      <c r="A909" s="253"/>
      <c r="B909" s="101"/>
      <c r="C909" s="101"/>
      <c r="D909" s="101"/>
      <c r="E909" s="101"/>
      <c r="F909" s="101"/>
      <c r="G909" s="101"/>
      <c r="H909" s="101"/>
      <c r="I909" s="101"/>
      <c r="J909" s="101"/>
      <c r="K909" s="101"/>
      <c r="L909" s="101"/>
      <c r="M909" s="101"/>
      <c r="N909" s="101"/>
      <c r="O909" s="101"/>
      <c r="P909" s="101"/>
      <c r="Q909" s="101"/>
      <c r="R909"/>
      <c r="S909"/>
      <c r="T909"/>
    </row>
    <row r="910" spans="1:20" x14ac:dyDescent="0.2">
      <c r="A910" s="253"/>
      <c r="B910" s="101"/>
      <c r="C910" s="101"/>
      <c r="D910" s="101"/>
      <c r="E910" s="101"/>
      <c r="F910" s="101"/>
      <c r="G910" s="101"/>
      <c r="H910" s="101"/>
      <c r="I910" s="101"/>
      <c r="J910" s="101"/>
      <c r="K910" s="101"/>
      <c r="L910" s="101"/>
      <c r="M910" s="101"/>
      <c r="N910" s="101"/>
      <c r="O910" s="101"/>
      <c r="P910" s="101"/>
      <c r="Q910" s="101"/>
      <c r="R910"/>
      <c r="S910"/>
      <c r="T910"/>
    </row>
    <row r="911" spans="1:20" x14ac:dyDescent="0.2">
      <c r="A911" s="253"/>
      <c r="B911" s="101"/>
      <c r="C911" s="101"/>
      <c r="D911" s="101"/>
      <c r="E911" s="101"/>
      <c r="F911" s="101"/>
      <c r="G911" s="101"/>
      <c r="H911" s="101"/>
      <c r="I911" s="101"/>
      <c r="J911" s="101"/>
      <c r="K911" s="101"/>
      <c r="L911" s="101"/>
      <c r="M911" s="101"/>
      <c r="N911" s="101"/>
      <c r="O911" s="101"/>
      <c r="P911" s="101"/>
      <c r="Q911" s="101"/>
      <c r="R911"/>
      <c r="S911"/>
      <c r="T911"/>
    </row>
    <row r="912" spans="1:20" x14ac:dyDescent="0.2">
      <c r="A912" s="253"/>
      <c r="B912" s="101"/>
      <c r="C912" s="101"/>
      <c r="D912" s="101"/>
      <c r="E912" s="101"/>
      <c r="F912" s="101"/>
      <c r="G912" s="101"/>
      <c r="H912" s="101"/>
      <c r="I912" s="101"/>
      <c r="J912" s="101"/>
      <c r="K912" s="101"/>
      <c r="L912" s="101"/>
      <c r="M912" s="101"/>
      <c r="N912" s="101"/>
      <c r="O912" s="101"/>
      <c r="P912" s="101"/>
      <c r="Q912" s="101"/>
      <c r="R912"/>
      <c r="S912"/>
      <c r="T912"/>
    </row>
    <row r="913" spans="1:20" x14ac:dyDescent="0.2">
      <c r="A913" s="253"/>
      <c r="B913" s="101"/>
      <c r="C913" s="101"/>
      <c r="D913" s="101"/>
      <c r="E913" s="101"/>
      <c r="F913" s="101"/>
      <c r="G913" s="101"/>
      <c r="H913" s="101"/>
      <c r="I913" s="101"/>
      <c r="J913" s="101"/>
      <c r="K913" s="101"/>
      <c r="L913" s="101"/>
      <c r="M913" s="101"/>
      <c r="N913" s="101"/>
      <c r="O913" s="101"/>
      <c r="P913" s="101"/>
      <c r="Q913" s="101"/>
      <c r="R913"/>
      <c r="S913"/>
      <c r="T913"/>
    </row>
    <row r="914" spans="1:20" x14ac:dyDescent="0.2">
      <c r="A914" s="253"/>
      <c r="B914" s="101"/>
      <c r="C914" s="101"/>
      <c r="D914" s="101"/>
      <c r="E914" s="101"/>
      <c r="F914" s="101"/>
      <c r="G914" s="101"/>
      <c r="H914" s="101"/>
      <c r="I914" s="101"/>
      <c r="J914" s="101"/>
      <c r="K914" s="101"/>
      <c r="L914" s="101"/>
      <c r="M914" s="101"/>
      <c r="N914" s="101"/>
      <c r="O914" s="101"/>
      <c r="P914" s="101"/>
      <c r="Q914" s="101"/>
      <c r="R914"/>
      <c r="S914"/>
      <c r="T914"/>
    </row>
    <row r="915" spans="1:20" x14ac:dyDescent="0.2">
      <c r="A915" s="253"/>
      <c r="B915" s="101"/>
      <c r="C915" s="101"/>
      <c r="D915" s="101"/>
      <c r="E915" s="101"/>
      <c r="F915" s="101"/>
      <c r="G915" s="101"/>
      <c r="H915" s="101"/>
      <c r="I915" s="101"/>
      <c r="J915" s="101"/>
      <c r="K915" s="101"/>
      <c r="L915" s="101"/>
      <c r="M915" s="101"/>
      <c r="N915" s="101"/>
      <c r="O915" s="101"/>
      <c r="P915" s="101"/>
      <c r="Q915" s="101"/>
      <c r="R915"/>
      <c r="S915"/>
      <c r="T915"/>
    </row>
    <row r="916" spans="1:20" x14ac:dyDescent="0.2">
      <c r="A916" s="253"/>
      <c r="B916" s="101"/>
      <c r="C916" s="101"/>
      <c r="D916" s="101"/>
      <c r="E916" s="101"/>
      <c r="F916" s="101"/>
      <c r="G916" s="101"/>
      <c r="H916" s="101"/>
      <c r="I916" s="101"/>
      <c r="J916" s="101"/>
      <c r="K916" s="101"/>
      <c r="L916" s="101"/>
      <c r="M916" s="101"/>
      <c r="N916" s="101"/>
      <c r="O916" s="101"/>
      <c r="P916" s="101"/>
      <c r="Q916" s="101"/>
      <c r="R916"/>
      <c r="S916"/>
      <c r="T916"/>
    </row>
    <row r="917" spans="1:20" x14ac:dyDescent="0.2">
      <c r="A917" s="253"/>
      <c r="B917" s="101"/>
      <c r="C917" s="101"/>
      <c r="D917" s="101"/>
      <c r="E917" s="101"/>
      <c r="F917" s="101"/>
      <c r="G917" s="101"/>
      <c r="H917" s="101"/>
      <c r="I917" s="101"/>
      <c r="J917" s="101"/>
      <c r="K917" s="101"/>
      <c r="L917" s="101"/>
      <c r="M917" s="101"/>
      <c r="N917" s="101"/>
      <c r="O917" s="101"/>
      <c r="P917" s="101"/>
      <c r="Q917" s="101"/>
      <c r="R917"/>
      <c r="S917"/>
      <c r="T917"/>
    </row>
    <row r="918" spans="1:20" x14ac:dyDescent="0.2">
      <c r="A918" s="253"/>
      <c r="B918" s="101"/>
      <c r="C918" s="101"/>
      <c r="D918" s="101"/>
      <c r="E918" s="101"/>
      <c r="F918" s="101"/>
      <c r="G918" s="101"/>
      <c r="H918" s="101"/>
      <c r="I918" s="101"/>
      <c r="J918" s="101"/>
      <c r="K918" s="101"/>
      <c r="L918" s="101"/>
      <c r="M918" s="101"/>
      <c r="N918" s="101"/>
      <c r="O918" s="101"/>
      <c r="P918" s="101"/>
      <c r="Q918" s="101"/>
      <c r="R918"/>
      <c r="S918"/>
      <c r="T918"/>
    </row>
    <row r="919" spans="1:20" x14ac:dyDescent="0.2">
      <c r="A919" s="253"/>
      <c r="B919" s="101"/>
      <c r="C919" s="101"/>
      <c r="D919" s="101"/>
      <c r="E919" s="101"/>
      <c r="F919" s="101"/>
      <c r="G919" s="101"/>
      <c r="H919" s="101"/>
      <c r="I919" s="101"/>
      <c r="J919" s="101"/>
      <c r="K919" s="101"/>
      <c r="L919" s="101"/>
      <c r="M919" s="101"/>
      <c r="N919" s="101"/>
      <c r="O919" s="101"/>
      <c r="P919" s="101"/>
      <c r="Q919" s="101"/>
      <c r="R919"/>
      <c r="S919"/>
      <c r="T919"/>
    </row>
    <row r="920" spans="1:20" x14ac:dyDescent="0.2">
      <c r="A920" s="253"/>
      <c r="B920" s="101"/>
      <c r="C920" s="101"/>
      <c r="D920" s="101"/>
      <c r="E920" s="101"/>
      <c r="F920" s="101"/>
      <c r="G920" s="101"/>
      <c r="H920" s="101"/>
      <c r="I920" s="101"/>
      <c r="J920" s="101"/>
      <c r="K920" s="101"/>
      <c r="L920" s="101"/>
      <c r="M920" s="101"/>
      <c r="N920" s="101"/>
      <c r="O920" s="101"/>
      <c r="P920" s="101"/>
      <c r="Q920" s="101"/>
      <c r="R920"/>
      <c r="S920"/>
      <c r="T920"/>
    </row>
    <row r="921" spans="1:20" x14ac:dyDescent="0.2">
      <c r="A921" s="253"/>
      <c r="B921" s="101"/>
      <c r="C921" s="101"/>
      <c r="D921" s="101"/>
      <c r="E921" s="101"/>
      <c r="F921" s="101"/>
      <c r="G921" s="101"/>
      <c r="H921" s="101"/>
      <c r="I921" s="101"/>
      <c r="J921" s="101"/>
      <c r="K921" s="101"/>
      <c r="L921" s="101"/>
      <c r="M921" s="101"/>
      <c r="N921" s="101"/>
      <c r="O921" s="101"/>
      <c r="P921" s="101"/>
      <c r="Q921" s="101"/>
      <c r="R921"/>
      <c r="S921"/>
      <c r="T921"/>
    </row>
    <row r="922" spans="1:20" x14ac:dyDescent="0.2">
      <c r="A922" s="253"/>
      <c r="B922" s="101"/>
      <c r="C922" s="101"/>
      <c r="D922" s="101"/>
      <c r="E922" s="101"/>
      <c r="F922" s="101"/>
      <c r="G922" s="101"/>
      <c r="H922" s="101"/>
      <c r="I922" s="101"/>
      <c r="J922" s="101"/>
      <c r="K922" s="101"/>
      <c r="L922" s="101"/>
      <c r="M922" s="101"/>
      <c r="N922" s="101"/>
      <c r="O922" s="101"/>
      <c r="P922" s="101"/>
      <c r="Q922" s="101"/>
      <c r="R922"/>
      <c r="S922"/>
      <c r="T922"/>
    </row>
    <row r="923" spans="1:20" x14ac:dyDescent="0.2">
      <c r="A923" s="253"/>
      <c r="B923" s="101"/>
      <c r="C923" s="101"/>
      <c r="D923" s="101"/>
      <c r="E923" s="101"/>
      <c r="F923" s="101"/>
      <c r="G923" s="101"/>
      <c r="H923" s="101"/>
      <c r="I923" s="101"/>
      <c r="J923" s="101"/>
      <c r="K923" s="101"/>
      <c r="L923" s="101"/>
      <c r="M923" s="101"/>
      <c r="N923" s="101"/>
      <c r="O923" s="101"/>
      <c r="P923" s="101"/>
      <c r="Q923" s="101"/>
      <c r="R923"/>
      <c r="S923"/>
      <c r="T923"/>
    </row>
    <row r="924" spans="1:20" x14ac:dyDescent="0.2">
      <c r="A924" s="253"/>
      <c r="B924" s="101"/>
      <c r="C924" s="101"/>
      <c r="D924" s="101"/>
      <c r="E924" s="101"/>
      <c r="F924" s="101"/>
      <c r="G924" s="101"/>
      <c r="H924" s="101"/>
      <c r="I924" s="101"/>
      <c r="J924" s="101"/>
      <c r="K924" s="101"/>
      <c r="L924" s="101"/>
      <c r="M924" s="101"/>
      <c r="N924" s="101"/>
      <c r="O924" s="101"/>
      <c r="P924" s="101"/>
      <c r="Q924" s="101"/>
      <c r="R924"/>
      <c r="S924"/>
      <c r="T924"/>
    </row>
    <row r="925" spans="1:20" x14ac:dyDescent="0.2">
      <c r="A925" s="253"/>
      <c r="B925" s="101"/>
      <c r="C925" s="101"/>
      <c r="D925" s="101"/>
      <c r="E925" s="101"/>
      <c r="F925" s="101"/>
      <c r="G925" s="101"/>
      <c r="H925" s="101"/>
      <c r="I925" s="101"/>
      <c r="J925" s="101"/>
      <c r="K925" s="101"/>
      <c r="L925" s="101"/>
      <c r="M925" s="101"/>
      <c r="N925" s="101"/>
      <c r="O925" s="101"/>
      <c r="P925" s="101"/>
      <c r="Q925" s="101"/>
      <c r="R925"/>
      <c r="S925"/>
      <c r="T925"/>
    </row>
    <row r="926" spans="1:20" x14ac:dyDescent="0.2">
      <c r="A926" s="253"/>
      <c r="B926" s="101"/>
      <c r="C926" s="101"/>
      <c r="D926" s="101"/>
      <c r="E926" s="101"/>
      <c r="F926" s="101"/>
      <c r="G926" s="101"/>
      <c r="H926" s="101"/>
      <c r="I926" s="101"/>
      <c r="J926" s="101"/>
      <c r="K926" s="101"/>
      <c r="L926" s="101"/>
      <c r="M926" s="101"/>
      <c r="N926" s="101"/>
      <c r="O926" s="101"/>
      <c r="P926" s="101"/>
      <c r="Q926" s="101"/>
      <c r="R926"/>
      <c r="S926"/>
      <c r="T926"/>
    </row>
    <row r="927" spans="1:20" x14ac:dyDescent="0.2">
      <c r="A927" s="253"/>
      <c r="B927" s="101"/>
      <c r="C927" s="101"/>
      <c r="D927" s="101"/>
      <c r="E927" s="101"/>
      <c r="F927" s="101"/>
      <c r="G927" s="101"/>
      <c r="H927" s="101"/>
      <c r="I927" s="101"/>
      <c r="J927" s="101"/>
      <c r="K927" s="101"/>
      <c r="L927" s="101"/>
      <c r="M927" s="101"/>
      <c r="N927" s="101"/>
      <c r="O927" s="101"/>
      <c r="P927" s="101"/>
      <c r="Q927" s="101"/>
      <c r="R927"/>
      <c r="S927"/>
      <c r="T927"/>
    </row>
    <row r="928" spans="1:20" x14ac:dyDescent="0.2">
      <c r="A928" s="253"/>
      <c r="B928" s="101"/>
      <c r="C928" s="101"/>
      <c r="D928" s="101"/>
      <c r="E928" s="101"/>
      <c r="F928" s="101"/>
      <c r="G928" s="101"/>
      <c r="H928" s="101"/>
      <c r="I928" s="101"/>
      <c r="J928" s="101"/>
      <c r="K928" s="101"/>
      <c r="L928" s="101"/>
      <c r="M928" s="101"/>
      <c r="N928" s="101"/>
      <c r="O928" s="101"/>
      <c r="P928" s="101"/>
      <c r="Q928" s="101"/>
      <c r="R928"/>
      <c r="S928"/>
      <c r="T928"/>
    </row>
    <row r="929" spans="1:20" x14ac:dyDescent="0.2">
      <c r="A929" s="253"/>
      <c r="B929" s="101"/>
      <c r="C929" s="101"/>
      <c r="D929" s="101"/>
      <c r="E929" s="101"/>
      <c r="F929" s="101"/>
      <c r="G929" s="101"/>
      <c r="H929" s="101"/>
      <c r="I929" s="101"/>
      <c r="J929" s="101"/>
      <c r="K929" s="101"/>
      <c r="L929" s="101"/>
      <c r="M929" s="101"/>
      <c r="N929" s="101"/>
      <c r="O929" s="101"/>
      <c r="P929" s="101"/>
      <c r="Q929" s="101"/>
      <c r="R929"/>
      <c r="S929"/>
      <c r="T929"/>
    </row>
    <row r="930" spans="1:20" x14ac:dyDescent="0.2">
      <c r="A930" s="253"/>
      <c r="B930" s="101"/>
      <c r="C930" s="101"/>
      <c r="D930" s="101"/>
      <c r="E930" s="101"/>
      <c r="F930" s="101"/>
      <c r="G930" s="101"/>
      <c r="H930" s="101"/>
      <c r="I930" s="101"/>
      <c r="J930" s="101"/>
      <c r="K930" s="101"/>
      <c r="L930" s="101"/>
      <c r="M930" s="101"/>
      <c r="N930" s="101"/>
      <c r="O930" s="101"/>
      <c r="P930" s="101"/>
      <c r="Q930" s="101"/>
      <c r="R930"/>
      <c r="S930"/>
      <c r="T930"/>
    </row>
    <row r="931" spans="1:20" x14ac:dyDescent="0.2">
      <c r="A931" s="253"/>
      <c r="B931" s="101"/>
      <c r="C931" s="101"/>
      <c r="D931" s="101"/>
      <c r="E931" s="101"/>
      <c r="F931" s="101"/>
      <c r="G931" s="101"/>
      <c r="H931" s="101"/>
      <c r="I931" s="101"/>
      <c r="J931" s="101"/>
      <c r="K931" s="101"/>
      <c r="L931" s="101"/>
      <c r="M931" s="101"/>
      <c r="N931" s="101"/>
      <c r="O931" s="101"/>
      <c r="P931" s="101"/>
      <c r="Q931" s="101"/>
      <c r="R931"/>
      <c r="S931"/>
      <c r="T931"/>
    </row>
    <row r="932" spans="1:20" x14ac:dyDescent="0.2">
      <c r="A932" s="253"/>
      <c r="B932" s="101"/>
      <c r="C932" s="101"/>
      <c r="D932" s="101"/>
      <c r="E932" s="101"/>
      <c r="F932" s="101"/>
      <c r="G932" s="101"/>
      <c r="H932" s="101"/>
      <c r="I932" s="101"/>
      <c r="J932" s="101"/>
      <c r="K932" s="101"/>
      <c r="L932" s="101"/>
      <c r="M932" s="101"/>
      <c r="N932" s="101"/>
      <c r="O932" s="101"/>
      <c r="P932" s="101"/>
      <c r="Q932" s="101"/>
      <c r="R932"/>
      <c r="S932"/>
      <c r="T932"/>
    </row>
    <row r="933" spans="1:20" x14ac:dyDescent="0.2">
      <c r="A933" s="253"/>
      <c r="B933" s="101"/>
      <c r="C933" s="101"/>
      <c r="D933" s="101"/>
      <c r="E933" s="101"/>
      <c r="F933" s="101"/>
      <c r="G933" s="101"/>
      <c r="H933" s="101"/>
      <c r="I933" s="101"/>
      <c r="J933" s="101"/>
      <c r="K933" s="101"/>
      <c r="L933" s="101"/>
      <c r="M933" s="101"/>
      <c r="N933" s="101"/>
      <c r="O933" s="101"/>
      <c r="P933" s="101"/>
      <c r="Q933" s="101"/>
      <c r="R933"/>
      <c r="S933"/>
      <c r="T933"/>
    </row>
    <row r="934" spans="1:20" x14ac:dyDescent="0.2">
      <c r="A934" s="253"/>
      <c r="B934" s="101"/>
      <c r="C934" s="101"/>
      <c r="D934" s="101"/>
      <c r="E934" s="101"/>
      <c r="F934" s="101"/>
      <c r="G934" s="101"/>
      <c r="H934" s="101"/>
      <c r="I934" s="101"/>
      <c r="J934" s="101"/>
      <c r="K934" s="101"/>
      <c r="L934" s="101"/>
      <c r="M934" s="101"/>
      <c r="N934" s="101"/>
      <c r="O934" s="101"/>
      <c r="P934" s="101"/>
      <c r="Q934" s="101"/>
      <c r="R934"/>
      <c r="S934"/>
      <c r="T934"/>
    </row>
    <row r="935" spans="1:20" x14ac:dyDescent="0.2">
      <c r="A935" s="253"/>
      <c r="B935" s="101"/>
      <c r="C935" s="101"/>
      <c r="D935" s="101"/>
      <c r="E935" s="101"/>
      <c r="F935" s="101"/>
      <c r="G935" s="101"/>
      <c r="H935" s="101"/>
      <c r="I935" s="101"/>
      <c r="J935" s="101"/>
      <c r="K935" s="101"/>
      <c r="L935" s="101"/>
      <c r="M935" s="101"/>
      <c r="N935" s="101"/>
      <c r="O935" s="101"/>
      <c r="P935" s="101"/>
      <c r="Q935" s="101"/>
      <c r="R935"/>
      <c r="S935"/>
      <c r="T935"/>
    </row>
    <row r="936" spans="1:20" x14ac:dyDescent="0.2">
      <c r="A936" s="253"/>
      <c r="B936" s="101"/>
      <c r="C936" s="101"/>
      <c r="D936" s="101"/>
      <c r="E936" s="101"/>
      <c r="F936" s="101"/>
      <c r="G936" s="101"/>
      <c r="H936" s="101"/>
      <c r="I936" s="101"/>
      <c r="J936" s="101"/>
      <c r="K936" s="101"/>
      <c r="L936" s="101"/>
      <c r="M936" s="101"/>
      <c r="N936" s="101"/>
      <c r="O936" s="101"/>
      <c r="P936" s="101"/>
      <c r="Q936" s="101"/>
      <c r="R936"/>
      <c r="S936"/>
      <c r="T936"/>
    </row>
    <row r="937" spans="1:20" x14ac:dyDescent="0.2">
      <c r="A937" s="253"/>
      <c r="B937" s="101"/>
      <c r="C937" s="101"/>
      <c r="D937" s="101"/>
      <c r="E937" s="101"/>
      <c r="F937" s="101"/>
      <c r="G937" s="101"/>
      <c r="H937" s="101"/>
      <c r="I937" s="101"/>
      <c r="J937" s="101"/>
      <c r="K937" s="101"/>
      <c r="L937" s="101"/>
      <c r="M937" s="101"/>
      <c r="N937" s="101"/>
      <c r="O937" s="101"/>
      <c r="P937" s="101"/>
      <c r="Q937" s="101"/>
      <c r="R937"/>
      <c r="S937"/>
      <c r="T937"/>
    </row>
    <row r="938" spans="1:20" x14ac:dyDescent="0.2">
      <c r="A938" s="253"/>
      <c r="B938" s="101"/>
      <c r="C938" s="101"/>
      <c r="D938" s="101"/>
      <c r="E938" s="101"/>
      <c r="F938" s="101"/>
      <c r="G938" s="101"/>
      <c r="H938" s="101"/>
      <c r="I938" s="101"/>
      <c r="J938" s="101"/>
      <c r="K938" s="101"/>
      <c r="L938" s="101"/>
      <c r="M938" s="101"/>
      <c r="N938" s="101"/>
      <c r="O938" s="101"/>
      <c r="P938" s="101"/>
      <c r="Q938" s="101"/>
      <c r="R938"/>
      <c r="S938"/>
      <c r="T938"/>
    </row>
    <row r="939" spans="1:20" x14ac:dyDescent="0.2">
      <c r="A939" s="253"/>
      <c r="B939" s="101"/>
      <c r="C939" s="101"/>
      <c r="D939" s="101"/>
      <c r="E939" s="101"/>
      <c r="F939" s="101"/>
      <c r="G939" s="101"/>
      <c r="H939" s="101"/>
      <c r="I939" s="101"/>
      <c r="J939" s="101"/>
      <c r="K939" s="101"/>
      <c r="L939" s="101"/>
      <c r="M939" s="101"/>
      <c r="N939" s="101"/>
      <c r="O939" s="101"/>
      <c r="P939" s="101"/>
      <c r="Q939" s="101"/>
      <c r="R939"/>
      <c r="S939"/>
      <c r="T939"/>
    </row>
    <row r="940" spans="1:20" x14ac:dyDescent="0.2">
      <c r="A940" s="253"/>
      <c r="B940" s="101"/>
      <c r="C940" s="101"/>
      <c r="D940" s="101"/>
      <c r="E940" s="101"/>
      <c r="F940" s="101"/>
      <c r="G940" s="101"/>
      <c r="H940" s="101"/>
      <c r="I940" s="101"/>
      <c r="J940" s="101"/>
      <c r="K940" s="101"/>
      <c r="L940" s="101"/>
      <c r="M940" s="101"/>
      <c r="N940" s="101"/>
      <c r="O940" s="101"/>
      <c r="P940" s="101"/>
      <c r="Q940" s="101"/>
      <c r="R940"/>
      <c r="S940"/>
      <c r="T940"/>
    </row>
    <row r="941" spans="1:20" x14ac:dyDescent="0.2">
      <c r="A941" s="253"/>
      <c r="B941" s="101"/>
      <c r="C941" s="101"/>
      <c r="D941" s="101"/>
      <c r="E941" s="101"/>
      <c r="F941" s="101"/>
      <c r="G941" s="101"/>
      <c r="H941" s="101"/>
      <c r="I941" s="101"/>
      <c r="J941" s="101"/>
      <c r="K941" s="101"/>
      <c r="L941" s="101"/>
      <c r="M941" s="101"/>
      <c r="N941" s="101"/>
      <c r="O941" s="101"/>
      <c r="P941" s="101"/>
      <c r="Q941" s="101"/>
      <c r="R941"/>
      <c r="S941"/>
      <c r="T941"/>
    </row>
    <row r="942" spans="1:20" x14ac:dyDescent="0.2">
      <c r="A942" s="253"/>
      <c r="B942" s="101"/>
      <c r="C942" s="101"/>
      <c r="D942" s="101"/>
      <c r="E942" s="101"/>
      <c r="F942" s="101"/>
      <c r="G942" s="101"/>
      <c r="H942" s="101"/>
      <c r="I942" s="101"/>
      <c r="J942" s="101"/>
      <c r="K942" s="101"/>
      <c r="L942" s="101"/>
      <c r="M942" s="101"/>
      <c r="N942" s="101"/>
      <c r="O942" s="101"/>
      <c r="P942" s="101"/>
      <c r="Q942" s="101"/>
      <c r="R942"/>
      <c r="S942"/>
      <c r="T942"/>
    </row>
    <row r="943" spans="1:20" x14ac:dyDescent="0.2">
      <c r="A943" s="253"/>
      <c r="B943" s="101"/>
      <c r="C943" s="101"/>
      <c r="D943" s="101"/>
      <c r="E943" s="101"/>
      <c r="F943" s="101"/>
      <c r="G943" s="101"/>
      <c r="H943" s="101"/>
      <c r="I943" s="101"/>
      <c r="J943" s="101"/>
      <c r="K943" s="101"/>
      <c r="L943" s="101"/>
      <c r="M943" s="101"/>
      <c r="N943" s="101"/>
      <c r="O943" s="101"/>
      <c r="P943" s="101"/>
      <c r="Q943" s="101"/>
      <c r="R943"/>
      <c r="S943"/>
      <c r="T943"/>
    </row>
    <row r="944" spans="1:20" x14ac:dyDescent="0.2">
      <c r="A944" s="253"/>
      <c r="B944" s="101"/>
      <c r="C944" s="101"/>
      <c r="D944" s="101"/>
      <c r="E944" s="101"/>
      <c r="F944" s="101"/>
      <c r="G944" s="101"/>
      <c r="H944" s="101"/>
      <c r="I944" s="101"/>
      <c r="J944" s="101"/>
      <c r="K944" s="101"/>
      <c r="L944" s="101"/>
      <c r="M944" s="101"/>
      <c r="N944" s="101"/>
      <c r="O944" s="101"/>
      <c r="P944" s="101"/>
      <c r="Q944" s="101"/>
      <c r="R944"/>
      <c r="S944"/>
      <c r="T944"/>
    </row>
    <row r="945" spans="1:20" x14ac:dyDescent="0.2">
      <c r="A945" s="253"/>
      <c r="B945" s="101"/>
      <c r="C945" s="101"/>
      <c r="D945" s="101"/>
      <c r="E945" s="101"/>
      <c r="F945" s="101"/>
      <c r="G945" s="101"/>
      <c r="H945" s="101"/>
      <c r="I945" s="101"/>
      <c r="J945" s="101"/>
      <c r="K945" s="101"/>
      <c r="L945" s="101"/>
      <c r="M945" s="101"/>
      <c r="N945" s="101"/>
      <c r="O945" s="101"/>
      <c r="P945" s="101"/>
      <c r="Q945" s="101"/>
      <c r="R945"/>
      <c r="S945"/>
      <c r="T945"/>
    </row>
    <row r="946" spans="1:20" x14ac:dyDescent="0.2">
      <c r="A946" s="253"/>
      <c r="B946" s="101"/>
      <c r="C946" s="101"/>
      <c r="D946" s="101"/>
      <c r="E946" s="101"/>
      <c r="F946" s="101"/>
      <c r="G946" s="101"/>
      <c r="H946" s="101"/>
      <c r="I946" s="101"/>
      <c r="J946" s="101"/>
      <c r="K946" s="101"/>
      <c r="L946" s="101"/>
      <c r="M946" s="101"/>
      <c r="N946" s="101"/>
      <c r="O946" s="101"/>
      <c r="P946" s="101"/>
      <c r="Q946" s="101"/>
      <c r="R946"/>
      <c r="S946"/>
      <c r="T946"/>
    </row>
    <row r="947" spans="1:20" x14ac:dyDescent="0.2">
      <c r="A947" s="253"/>
      <c r="B947" s="101"/>
      <c r="C947" s="101"/>
      <c r="D947" s="101"/>
      <c r="E947" s="101"/>
      <c r="F947" s="101"/>
      <c r="G947" s="101"/>
      <c r="H947" s="101"/>
      <c r="I947" s="101"/>
      <c r="J947" s="101"/>
      <c r="K947" s="101"/>
      <c r="L947" s="101"/>
      <c r="M947" s="101"/>
      <c r="N947" s="101"/>
      <c r="O947" s="101"/>
      <c r="P947" s="101"/>
      <c r="Q947" s="101"/>
      <c r="R947"/>
      <c r="S947"/>
      <c r="T947"/>
    </row>
    <row r="948" spans="1:20" x14ac:dyDescent="0.2">
      <c r="A948" s="253"/>
      <c r="B948" s="101"/>
      <c r="C948" s="101"/>
      <c r="D948" s="101"/>
      <c r="E948" s="101"/>
      <c r="F948" s="101"/>
      <c r="G948" s="101"/>
      <c r="H948" s="101"/>
      <c r="I948" s="101"/>
      <c r="J948" s="101"/>
      <c r="K948" s="101"/>
      <c r="L948" s="101"/>
      <c r="M948" s="101"/>
      <c r="N948" s="101"/>
      <c r="O948" s="101"/>
      <c r="P948" s="101"/>
      <c r="Q948" s="101"/>
      <c r="R948"/>
      <c r="S948"/>
      <c r="T948"/>
    </row>
    <row r="949" spans="1:20" x14ac:dyDescent="0.2">
      <c r="A949" s="253"/>
      <c r="B949" s="101"/>
      <c r="C949" s="101"/>
      <c r="D949" s="101"/>
      <c r="E949" s="101"/>
      <c r="F949" s="101"/>
      <c r="G949" s="101"/>
      <c r="H949" s="101"/>
      <c r="I949" s="101"/>
      <c r="J949" s="101"/>
      <c r="K949" s="101"/>
      <c r="L949" s="101"/>
      <c r="M949" s="101"/>
      <c r="N949" s="101"/>
      <c r="O949" s="101"/>
      <c r="P949" s="101"/>
      <c r="Q949" s="101"/>
      <c r="R949"/>
      <c r="S949"/>
      <c r="T949"/>
    </row>
    <row r="950" spans="1:20" x14ac:dyDescent="0.2">
      <c r="A950" s="253"/>
      <c r="B950" s="101"/>
      <c r="C950" s="101"/>
      <c r="D950" s="101"/>
      <c r="E950" s="101"/>
      <c r="F950" s="101"/>
      <c r="G950" s="101"/>
      <c r="H950" s="101"/>
      <c r="I950" s="101"/>
      <c r="J950" s="101"/>
      <c r="K950" s="101"/>
      <c r="L950" s="101"/>
      <c r="M950" s="101"/>
      <c r="N950" s="101"/>
      <c r="O950" s="101"/>
      <c r="P950" s="101"/>
      <c r="Q950" s="101"/>
      <c r="R950"/>
      <c r="S950"/>
      <c r="T950"/>
    </row>
    <row r="951" spans="1:20" x14ac:dyDescent="0.2">
      <c r="A951" s="253"/>
      <c r="B951" s="101"/>
      <c r="C951" s="101"/>
      <c r="D951" s="101"/>
      <c r="E951" s="101"/>
      <c r="F951" s="101"/>
      <c r="G951" s="101"/>
      <c r="H951" s="101"/>
      <c r="I951" s="101"/>
      <c r="J951" s="101"/>
      <c r="K951" s="101"/>
      <c r="L951" s="101"/>
      <c r="M951" s="101"/>
      <c r="N951" s="101"/>
      <c r="O951" s="101"/>
      <c r="P951" s="101"/>
      <c r="Q951" s="101"/>
      <c r="R951"/>
      <c r="S951"/>
      <c r="T951"/>
    </row>
    <row r="952" spans="1:20" x14ac:dyDescent="0.2">
      <c r="A952" s="253"/>
      <c r="B952" s="101"/>
      <c r="C952" s="101"/>
      <c r="D952" s="101"/>
      <c r="E952" s="101"/>
      <c r="F952" s="101"/>
      <c r="G952" s="101"/>
      <c r="H952" s="101"/>
      <c r="I952" s="101"/>
      <c r="J952" s="101"/>
      <c r="K952" s="101"/>
      <c r="L952" s="101"/>
      <c r="M952" s="101"/>
      <c r="N952" s="101"/>
      <c r="O952" s="101"/>
      <c r="P952" s="101"/>
      <c r="Q952" s="101"/>
      <c r="R952"/>
      <c r="S952"/>
      <c r="T952"/>
    </row>
    <row r="953" spans="1:20" x14ac:dyDescent="0.2">
      <c r="A953" s="253"/>
      <c r="B953" s="101"/>
      <c r="C953" s="101"/>
      <c r="D953" s="101"/>
      <c r="E953" s="101"/>
      <c r="F953" s="101"/>
      <c r="G953" s="101"/>
      <c r="H953" s="101"/>
      <c r="I953" s="101"/>
      <c r="J953" s="101"/>
      <c r="K953" s="101"/>
      <c r="L953" s="101"/>
      <c r="M953" s="101"/>
      <c r="N953" s="101"/>
      <c r="O953" s="101"/>
      <c r="P953" s="101"/>
      <c r="Q953" s="101"/>
      <c r="R953"/>
      <c r="S953"/>
      <c r="T953"/>
    </row>
    <row r="954" spans="1:20" x14ac:dyDescent="0.2">
      <c r="A954" s="253"/>
      <c r="B954" s="101"/>
      <c r="C954" s="101"/>
      <c r="D954" s="101"/>
      <c r="E954" s="101"/>
      <c r="F954" s="101"/>
      <c r="G954" s="101"/>
      <c r="H954" s="101"/>
      <c r="I954" s="101"/>
      <c r="J954" s="101"/>
      <c r="K954" s="101"/>
      <c r="L954" s="101"/>
      <c r="M954" s="101"/>
      <c r="N954" s="101"/>
      <c r="O954" s="101"/>
      <c r="P954" s="101"/>
      <c r="Q954" s="101"/>
      <c r="R954"/>
      <c r="S954"/>
      <c r="T954"/>
    </row>
    <row r="955" spans="1:20" x14ac:dyDescent="0.2">
      <c r="A955" s="253"/>
      <c r="B955" s="101"/>
      <c r="C955" s="101"/>
      <c r="D955" s="101"/>
      <c r="E955" s="101"/>
      <c r="F955" s="101"/>
      <c r="G955" s="101"/>
      <c r="H955" s="101"/>
      <c r="I955" s="101"/>
      <c r="J955" s="101"/>
      <c r="K955" s="101"/>
      <c r="L955" s="101"/>
      <c r="M955" s="101"/>
      <c r="N955" s="101"/>
      <c r="O955" s="101"/>
      <c r="P955" s="101"/>
      <c r="Q955" s="101"/>
      <c r="R955"/>
      <c r="S955"/>
      <c r="T955"/>
    </row>
    <row r="956" spans="1:20" x14ac:dyDescent="0.2">
      <c r="A956" s="253"/>
      <c r="B956" s="101"/>
      <c r="C956" s="101"/>
      <c r="D956" s="101"/>
      <c r="E956" s="101"/>
      <c r="F956" s="101"/>
      <c r="G956" s="101"/>
      <c r="H956" s="101"/>
      <c r="I956" s="101"/>
      <c r="J956" s="101"/>
      <c r="K956" s="101"/>
      <c r="L956" s="101"/>
      <c r="M956" s="101"/>
      <c r="N956" s="101"/>
      <c r="O956" s="101"/>
      <c r="P956" s="101"/>
      <c r="Q956" s="101"/>
      <c r="R956"/>
      <c r="S956"/>
      <c r="T956"/>
    </row>
    <row r="957" spans="1:20" x14ac:dyDescent="0.2">
      <c r="A957" s="253"/>
      <c r="B957" s="101"/>
      <c r="C957" s="101"/>
      <c r="D957" s="101"/>
      <c r="E957" s="101"/>
      <c r="F957" s="101"/>
      <c r="G957" s="101"/>
      <c r="H957" s="101"/>
      <c r="I957" s="101"/>
      <c r="J957" s="101"/>
      <c r="K957" s="101"/>
      <c r="L957" s="101"/>
      <c r="M957" s="101"/>
      <c r="N957" s="101"/>
      <c r="O957" s="101"/>
      <c r="P957" s="101"/>
      <c r="Q957" s="101"/>
      <c r="R957"/>
      <c r="S957"/>
      <c r="T957"/>
    </row>
    <row r="958" spans="1:20" x14ac:dyDescent="0.2">
      <c r="A958" s="253"/>
      <c r="B958" s="101"/>
      <c r="C958" s="101"/>
      <c r="D958" s="101"/>
      <c r="E958" s="101"/>
      <c r="F958" s="101"/>
      <c r="G958" s="101"/>
      <c r="H958" s="101"/>
      <c r="I958" s="101"/>
      <c r="J958" s="101"/>
      <c r="K958" s="101"/>
      <c r="L958" s="101"/>
      <c r="M958" s="101"/>
      <c r="N958" s="101"/>
      <c r="O958" s="101"/>
      <c r="P958" s="101"/>
      <c r="Q958" s="101"/>
      <c r="R958"/>
      <c r="S958"/>
      <c r="T958"/>
    </row>
    <row r="959" spans="1:20" x14ac:dyDescent="0.2">
      <c r="A959" s="253"/>
      <c r="B959" s="101"/>
      <c r="C959" s="101"/>
      <c r="D959" s="101"/>
      <c r="E959" s="101"/>
      <c r="F959" s="101"/>
      <c r="G959" s="101"/>
      <c r="H959" s="101"/>
      <c r="I959" s="101"/>
      <c r="J959" s="101"/>
      <c r="K959" s="101"/>
      <c r="L959" s="101"/>
      <c r="M959" s="101"/>
      <c r="N959" s="101"/>
      <c r="O959" s="101"/>
      <c r="P959" s="101"/>
      <c r="Q959" s="101"/>
      <c r="R959"/>
      <c r="S959"/>
      <c r="T959"/>
    </row>
    <row r="960" spans="1:20" x14ac:dyDescent="0.2">
      <c r="A960" s="253"/>
      <c r="B960" s="101"/>
      <c r="C960" s="101"/>
      <c r="D960" s="101"/>
      <c r="E960" s="101"/>
      <c r="F960" s="101"/>
      <c r="G960" s="101"/>
      <c r="H960" s="101"/>
      <c r="I960" s="101"/>
      <c r="J960" s="101"/>
      <c r="K960" s="101"/>
      <c r="L960" s="101"/>
      <c r="M960" s="101"/>
      <c r="N960" s="101"/>
      <c r="O960" s="101"/>
      <c r="P960" s="101"/>
      <c r="Q960" s="101"/>
      <c r="R960"/>
      <c r="S960"/>
      <c r="T960"/>
    </row>
    <row r="961" spans="1:20" x14ac:dyDescent="0.2">
      <c r="A961" s="253"/>
      <c r="B961" s="101"/>
      <c r="C961" s="101"/>
      <c r="D961" s="101"/>
      <c r="E961" s="101"/>
      <c r="F961" s="101"/>
      <c r="G961" s="101"/>
      <c r="H961" s="101"/>
      <c r="I961" s="101"/>
      <c r="J961" s="101"/>
      <c r="K961" s="101"/>
      <c r="L961" s="101"/>
      <c r="M961" s="101"/>
      <c r="N961" s="101"/>
      <c r="O961" s="101"/>
      <c r="P961" s="101"/>
      <c r="Q961" s="101"/>
      <c r="R961"/>
      <c r="S961"/>
      <c r="T961"/>
    </row>
    <row r="962" spans="1:20" x14ac:dyDescent="0.2">
      <c r="A962" s="253"/>
      <c r="B962" s="101"/>
      <c r="C962" s="101"/>
      <c r="D962" s="101"/>
      <c r="E962" s="101"/>
      <c r="F962" s="101"/>
      <c r="G962" s="101"/>
      <c r="H962" s="101"/>
      <c r="I962" s="101"/>
      <c r="J962" s="101"/>
      <c r="K962" s="101"/>
      <c r="L962" s="101"/>
      <c r="M962" s="101"/>
      <c r="N962" s="101"/>
      <c r="O962" s="101"/>
      <c r="P962" s="101"/>
      <c r="Q962" s="101"/>
      <c r="R962"/>
      <c r="S962"/>
      <c r="T962"/>
    </row>
    <row r="963" spans="1:20" x14ac:dyDescent="0.2">
      <c r="A963" s="253"/>
      <c r="B963" s="101"/>
      <c r="C963" s="101"/>
      <c r="D963" s="101"/>
      <c r="E963" s="101"/>
      <c r="F963" s="101"/>
      <c r="G963" s="101"/>
      <c r="H963" s="101"/>
      <c r="I963" s="101"/>
      <c r="J963" s="101"/>
      <c r="K963" s="101"/>
      <c r="L963" s="101"/>
      <c r="M963" s="101"/>
      <c r="N963" s="101"/>
      <c r="O963" s="101"/>
      <c r="P963" s="101"/>
      <c r="Q963" s="101"/>
      <c r="R963"/>
      <c r="S963"/>
      <c r="T963"/>
    </row>
    <row r="964" spans="1:20" x14ac:dyDescent="0.2">
      <c r="A964" s="253"/>
      <c r="B964" s="101"/>
      <c r="C964" s="101"/>
      <c r="D964" s="101"/>
      <c r="E964" s="101"/>
      <c r="F964" s="101"/>
      <c r="G964" s="101"/>
      <c r="H964" s="101"/>
      <c r="I964" s="101"/>
      <c r="J964" s="101"/>
      <c r="K964" s="101"/>
      <c r="L964" s="101"/>
      <c r="M964" s="101"/>
      <c r="N964" s="101"/>
      <c r="O964" s="101"/>
      <c r="P964" s="101"/>
      <c r="Q964" s="101"/>
      <c r="R964"/>
      <c r="S964"/>
      <c r="T964"/>
    </row>
    <row r="965" spans="1:20" x14ac:dyDescent="0.2">
      <c r="A965" s="253"/>
      <c r="B965" s="101"/>
      <c r="C965" s="101"/>
      <c r="D965" s="101"/>
      <c r="E965" s="101"/>
      <c r="F965" s="101"/>
      <c r="G965" s="101"/>
      <c r="H965" s="101"/>
      <c r="I965" s="101"/>
      <c r="J965" s="101"/>
      <c r="K965" s="101"/>
      <c r="L965" s="101"/>
      <c r="M965" s="101"/>
      <c r="N965" s="101"/>
      <c r="O965" s="101"/>
      <c r="P965" s="101"/>
      <c r="Q965" s="101"/>
      <c r="R965"/>
      <c r="S965"/>
      <c r="T965"/>
    </row>
    <row r="966" spans="1:20" x14ac:dyDescent="0.2">
      <c r="A966" s="253"/>
      <c r="B966" s="101"/>
      <c r="C966" s="101"/>
      <c r="D966" s="101"/>
      <c r="E966" s="101"/>
      <c r="F966" s="101"/>
      <c r="G966" s="101"/>
      <c r="H966" s="101"/>
      <c r="I966" s="101"/>
      <c r="J966" s="101"/>
      <c r="K966" s="101"/>
      <c r="L966" s="101"/>
      <c r="M966" s="101"/>
      <c r="N966" s="101"/>
      <c r="O966" s="101"/>
      <c r="P966" s="101"/>
      <c r="Q966" s="101"/>
      <c r="R966"/>
      <c r="S966"/>
      <c r="T966"/>
    </row>
    <row r="967" spans="1:20" x14ac:dyDescent="0.2">
      <c r="A967" s="253"/>
      <c r="B967" s="101"/>
      <c r="C967" s="101"/>
      <c r="D967" s="101"/>
      <c r="E967" s="101"/>
      <c r="F967" s="101"/>
      <c r="G967" s="101"/>
      <c r="H967" s="101"/>
      <c r="I967" s="101"/>
      <c r="J967" s="101"/>
      <c r="K967" s="101"/>
      <c r="L967" s="101"/>
      <c r="M967" s="101"/>
      <c r="N967" s="101"/>
      <c r="O967" s="101"/>
      <c r="P967" s="101"/>
      <c r="Q967" s="101"/>
      <c r="R967"/>
      <c r="S967"/>
      <c r="T967"/>
    </row>
    <row r="968" spans="1:20" x14ac:dyDescent="0.2">
      <c r="A968" s="253"/>
      <c r="B968" s="101"/>
      <c r="C968" s="101"/>
      <c r="D968" s="101"/>
      <c r="E968" s="101"/>
      <c r="F968" s="101"/>
      <c r="G968" s="101"/>
      <c r="H968" s="101"/>
      <c r="I968" s="101"/>
      <c r="J968" s="101"/>
      <c r="K968" s="101"/>
      <c r="L968" s="101"/>
      <c r="M968" s="101"/>
      <c r="N968" s="101"/>
      <c r="O968" s="101"/>
      <c r="P968" s="101"/>
      <c r="Q968" s="101"/>
      <c r="R968"/>
      <c r="S968"/>
      <c r="T968"/>
    </row>
    <row r="969" spans="1:20" x14ac:dyDescent="0.2">
      <c r="A969" s="253"/>
      <c r="B969" s="101"/>
      <c r="C969" s="101"/>
      <c r="D969" s="101"/>
      <c r="E969" s="101"/>
      <c r="F969" s="101"/>
      <c r="G969" s="101"/>
      <c r="H969" s="101"/>
      <c r="I969" s="101"/>
      <c r="J969" s="101"/>
      <c r="K969" s="101"/>
      <c r="L969" s="101"/>
      <c r="M969" s="101"/>
      <c r="N969" s="101"/>
      <c r="O969" s="101"/>
      <c r="P969" s="101"/>
      <c r="Q969" s="101"/>
      <c r="R969"/>
      <c r="S969"/>
      <c r="T969"/>
    </row>
    <row r="970" spans="1:20" x14ac:dyDescent="0.2">
      <c r="A970" s="253"/>
      <c r="B970" s="101"/>
      <c r="C970" s="101"/>
      <c r="D970" s="101"/>
      <c r="E970" s="101"/>
      <c r="F970" s="101"/>
      <c r="G970" s="101"/>
      <c r="H970" s="101"/>
      <c r="I970" s="101"/>
      <c r="J970" s="101"/>
      <c r="K970" s="101"/>
      <c r="L970" s="101"/>
      <c r="M970" s="101"/>
      <c r="N970" s="101"/>
      <c r="O970" s="101"/>
      <c r="P970" s="101"/>
      <c r="Q970" s="101"/>
      <c r="R970"/>
      <c r="S970"/>
      <c r="T970"/>
    </row>
    <row r="971" spans="1:20" x14ac:dyDescent="0.2">
      <c r="A971" s="253"/>
      <c r="B971" s="101"/>
      <c r="C971" s="101"/>
      <c r="D971" s="101"/>
      <c r="E971" s="101"/>
      <c r="F971" s="101"/>
      <c r="G971" s="101"/>
      <c r="H971" s="101"/>
      <c r="I971" s="101"/>
      <c r="J971" s="101"/>
      <c r="K971" s="101"/>
      <c r="L971" s="101"/>
      <c r="M971" s="101"/>
      <c r="N971" s="101"/>
      <c r="O971" s="101"/>
      <c r="P971" s="101"/>
      <c r="Q971" s="101"/>
      <c r="R971"/>
      <c r="S971"/>
      <c r="T971"/>
    </row>
    <row r="972" spans="1:20" x14ac:dyDescent="0.2">
      <c r="A972" s="253"/>
      <c r="B972" s="101"/>
      <c r="C972" s="101"/>
      <c r="D972" s="101"/>
      <c r="E972" s="101"/>
      <c r="F972" s="101"/>
      <c r="G972" s="101"/>
      <c r="H972" s="101"/>
      <c r="I972" s="101"/>
      <c r="J972" s="101"/>
      <c r="K972" s="101"/>
      <c r="L972" s="101"/>
      <c r="M972" s="101"/>
      <c r="N972" s="101"/>
      <c r="O972" s="101"/>
      <c r="P972" s="101"/>
      <c r="Q972" s="101"/>
      <c r="R972"/>
      <c r="S972"/>
      <c r="T972"/>
    </row>
    <row r="973" spans="1:20" x14ac:dyDescent="0.2">
      <c r="A973" s="253"/>
      <c r="B973" s="101"/>
      <c r="C973" s="101"/>
      <c r="D973" s="101"/>
      <c r="E973" s="101"/>
      <c r="F973" s="101"/>
      <c r="G973" s="101"/>
      <c r="H973" s="101"/>
      <c r="I973" s="101"/>
      <c r="J973" s="101"/>
      <c r="K973" s="101"/>
      <c r="L973" s="101"/>
      <c r="M973" s="101"/>
      <c r="N973" s="101"/>
      <c r="O973" s="101"/>
      <c r="P973" s="101"/>
      <c r="Q973" s="101"/>
      <c r="R973"/>
      <c r="S973"/>
      <c r="T973"/>
    </row>
    <row r="974" spans="1:20" x14ac:dyDescent="0.2">
      <c r="A974" s="253"/>
      <c r="B974" s="101"/>
      <c r="C974" s="101"/>
      <c r="D974" s="101"/>
      <c r="E974" s="101"/>
      <c r="F974" s="101"/>
      <c r="G974" s="101"/>
      <c r="H974" s="101"/>
      <c r="I974" s="101"/>
      <c r="J974" s="101"/>
      <c r="K974" s="101"/>
      <c r="L974" s="101"/>
      <c r="M974" s="101"/>
      <c r="N974" s="101"/>
      <c r="O974" s="101"/>
      <c r="P974" s="101"/>
      <c r="Q974" s="101"/>
      <c r="R974"/>
      <c r="S974"/>
      <c r="T974"/>
    </row>
    <row r="975" spans="1:20" x14ac:dyDescent="0.2">
      <c r="A975" s="253"/>
      <c r="B975" s="101"/>
      <c r="C975" s="101"/>
      <c r="D975" s="101"/>
      <c r="E975" s="101"/>
      <c r="F975" s="101"/>
      <c r="G975" s="101"/>
      <c r="H975" s="101"/>
      <c r="I975" s="101"/>
      <c r="J975" s="101"/>
      <c r="K975" s="101"/>
      <c r="L975" s="101"/>
      <c r="M975" s="101"/>
      <c r="N975" s="101"/>
      <c r="O975" s="101"/>
      <c r="P975" s="101"/>
      <c r="Q975" s="101"/>
      <c r="R975"/>
      <c r="S975"/>
      <c r="T975"/>
    </row>
    <row r="976" spans="1:20" x14ac:dyDescent="0.2">
      <c r="A976" s="253"/>
      <c r="B976" s="101"/>
      <c r="C976" s="101"/>
      <c r="D976" s="101"/>
      <c r="E976" s="101"/>
      <c r="F976" s="101"/>
      <c r="G976" s="101"/>
      <c r="H976" s="101"/>
      <c r="I976" s="101"/>
      <c r="J976" s="101"/>
      <c r="K976" s="101"/>
      <c r="L976" s="101"/>
      <c r="M976" s="101"/>
      <c r="N976" s="101"/>
      <c r="O976" s="101"/>
      <c r="P976" s="101"/>
      <c r="Q976" s="101"/>
      <c r="R976"/>
      <c r="S976"/>
      <c r="T976"/>
    </row>
    <row r="977" spans="1:20" x14ac:dyDescent="0.2">
      <c r="A977" s="253"/>
      <c r="B977" s="101"/>
      <c r="C977" s="101"/>
      <c r="D977" s="101"/>
      <c r="E977" s="101"/>
      <c r="F977" s="101"/>
      <c r="G977" s="101"/>
      <c r="H977" s="101"/>
      <c r="I977" s="101"/>
      <c r="J977" s="101"/>
      <c r="K977" s="101"/>
      <c r="L977" s="101"/>
      <c r="M977" s="101"/>
      <c r="N977" s="101"/>
      <c r="O977" s="101"/>
      <c r="P977" s="101"/>
      <c r="Q977" s="101"/>
      <c r="R977"/>
      <c r="S977"/>
      <c r="T977"/>
    </row>
    <row r="978" spans="1:20" x14ac:dyDescent="0.2">
      <c r="A978" s="253"/>
      <c r="B978" s="101"/>
      <c r="C978" s="101"/>
      <c r="D978" s="101"/>
      <c r="E978" s="101"/>
      <c r="F978" s="101"/>
      <c r="G978" s="101"/>
      <c r="H978" s="101"/>
      <c r="I978" s="101"/>
      <c r="J978" s="101"/>
      <c r="K978" s="101"/>
      <c r="L978" s="101"/>
      <c r="M978" s="101"/>
      <c r="N978" s="101"/>
      <c r="O978" s="101"/>
      <c r="P978" s="101"/>
      <c r="Q978" s="101"/>
      <c r="R978"/>
      <c r="S978"/>
      <c r="T978"/>
    </row>
    <row r="979" spans="1:20" x14ac:dyDescent="0.2">
      <c r="A979" s="253"/>
      <c r="B979" s="101"/>
      <c r="C979" s="101"/>
      <c r="D979" s="101"/>
      <c r="E979" s="101"/>
      <c r="F979" s="101"/>
      <c r="G979" s="101"/>
      <c r="H979" s="101"/>
      <c r="I979" s="101"/>
      <c r="J979" s="101"/>
      <c r="K979" s="101"/>
      <c r="L979" s="101"/>
      <c r="M979" s="101"/>
      <c r="N979" s="101"/>
      <c r="O979" s="101"/>
      <c r="P979" s="101"/>
      <c r="Q979" s="101"/>
      <c r="R979"/>
      <c r="S979"/>
      <c r="T979"/>
    </row>
    <row r="980" spans="1:20" x14ac:dyDescent="0.2">
      <c r="A980" s="253"/>
      <c r="B980" s="101"/>
      <c r="C980" s="101"/>
      <c r="D980" s="101"/>
      <c r="E980" s="101"/>
      <c r="F980" s="101"/>
      <c r="G980" s="101"/>
      <c r="H980" s="101"/>
      <c r="I980" s="101"/>
      <c r="J980" s="101"/>
      <c r="K980" s="101"/>
      <c r="L980" s="101"/>
      <c r="M980" s="101"/>
      <c r="N980" s="101"/>
      <c r="O980" s="101"/>
      <c r="P980" s="101"/>
      <c r="Q980" s="101"/>
      <c r="R980"/>
      <c r="S980"/>
      <c r="T980"/>
    </row>
    <row r="981" spans="1:20" x14ac:dyDescent="0.2">
      <c r="A981" s="253"/>
      <c r="B981" s="101"/>
      <c r="C981" s="101"/>
      <c r="D981" s="101"/>
      <c r="E981" s="101"/>
      <c r="F981" s="101"/>
      <c r="G981" s="101"/>
      <c r="H981" s="101"/>
      <c r="I981" s="101"/>
      <c r="J981" s="101"/>
      <c r="K981" s="101"/>
      <c r="L981" s="101"/>
      <c r="M981" s="101"/>
      <c r="N981" s="101"/>
      <c r="O981" s="101"/>
      <c r="P981" s="101"/>
      <c r="Q981" s="101"/>
      <c r="R981"/>
      <c r="S981"/>
      <c r="T981"/>
    </row>
    <row r="982" spans="1:20" x14ac:dyDescent="0.2">
      <c r="A982" s="253"/>
      <c r="B982" s="101"/>
      <c r="C982" s="101"/>
      <c r="D982" s="101"/>
      <c r="E982" s="101"/>
      <c r="F982" s="101"/>
      <c r="G982" s="101"/>
      <c r="H982" s="101"/>
      <c r="I982" s="101"/>
      <c r="J982" s="101"/>
      <c r="K982" s="101"/>
      <c r="L982" s="101"/>
      <c r="M982" s="101"/>
      <c r="N982" s="101"/>
      <c r="O982" s="101"/>
      <c r="P982" s="101"/>
      <c r="Q982" s="101"/>
      <c r="R982"/>
      <c r="S982"/>
      <c r="T982"/>
    </row>
    <row r="983" spans="1:20" x14ac:dyDescent="0.2">
      <c r="A983" s="253"/>
      <c r="B983" s="101"/>
      <c r="C983" s="101"/>
      <c r="D983" s="101"/>
      <c r="E983" s="101"/>
      <c r="F983" s="101"/>
      <c r="G983" s="101"/>
      <c r="H983" s="101"/>
      <c r="I983" s="101"/>
      <c r="J983" s="101"/>
      <c r="K983" s="101"/>
      <c r="L983" s="101"/>
      <c r="M983" s="101"/>
      <c r="N983" s="101"/>
      <c r="O983" s="101"/>
      <c r="P983" s="101"/>
      <c r="Q983" s="101"/>
      <c r="R983"/>
      <c r="S983"/>
      <c r="T983"/>
    </row>
    <row r="984" spans="1:20" x14ac:dyDescent="0.2">
      <c r="A984" s="253"/>
      <c r="B984" s="101"/>
      <c r="C984" s="101"/>
      <c r="D984" s="101"/>
      <c r="E984" s="101"/>
      <c r="F984" s="101"/>
      <c r="G984" s="101"/>
      <c r="H984" s="101"/>
      <c r="I984" s="101"/>
      <c r="J984" s="101"/>
      <c r="K984" s="101"/>
      <c r="L984" s="101"/>
      <c r="M984" s="101"/>
      <c r="N984" s="101"/>
      <c r="O984" s="101"/>
      <c r="P984" s="101"/>
      <c r="Q984" s="101"/>
      <c r="R984"/>
      <c r="S984"/>
      <c r="T984"/>
    </row>
    <row r="985" spans="1:20" x14ac:dyDescent="0.2">
      <c r="A985" s="253"/>
      <c r="B985" s="101"/>
      <c r="C985" s="101"/>
      <c r="D985" s="101"/>
      <c r="E985" s="101"/>
      <c r="F985" s="101"/>
      <c r="G985" s="101"/>
      <c r="H985" s="101"/>
      <c r="I985" s="101"/>
      <c r="J985" s="101"/>
      <c r="K985" s="101"/>
      <c r="L985" s="101"/>
      <c r="M985" s="101"/>
      <c r="N985" s="101"/>
      <c r="O985" s="101"/>
      <c r="P985" s="101"/>
      <c r="Q985" s="101"/>
      <c r="R985"/>
      <c r="S985"/>
      <c r="T985"/>
    </row>
    <row r="986" spans="1:20" x14ac:dyDescent="0.2">
      <c r="A986" s="254"/>
      <c r="B986" s="83"/>
      <c r="C986" s="83"/>
      <c r="D986" s="83"/>
      <c r="E986" s="83"/>
      <c r="F986" s="83"/>
      <c r="G986" s="83"/>
      <c r="I986" s="65"/>
      <c r="J986" s="64"/>
      <c r="K986" s="64"/>
      <c r="L986" s="65"/>
      <c r="N986" s="65"/>
      <c r="O986" s="50"/>
    </row>
    <row r="987" spans="1:20" x14ac:dyDescent="0.2">
      <c r="A987" s="254"/>
      <c r="B987" s="83"/>
      <c r="C987" s="83"/>
      <c r="D987" s="83"/>
      <c r="E987" s="83"/>
      <c r="F987" s="83"/>
      <c r="G987" s="83"/>
      <c r="I987" s="65"/>
      <c r="J987" s="64"/>
      <c r="K987" s="64"/>
      <c r="L987" s="65"/>
      <c r="N987" s="65"/>
      <c r="O987" s="50"/>
    </row>
    <row r="988" spans="1:20" x14ac:dyDescent="0.2">
      <c r="A988" s="254"/>
      <c r="B988" s="83"/>
      <c r="C988" s="83"/>
      <c r="D988" s="83"/>
      <c r="E988" s="83"/>
      <c r="F988" s="83"/>
      <c r="G988" s="83"/>
      <c r="I988" s="65"/>
      <c r="J988" s="64"/>
      <c r="K988" s="64"/>
      <c r="L988" s="65"/>
      <c r="N988" s="65"/>
      <c r="O988" s="50"/>
    </row>
    <row r="989" spans="1:20" x14ac:dyDescent="0.2">
      <c r="A989" s="254"/>
      <c r="B989" s="83"/>
      <c r="C989" s="83"/>
      <c r="D989" s="83"/>
      <c r="E989" s="83"/>
      <c r="F989" s="83"/>
      <c r="G989" s="83"/>
      <c r="H989" s="50"/>
      <c r="J989" s="64"/>
      <c r="K989" s="64"/>
      <c r="L989" s="65"/>
      <c r="N989" s="65"/>
      <c r="O989" s="50"/>
    </row>
    <row r="990" spans="1:20" x14ac:dyDescent="0.2">
      <c r="A990" s="254"/>
      <c r="B990" s="83"/>
      <c r="C990" s="83"/>
      <c r="D990" s="83"/>
      <c r="E990" s="83"/>
      <c r="F990" s="83"/>
      <c r="G990" s="83"/>
      <c r="H990" s="50"/>
      <c r="J990" s="64"/>
      <c r="K990" s="64"/>
      <c r="L990" s="65"/>
      <c r="N990" s="65"/>
      <c r="O990" s="50"/>
    </row>
    <row r="991" spans="1:20" x14ac:dyDescent="0.2">
      <c r="A991" s="254"/>
      <c r="B991" s="83"/>
      <c r="C991" s="83"/>
      <c r="D991" s="83"/>
      <c r="E991" s="83"/>
      <c r="F991" s="83"/>
      <c r="G991" s="83"/>
      <c r="H991" s="50"/>
      <c r="I991" s="65"/>
      <c r="J991" s="65"/>
      <c r="K991" s="65"/>
      <c r="L991" s="65"/>
    </row>
    <row r="992" spans="1:20" x14ac:dyDescent="0.2">
      <c r="A992" s="254"/>
      <c r="B992" s="83"/>
      <c r="C992" s="83"/>
      <c r="D992" s="83"/>
      <c r="E992" s="83"/>
      <c r="F992" s="83"/>
      <c r="G992" s="83"/>
      <c r="H992" s="50"/>
      <c r="I992" s="65"/>
      <c r="J992" s="65"/>
      <c r="K992" s="65"/>
      <c r="L992" s="65"/>
    </row>
    <row r="993" spans="1:12" x14ac:dyDescent="0.2">
      <c r="A993" s="254"/>
      <c r="B993" s="83"/>
      <c r="C993" s="83"/>
      <c r="D993" s="83"/>
      <c r="E993" s="83"/>
      <c r="F993" s="83"/>
      <c r="G993" s="83"/>
      <c r="H993" s="50"/>
      <c r="I993" s="65"/>
      <c r="J993" s="65"/>
      <c r="K993" s="65"/>
      <c r="L993" s="65"/>
    </row>
    <row r="994" spans="1:12" x14ac:dyDescent="0.2">
      <c r="A994" s="254"/>
      <c r="B994" s="83"/>
      <c r="C994" s="83"/>
      <c r="D994" s="83"/>
      <c r="E994" s="83"/>
      <c r="F994" s="83"/>
      <c r="G994" s="83"/>
      <c r="H994" s="50"/>
      <c r="I994" s="65"/>
      <c r="J994" s="65"/>
      <c r="K994" s="65"/>
      <c r="L994" s="65"/>
    </row>
    <row r="995" spans="1:12" x14ac:dyDescent="0.2">
      <c r="A995" s="254"/>
      <c r="B995" s="83"/>
      <c r="C995" s="83"/>
      <c r="D995" s="83"/>
      <c r="E995" s="83"/>
      <c r="F995" s="83"/>
      <c r="G995" s="83"/>
      <c r="H995" s="50"/>
      <c r="I995" s="65"/>
      <c r="J995" s="65"/>
      <c r="K995" s="65"/>
      <c r="L995" s="65"/>
    </row>
    <row r="996" spans="1:12" x14ac:dyDescent="0.2">
      <c r="A996" s="254"/>
      <c r="B996" s="83"/>
      <c r="C996" s="83"/>
      <c r="D996" s="83"/>
      <c r="E996" s="83"/>
      <c r="F996" s="83"/>
      <c r="G996" s="83"/>
      <c r="H996" s="50"/>
      <c r="I996" s="65"/>
      <c r="J996" s="65"/>
      <c r="K996" s="65"/>
      <c r="L996" s="65"/>
    </row>
    <row r="997" spans="1:12" x14ac:dyDescent="0.2">
      <c r="A997" s="254"/>
      <c r="B997" s="83"/>
      <c r="C997" s="83"/>
      <c r="D997" s="83"/>
      <c r="E997" s="83"/>
      <c r="F997" s="83"/>
      <c r="G997" s="83"/>
      <c r="H997" s="50"/>
      <c r="I997" s="65"/>
      <c r="J997" s="65"/>
      <c r="K997" s="65"/>
      <c r="L997" s="65"/>
    </row>
    <row r="998" spans="1:12" x14ac:dyDescent="0.2">
      <c r="A998" s="254"/>
      <c r="B998" s="83"/>
      <c r="C998" s="83"/>
      <c r="D998" s="83"/>
      <c r="E998" s="83"/>
      <c r="F998" s="83"/>
      <c r="G998" s="83"/>
      <c r="H998" s="50"/>
      <c r="I998" s="65"/>
      <c r="J998" s="65"/>
      <c r="K998" s="65"/>
      <c r="L998" s="65"/>
    </row>
    <row r="999" spans="1:12" x14ac:dyDescent="0.2">
      <c r="A999" s="254"/>
      <c r="B999" s="83"/>
      <c r="C999" s="83"/>
      <c r="D999" s="83"/>
      <c r="E999" s="83"/>
      <c r="F999" s="83"/>
      <c r="G999" s="83"/>
      <c r="H999" s="50"/>
      <c r="I999" s="65"/>
      <c r="J999" s="65"/>
      <c r="K999" s="65"/>
      <c r="L999" s="65"/>
    </row>
    <row r="1000" spans="1:12" x14ac:dyDescent="0.2">
      <c r="A1000" s="254"/>
      <c r="B1000" s="83"/>
      <c r="C1000" s="83"/>
      <c r="D1000" s="83"/>
      <c r="E1000" s="83"/>
      <c r="F1000" s="83"/>
      <c r="G1000" s="83"/>
      <c r="H1000" s="50"/>
      <c r="I1000" s="65"/>
      <c r="J1000" s="65"/>
      <c r="K1000" s="65"/>
      <c r="L1000" s="65"/>
    </row>
    <row r="1001" spans="1:12" x14ac:dyDescent="0.2">
      <c r="A1001" s="254"/>
      <c r="B1001" s="83"/>
      <c r="C1001" s="83"/>
      <c r="D1001" s="83"/>
      <c r="E1001" s="83"/>
      <c r="F1001" s="83"/>
      <c r="G1001" s="83"/>
      <c r="H1001" s="50"/>
      <c r="I1001" s="65"/>
      <c r="J1001" s="65"/>
      <c r="K1001" s="65"/>
      <c r="L1001" s="65"/>
    </row>
    <row r="1002" spans="1:12" x14ac:dyDescent="0.2">
      <c r="A1002" s="254"/>
      <c r="B1002" s="83"/>
      <c r="C1002" s="83"/>
      <c r="D1002" s="83"/>
      <c r="E1002" s="83"/>
      <c r="F1002" s="83"/>
      <c r="G1002" s="83"/>
      <c r="H1002" s="50"/>
      <c r="I1002" s="65"/>
      <c r="J1002" s="65"/>
      <c r="K1002" s="65"/>
      <c r="L1002" s="65"/>
    </row>
    <row r="1003" spans="1:12" x14ac:dyDescent="0.2">
      <c r="A1003" s="254"/>
      <c r="B1003" s="94"/>
      <c r="C1003" s="94"/>
      <c r="D1003" s="94"/>
      <c r="E1003" s="94"/>
      <c r="F1003" s="94"/>
      <c r="G1003" s="94"/>
      <c r="H1003" s="50"/>
      <c r="I1003" s="65"/>
      <c r="J1003" s="65"/>
      <c r="K1003" s="65"/>
      <c r="L1003" s="65"/>
    </row>
    <row r="1004" spans="1:12" x14ac:dyDescent="0.2">
      <c r="A1004" s="254"/>
      <c r="B1004" s="94"/>
      <c r="C1004" s="94"/>
      <c r="D1004" s="94"/>
      <c r="E1004" s="94"/>
      <c r="F1004" s="94"/>
      <c r="G1004" s="94"/>
      <c r="H1004" s="50"/>
      <c r="I1004" s="65"/>
      <c r="J1004" s="65"/>
      <c r="K1004" s="65"/>
      <c r="L1004" s="65"/>
    </row>
    <row r="1005" spans="1:12" x14ac:dyDescent="0.2">
      <c r="A1005" s="254"/>
      <c r="B1005" s="94"/>
      <c r="C1005" s="94"/>
      <c r="D1005" s="94"/>
      <c r="E1005" s="94"/>
      <c r="F1005" s="94"/>
      <c r="G1005" s="94"/>
      <c r="H1005" s="50"/>
      <c r="I1005" s="65"/>
      <c r="J1005" s="65"/>
      <c r="K1005" s="65"/>
      <c r="L1005" s="65"/>
    </row>
    <row r="1006" spans="1:12" x14ac:dyDescent="0.2">
      <c r="A1006" s="254"/>
      <c r="B1006" s="94"/>
      <c r="C1006" s="94"/>
      <c r="D1006" s="94"/>
      <c r="E1006" s="94"/>
      <c r="F1006" s="94"/>
      <c r="G1006" s="94"/>
      <c r="H1006" s="50"/>
      <c r="I1006" s="65"/>
      <c r="J1006" s="65"/>
      <c r="K1006" s="65"/>
      <c r="L1006" s="65"/>
    </row>
    <row r="1007" spans="1:12" x14ac:dyDescent="0.2">
      <c r="A1007" s="254"/>
      <c r="B1007" s="94"/>
      <c r="C1007" s="94"/>
      <c r="D1007" s="94"/>
      <c r="E1007" s="94"/>
      <c r="F1007" s="94"/>
      <c r="G1007" s="94"/>
      <c r="H1007" s="50"/>
      <c r="I1007" s="65"/>
      <c r="J1007" s="65"/>
      <c r="K1007" s="65"/>
      <c r="L1007" s="65"/>
    </row>
    <row r="1008" spans="1:12" x14ac:dyDescent="0.2">
      <c r="A1008" s="254"/>
      <c r="B1008" s="94"/>
      <c r="C1008" s="94"/>
      <c r="D1008" s="94"/>
      <c r="E1008" s="94"/>
      <c r="F1008" s="94"/>
      <c r="G1008" s="94"/>
      <c r="H1008" s="50"/>
      <c r="I1008" s="65"/>
      <c r="J1008" s="65"/>
      <c r="K1008" s="65"/>
      <c r="L1008" s="65"/>
    </row>
    <row r="1009" spans="1:12" x14ac:dyDescent="0.2">
      <c r="A1009" s="254"/>
      <c r="B1009" s="94"/>
      <c r="C1009" s="94"/>
      <c r="D1009" s="94"/>
      <c r="E1009" s="94"/>
      <c r="F1009" s="94"/>
      <c r="G1009" s="94"/>
      <c r="H1009" s="50"/>
      <c r="I1009" s="65"/>
      <c r="J1009" s="65"/>
      <c r="K1009" s="65"/>
      <c r="L1009" s="65"/>
    </row>
    <row r="1010" spans="1:12" x14ac:dyDescent="0.2">
      <c r="A1010" s="254"/>
      <c r="B1010" s="94"/>
      <c r="C1010" s="94"/>
      <c r="D1010" s="94"/>
      <c r="E1010" s="94"/>
      <c r="F1010" s="94"/>
      <c r="G1010" s="94"/>
      <c r="H1010" s="50"/>
      <c r="I1010" s="65"/>
      <c r="J1010" s="65"/>
      <c r="K1010" s="65"/>
      <c r="L1010" s="65"/>
    </row>
    <row r="1011" spans="1:12" x14ac:dyDescent="0.2">
      <c r="A1011" s="254"/>
      <c r="B1011" s="94"/>
      <c r="C1011" s="94"/>
      <c r="D1011" s="94"/>
      <c r="E1011" s="94"/>
      <c r="F1011" s="94"/>
      <c r="G1011" s="94"/>
      <c r="H1011" s="50"/>
      <c r="I1011" s="65"/>
      <c r="J1011" s="65"/>
      <c r="K1011" s="65"/>
      <c r="L1011" s="65"/>
    </row>
    <row r="1012" spans="1:12" x14ac:dyDescent="0.2">
      <c r="A1012" s="254"/>
      <c r="B1012" s="94"/>
      <c r="C1012" s="94"/>
      <c r="D1012" s="94"/>
      <c r="E1012" s="94"/>
      <c r="F1012" s="94"/>
      <c r="G1012" s="94"/>
      <c r="H1012" s="50"/>
      <c r="I1012" s="65"/>
      <c r="J1012" s="65"/>
      <c r="K1012" s="65"/>
      <c r="L1012" s="65"/>
    </row>
    <row r="1013" spans="1:12" x14ac:dyDescent="0.2">
      <c r="A1013" s="254"/>
      <c r="B1013" s="94"/>
      <c r="C1013" s="94"/>
      <c r="D1013" s="94"/>
      <c r="E1013" s="94"/>
      <c r="F1013" s="94"/>
      <c r="G1013" s="94"/>
      <c r="H1013" s="50"/>
      <c r="I1013" s="65"/>
      <c r="J1013" s="65"/>
      <c r="K1013" s="65"/>
      <c r="L1013" s="65"/>
    </row>
    <row r="1014" spans="1:12" x14ac:dyDescent="0.2">
      <c r="A1014" s="254"/>
      <c r="B1014" s="94"/>
      <c r="C1014" s="94"/>
      <c r="D1014" s="94"/>
      <c r="E1014" s="94"/>
      <c r="F1014" s="94"/>
      <c r="G1014" s="94"/>
      <c r="H1014" s="50"/>
      <c r="I1014" s="65"/>
      <c r="J1014" s="65"/>
      <c r="K1014" s="65"/>
      <c r="L1014" s="65"/>
    </row>
    <row r="1015" spans="1:12" x14ac:dyDescent="0.2">
      <c r="A1015" s="254"/>
      <c r="B1015" s="94"/>
      <c r="C1015" s="94"/>
      <c r="D1015" s="94"/>
      <c r="E1015" s="94"/>
      <c r="F1015" s="94"/>
      <c r="G1015" s="94"/>
      <c r="H1015" s="50"/>
      <c r="I1015" s="65"/>
      <c r="J1015" s="65"/>
      <c r="K1015" s="65"/>
      <c r="L1015" s="65"/>
    </row>
    <row r="1016" spans="1:12" x14ac:dyDescent="0.2">
      <c r="A1016" s="254"/>
      <c r="B1016" s="94"/>
      <c r="C1016" s="94"/>
      <c r="D1016" s="94"/>
      <c r="E1016" s="94"/>
      <c r="F1016" s="94"/>
      <c r="G1016" s="94"/>
      <c r="H1016" s="50"/>
      <c r="I1016" s="65"/>
      <c r="J1016" s="65"/>
      <c r="K1016" s="65"/>
      <c r="L1016" s="65"/>
    </row>
    <row r="1017" spans="1:12" x14ac:dyDescent="0.2">
      <c r="A1017" s="254"/>
      <c r="B1017" s="94"/>
      <c r="C1017" s="94"/>
      <c r="D1017" s="94"/>
      <c r="E1017" s="94"/>
      <c r="F1017" s="94"/>
      <c r="G1017" s="94"/>
      <c r="H1017" s="50"/>
      <c r="I1017" s="65"/>
      <c r="J1017" s="65"/>
      <c r="K1017" s="65"/>
      <c r="L1017" s="65"/>
    </row>
    <row r="1018" spans="1:12" x14ac:dyDescent="0.2">
      <c r="A1018" s="254"/>
      <c r="B1018" s="94"/>
      <c r="C1018" s="94"/>
      <c r="D1018" s="94"/>
      <c r="E1018" s="94"/>
      <c r="F1018" s="94"/>
      <c r="G1018" s="94"/>
      <c r="H1018" s="50"/>
      <c r="I1018" s="65"/>
      <c r="J1018" s="65"/>
      <c r="K1018" s="65"/>
      <c r="L1018" s="65"/>
    </row>
    <row r="1019" spans="1:12" x14ac:dyDescent="0.2">
      <c r="A1019" s="254"/>
      <c r="B1019" s="94"/>
      <c r="C1019" s="94"/>
      <c r="D1019" s="94"/>
      <c r="E1019" s="94"/>
      <c r="F1019" s="94"/>
      <c r="G1019" s="94"/>
      <c r="H1019" s="50"/>
      <c r="I1019" s="65"/>
      <c r="J1019" s="65"/>
      <c r="K1019" s="65"/>
      <c r="L1019" s="65"/>
    </row>
    <row r="1020" spans="1:12" x14ac:dyDescent="0.2">
      <c r="A1020" s="254"/>
      <c r="B1020" s="94"/>
      <c r="C1020" s="94"/>
      <c r="D1020" s="94"/>
      <c r="E1020" s="94"/>
      <c r="F1020" s="94"/>
      <c r="G1020" s="94"/>
      <c r="H1020" s="50"/>
      <c r="I1020" s="65"/>
      <c r="J1020" s="65"/>
      <c r="K1020" s="65"/>
      <c r="L1020" s="65"/>
    </row>
    <row r="1021" spans="1:12" x14ac:dyDescent="0.2">
      <c r="A1021" s="254"/>
      <c r="B1021" s="94"/>
      <c r="C1021" s="94"/>
      <c r="D1021" s="94"/>
      <c r="E1021" s="94"/>
      <c r="F1021" s="94"/>
      <c r="G1021" s="94"/>
      <c r="H1021" s="50"/>
      <c r="I1021" s="65"/>
      <c r="J1021" s="65"/>
      <c r="K1021" s="65"/>
      <c r="L1021" s="65"/>
    </row>
    <row r="1022" spans="1:12" x14ac:dyDescent="0.2">
      <c r="A1022" s="254"/>
      <c r="B1022" s="94"/>
      <c r="C1022" s="94"/>
      <c r="D1022" s="94"/>
      <c r="E1022" s="94"/>
      <c r="F1022" s="94"/>
      <c r="G1022" s="94"/>
      <c r="H1022" s="50"/>
      <c r="I1022" s="65"/>
      <c r="J1022" s="65"/>
      <c r="K1022" s="65"/>
      <c r="L1022" s="65"/>
    </row>
    <row r="1023" spans="1:12" x14ac:dyDescent="0.2">
      <c r="A1023" s="254"/>
      <c r="B1023" s="94"/>
      <c r="C1023" s="94"/>
      <c r="D1023" s="94"/>
      <c r="E1023" s="94"/>
      <c r="F1023" s="94"/>
      <c r="G1023" s="94"/>
      <c r="H1023" s="50"/>
      <c r="I1023" s="65"/>
      <c r="J1023" s="65"/>
      <c r="K1023" s="65"/>
      <c r="L1023" s="65"/>
    </row>
    <row r="1024" spans="1:12" x14ac:dyDescent="0.2">
      <c r="A1024" s="254"/>
      <c r="B1024" s="94"/>
      <c r="C1024" s="94"/>
      <c r="D1024" s="94"/>
      <c r="E1024" s="94"/>
      <c r="F1024" s="94"/>
      <c r="G1024" s="94"/>
      <c r="H1024" s="50"/>
      <c r="I1024" s="65"/>
      <c r="J1024" s="65"/>
      <c r="K1024" s="65"/>
      <c r="L1024" s="65"/>
    </row>
    <row r="1025" spans="1:12" x14ac:dyDescent="0.2">
      <c r="A1025" s="254"/>
      <c r="B1025" s="94"/>
      <c r="C1025" s="94"/>
      <c r="D1025" s="94"/>
      <c r="E1025" s="94"/>
      <c r="F1025" s="94"/>
      <c r="G1025" s="94"/>
      <c r="H1025" s="50"/>
      <c r="I1025" s="65"/>
      <c r="J1025" s="65"/>
      <c r="K1025" s="65"/>
      <c r="L1025" s="65"/>
    </row>
    <row r="1026" spans="1:12" x14ac:dyDescent="0.2">
      <c r="A1026" s="254"/>
      <c r="B1026" s="94"/>
      <c r="C1026" s="94"/>
      <c r="D1026" s="94"/>
      <c r="E1026" s="94"/>
      <c r="F1026" s="94"/>
      <c r="G1026" s="94"/>
      <c r="H1026" s="50"/>
      <c r="I1026" s="65"/>
      <c r="J1026" s="65"/>
      <c r="K1026" s="65"/>
      <c r="L1026" s="65"/>
    </row>
    <row r="1027" spans="1:12" x14ac:dyDescent="0.2">
      <c r="A1027" s="254"/>
      <c r="B1027" s="94"/>
      <c r="C1027" s="94"/>
      <c r="D1027" s="94"/>
      <c r="E1027" s="94"/>
      <c r="F1027" s="94"/>
      <c r="G1027" s="94"/>
      <c r="H1027" s="50"/>
      <c r="I1027" s="65"/>
      <c r="J1027" s="65"/>
      <c r="K1027" s="65"/>
      <c r="L1027" s="65"/>
    </row>
    <row r="1028" spans="1:12" x14ac:dyDescent="0.2">
      <c r="A1028" s="254"/>
      <c r="B1028" s="94"/>
      <c r="C1028" s="94"/>
      <c r="D1028" s="94"/>
      <c r="E1028" s="94"/>
      <c r="F1028" s="94"/>
      <c r="G1028" s="94"/>
      <c r="H1028" s="50"/>
      <c r="I1028" s="65"/>
      <c r="J1028" s="65"/>
      <c r="K1028" s="65"/>
      <c r="L1028" s="65"/>
    </row>
    <row r="1029" spans="1:12" x14ac:dyDescent="0.2">
      <c r="A1029" s="254"/>
      <c r="B1029" s="94"/>
      <c r="C1029" s="94"/>
      <c r="D1029" s="94"/>
      <c r="E1029" s="94"/>
      <c r="F1029" s="94"/>
      <c r="G1029" s="94"/>
      <c r="H1029" s="50"/>
      <c r="I1029" s="65"/>
      <c r="J1029" s="65"/>
      <c r="K1029" s="65"/>
      <c r="L1029" s="65"/>
    </row>
    <row r="1030" spans="1:12" x14ac:dyDescent="0.2">
      <c r="A1030" s="254"/>
      <c r="B1030" s="94"/>
      <c r="C1030" s="94"/>
      <c r="D1030" s="94"/>
      <c r="E1030" s="94"/>
      <c r="F1030" s="94"/>
      <c r="G1030" s="94"/>
      <c r="H1030" s="50"/>
      <c r="I1030" s="65"/>
      <c r="J1030" s="65"/>
      <c r="K1030" s="65"/>
      <c r="L1030" s="65"/>
    </row>
    <row r="1031" spans="1:12" x14ac:dyDescent="0.2">
      <c r="A1031" s="254"/>
      <c r="B1031" s="94"/>
      <c r="C1031" s="94"/>
      <c r="D1031" s="94"/>
      <c r="E1031" s="94"/>
      <c r="F1031" s="94"/>
      <c r="G1031" s="94"/>
      <c r="H1031" s="50"/>
      <c r="I1031" s="65"/>
      <c r="J1031" s="65"/>
      <c r="K1031" s="65"/>
      <c r="L1031" s="65"/>
    </row>
    <row r="1032" spans="1:12" x14ac:dyDescent="0.2">
      <c r="A1032" s="254"/>
      <c r="B1032" s="94"/>
      <c r="C1032" s="94"/>
      <c r="D1032" s="94"/>
      <c r="E1032" s="94"/>
      <c r="F1032" s="94"/>
      <c r="G1032" s="94"/>
      <c r="H1032" s="50"/>
      <c r="I1032" s="65"/>
      <c r="J1032" s="65"/>
      <c r="K1032" s="65"/>
      <c r="L1032" s="65"/>
    </row>
    <row r="1033" spans="1:12" x14ac:dyDescent="0.2">
      <c r="A1033" s="254"/>
      <c r="B1033" s="94"/>
      <c r="C1033" s="94"/>
      <c r="D1033" s="94"/>
      <c r="E1033" s="94"/>
      <c r="F1033" s="94"/>
      <c r="G1033" s="94"/>
      <c r="H1033" s="50"/>
      <c r="I1033" s="65"/>
      <c r="J1033" s="65"/>
      <c r="K1033" s="65"/>
      <c r="L1033" s="65"/>
    </row>
    <row r="1034" spans="1:12" x14ac:dyDescent="0.2">
      <c r="A1034" s="254"/>
      <c r="B1034" s="94"/>
      <c r="C1034" s="94"/>
      <c r="D1034" s="94"/>
      <c r="E1034" s="94"/>
      <c r="F1034" s="94"/>
      <c r="G1034" s="94"/>
      <c r="H1034" s="50"/>
      <c r="I1034" s="65"/>
      <c r="J1034" s="65"/>
      <c r="K1034" s="65"/>
      <c r="L1034" s="65"/>
    </row>
    <row r="1035" spans="1:12" x14ac:dyDescent="0.2">
      <c r="A1035" s="254"/>
      <c r="B1035" s="94"/>
      <c r="C1035" s="94"/>
      <c r="D1035" s="94"/>
      <c r="E1035" s="94"/>
      <c r="F1035" s="94"/>
      <c r="G1035" s="94"/>
      <c r="H1035" s="50"/>
      <c r="I1035" s="65"/>
      <c r="J1035" s="65"/>
      <c r="K1035" s="65"/>
      <c r="L1035" s="65"/>
    </row>
    <row r="1036" spans="1:12" x14ac:dyDescent="0.2">
      <c r="A1036" s="254"/>
      <c r="B1036" s="94"/>
      <c r="C1036" s="94"/>
      <c r="D1036" s="94"/>
      <c r="E1036" s="94"/>
      <c r="F1036" s="94"/>
      <c r="G1036" s="94"/>
      <c r="H1036" s="50"/>
      <c r="I1036" s="65"/>
      <c r="J1036" s="65"/>
      <c r="K1036" s="65"/>
      <c r="L1036" s="65"/>
    </row>
    <row r="1037" spans="1:12" x14ac:dyDescent="0.2">
      <c r="A1037" s="254"/>
      <c r="B1037" s="94"/>
      <c r="C1037" s="94"/>
      <c r="D1037" s="94"/>
      <c r="E1037" s="94"/>
      <c r="F1037" s="94"/>
      <c r="G1037" s="94"/>
      <c r="H1037" s="50"/>
      <c r="I1037" s="65"/>
      <c r="J1037" s="65"/>
      <c r="K1037" s="65"/>
      <c r="L1037" s="65"/>
    </row>
    <row r="1038" spans="1:12" x14ac:dyDescent="0.2">
      <c r="A1038" s="254"/>
      <c r="B1038" s="94"/>
      <c r="C1038" s="94"/>
      <c r="D1038" s="94"/>
      <c r="E1038" s="94"/>
      <c r="F1038" s="94"/>
      <c r="G1038" s="94"/>
      <c r="H1038" s="50"/>
      <c r="I1038" s="65"/>
      <c r="J1038" s="65"/>
      <c r="K1038" s="65"/>
      <c r="L1038" s="65"/>
    </row>
    <row r="1039" spans="1:12" x14ac:dyDescent="0.2">
      <c r="A1039" s="254"/>
      <c r="B1039" s="94"/>
      <c r="C1039" s="94"/>
      <c r="D1039" s="94"/>
      <c r="E1039" s="94"/>
      <c r="F1039" s="94"/>
      <c r="G1039" s="94"/>
      <c r="H1039" s="50"/>
      <c r="I1039" s="65"/>
      <c r="J1039" s="65"/>
      <c r="K1039" s="65"/>
      <c r="L1039" s="65"/>
    </row>
    <row r="1040" spans="1:12" x14ac:dyDescent="0.2">
      <c r="A1040" s="254"/>
      <c r="B1040" s="94"/>
      <c r="C1040" s="94"/>
      <c r="D1040" s="94"/>
      <c r="E1040" s="94"/>
      <c r="F1040" s="94"/>
      <c r="G1040" s="94"/>
      <c r="H1040" s="50"/>
      <c r="I1040" s="65"/>
      <c r="J1040" s="65"/>
      <c r="K1040" s="65"/>
      <c r="L1040" s="65"/>
    </row>
    <row r="1041" spans="1:12" x14ac:dyDescent="0.2">
      <c r="A1041" s="254"/>
      <c r="B1041" s="94"/>
      <c r="C1041" s="94"/>
      <c r="D1041" s="94"/>
      <c r="E1041" s="94"/>
      <c r="F1041" s="94"/>
      <c r="G1041" s="94"/>
      <c r="H1041" s="50"/>
      <c r="I1041" s="65"/>
      <c r="J1041" s="65"/>
      <c r="K1041" s="65"/>
      <c r="L1041" s="65"/>
    </row>
    <row r="1042" spans="1:12" x14ac:dyDescent="0.2">
      <c r="A1042" s="254"/>
      <c r="B1042" s="94"/>
      <c r="C1042" s="94"/>
      <c r="D1042" s="94"/>
      <c r="E1042" s="94"/>
      <c r="F1042" s="94"/>
      <c r="G1042" s="94"/>
      <c r="H1042" s="50"/>
      <c r="I1042" s="65"/>
      <c r="J1042" s="65"/>
      <c r="K1042" s="65"/>
      <c r="L1042" s="65"/>
    </row>
    <row r="1043" spans="1:12" x14ac:dyDescent="0.2">
      <c r="A1043" s="254"/>
      <c r="B1043" s="94"/>
      <c r="C1043" s="94"/>
      <c r="D1043" s="94"/>
      <c r="E1043" s="94"/>
      <c r="F1043" s="94"/>
      <c r="G1043" s="94"/>
      <c r="H1043" s="50"/>
      <c r="I1043" s="65"/>
      <c r="J1043" s="65"/>
      <c r="K1043" s="65"/>
      <c r="L1043" s="65"/>
    </row>
    <row r="1044" spans="1:12" x14ac:dyDescent="0.2">
      <c r="A1044" s="254"/>
      <c r="B1044" s="94"/>
      <c r="C1044" s="94"/>
      <c r="D1044" s="94"/>
      <c r="E1044" s="94"/>
      <c r="F1044" s="94"/>
      <c r="G1044" s="94"/>
      <c r="H1044" s="50"/>
      <c r="I1044" s="65"/>
      <c r="J1044" s="65"/>
      <c r="K1044" s="65"/>
      <c r="L1044" s="65"/>
    </row>
    <row r="1045" spans="1:12" x14ac:dyDescent="0.2">
      <c r="A1045" s="254"/>
      <c r="B1045" s="94"/>
      <c r="C1045" s="94"/>
      <c r="D1045" s="94"/>
      <c r="E1045" s="94"/>
      <c r="F1045" s="94"/>
      <c r="G1045" s="94"/>
      <c r="H1045" s="50"/>
      <c r="I1045" s="65"/>
      <c r="J1045" s="65"/>
      <c r="K1045" s="65"/>
      <c r="L1045" s="65"/>
    </row>
    <row r="1046" spans="1:12" x14ac:dyDescent="0.2">
      <c r="A1046" s="254"/>
      <c r="B1046" s="94"/>
      <c r="C1046" s="94"/>
      <c r="D1046" s="94"/>
      <c r="E1046" s="94"/>
      <c r="F1046" s="94"/>
      <c r="G1046" s="94"/>
      <c r="H1046" s="50"/>
      <c r="I1046" s="65"/>
      <c r="J1046" s="65"/>
      <c r="K1046" s="65"/>
      <c r="L1046" s="65"/>
    </row>
    <row r="1047" spans="1:12" x14ac:dyDescent="0.2">
      <c r="A1047" s="254"/>
      <c r="B1047" s="94"/>
      <c r="C1047" s="94"/>
      <c r="D1047" s="94"/>
      <c r="E1047" s="94"/>
      <c r="F1047" s="94"/>
      <c r="G1047" s="94"/>
      <c r="H1047" s="50"/>
      <c r="I1047" s="65"/>
      <c r="J1047" s="65"/>
      <c r="K1047" s="65"/>
      <c r="L1047" s="65"/>
    </row>
    <row r="1048" spans="1:12" x14ac:dyDescent="0.2">
      <c r="A1048" s="254"/>
      <c r="B1048" s="94"/>
      <c r="C1048" s="94"/>
      <c r="D1048" s="94"/>
      <c r="E1048" s="94"/>
      <c r="F1048" s="94"/>
      <c r="G1048" s="94"/>
      <c r="H1048" s="50"/>
      <c r="I1048" s="65"/>
      <c r="J1048" s="65"/>
      <c r="K1048" s="65"/>
      <c r="L1048" s="65"/>
    </row>
    <row r="1049" spans="1:12" x14ac:dyDescent="0.2">
      <c r="A1049" s="254"/>
      <c r="B1049" s="94"/>
      <c r="C1049" s="94"/>
      <c r="D1049" s="94"/>
      <c r="E1049" s="94"/>
      <c r="F1049" s="94"/>
      <c r="G1049" s="94"/>
      <c r="H1049" s="50"/>
      <c r="I1049" s="65"/>
      <c r="J1049" s="65"/>
      <c r="K1049" s="65"/>
      <c r="L1049" s="65"/>
    </row>
    <row r="1050" spans="1:12" x14ac:dyDescent="0.2">
      <c r="A1050" s="254"/>
      <c r="B1050" s="94"/>
      <c r="C1050" s="94"/>
      <c r="D1050" s="94"/>
      <c r="E1050" s="94"/>
      <c r="F1050" s="94"/>
      <c r="G1050" s="94"/>
      <c r="H1050" s="50"/>
      <c r="I1050" s="65"/>
      <c r="J1050" s="65"/>
      <c r="K1050" s="65"/>
      <c r="L1050" s="65"/>
    </row>
    <row r="1051" spans="1:12" x14ac:dyDescent="0.2">
      <c r="A1051" s="254"/>
      <c r="B1051" s="94"/>
      <c r="C1051" s="94"/>
      <c r="D1051" s="94"/>
      <c r="E1051" s="94"/>
      <c r="F1051" s="94"/>
      <c r="G1051" s="94"/>
      <c r="H1051" s="50"/>
      <c r="I1051" s="65"/>
      <c r="J1051" s="65"/>
      <c r="K1051" s="65"/>
      <c r="L1051" s="65"/>
    </row>
    <row r="1052" spans="1:12" x14ac:dyDescent="0.2">
      <c r="A1052" s="254"/>
      <c r="B1052" s="94"/>
      <c r="C1052" s="94"/>
      <c r="D1052" s="94"/>
      <c r="E1052" s="94"/>
      <c r="F1052" s="94"/>
      <c r="G1052" s="94"/>
      <c r="H1052" s="50"/>
      <c r="I1052" s="65"/>
      <c r="J1052" s="65"/>
      <c r="K1052" s="65"/>
      <c r="L1052" s="65"/>
    </row>
    <row r="1053" spans="1:12" x14ac:dyDescent="0.2">
      <c r="A1053" s="254"/>
      <c r="B1053" s="94"/>
      <c r="C1053" s="94"/>
      <c r="D1053" s="94"/>
      <c r="E1053" s="94"/>
      <c r="F1053" s="94"/>
      <c r="G1053" s="94"/>
      <c r="H1053" s="50"/>
      <c r="I1053" s="65"/>
      <c r="J1053" s="65"/>
      <c r="K1053" s="65"/>
      <c r="L1053" s="65"/>
    </row>
    <row r="1054" spans="1:12" x14ac:dyDescent="0.2">
      <c r="A1054" s="254"/>
      <c r="B1054" s="94"/>
      <c r="C1054" s="94"/>
      <c r="D1054" s="94"/>
      <c r="E1054" s="94"/>
      <c r="F1054" s="94"/>
      <c r="G1054" s="94"/>
      <c r="H1054" s="50"/>
      <c r="I1054" s="65"/>
      <c r="J1054" s="65"/>
      <c r="K1054" s="65"/>
      <c r="L1054" s="65"/>
    </row>
    <row r="1055" spans="1:12" x14ac:dyDescent="0.2">
      <c r="A1055" s="254"/>
      <c r="B1055" s="94"/>
      <c r="C1055" s="94"/>
      <c r="D1055" s="94"/>
      <c r="E1055" s="94"/>
      <c r="F1055" s="94"/>
      <c r="G1055" s="94"/>
      <c r="H1055" s="50"/>
      <c r="I1055" s="65"/>
      <c r="J1055" s="65"/>
      <c r="K1055" s="65"/>
      <c r="L1055" s="65"/>
    </row>
    <row r="1056" spans="1:12" x14ac:dyDescent="0.2">
      <c r="A1056" s="254"/>
      <c r="B1056" s="94"/>
      <c r="C1056" s="94"/>
      <c r="D1056" s="94"/>
      <c r="E1056" s="94"/>
      <c r="F1056" s="94"/>
      <c r="G1056" s="94"/>
      <c r="H1056" s="50"/>
      <c r="I1056" s="65"/>
      <c r="J1056" s="65"/>
      <c r="K1056" s="65"/>
      <c r="L1056" s="65"/>
    </row>
    <row r="1057" spans="1:12" x14ac:dyDescent="0.2">
      <c r="A1057" s="254"/>
      <c r="B1057" s="94"/>
      <c r="C1057" s="94"/>
      <c r="D1057" s="94"/>
      <c r="E1057" s="94"/>
      <c r="F1057" s="94"/>
      <c r="G1057" s="94"/>
      <c r="H1057" s="50"/>
      <c r="I1057" s="65"/>
      <c r="J1057" s="65"/>
      <c r="K1057" s="65"/>
      <c r="L1057" s="65"/>
    </row>
    <row r="1058" spans="1:12" x14ac:dyDescent="0.2">
      <c r="A1058" s="254"/>
      <c r="B1058" s="94"/>
      <c r="C1058" s="94"/>
      <c r="D1058" s="94"/>
      <c r="E1058" s="94"/>
      <c r="F1058" s="94"/>
      <c r="G1058" s="94"/>
      <c r="H1058" s="50"/>
      <c r="I1058" s="65"/>
      <c r="J1058" s="65"/>
      <c r="K1058" s="65"/>
      <c r="L1058" s="65"/>
    </row>
    <row r="1059" spans="1:12" x14ac:dyDescent="0.2">
      <c r="A1059" s="254"/>
      <c r="B1059" s="94"/>
      <c r="C1059" s="94"/>
      <c r="D1059" s="94"/>
      <c r="E1059" s="94"/>
      <c r="F1059" s="94"/>
      <c r="G1059" s="94"/>
      <c r="H1059" s="50"/>
      <c r="I1059" s="65"/>
      <c r="J1059" s="65"/>
      <c r="K1059" s="65"/>
      <c r="L1059" s="65"/>
    </row>
    <row r="1060" spans="1:12" x14ac:dyDescent="0.2">
      <c r="A1060" s="254"/>
      <c r="B1060" s="94"/>
      <c r="C1060" s="94"/>
      <c r="D1060" s="94"/>
      <c r="E1060" s="94"/>
      <c r="F1060" s="94"/>
      <c r="G1060" s="94"/>
      <c r="H1060" s="50"/>
      <c r="I1060" s="65"/>
      <c r="J1060" s="65"/>
      <c r="K1060" s="65"/>
      <c r="L1060" s="65"/>
    </row>
    <row r="1061" spans="1:12" x14ac:dyDescent="0.2">
      <c r="A1061" s="69"/>
      <c r="B1061" s="69"/>
      <c r="C1061" s="69"/>
      <c r="D1061" s="69"/>
      <c r="E1061" s="69"/>
      <c r="F1061" s="69"/>
      <c r="G1061" s="69"/>
      <c r="H1061" s="50"/>
      <c r="I1061" s="65"/>
      <c r="J1061" s="65"/>
      <c r="K1061" s="65"/>
      <c r="L1061" s="65"/>
    </row>
    <row r="1062" spans="1:12" x14ac:dyDescent="0.2">
      <c r="A1062" s="69"/>
      <c r="B1062" s="69"/>
      <c r="C1062" s="69"/>
      <c r="D1062" s="69"/>
      <c r="E1062" s="69"/>
      <c r="F1062" s="69"/>
      <c r="G1062" s="69"/>
      <c r="H1062" s="50"/>
      <c r="I1062" s="65"/>
      <c r="J1062" s="65"/>
      <c r="K1062" s="65"/>
      <c r="L1062" s="65"/>
    </row>
    <row r="1063" spans="1:12" x14ac:dyDescent="0.2">
      <c r="A1063" s="69"/>
      <c r="B1063" s="69"/>
      <c r="C1063" s="69"/>
      <c r="D1063" s="69"/>
      <c r="E1063" s="69"/>
      <c r="F1063" s="69"/>
      <c r="G1063" s="69"/>
      <c r="H1063" s="50"/>
      <c r="I1063" s="65"/>
      <c r="J1063" s="65"/>
      <c r="K1063" s="65"/>
      <c r="L1063" s="65"/>
    </row>
    <row r="1064" spans="1:12" x14ac:dyDescent="0.2">
      <c r="A1064" s="69"/>
      <c r="B1064" s="69"/>
      <c r="C1064" s="69"/>
      <c r="D1064" s="69"/>
      <c r="E1064" s="69"/>
      <c r="F1064" s="69"/>
      <c r="G1064" s="69"/>
      <c r="H1064" s="50"/>
      <c r="I1064" s="65"/>
      <c r="J1064" s="65"/>
      <c r="K1064" s="65"/>
      <c r="L1064" s="65"/>
    </row>
    <row r="1065" spans="1:12" x14ac:dyDescent="0.2">
      <c r="A1065" s="69"/>
      <c r="B1065" s="69"/>
      <c r="C1065" s="69"/>
      <c r="D1065" s="69"/>
      <c r="E1065" s="69"/>
      <c r="F1065" s="69"/>
      <c r="G1065" s="69"/>
      <c r="H1065" s="50"/>
      <c r="I1065" s="65"/>
      <c r="J1065" s="65"/>
      <c r="K1065" s="65"/>
      <c r="L1065" s="65"/>
    </row>
    <row r="1066" spans="1:12" x14ac:dyDescent="0.2">
      <c r="A1066" s="69"/>
      <c r="B1066" s="69"/>
      <c r="C1066" s="69"/>
      <c r="D1066" s="69"/>
      <c r="E1066" s="69"/>
      <c r="F1066" s="69"/>
      <c r="G1066" s="69"/>
      <c r="H1066" s="50"/>
      <c r="I1066" s="65"/>
      <c r="J1066" s="65"/>
      <c r="K1066" s="65"/>
      <c r="L1066" s="65"/>
    </row>
    <row r="1067" spans="1:12" x14ac:dyDescent="0.2">
      <c r="A1067" s="69"/>
      <c r="B1067" s="69"/>
      <c r="C1067" s="69"/>
      <c r="D1067" s="69"/>
      <c r="E1067" s="69"/>
      <c r="F1067" s="69"/>
      <c r="G1067" s="69"/>
      <c r="H1067" s="50"/>
      <c r="I1067" s="65"/>
      <c r="J1067" s="65"/>
      <c r="K1067" s="65"/>
      <c r="L1067" s="65"/>
    </row>
    <row r="1068" spans="1:12" x14ac:dyDescent="0.2">
      <c r="A1068" s="69"/>
      <c r="B1068" s="69"/>
      <c r="C1068" s="69"/>
      <c r="D1068" s="69"/>
      <c r="E1068" s="69"/>
      <c r="F1068" s="69"/>
      <c r="G1068" s="69"/>
      <c r="H1068" s="50"/>
      <c r="I1068" s="65"/>
      <c r="J1068" s="65"/>
      <c r="K1068" s="65"/>
      <c r="L1068" s="65"/>
    </row>
    <row r="1069" spans="1:12" x14ac:dyDescent="0.2">
      <c r="A1069" s="69"/>
      <c r="B1069" s="69"/>
      <c r="C1069" s="69"/>
      <c r="D1069" s="69"/>
      <c r="E1069" s="69"/>
      <c r="F1069" s="69"/>
      <c r="G1069" s="69"/>
      <c r="H1069" s="50"/>
      <c r="I1069" s="65"/>
      <c r="J1069" s="65"/>
      <c r="K1069" s="65"/>
      <c r="L1069" s="65"/>
    </row>
    <row r="1070" spans="1:12" x14ac:dyDescent="0.2">
      <c r="A1070" s="69"/>
      <c r="B1070" s="69"/>
      <c r="C1070" s="69"/>
      <c r="D1070" s="69"/>
      <c r="E1070" s="69"/>
      <c r="F1070" s="69"/>
      <c r="G1070" s="69"/>
      <c r="H1070" s="50"/>
      <c r="I1070" s="65"/>
      <c r="J1070" s="65"/>
      <c r="K1070" s="65"/>
      <c r="L1070" s="65"/>
    </row>
    <row r="1071" spans="1:12" x14ac:dyDescent="0.2">
      <c r="A1071" s="69"/>
      <c r="B1071" s="69"/>
      <c r="C1071" s="69"/>
      <c r="D1071" s="69"/>
      <c r="E1071" s="69"/>
      <c r="F1071" s="69"/>
      <c r="G1071" s="69"/>
      <c r="H1071" s="50"/>
      <c r="I1071" s="65"/>
      <c r="J1071" s="65"/>
      <c r="K1071" s="65"/>
      <c r="L1071" s="65"/>
    </row>
    <row r="1072" spans="1:12" x14ac:dyDescent="0.2">
      <c r="A1072" s="69"/>
      <c r="B1072" s="69"/>
      <c r="C1072" s="69"/>
      <c r="D1072" s="69"/>
      <c r="E1072" s="69"/>
      <c r="F1072" s="69"/>
      <c r="G1072" s="69"/>
      <c r="H1072" s="50"/>
      <c r="I1072" s="65"/>
      <c r="J1072" s="65"/>
      <c r="K1072" s="65"/>
      <c r="L1072" s="65"/>
    </row>
    <row r="1073" spans="1:12" x14ac:dyDescent="0.2">
      <c r="A1073" s="69"/>
      <c r="B1073" s="69"/>
      <c r="C1073" s="69"/>
      <c r="D1073" s="69"/>
      <c r="E1073" s="69"/>
      <c r="F1073" s="69"/>
      <c r="G1073" s="69"/>
      <c r="H1073" s="50"/>
      <c r="I1073" s="65"/>
      <c r="J1073" s="65"/>
      <c r="K1073" s="65"/>
      <c r="L1073" s="65"/>
    </row>
    <row r="1074" spans="1:12" x14ac:dyDescent="0.2">
      <c r="A1074" s="69"/>
      <c r="B1074" s="69"/>
      <c r="C1074" s="69"/>
      <c r="D1074" s="69"/>
      <c r="E1074" s="69"/>
      <c r="F1074" s="69"/>
      <c r="G1074" s="69"/>
      <c r="H1074" s="50"/>
      <c r="I1074" s="65"/>
      <c r="J1074" s="65"/>
      <c r="K1074" s="65"/>
      <c r="L1074" s="65"/>
    </row>
    <row r="1075" spans="1:12" x14ac:dyDescent="0.2">
      <c r="A1075" s="69"/>
      <c r="B1075" s="69"/>
      <c r="C1075" s="69"/>
      <c r="D1075" s="69"/>
      <c r="E1075" s="69"/>
      <c r="F1075" s="69"/>
      <c r="G1075" s="69"/>
      <c r="H1075" s="50"/>
      <c r="I1075" s="65"/>
      <c r="J1075" s="65"/>
      <c r="K1075" s="65"/>
      <c r="L1075" s="65"/>
    </row>
    <row r="1076" spans="1:12" x14ac:dyDescent="0.2">
      <c r="A1076" s="69"/>
      <c r="B1076" s="69"/>
      <c r="C1076" s="69"/>
      <c r="D1076" s="69"/>
      <c r="E1076" s="69"/>
      <c r="F1076" s="69"/>
      <c r="G1076" s="69"/>
      <c r="H1076" s="50"/>
      <c r="I1076" s="65"/>
      <c r="J1076" s="65"/>
      <c r="K1076" s="65"/>
      <c r="L1076" s="65"/>
    </row>
    <row r="1077" spans="1:12" x14ac:dyDescent="0.2">
      <c r="A1077" s="69"/>
      <c r="B1077" s="69"/>
      <c r="C1077" s="69"/>
      <c r="D1077" s="69"/>
      <c r="E1077" s="69"/>
      <c r="F1077" s="69"/>
      <c r="G1077" s="69"/>
      <c r="H1077" s="50"/>
      <c r="I1077" s="65"/>
      <c r="J1077" s="65"/>
      <c r="K1077" s="65"/>
      <c r="L1077" s="65"/>
    </row>
    <row r="1078" spans="1:12" x14ac:dyDescent="0.2">
      <c r="A1078" s="69"/>
      <c r="B1078" s="69"/>
      <c r="C1078" s="69"/>
      <c r="D1078" s="69"/>
      <c r="E1078" s="69"/>
      <c r="F1078" s="69"/>
      <c r="G1078" s="69"/>
      <c r="H1078" s="50"/>
      <c r="I1078" s="65"/>
      <c r="J1078" s="65"/>
      <c r="K1078" s="65"/>
      <c r="L1078" s="65"/>
    </row>
    <row r="1079" spans="1:12" x14ac:dyDescent="0.2">
      <c r="A1079" s="69"/>
      <c r="B1079" s="69"/>
      <c r="C1079" s="69"/>
      <c r="D1079" s="69"/>
      <c r="E1079" s="69"/>
      <c r="F1079" s="69"/>
      <c r="G1079" s="69"/>
      <c r="H1079" s="50"/>
      <c r="I1079" s="65"/>
      <c r="J1079" s="65"/>
      <c r="K1079" s="65"/>
      <c r="L1079" s="65"/>
    </row>
    <row r="1080" spans="1:12" x14ac:dyDescent="0.2">
      <c r="A1080" s="69"/>
      <c r="B1080" s="69"/>
      <c r="C1080" s="69"/>
      <c r="D1080" s="69"/>
      <c r="E1080" s="69"/>
      <c r="F1080" s="69"/>
      <c r="G1080" s="69"/>
      <c r="H1080" s="50"/>
      <c r="I1080" s="65"/>
      <c r="J1080" s="65"/>
      <c r="K1080" s="65"/>
      <c r="L1080" s="65"/>
    </row>
    <row r="1081" spans="1:12" x14ac:dyDescent="0.2">
      <c r="A1081" s="69"/>
      <c r="B1081" s="69"/>
      <c r="C1081" s="69"/>
      <c r="D1081" s="69"/>
      <c r="E1081" s="69"/>
      <c r="F1081" s="69"/>
      <c r="G1081" s="69"/>
      <c r="H1081" s="50"/>
      <c r="I1081" s="65"/>
      <c r="J1081" s="65"/>
      <c r="K1081" s="65"/>
      <c r="L1081" s="65"/>
    </row>
    <row r="1082" spans="1:12" x14ac:dyDescent="0.2">
      <c r="A1082" s="69"/>
      <c r="B1082" s="69"/>
      <c r="C1082" s="69"/>
      <c r="D1082" s="69"/>
      <c r="E1082" s="69"/>
      <c r="F1082" s="69"/>
      <c r="G1082" s="69"/>
      <c r="H1082" s="50"/>
      <c r="I1082" s="65"/>
      <c r="J1082" s="65"/>
      <c r="K1082" s="65"/>
      <c r="L1082" s="65"/>
    </row>
    <row r="1083" spans="1:12" x14ac:dyDescent="0.2">
      <c r="A1083" s="69"/>
      <c r="B1083" s="69"/>
      <c r="C1083" s="69"/>
      <c r="D1083" s="69"/>
      <c r="E1083" s="69"/>
      <c r="F1083" s="69"/>
      <c r="G1083" s="69"/>
      <c r="H1083" s="50"/>
      <c r="I1083" s="65"/>
      <c r="J1083" s="65"/>
      <c r="K1083" s="65"/>
      <c r="L1083" s="65"/>
    </row>
    <row r="1084" spans="1:12" x14ac:dyDescent="0.2">
      <c r="A1084" s="69"/>
      <c r="B1084" s="69"/>
      <c r="C1084" s="69"/>
      <c r="D1084" s="69"/>
      <c r="E1084" s="69"/>
      <c r="F1084" s="69"/>
      <c r="G1084" s="69"/>
      <c r="H1084" s="50"/>
      <c r="I1084" s="65"/>
      <c r="J1084" s="65"/>
      <c r="K1084" s="65"/>
      <c r="L1084" s="65"/>
    </row>
    <row r="1085" spans="1:12" x14ac:dyDescent="0.2">
      <c r="A1085" s="69"/>
      <c r="B1085" s="69"/>
      <c r="C1085" s="69"/>
      <c r="D1085" s="69"/>
      <c r="E1085" s="69"/>
      <c r="F1085" s="69"/>
      <c r="G1085" s="69"/>
      <c r="H1085" s="50"/>
      <c r="I1085" s="65"/>
      <c r="J1085" s="65"/>
      <c r="K1085" s="65"/>
      <c r="L1085" s="65"/>
    </row>
    <row r="1086" spans="1:12" x14ac:dyDescent="0.2">
      <c r="A1086" s="69"/>
      <c r="B1086" s="69"/>
      <c r="C1086" s="69"/>
      <c r="D1086" s="69"/>
      <c r="E1086" s="69"/>
      <c r="F1086" s="69"/>
      <c r="G1086" s="69"/>
      <c r="H1086" s="50"/>
      <c r="I1086" s="65"/>
      <c r="J1086" s="65"/>
      <c r="K1086" s="65"/>
      <c r="L1086" s="65"/>
    </row>
    <row r="1087" spans="1:12" x14ac:dyDescent="0.2">
      <c r="A1087" s="69"/>
      <c r="B1087" s="69"/>
      <c r="C1087" s="69"/>
      <c r="D1087" s="69"/>
      <c r="E1087" s="69"/>
      <c r="F1087" s="69"/>
      <c r="G1087" s="69"/>
      <c r="H1087" s="50"/>
      <c r="I1087" s="65"/>
      <c r="J1087" s="65"/>
      <c r="K1087" s="65"/>
      <c r="L1087" s="65"/>
    </row>
    <row r="1088" spans="1:12" x14ac:dyDescent="0.2">
      <c r="A1088" s="69"/>
      <c r="B1088" s="69"/>
      <c r="C1088" s="69"/>
      <c r="D1088" s="69"/>
      <c r="E1088" s="69"/>
      <c r="F1088" s="69"/>
      <c r="G1088" s="69"/>
      <c r="H1088" s="50"/>
      <c r="I1088" s="65"/>
      <c r="J1088" s="65"/>
      <c r="K1088" s="65"/>
      <c r="L1088" s="65"/>
    </row>
    <row r="1089" spans="1:12" x14ac:dyDescent="0.2">
      <c r="A1089" s="69"/>
      <c r="B1089" s="69"/>
      <c r="C1089" s="69"/>
      <c r="D1089" s="69"/>
      <c r="E1089" s="69"/>
      <c r="F1089" s="69"/>
      <c r="G1089" s="69"/>
      <c r="H1089" s="50"/>
      <c r="I1089" s="65"/>
      <c r="J1089" s="65"/>
      <c r="K1089" s="65"/>
      <c r="L1089" s="65"/>
    </row>
    <row r="1090" spans="1:12" x14ac:dyDescent="0.2">
      <c r="A1090" s="69"/>
      <c r="B1090" s="69"/>
      <c r="C1090" s="69"/>
      <c r="D1090" s="69"/>
      <c r="E1090" s="69"/>
      <c r="F1090" s="69"/>
      <c r="G1090" s="69"/>
      <c r="H1090" s="50"/>
      <c r="I1090" s="65"/>
      <c r="J1090" s="65"/>
      <c r="K1090" s="65"/>
      <c r="L1090" s="65"/>
    </row>
    <row r="1091" spans="1:12" x14ac:dyDescent="0.2">
      <c r="A1091" s="69"/>
      <c r="B1091" s="69"/>
      <c r="C1091" s="69"/>
      <c r="D1091" s="69"/>
      <c r="E1091" s="69"/>
      <c r="F1091" s="69"/>
      <c r="G1091" s="69"/>
      <c r="H1091" s="50"/>
      <c r="I1091" s="65"/>
      <c r="J1091" s="65"/>
      <c r="K1091" s="65"/>
      <c r="L1091" s="65"/>
    </row>
    <row r="1092" spans="1:12" x14ac:dyDescent="0.2">
      <c r="A1092" s="69"/>
      <c r="B1092" s="69"/>
      <c r="C1092" s="69"/>
      <c r="D1092" s="69"/>
      <c r="E1092" s="69"/>
      <c r="F1092" s="69"/>
      <c r="G1092" s="69"/>
      <c r="H1092" s="50"/>
      <c r="I1092" s="65"/>
      <c r="J1092" s="65"/>
      <c r="K1092" s="65"/>
      <c r="L1092" s="65"/>
    </row>
    <row r="1093" spans="1:12" x14ac:dyDescent="0.2">
      <c r="A1093" s="69"/>
      <c r="B1093" s="69"/>
      <c r="C1093" s="69"/>
      <c r="D1093" s="69"/>
      <c r="E1093" s="69"/>
      <c r="F1093" s="69"/>
      <c r="G1093" s="69"/>
      <c r="H1093" s="50"/>
      <c r="I1093" s="65"/>
      <c r="J1093" s="65"/>
      <c r="K1093" s="65"/>
      <c r="L1093" s="65"/>
    </row>
    <row r="1094" spans="1:12" x14ac:dyDescent="0.2">
      <c r="A1094" s="69"/>
      <c r="B1094" s="69"/>
      <c r="C1094" s="69"/>
      <c r="D1094" s="69"/>
      <c r="E1094" s="69"/>
      <c r="F1094" s="69"/>
      <c r="G1094" s="69"/>
      <c r="H1094" s="50"/>
      <c r="I1094" s="65"/>
      <c r="J1094" s="65"/>
      <c r="K1094" s="65"/>
      <c r="L1094" s="65"/>
    </row>
    <row r="1095" spans="1:12" x14ac:dyDescent="0.2">
      <c r="A1095" s="69"/>
      <c r="B1095" s="69"/>
      <c r="C1095" s="69"/>
      <c r="D1095" s="69"/>
      <c r="E1095" s="69"/>
      <c r="F1095" s="69"/>
      <c r="G1095" s="69"/>
      <c r="H1095" s="50"/>
      <c r="I1095" s="65"/>
      <c r="J1095" s="65"/>
      <c r="K1095" s="65"/>
      <c r="L1095" s="65"/>
    </row>
    <row r="1096" spans="1:12" x14ac:dyDescent="0.2">
      <c r="A1096" s="69"/>
      <c r="B1096" s="69"/>
      <c r="C1096" s="69"/>
      <c r="D1096" s="69"/>
      <c r="E1096" s="69"/>
      <c r="F1096" s="69"/>
      <c r="G1096" s="69"/>
      <c r="H1096" s="50"/>
      <c r="I1096" s="65"/>
      <c r="J1096" s="65"/>
      <c r="K1096" s="65"/>
      <c r="L1096" s="65"/>
    </row>
    <row r="1097" spans="1:12" x14ac:dyDescent="0.2">
      <c r="A1097" s="69"/>
      <c r="B1097" s="69"/>
      <c r="C1097" s="69"/>
      <c r="D1097" s="69"/>
      <c r="E1097" s="69"/>
      <c r="F1097" s="69"/>
      <c r="G1097" s="69"/>
      <c r="H1097" s="50"/>
      <c r="I1097" s="65"/>
      <c r="J1097" s="65"/>
      <c r="K1097" s="65"/>
      <c r="L1097" s="65"/>
    </row>
    <row r="1098" spans="1:12" x14ac:dyDescent="0.2">
      <c r="A1098" s="69"/>
      <c r="B1098" s="69"/>
      <c r="C1098" s="69"/>
      <c r="D1098" s="69"/>
      <c r="E1098" s="69"/>
      <c r="F1098" s="69"/>
      <c r="G1098" s="69"/>
      <c r="H1098" s="50"/>
      <c r="I1098" s="65"/>
      <c r="J1098" s="65"/>
      <c r="K1098" s="65"/>
      <c r="L1098" s="65"/>
    </row>
    <row r="1099" spans="1:12" x14ac:dyDescent="0.2">
      <c r="A1099" s="69"/>
      <c r="B1099" s="69"/>
      <c r="C1099" s="69"/>
      <c r="D1099" s="69"/>
      <c r="E1099" s="69"/>
      <c r="F1099" s="69"/>
      <c r="G1099" s="69"/>
      <c r="H1099" s="50"/>
      <c r="I1099" s="65"/>
      <c r="J1099" s="65"/>
      <c r="K1099" s="65"/>
      <c r="L1099" s="65"/>
    </row>
    <row r="1100" spans="1:12" x14ac:dyDescent="0.2">
      <c r="A1100" s="69"/>
      <c r="B1100" s="69"/>
      <c r="C1100" s="69"/>
      <c r="D1100" s="69"/>
      <c r="E1100" s="69"/>
      <c r="F1100" s="69"/>
      <c r="G1100" s="69"/>
      <c r="H1100" s="50"/>
      <c r="I1100" s="65"/>
      <c r="J1100" s="65"/>
      <c r="K1100" s="65"/>
      <c r="L1100" s="65"/>
    </row>
    <row r="1101" spans="1:12" x14ac:dyDescent="0.2">
      <c r="A1101" s="69"/>
      <c r="B1101" s="69"/>
      <c r="C1101" s="69"/>
      <c r="D1101" s="69"/>
      <c r="E1101" s="69"/>
      <c r="F1101" s="69"/>
      <c r="G1101" s="69"/>
      <c r="H1101" s="50"/>
      <c r="I1101" s="65"/>
      <c r="J1101" s="65"/>
      <c r="K1101" s="65"/>
      <c r="L1101" s="65"/>
    </row>
    <row r="1102" spans="1:12" x14ac:dyDescent="0.2">
      <c r="A1102" s="69"/>
      <c r="B1102" s="69"/>
      <c r="C1102" s="69"/>
      <c r="D1102" s="69"/>
      <c r="E1102" s="69"/>
      <c r="F1102" s="69"/>
      <c r="G1102" s="69"/>
      <c r="H1102" s="50"/>
      <c r="I1102" s="65"/>
      <c r="J1102" s="65"/>
      <c r="K1102" s="65"/>
      <c r="L1102" s="65"/>
    </row>
    <row r="1103" spans="1:12" x14ac:dyDescent="0.2">
      <c r="A1103" s="69"/>
      <c r="B1103" s="69"/>
      <c r="C1103" s="69"/>
      <c r="D1103" s="69"/>
      <c r="E1103" s="69"/>
      <c r="F1103" s="69"/>
      <c r="G1103" s="69"/>
      <c r="H1103" s="50"/>
      <c r="I1103" s="65"/>
      <c r="J1103" s="65"/>
      <c r="K1103" s="65"/>
      <c r="L1103" s="65"/>
    </row>
    <row r="1104" spans="1:12" x14ac:dyDescent="0.2">
      <c r="A1104" s="69"/>
      <c r="B1104" s="69"/>
      <c r="C1104" s="69"/>
      <c r="D1104" s="69"/>
      <c r="E1104" s="69"/>
      <c r="F1104" s="69"/>
      <c r="G1104" s="69"/>
      <c r="H1104" s="50"/>
      <c r="I1104" s="65"/>
      <c r="J1104" s="65"/>
      <c r="K1104" s="65"/>
      <c r="L1104" s="65"/>
    </row>
    <row r="1105" spans="1:12" x14ac:dyDescent="0.2">
      <c r="A1105" s="69"/>
      <c r="B1105" s="69"/>
      <c r="C1105" s="69"/>
      <c r="D1105" s="69"/>
      <c r="E1105" s="69"/>
      <c r="F1105" s="69"/>
      <c r="G1105" s="69"/>
      <c r="H1105" s="50"/>
      <c r="I1105" s="65"/>
      <c r="J1105" s="65"/>
      <c r="K1105" s="65"/>
      <c r="L1105" s="65"/>
    </row>
    <row r="1106" spans="1:12" x14ac:dyDescent="0.2">
      <c r="A1106" s="69"/>
      <c r="B1106" s="69"/>
      <c r="C1106" s="69"/>
      <c r="D1106" s="69"/>
      <c r="E1106" s="69"/>
      <c r="F1106" s="69"/>
      <c r="G1106" s="69"/>
      <c r="H1106" s="50"/>
      <c r="I1106" s="65"/>
      <c r="J1106" s="65"/>
      <c r="K1106" s="65"/>
      <c r="L1106" s="65"/>
    </row>
    <row r="1107" spans="1:12" x14ac:dyDescent="0.2">
      <c r="A1107" s="69"/>
      <c r="B1107" s="69"/>
      <c r="C1107" s="69"/>
      <c r="D1107" s="69"/>
      <c r="E1107" s="69"/>
      <c r="F1107" s="69"/>
      <c r="G1107" s="69"/>
      <c r="H1107" s="50"/>
      <c r="I1107" s="65"/>
      <c r="J1107" s="65"/>
      <c r="K1107" s="65"/>
      <c r="L1107" s="65"/>
    </row>
    <row r="1108" spans="1:12" x14ac:dyDescent="0.2">
      <c r="A1108" s="69"/>
      <c r="B1108" s="69"/>
      <c r="C1108" s="69"/>
      <c r="D1108" s="69"/>
      <c r="E1108" s="69"/>
      <c r="F1108" s="69"/>
      <c r="G1108" s="69"/>
      <c r="H1108" s="50"/>
      <c r="I1108" s="65"/>
      <c r="J1108" s="65"/>
      <c r="K1108" s="65"/>
      <c r="L1108" s="65"/>
    </row>
    <row r="1109" spans="1:12" x14ac:dyDescent="0.2">
      <c r="A1109" s="69"/>
      <c r="B1109" s="69"/>
      <c r="C1109" s="69"/>
      <c r="D1109" s="69"/>
      <c r="E1109" s="69"/>
      <c r="F1109" s="69"/>
      <c r="G1109" s="69"/>
      <c r="H1109" s="50"/>
      <c r="I1109" s="65"/>
      <c r="J1109" s="65"/>
      <c r="K1109" s="65"/>
      <c r="L1109" s="65"/>
    </row>
    <row r="1110" spans="1:12" x14ac:dyDescent="0.2">
      <c r="A1110" s="69"/>
      <c r="B1110" s="69"/>
      <c r="C1110" s="69"/>
      <c r="D1110" s="69"/>
      <c r="E1110" s="69"/>
      <c r="F1110" s="69"/>
      <c r="G1110" s="69"/>
      <c r="H1110" s="50"/>
      <c r="I1110" s="65"/>
      <c r="J1110" s="65"/>
      <c r="K1110" s="65"/>
      <c r="L1110" s="65"/>
    </row>
    <row r="1111" spans="1:12" x14ac:dyDescent="0.2">
      <c r="A1111" s="69"/>
      <c r="B1111" s="50"/>
      <c r="C1111" s="50"/>
      <c r="D1111" s="50"/>
      <c r="E1111" s="50"/>
      <c r="F1111" s="50"/>
      <c r="G1111" s="50"/>
      <c r="H1111" s="50"/>
      <c r="I1111" s="65"/>
      <c r="J1111" s="65"/>
      <c r="K1111" s="65"/>
      <c r="L1111" s="65"/>
    </row>
    <row r="1112" spans="1:12" x14ac:dyDescent="0.2">
      <c r="A1112" s="69"/>
      <c r="B1112" s="50"/>
      <c r="C1112" s="50"/>
      <c r="D1112" s="50"/>
      <c r="E1112" s="50"/>
      <c r="F1112" s="50"/>
      <c r="G1112" s="50"/>
      <c r="H1112" s="50"/>
      <c r="I1112" s="65"/>
      <c r="J1112" s="65"/>
      <c r="K1112" s="65"/>
      <c r="L1112" s="65"/>
    </row>
    <row r="1115" spans="1:12" x14ac:dyDescent="0.2">
      <c r="A1115" s="69"/>
      <c r="B1115" s="50"/>
      <c r="C1115" s="50"/>
      <c r="D1115" s="50"/>
      <c r="E1115" s="50"/>
      <c r="F1115" s="50"/>
      <c r="G1115" s="50"/>
      <c r="H1115" s="50"/>
      <c r="I1115" s="65"/>
      <c r="J1115" s="65"/>
      <c r="K1115" s="65"/>
      <c r="L1115" s="65"/>
    </row>
    <row r="1116" spans="1:12" x14ac:dyDescent="0.2">
      <c r="A1116" s="69"/>
      <c r="B1116" s="50"/>
      <c r="C1116" s="50"/>
      <c r="D1116" s="50"/>
      <c r="E1116" s="50"/>
      <c r="F1116" s="50"/>
      <c r="G1116" s="50"/>
      <c r="H1116" s="50"/>
      <c r="I1116" s="65"/>
      <c r="J1116" s="65"/>
      <c r="K1116" s="65"/>
      <c r="L1116" s="65"/>
    </row>
    <row r="1117" spans="1:12" x14ac:dyDescent="0.2">
      <c r="A1117" s="69"/>
      <c r="B1117" s="50"/>
      <c r="C1117" s="50"/>
      <c r="D1117" s="50"/>
      <c r="E1117" s="50"/>
      <c r="F1117" s="50"/>
      <c r="G1117" s="50"/>
      <c r="H1117" s="50"/>
      <c r="I1117" s="65"/>
      <c r="J1117" s="65"/>
      <c r="K1117" s="65"/>
      <c r="L1117" s="65"/>
    </row>
    <row r="1118" spans="1:12" x14ac:dyDescent="0.2">
      <c r="A1118" s="69"/>
      <c r="B1118" s="50"/>
      <c r="C1118" s="50"/>
      <c r="D1118" s="50"/>
      <c r="E1118" s="50"/>
      <c r="F1118" s="50"/>
      <c r="G1118" s="50"/>
      <c r="H1118" s="50"/>
      <c r="I1118" s="65"/>
      <c r="J1118" s="65"/>
      <c r="K1118" s="65"/>
      <c r="L1118" s="65"/>
    </row>
    <row r="1119" spans="1:12" x14ac:dyDescent="0.2">
      <c r="A1119" s="69"/>
      <c r="B1119" s="50"/>
      <c r="C1119" s="50"/>
      <c r="D1119" s="50"/>
      <c r="E1119" s="50"/>
      <c r="F1119" s="50"/>
      <c r="G1119" s="50"/>
      <c r="H1119" s="50"/>
      <c r="I1119" s="65"/>
      <c r="J1119" s="65"/>
      <c r="K1119" s="65"/>
      <c r="L1119" s="65"/>
    </row>
    <row r="1120" spans="1:12" x14ac:dyDescent="0.2">
      <c r="A1120" s="69"/>
      <c r="B1120" s="50"/>
      <c r="C1120" s="50"/>
      <c r="D1120" s="50"/>
      <c r="E1120" s="50"/>
      <c r="F1120" s="50"/>
      <c r="G1120" s="50"/>
      <c r="H1120" s="50"/>
      <c r="I1120" s="65"/>
      <c r="J1120" s="65"/>
      <c r="K1120" s="65"/>
      <c r="L1120" s="65"/>
    </row>
    <row r="1121" spans="1:12" x14ac:dyDescent="0.2">
      <c r="A1121" s="69"/>
      <c r="B1121" s="50"/>
      <c r="C1121" s="50"/>
      <c r="D1121" s="50"/>
      <c r="E1121" s="50"/>
      <c r="F1121" s="50"/>
      <c r="G1121" s="50"/>
      <c r="H1121" s="50"/>
      <c r="I1121" s="65"/>
      <c r="J1121" s="65"/>
      <c r="K1121" s="65"/>
      <c r="L1121" s="65"/>
    </row>
    <row r="1122" spans="1:12" x14ac:dyDescent="0.2">
      <c r="A1122" s="69"/>
      <c r="B1122" s="50"/>
      <c r="C1122" s="50"/>
      <c r="D1122" s="50"/>
      <c r="E1122" s="50"/>
      <c r="F1122" s="50"/>
      <c r="G1122" s="50"/>
      <c r="H1122" s="50"/>
      <c r="I1122" s="65"/>
      <c r="J1122" s="65"/>
      <c r="K1122" s="65"/>
      <c r="L1122" s="65"/>
    </row>
    <row r="1123" spans="1:12" x14ac:dyDescent="0.2">
      <c r="A1123" s="69"/>
      <c r="B1123" s="50"/>
      <c r="C1123" s="50"/>
      <c r="D1123" s="50"/>
      <c r="E1123" s="50"/>
      <c r="F1123" s="50"/>
      <c r="G1123" s="50"/>
      <c r="H1123" s="50"/>
      <c r="I1123" s="65"/>
      <c r="J1123" s="65"/>
      <c r="K1123" s="65"/>
      <c r="L1123" s="65"/>
    </row>
    <row r="1124" spans="1:12" x14ac:dyDescent="0.2">
      <c r="A1124" s="69"/>
      <c r="B1124" s="50"/>
      <c r="C1124" s="50"/>
      <c r="D1124" s="50"/>
      <c r="E1124" s="50"/>
      <c r="F1124" s="50"/>
      <c r="G1124" s="50"/>
      <c r="H1124" s="50"/>
      <c r="I1124" s="65"/>
      <c r="J1124" s="65"/>
      <c r="K1124" s="65"/>
      <c r="L1124" s="65"/>
    </row>
    <row r="1125" spans="1:12" x14ac:dyDescent="0.2">
      <c r="A1125" s="69"/>
      <c r="B1125" s="50"/>
      <c r="C1125" s="50"/>
      <c r="D1125" s="50"/>
      <c r="E1125" s="50"/>
      <c r="F1125" s="50"/>
      <c r="G1125" s="50"/>
      <c r="H1125" s="50"/>
      <c r="I1125" s="65"/>
      <c r="J1125" s="65"/>
      <c r="K1125" s="65"/>
      <c r="L1125" s="65"/>
    </row>
    <row r="1126" spans="1:12" x14ac:dyDescent="0.2">
      <c r="A1126" s="69"/>
      <c r="B1126" s="50"/>
      <c r="C1126" s="50"/>
      <c r="D1126" s="50"/>
      <c r="E1126" s="50"/>
      <c r="F1126" s="50"/>
      <c r="G1126" s="50"/>
      <c r="H1126" s="50"/>
      <c r="I1126" s="65"/>
      <c r="J1126" s="65"/>
      <c r="K1126" s="65"/>
      <c r="L1126" s="65"/>
    </row>
    <row r="1127" spans="1:12" x14ac:dyDescent="0.2">
      <c r="A1127" s="69"/>
      <c r="B1127" s="50"/>
      <c r="C1127" s="50"/>
      <c r="D1127" s="50"/>
      <c r="E1127" s="50"/>
      <c r="F1127" s="50"/>
      <c r="G1127" s="50"/>
      <c r="H1127" s="50"/>
      <c r="I1127" s="65"/>
      <c r="J1127" s="65"/>
      <c r="K1127" s="65"/>
      <c r="L1127" s="65"/>
    </row>
    <row r="1128" spans="1:12" x14ac:dyDescent="0.2">
      <c r="A1128" s="69"/>
      <c r="B1128" s="50"/>
      <c r="C1128" s="50"/>
      <c r="D1128" s="50"/>
      <c r="E1128" s="50"/>
      <c r="F1128" s="50"/>
      <c r="G1128" s="50"/>
      <c r="H1128" s="50"/>
      <c r="I1128" s="65"/>
      <c r="J1128" s="65"/>
      <c r="K1128" s="65"/>
      <c r="L1128" s="65"/>
    </row>
    <row r="1129" spans="1:12" x14ac:dyDescent="0.2">
      <c r="A1129" s="69"/>
      <c r="B1129" s="50"/>
      <c r="C1129" s="50"/>
      <c r="D1129" s="50"/>
      <c r="E1129" s="50"/>
      <c r="F1129" s="50"/>
      <c r="G1129" s="50"/>
      <c r="H1129" s="50"/>
      <c r="I1129" s="65"/>
      <c r="J1129" s="65"/>
      <c r="K1129" s="65"/>
      <c r="L1129" s="65"/>
    </row>
    <row r="1130" spans="1:12" x14ac:dyDescent="0.2">
      <c r="A1130" s="69"/>
      <c r="B1130" s="50"/>
      <c r="C1130" s="50"/>
      <c r="D1130" s="50"/>
      <c r="E1130" s="50"/>
      <c r="F1130" s="50"/>
      <c r="G1130" s="50"/>
      <c r="H1130" s="50"/>
      <c r="I1130" s="65"/>
      <c r="J1130" s="65"/>
      <c r="K1130" s="65"/>
      <c r="L1130" s="65"/>
    </row>
    <row r="1131" spans="1:12" x14ac:dyDescent="0.2">
      <c r="A1131" s="69"/>
      <c r="B1131" s="50"/>
      <c r="C1131" s="50"/>
      <c r="D1131" s="50"/>
      <c r="E1131" s="50"/>
      <c r="F1131" s="50"/>
      <c r="G1131" s="50"/>
      <c r="H1131" s="50"/>
      <c r="I1131" s="65"/>
      <c r="J1131" s="65"/>
      <c r="K1131" s="65"/>
      <c r="L1131" s="65"/>
    </row>
    <row r="1132" spans="1:12" x14ac:dyDescent="0.2">
      <c r="A1132" s="69"/>
      <c r="B1132" s="50"/>
      <c r="C1132" s="50"/>
      <c r="D1132" s="50"/>
      <c r="E1132" s="50"/>
      <c r="F1132" s="50"/>
      <c r="G1132" s="50"/>
      <c r="H1132" s="50"/>
      <c r="I1132" s="65"/>
      <c r="J1132" s="65"/>
      <c r="K1132" s="65"/>
      <c r="L1132" s="65"/>
    </row>
    <row r="1133" spans="1:12" x14ac:dyDescent="0.2">
      <c r="A1133" s="69"/>
      <c r="B1133" s="50"/>
      <c r="C1133" s="50"/>
      <c r="D1133" s="50"/>
      <c r="E1133" s="50"/>
      <c r="F1133" s="50"/>
      <c r="G1133" s="50"/>
      <c r="H1133" s="50"/>
      <c r="I1133" s="65"/>
      <c r="J1133" s="65"/>
      <c r="K1133" s="65"/>
      <c r="L1133" s="65"/>
    </row>
    <row r="1134" spans="1:12" x14ac:dyDescent="0.2">
      <c r="A1134" s="69"/>
      <c r="B1134" s="50"/>
      <c r="C1134" s="50"/>
      <c r="D1134" s="50"/>
      <c r="E1134" s="50"/>
      <c r="F1134" s="50"/>
      <c r="G1134" s="50"/>
      <c r="H1134" s="50"/>
      <c r="I1134" s="65"/>
      <c r="J1134" s="65"/>
      <c r="K1134" s="65"/>
      <c r="L1134" s="65"/>
    </row>
    <row r="1135" spans="1:12" x14ac:dyDescent="0.2">
      <c r="A1135" s="69"/>
      <c r="B1135" s="50"/>
      <c r="C1135" s="50"/>
      <c r="D1135" s="50"/>
      <c r="E1135" s="50"/>
      <c r="F1135" s="50"/>
      <c r="G1135" s="50"/>
      <c r="H1135" s="50"/>
      <c r="I1135" s="65"/>
      <c r="J1135" s="65"/>
      <c r="K1135" s="65"/>
      <c r="L1135" s="65"/>
    </row>
    <row r="1136" spans="1:12" x14ac:dyDescent="0.2">
      <c r="A1136" s="69"/>
      <c r="B1136" s="50"/>
      <c r="C1136" s="50"/>
      <c r="D1136" s="50"/>
      <c r="E1136" s="50"/>
      <c r="F1136" s="50"/>
      <c r="G1136" s="50"/>
      <c r="H1136" s="50"/>
      <c r="I1136" s="65"/>
      <c r="J1136" s="65"/>
      <c r="K1136" s="65"/>
      <c r="L1136" s="65"/>
    </row>
    <row r="1137" spans="1:12" x14ac:dyDescent="0.2">
      <c r="A1137" s="69"/>
      <c r="B1137" s="50"/>
      <c r="C1137" s="50"/>
      <c r="D1137" s="50"/>
      <c r="E1137" s="50"/>
      <c r="F1137" s="50"/>
      <c r="G1137" s="50"/>
      <c r="H1137" s="50"/>
      <c r="I1137" s="65"/>
      <c r="J1137" s="65"/>
      <c r="K1137" s="65"/>
      <c r="L1137" s="65"/>
    </row>
    <row r="1138" spans="1:12" x14ac:dyDescent="0.2">
      <c r="A1138" s="69"/>
      <c r="B1138" s="50"/>
      <c r="C1138" s="50"/>
      <c r="D1138" s="50"/>
      <c r="E1138" s="50"/>
      <c r="F1138" s="50"/>
      <c r="G1138" s="50"/>
      <c r="H1138" s="50"/>
      <c r="I1138" s="65"/>
      <c r="J1138" s="65"/>
      <c r="K1138" s="65"/>
      <c r="L1138" s="65"/>
    </row>
    <row r="1139" spans="1:12" x14ac:dyDescent="0.2">
      <c r="A1139" s="69"/>
      <c r="B1139" s="50"/>
      <c r="C1139" s="50"/>
      <c r="D1139" s="50"/>
      <c r="E1139" s="50"/>
      <c r="F1139" s="50"/>
      <c r="G1139" s="50"/>
      <c r="H1139" s="50"/>
      <c r="I1139" s="65"/>
      <c r="J1139" s="65"/>
      <c r="K1139" s="65"/>
      <c r="L1139" s="65"/>
    </row>
    <row r="1140" spans="1:12" x14ac:dyDescent="0.2">
      <c r="A1140" s="69"/>
      <c r="B1140" s="50"/>
      <c r="C1140" s="50"/>
      <c r="D1140" s="50"/>
      <c r="E1140" s="50"/>
      <c r="F1140" s="50"/>
      <c r="G1140" s="50"/>
      <c r="H1140" s="50"/>
      <c r="I1140" s="65"/>
      <c r="J1140" s="65"/>
      <c r="K1140" s="65"/>
      <c r="L1140" s="65"/>
    </row>
    <row r="1141" spans="1:12" x14ac:dyDescent="0.2">
      <c r="A1141" s="69"/>
      <c r="B1141" s="50"/>
      <c r="C1141" s="50"/>
      <c r="D1141" s="50"/>
      <c r="E1141" s="50"/>
      <c r="F1141" s="50"/>
      <c r="G1141" s="50"/>
      <c r="H1141" s="50"/>
      <c r="I1141" s="65"/>
      <c r="J1141" s="65"/>
      <c r="K1141" s="65"/>
      <c r="L1141" s="65"/>
    </row>
    <row r="1142" spans="1:12" x14ac:dyDescent="0.2">
      <c r="A1142" s="69"/>
      <c r="B1142" s="50"/>
      <c r="C1142" s="50"/>
      <c r="D1142" s="50"/>
      <c r="E1142" s="50"/>
      <c r="F1142" s="50"/>
      <c r="G1142" s="50"/>
      <c r="H1142" s="50"/>
      <c r="I1142" s="65"/>
      <c r="J1142" s="65"/>
      <c r="K1142" s="65"/>
      <c r="L1142" s="65"/>
    </row>
    <row r="1143" spans="1:12" x14ac:dyDescent="0.2">
      <c r="A1143" s="69"/>
      <c r="B1143" s="50"/>
      <c r="C1143" s="50"/>
      <c r="D1143" s="50"/>
      <c r="E1143" s="50"/>
      <c r="F1143" s="50"/>
      <c r="G1143" s="50"/>
      <c r="H1143" s="50"/>
      <c r="I1143" s="65"/>
      <c r="J1143" s="65"/>
      <c r="K1143" s="65"/>
      <c r="L1143" s="65"/>
    </row>
    <row r="1144" spans="1:12" x14ac:dyDescent="0.2">
      <c r="A1144" s="69"/>
      <c r="B1144" s="50"/>
      <c r="C1144" s="50"/>
      <c r="D1144" s="50"/>
      <c r="E1144" s="50"/>
      <c r="F1144" s="50"/>
      <c r="G1144" s="50"/>
      <c r="H1144" s="50"/>
      <c r="I1144" s="65"/>
      <c r="J1144" s="65"/>
      <c r="K1144" s="65"/>
      <c r="L1144" s="65"/>
    </row>
    <row r="1145" spans="1:12" x14ac:dyDescent="0.2">
      <c r="A1145" s="69"/>
      <c r="B1145" s="50"/>
      <c r="C1145" s="50"/>
      <c r="D1145" s="50"/>
      <c r="E1145" s="50"/>
      <c r="F1145" s="50"/>
      <c r="G1145" s="50"/>
      <c r="H1145" s="50"/>
      <c r="I1145" s="65"/>
      <c r="J1145" s="65"/>
      <c r="K1145" s="65"/>
      <c r="L1145" s="65"/>
    </row>
    <row r="1146" spans="1:12" x14ac:dyDescent="0.2">
      <c r="A1146" s="69"/>
      <c r="B1146" s="50"/>
      <c r="C1146" s="50"/>
      <c r="D1146" s="50"/>
      <c r="E1146" s="50"/>
      <c r="F1146" s="50"/>
      <c r="G1146" s="50"/>
      <c r="H1146" s="50"/>
      <c r="I1146" s="65"/>
      <c r="J1146" s="65"/>
      <c r="K1146" s="65"/>
      <c r="L1146" s="65"/>
    </row>
    <row r="1147" spans="1:12" x14ac:dyDescent="0.2">
      <c r="A1147" s="69"/>
      <c r="B1147" s="50"/>
      <c r="C1147" s="50"/>
      <c r="D1147" s="50"/>
      <c r="E1147" s="50"/>
      <c r="F1147" s="50"/>
      <c r="G1147" s="50"/>
      <c r="H1147" s="50"/>
      <c r="I1147" s="65"/>
      <c r="J1147" s="65"/>
      <c r="K1147" s="65"/>
      <c r="L1147" s="65"/>
    </row>
    <row r="1148" spans="1:12" x14ac:dyDescent="0.2">
      <c r="A1148" s="69"/>
      <c r="B1148" s="50"/>
      <c r="C1148" s="50"/>
      <c r="D1148" s="50"/>
      <c r="E1148" s="50"/>
      <c r="F1148" s="50"/>
      <c r="G1148" s="50"/>
      <c r="H1148" s="50"/>
      <c r="I1148" s="65"/>
      <c r="J1148" s="65"/>
      <c r="K1148" s="65"/>
      <c r="L1148" s="65"/>
    </row>
    <row r="1149" spans="1:12" x14ac:dyDescent="0.2">
      <c r="A1149" s="69"/>
      <c r="B1149" s="50"/>
      <c r="C1149" s="50"/>
      <c r="D1149" s="50"/>
      <c r="E1149" s="50"/>
      <c r="F1149" s="50"/>
      <c r="G1149" s="50"/>
      <c r="H1149" s="50"/>
      <c r="I1149" s="65"/>
      <c r="J1149" s="65"/>
      <c r="K1149" s="65"/>
      <c r="L1149" s="65"/>
    </row>
    <row r="1150" spans="1:12" x14ac:dyDescent="0.2">
      <c r="A1150" s="69"/>
      <c r="B1150" s="50"/>
      <c r="C1150" s="50"/>
      <c r="D1150" s="50"/>
      <c r="E1150" s="50"/>
      <c r="F1150" s="50"/>
      <c r="G1150" s="50"/>
      <c r="H1150" s="50"/>
      <c r="I1150" s="65"/>
      <c r="J1150" s="65"/>
      <c r="K1150" s="65"/>
      <c r="L1150" s="65"/>
    </row>
    <row r="1151" spans="1:12" x14ac:dyDescent="0.2">
      <c r="A1151" s="69"/>
      <c r="B1151" s="50"/>
      <c r="C1151" s="50"/>
      <c r="D1151" s="50"/>
      <c r="E1151" s="50"/>
      <c r="F1151" s="50"/>
      <c r="G1151" s="50"/>
      <c r="H1151" s="50"/>
      <c r="I1151" s="65"/>
      <c r="J1151" s="65"/>
      <c r="K1151" s="65"/>
      <c r="L1151" s="65"/>
    </row>
    <row r="1152" spans="1:12" x14ac:dyDescent="0.2">
      <c r="A1152" s="69"/>
      <c r="B1152" s="50"/>
      <c r="C1152" s="50"/>
      <c r="D1152" s="50"/>
      <c r="E1152" s="50"/>
      <c r="F1152" s="50"/>
      <c r="G1152" s="50"/>
      <c r="H1152" s="50"/>
      <c r="I1152" s="65"/>
      <c r="J1152" s="65"/>
      <c r="K1152" s="65"/>
      <c r="L1152" s="65"/>
    </row>
    <row r="1153" spans="1:12" x14ac:dyDescent="0.2">
      <c r="A1153" s="69"/>
      <c r="B1153" s="50"/>
      <c r="C1153" s="50"/>
      <c r="D1153" s="50"/>
      <c r="E1153" s="50"/>
      <c r="F1153" s="50"/>
      <c r="G1153" s="50"/>
      <c r="H1153" s="50"/>
      <c r="I1153" s="65"/>
      <c r="J1153" s="65"/>
      <c r="K1153" s="65"/>
      <c r="L1153" s="65"/>
    </row>
    <row r="1154" spans="1:12" x14ac:dyDescent="0.2">
      <c r="A1154" s="69"/>
      <c r="B1154" s="50"/>
      <c r="C1154" s="50"/>
      <c r="D1154" s="50"/>
      <c r="E1154" s="50"/>
      <c r="F1154" s="50"/>
      <c r="G1154" s="50"/>
      <c r="H1154" s="50"/>
      <c r="I1154" s="65"/>
      <c r="J1154" s="65"/>
      <c r="K1154" s="65"/>
      <c r="L1154" s="65"/>
    </row>
    <row r="1155" spans="1:12" x14ac:dyDescent="0.2">
      <c r="A1155" s="69"/>
      <c r="B1155" s="50"/>
      <c r="C1155" s="50"/>
      <c r="D1155" s="50"/>
      <c r="E1155" s="50"/>
      <c r="F1155" s="50"/>
      <c r="G1155" s="50"/>
      <c r="H1155" s="50"/>
      <c r="I1155" s="65"/>
      <c r="J1155" s="65"/>
      <c r="K1155" s="65"/>
      <c r="L1155" s="65"/>
    </row>
    <row r="1156" spans="1:12" x14ac:dyDescent="0.2">
      <c r="A1156" s="69"/>
      <c r="B1156" s="50"/>
      <c r="C1156" s="50"/>
      <c r="D1156" s="50"/>
      <c r="E1156" s="50"/>
      <c r="F1156" s="50"/>
      <c r="G1156" s="50"/>
      <c r="H1156" s="50"/>
      <c r="I1156" s="65"/>
      <c r="J1156" s="65"/>
      <c r="K1156" s="65"/>
      <c r="L1156" s="65"/>
    </row>
    <row r="1157" spans="1:12" x14ac:dyDescent="0.2">
      <c r="A1157" s="69"/>
      <c r="B1157" s="50"/>
      <c r="C1157" s="50"/>
      <c r="D1157" s="50"/>
      <c r="E1157" s="50"/>
      <c r="F1157" s="50"/>
      <c r="G1157" s="50"/>
      <c r="H1157" s="50"/>
      <c r="I1157" s="65"/>
      <c r="J1157" s="65"/>
      <c r="K1157" s="65"/>
      <c r="L1157" s="65"/>
    </row>
    <row r="1158" spans="1:12" x14ac:dyDescent="0.2">
      <c r="A1158" s="69"/>
      <c r="B1158" s="50"/>
      <c r="C1158" s="50"/>
      <c r="D1158" s="50"/>
      <c r="E1158" s="50"/>
      <c r="F1158" s="50"/>
      <c r="G1158" s="50"/>
      <c r="H1158" s="50"/>
      <c r="I1158" s="65"/>
      <c r="J1158" s="65"/>
      <c r="K1158" s="65"/>
      <c r="L1158" s="65"/>
    </row>
    <row r="1159" spans="1:12" x14ac:dyDescent="0.2">
      <c r="A1159" s="69"/>
      <c r="B1159" s="50"/>
      <c r="C1159" s="50"/>
      <c r="D1159" s="50"/>
      <c r="E1159" s="50"/>
      <c r="F1159" s="50"/>
      <c r="G1159" s="50"/>
      <c r="H1159" s="50"/>
      <c r="I1159" s="65"/>
      <c r="J1159" s="65"/>
      <c r="K1159" s="65"/>
      <c r="L1159" s="65"/>
    </row>
    <row r="1160" spans="1:12" x14ac:dyDescent="0.2">
      <c r="A1160" s="69"/>
      <c r="B1160" s="50"/>
      <c r="C1160" s="50"/>
      <c r="D1160" s="50"/>
      <c r="E1160" s="50"/>
      <c r="F1160" s="50"/>
      <c r="G1160" s="50"/>
      <c r="H1160" s="50"/>
      <c r="I1160" s="65"/>
      <c r="J1160" s="65"/>
      <c r="K1160" s="65"/>
      <c r="L1160" s="65"/>
    </row>
    <row r="1161" spans="1:12" x14ac:dyDescent="0.2">
      <c r="A1161" s="69"/>
      <c r="B1161" s="50"/>
      <c r="C1161" s="50"/>
      <c r="D1161" s="50"/>
      <c r="E1161" s="50"/>
      <c r="F1161" s="50"/>
      <c r="G1161" s="50"/>
      <c r="H1161" s="50"/>
      <c r="I1161" s="65"/>
      <c r="J1161" s="65"/>
      <c r="K1161" s="65"/>
      <c r="L1161" s="65"/>
    </row>
    <row r="1162" spans="1:12" x14ac:dyDescent="0.2">
      <c r="A1162" s="69"/>
      <c r="B1162" s="50"/>
      <c r="C1162" s="50"/>
      <c r="D1162" s="50"/>
      <c r="E1162" s="50"/>
      <c r="F1162" s="50"/>
      <c r="G1162" s="50"/>
      <c r="H1162" s="50"/>
      <c r="I1162" s="65"/>
      <c r="J1162" s="65"/>
      <c r="K1162" s="65"/>
      <c r="L1162" s="65"/>
    </row>
    <row r="1163" spans="1:12" x14ac:dyDescent="0.2">
      <c r="A1163" s="69"/>
      <c r="B1163" s="50"/>
      <c r="C1163" s="50"/>
      <c r="D1163" s="50"/>
      <c r="E1163" s="50"/>
      <c r="F1163" s="50"/>
      <c r="G1163" s="50"/>
      <c r="H1163" s="50"/>
      <c r="I1163" s="65"/>
      <c r="J1163" s="65"/>
      <c r="K1163" s="65"/>
      <c r="L1163" s="65"/>
    </row>
    <row r="1164" spans="1:12" x14ac:dyDescent="0.2">
      <c r="A1164" s="69"/>
      <c r="B1164" s="50"/>
      <c r="C1164" s="50"/>
      <c r="D1164" s="50"/>
      <c r="E1164" s="50"/>
      <c r="F1164" s="50"/>
      <c r="G1164" s="50"/>
      <c r="H1164" s="50"/>
      <c r="I1164" s="65"/>
      <c r="J1164" s="65"/>
      <c r="K1164" s="65"/>
      <c r="L1164" s="65"/>
    </row>
    <row r="1165" spans="1:12" x14ac:dyDescent="0.2">
      <c r="A1165" s="69"/>
      <c r="B1165" s="50"/>
      <c r="C1165" s="50"/>
      <c r="D1165" s="50"/>
      <c r="E1165" s="50"/>
      <c r="F1165" s="50"/>
      <c r="G1165" s="50"/>
      <c r="H1165" s="50"/>
      <c r="I1165" s="65"/>
      <c r="J1165" s="65"/>
      <c r="K1165" s="65"/>
      <c r="L1165" s="65"/>
    </row>
    <row r="1166" spans="1:12" x14ac:dyDescent="0.2">
      <c r="A1166" s="69"/>
      <c r="B1166" s="50"/>
      <c r="C1166" s="50"/>
      <c r="D1166" s="50"/>
      <c r="E1166" s="50"/>
      <c r="F1166" s="50"/>
      <c r="G1166" s="50"/>
      <c r="H1166" s="50"/>
      <c r="I1166" s="65"/>
      <c r="J1166" s="65"/>
      <c r="K1166" s="65"/>
      <c r="L1166" s="65"/>
    </row>
    <row r="1167" spans="1:12" x14ac:dyDescent="0.2">
      <c r="A1167" s="69"/>
      <c r="B1167" s="50"/>
      <c r="C1167" s="50"/>
      <c r="D1167" s="50"/>
      <c r="E1167" s="50"/>
      <c r="F1167" s="50"/>
      <c r="G1167" s="50"/>
      <c r="H1167" s="50"/>
      <c r="I1167" s="65"/>
      <c r="J1167" s="65"/>
      <c r="K1167" s="65"/>
      <c r="L1167" s="65"/>
    </row>
    <row r="1168" spans="1:12" x14ac:dyDescent="0.2">
      <c r="A1168" s="69"/>
      <c r="B1168" s="50"/>
      <c r="C1168" s="50"/>
      <c r="D1168" s="50"/>
      <c r="E1168" s="50"/>
      <c r="F1168" s="50"/>
      <c r="G1168" s="50"/>
      <c r="H1168" s="50"/>
      <c r="I1168" s="65"/>
      <c r="J1168" s="65"/>
      <c r="K1168" s="65"/>
      <c r="L1168" s="65"/>
    </row>
    <row r="1169" spans="1:12" x14ac:dyDescent="0.2">
      <c r="A1169" s="69"/>
      <c r="B1169" s="50"/>
      <c r="C1169" s="50"/>
      <c r="D1169" s="50"/>
      <c r="E1169" s="50"/>
      <c r="F1169" s="50"/>
      <c r="G1169" s="50"/>
      <c r="H1169" s="50"/>
      <c r="I1169" s="65"/>
      <c r="J1169" s="65"/>
      <c r="K1169" s="65"/>
      <c r="L1169" s="65"/>
    </row>
    <row r="1170" spans="1:12" x14ac:dyDescent="0.2">
      <c r="A1170" s="69"/>
      <c r="B1170" s="50"/>
      <c r="C1170" s="50"/>
      <c r="D1170" s="50"/>
      <c r="E1170" s="50"/>
      <c r="F1170" s="50"/>
      <c r="G1170" s="50"/>
      <c r="H1170" s="50"/>
      <c r="I1170" s="65"/>
      <c r="J1170" s="65"/>
      <c r="K1170" s="65"/>
      <c r="L1170" s="65"/>
    </row>
    <row r="1171" spans="1:12" x14ac:dyDescent="0.2">
      <c r="A1171" s="69"/>
      <c r="B1171" s="50"/>
      <c r="C1171" s="50"/>
      <c r="D1171" s="50"/>
      <c r="E1171" s="50"/>
      <c r="F1171" s="50"/>
      <c r="G1171" s="50"/>
      <c r="H1171" s="50"/>
      <c r="I1171" s="65"/>
      <c r="J1171" s="65"/>
      <c r="K1171" s="65"/>
      <c r="L1171" s="65"/>
    </row>
    <row r="1172" spans="1:12" x14ac:dyDescent="0.2">
      <c r="A1172" s="69"/>
      <c r="B1172" s="50"/>
      <c r="C1172" s="50"/>
      <c r="D1172" s="50"/>
      <c r="E1172" s="50"/>
      <c r="F1172" s="50"/>
      <c r="G1172" s="50"/>
      <c r="H1172" s="50"/>
      <c r="I1172" s="65"/>
      <c r="J1172" s="65"/>
      <c r="K1172" s="65"/>
      <c r="L1172" s="65"/>
    </row>
    <row r="1173" spans="1:12" x14ac:dyDescent="0.2">
      <c r="A1173" s="69"/>
      <c r="B1173" s="50"/>
      <c r="C1173" s="50"/>
      <c r="D1173" s="50"/>
      <c r="E1173" s="50"/>
      <c r="F1173" s="50"/>
      <c r="G1173" s="50"/>
      <c r="H1173" s="50"/>
      <c r="I1173" s="65"/>
      <c r="J1173" s="65"/>
      <c r="K1173" s="65"/>
      <c r="L1173" s="65"/>
    </row>
    <row r="1174" spans="1:12" x14ac:dyDescent="0.2">
      <c r="A1174" s="69"/>
      <c r="B1174" s="50"/>
      <c r="C1174" s="50"/>
      <c r="D1174" s="50"/>
      <c r="E1174" s="50"/>
      <c r="F1174" s="50"/>
      <c r="G1174" s="50"/>
      <c r="H1174" s="50"/>
      <c r="I1174" s="65"/>
      <c r="J1174" s="65"/>
      <c r="K1174" s="65"/>
      <c r="L1174" s="65"/>
    </row>
    <row r="1175" spans="1:12" x14ac:dyDescent="0.2">
      <c r="A1175" s="69"/>
      <c r="B1175" s="50"/>
      <c r="C1175" s="50"/>
      <c r="D1175" s="50"/>
      <c r="E1175" s="50"/>
      <c r="F1175" s="50"/>
      <c r="G1175" s="50"/>
      <c r="H1175" s="50"/>
      <c r="I1175" s="65"/>
      <c r="J1175" s="65"/>
      <c r="K1175" s="65"/>
      <c r="L1175" s="65"/>
    </row>
    <row r="1176" spans="1:12" x14ac:dyDescent="0.2">
      <c r="A1176" s="69"/>
      <c r="B1176" s="50"/>
      <c r="C1176" s="50"/>
      <c r="D1176" s="50"/>
      <c r="E1176" s="50"/>
      <c r="F1176" s="50"/>
      <c r="G1176" s="50"/>
      <c r="H1176" s="50"/>
      <c r="I1176" s="65"/>
      <c r="J1176" s="65"/>
      <c r="K1176" s="65"/>
      <c r="L1176" s="65"/>
    </row>
    <row r="1177" spans="1:12" x14ac:dyDescent="0.2">
      <c r="A1177" s="69"/>
      <c r="B1177" s="50"/>
      <c r="C1177" s="50"/>
      <c r="D1177" s="50"/>
      <c r="E1177" s="50"/>
      <c r="F1177" s="50"/>
      <c r="G1177" s="50"/>
      <c r="H1177" s="50"/>
      <c r="I1177" s="65"/>
      <c r="J1177" s="65"/>
      <c r="K1177" s="65"/>
      <c r="L1177" s="65"/>
    </row>
    <row r="1178" spans="1:12" x14ac:dyDescent="0.2">
      <c r="A1178" s="69"/>
      <c r="B1178" s="50"/>
      <c r="C1178" s="50"/>
      <c r="D1178" s="50"/>
      <c r="E1178" s="50"/>
      <c r="F1178" s="50"/>
      <c r="G1178" s="50"/>
      <c r="H1178" s="50"/>
      <c r="I1178" s="65"/>
      <c r="J1178" s="65"/>
      <c r="K1178" s="65"/>
      <c r="L1178" s="65"/>
    </row>
    <row r="1179" spans="1:12" x14ac:dyDescent="0.2">
      <c r="A1179" s="69"/>
      <c r="B1179" s="50"/>
      <c r="C1179" s="50"/>
      <c r="D1179" s="50"/>
      <c r="E1179" s="50"/>
      <c r="F1179" s="50"/>
      <c r="G1179" s="50"/>
      <c r="H1179" s="50"/>
      <c r="I1179" s="65"/>
      <c r="J1179" s="65"/>
      <c r="K1179" s="65"/>
      <c r="L1179" s="65"/>
    </row>
    <row r="1180" spans="1:12" x14ac:dyDescent="0.2">
      <c r="A1180" s="69"/>
      <c r="B1180" s="50"/>
      <c r="C1180" s="50"/>
      <c r="D1180" s="50"/>
      <c r="E1180" s="50"/>
      <c r="F1180" s="50"/>
      <c r="G1180" s="50"/>
      <c r="H1180" s="50"/>
      <c r="I1180" s="65"/>
      <c r="J1180" s="65"/>
      <c r="K1180" s="65"/>
      <c r="L1180" s="65"/>
    </row>
    <row r="1181" spans="1:12" x14ac:dyDescent="0.2">
      <c r="A1181" s="69"/>
      <c r="B1181" s="50"/>
      <c r="C1181" s="50"/>
      <c r="D1181" s="50"/>
      <c r="E1181" s="50"/>
      <c r="F1181" s="50"/>
      <c r="G1181" s="50"/>
      <c r="H1181" s="50"/>
      <c r="I1181" s="65"/>
      <c r="J1181" s="65"/>
      <c r="K1181" s="65"/>
      <c r="L1181" s="65"/>
    </row>
    <row r="1182" spans="1:12" x14ac:dyDescent="0.2">
      <c r="A1182" s="69"/>
      <c r="B1182" s="50"/>
      <c r="C1182" s="50"/>
      <c r="D1182" s="50"/>
      <c r="E1182" s="50"/>
      <c r="F1182" s="50"/>
      <c r="G1182" s="50"/>
      <c r="H1182" s="50"/>
      <c r="I1182" s="65"/>
      <c r="J1182" s="65"/>
      <c r="K1182" s="65"/>
      <c r="L1182" s="65"/>
    </row>
    <row r="1183" spans="1:12" x14ac:dyDescent="0.2">
      <c r="A1183" s="69"/>
      <c r="B1183" s="50"/>
      <c r="C1183" s="50"/>
      <c r="D1183" s="50"/>
      <c r="E1183" s="50"/>
      <c r="F1183" s="50"/>
      <c r="G1183" s="50"/>
      <c r="H1183" s="50"/>
      <c r="I1183" s="65"/>
      <c r="J1183" s="65"/>
      <c r="K1183" s="65"/>
      <c r="L1183" s="65"/>
    </row>
    <row r="1184" spans="1:12" x14ac:dyDescent="0.2">
      <c r="A1184" s="69"/>
      <c r="B1184" s="50"/>
      <c r="C1184" s="50"/>
      <c r="D1184" s="50"/>
      <c r="E1184" s="50"/>
      <c r="F1184" s="50"/>
      <c r="G1184" s="50"/>
      <c r="H1184" s="50"/>
      <c r="I1184" s="65"/>
      <c r="J1184" s="65"/>
      <c r="K1184" s="65"/>
      <c r="L1184" s="65"/>
    </row>
    <row r="1185" spans="1:12" x14ac:dyDescent="0.2">
      <c r="A1185" s="69"/>
      <c r="B1185" s="50"/>
      <c r="C1185" s="50"/>
      <c r="D1185" s="50"/>
      <c r="E1185" s="50"/>
      <c r="F1185" s="50"/>
      <c r="G1185" s="50"/>
      <c r="H1185" s="50"/>
      <c r="I1185" s="65"/>
      <c r="J1185" s="65"/>
      <c r="K1185" s="65"/>
      <c r="L1185" s="65"/>
    </row>
    <row r="1186" spans="1:12" x14ac:dyDescent="0.2">
      <c r="A1186" s="69"/>
      <c r="B1186" s="50"/>
      <c r="C1186" s="50"/>
      <c r="D1186" s="50"/>
      <c r="E1186" s="50"/>
      <c r="F1186" s="50"/>
      <c r="G1186" s="50"/>
      <c r="H1186" s="50"/>
      <c r="I1186" s="65"/>
      <c r="J1186" s="65"/>
      <c r="K1186" s="65"/>
      <c r="L1186" s="65"/>
    </row>
    <row r="1187" spans="1:12" x14ac:dyDescent="0.2">
      <c r="A1187" s="69"/>
      <c r="B1187" s="50"/>
      <c r="C1187" s="50"/>
      <c r="D1187" s="50"/>
      <c r="E1187" s="50"/>
      <c r="F1187" s="50"/>
      <c r="G1187" s="50"/>
      <c r="H1187" s="50"/>
      <c r="I1187" s="65"/>
      <c r="J1187" s="65"/>
      <c r="K1187" s="65"/>
      <c r="L1187" s="65"/>
    </row>
    <row r="1188" spans="1:12" x14ac:dyDescent="0.2">
      <c r="A1188" s="69"/>
      <c r="B1188" s="50"/>
      <c r="C1188" s="50"/>
      <c r="D1188" s="50"/>
      <c r="E1188" s="50"/>
      <c r="F1188" s="50"/>
      <c r="G1188" s="50"/>
      <c r="H1188" s="50"/>
      <c r="I1188" s="65"/>
      <c r="J1188" s="65"/>
      <c r="K1188" s="65"/>
      <c r="L1188" s="65"/>
    </row>
    <row r="1189" spans="1:12" x14ac:dyDescent="0.2">
      <c r="A1189" s="69"/>
      <c r="B1189" s="50"/>
      <c r="C1189" s="50"/>
      <c r="D1189" s="50"/>
      <c r="E1189" s="50"/>
      <c r="F1189" s="50"/>
      <c r="G1189" s="50"/>
      <c r="H1189" s="50"/>
      <c r="I1189" s="65"/>
      <c r="J1189" s="65"/>
      <c r="K1189" s="65"/>
      <c r="L1189" s="65"/>
    </row>
    <row r="1190" spans="1:12" x14ac:dyDescent="0.2">
      <c r="A1190" s="69"/>
      <c r="B1190" s="50"/>
      <c r="C1190" s="50"/>
      <c r="D1190" s="50"/>
      <c r="E1190" s="50"/>
      <c r="F1190" s="50"/>
      <c r="G1190" s="50"/>
      <c r="H1190" s="50"/>
      <c r="I1190" s="65"/>
      <c r="J1190" s="65"/>
      <c r="K1190" s="65"/>
      <c r="L1190" s="65"/>
    </row>
    <row r="1191" spans="1:12" x14ac:dyDescent="0.2">
      <c r="A1191" s="69"/>
      <c r="B1191" s="50"/>
      <c r="C1191" s="50"/>
      <c r="D1191" s="50"/>
      <c r="E1191" s="50"/>
      <c r="F1191" s="50"/>
      <c r="G1191" s="50"/>
      <c r="H1191" s="50"/>
      <c r="I1191" s="65"/>
      <c r="J1191" s="65"/>
      <c r="K1191" s="65"/>
      <c r="L1191" s="65"/>
    </row>
    <row r="1192" spans="1:12" x14ac:dyDescent="0.2">
      <c r="A1192" s="69"/>
      <c r="B1192" s="50"/>
      <c r="C1192" s="50"/>
      <c r="D1192" s="50"/>
      <c r="E1192" s="50"/>
      <c r="F1192" s="50"/>
      <c r="G1192" s="50"/>
      <c r="H1192" s="50"/>
      <c r="I1192" s="65"/>
      <c r="J1192" s="65"/>
      <c r="K1192" s="65"/>
      <c r="L1192" s="65"/>
    </row>
    <row r="1193" spans="1:12" x14ac:dyDescent="0.2">
      <c r="A1193" s="69"/>
      <c r="B1193" s="50"/>
      <c r="C1193" s="50"/>
      <c r="D1193" s="50"/>
      <c r="E1193" s="50"/>
      <c r="F1193" s="50"/>
      <c r="G1193" s="50"/>
      <c r="H1193" s="50"/>
      <c r="I1193" s="65"/>
      <c r="J1193" s="65"/>
      <c r="K1193" s="65"/>
      <c r="L1193" s="65"/>
    </row>
    <row r="1194" spans="1:12" x14ac:dyDescent="0.2">
      <c r="A1194" s="69"/>
      <c r="B1194" s="50"/>
      <c r="C1194" s="50"/>
      <c r="D1194" s="50"/>
      <c r="E1194" s="50"/>
      <c r="F1194" s="50"/>
      <c r="G1194" s="50"/>
      <c r="H1194" s="50"/>
      <c r="I1194" s="65"/>
      <c r="J1194" s="65"/>
      <c r="K1194" s="65"/>
      <c r="L1194" s="65"/>
    </row>
    <row r="1195" spans="1:12" x14ac:dyDescent="0.2">
      <c r="A1195" s="69"/>
      <c r="B1195" s="50"/>
      <c r="C1195" s="50"/>
      <c r="D1195" s="50"/>
      <c r="E1195" s="50"/>
      <c r="F1195" s="50"/>
      <c r="G1195" s="50"/>
      <c r="H1195" s="50"/>
      <c r="I1195" s="65"/>
      <c r="J1195" s="65"/>
      <c r="K1195" s="65"/>
      <c r="L1195" s="65"/>
    </row>
    <row r="1196" spans="1:12" x14ac:dyDescent="0.2">
      <c r="A1196" s="69"/>
      <c r="B1196" s="50"/>
      <c r="C1196" s="50"/>
      <c r="D1196" s="50"/>
      <c r="E1196" s="50"/>
      <c r="F1196" s="50"/>
      <c r="G1196" s="50"/>
      <c r="H1196" s="50"/>
      <c r="I1196" s="65"/>
      <c r="J1196" s="65"/>
      <c r="K1196" s="65"/>
      <c r="L1196" s="65"/>
    </row>
    <row r="1197" spans="1:12" x14ac:dyDescent="0.2">
      <c r="A1197" s="69"/>
      <c r="B1197" s="50"/>
      <c r="C1197" s="50"/>
      <c r="D1197" s="50"/>
      <c r="E1197" s="50"/>
      <c r="F1197" s="50"/>
      <c r="G1197" s="50"/>
      <c r="H1197" s="50"/>
      <c r="I1197" s="65"/>
      <c r="J1197" s="65"/>
      <c r="K1197" s="65"/>
      <c r="L1197" s="65"/>
    </row>
    <row r="1198" spans="1:12" x14ac:dyDescent="0.2">
      <c r="A1198" s="69"/>
      <c r="B1198" s="50"/>
      <c r="C1198" s="50"/>
      <c r="D1198" s="50"/>
      <c r="E1198" s="50"/>
      <c r="F1198" s="50"/>
      <c r="G1198" s="50"/>
      <c r="H1198" s="50"/>
      <c r="I1198" s="65"/>
      <c r="J1198" s="65"/>
      <c r="K1198" s="65"/>
      <c r="L1198" s="65"/>
    </row>
    <row r="1199" spans="1:12" x14ac:dyDescent="0.2">
      <c r="A1199" s="69"/>
      <c r="B1199" s="50"/>
      <c r="C1199" s="50"/>
      <c r="D1199" s="50"/>
      <c r="E1199" s="50"/>
      <c r="F1199" s="50"/>
      <c r="G1199" s="50"/>
      <c r="H1199" s="50"/>
      <c r="I1199" s="65"/>
      <c r="J1199" s="65"/>
      <c r="K1199" s="65"/>
      <c r="L1199" s="65"/>
    </row>
    <row r="1200" spans="1:12" x14ac:dyDescent="0.2">
      <c r="A1200" s="69"/>
      <c r="B1200" s="50"/>
      <c r="C1200" s="50"/>
      <c r="D1200" s="50"/>
      <c r="E1200" s="50"/>
      <c r="F1200" s="50"/>
      <c r="G1200" s="50"/>
      <c r="H1200" s="50"/>
      <c r="I1200" s="65"/>
      <c r="J1200" s="65"/>
      <c r="K1200" s="65"/>
      <c r="L1200" s="65"/>
    </row>
    <row r="1201" spans="1:12" x14ac:dyDescent="0.2">
      <c r="A1201" s="69"/>
      <c r="B1201" s="50"/>
      <c r="C1201" s="50"/>
      <c r="D1201" s="50"/>
      <c r="E1201" s="50"/>
      <c r="F1201" s="50"/>
      <c r="G1201" s="50"/>
      <c r="H1201" s="50"/>
      <c r="I1201" s="65"/>
      <c r="J1201" s="65"/>
      <c r="K1201" s="65"/>
      <c r="L1201" s="65"/>
    </row>
    <row r="1202" spans="1:12" x14ac:dyDescent="0.2">
      <c r="A1202" s="69"/>
      <c r="B1202" s="50"/>
      <c r="C1202" s="50"/>
      <c r="D1202" s="50"/>
      <c r="E1202" s="50"/>
      <c r="F1202" s="50"/>
      <c r="G1202" s="50"/>
      <c r="H1202" s="50"/>
      <c r="I1202" s="65"/>
      <c r="J1202" s="65"/>
      <c r="K1202" s="65"/>
      <c r="L1202" s="65"/>
    </row>
    <row r="1203" spans="1:12" x14ac:dyDescent="0.2">
      <c r="A1203" s="69"/>
      <c r="B1203" s="50"/>
      <c r="C1203" s="50"/>
      <c r="D1203" s="50"/>
      <c r="E1203" s="50"/>
      <c r="F1203" s="50"/>
      <c r="G1203" s="50"/>
      <c r="H1203" s="50"/>
      <c r="I1203" s="65"/>
      <c r="J1203" s="65"/>
      <c r="K1203" s="65"/>
      <c r="L1203" s="65"/>
    </row>
    <row r="1204" spans="1:12" x14ac:dyDescent="0.2">
      <c r="A1204" s="69"/>
      <c r="B1204" s="50"/>
      <c r="C1204" s="50"/>
      <c r="D1204" s="50"/>
      <c r="E1204" s="50"/>
      <c r="F1204" s="50"/>
      <c r="G1204" s="50"/>
      <c r="H1204" s="50"/>
      <c r="I1204" s="65"/>
      <c r="J1204" s="65"/>
      <c r="K1204" s="65"/>
      <c r="L1204" s="65"/>
    </row>
    <row r="1205" spans="1:12" x14ac:dyDescent="0.2">
      <c r="A1205" s="69"/>
      <c r="B1205" s="50"/>
      <c r="C1205" s="50"/>
      <c r="D1205" s="50"/>
      <c r="E1205" s="50"/>
      <c r="F1205" s="50"/>
      <c r="G1205" s="50"/>
      <c r="H1205" s="50"/>
      <c r="I1205" s="65"/>
      <c r="J1205" s="65"/>
      <c r="K1205" s="65"/>
      <c r="L1205" s="65"/>
    </row>
    <row r="1206" spans="1:12" x14ac:dyDescent="0.2">
      <c r="A1206" s="69"/>
      <c r="B1206" s="50"/>
      <c r="C1206" s="50"/>
      <c r="D1206" s="50"/>
      <c r="E1206" s="50"/>
      <c r="F1206" s="50"/>
      <c r="G1206" s="50"/>
      <c r="H1206" s="50"/>
      <c r="I1206" s="65"/>
      <c r="J1206" s="65"/>
      <c r="K1206" s="65"/>
      <c r="L1206" s="65"/>
    </row>
    <row r="1207" spans="1:12" x14ac:dyDescent="0.2">
      <c r="A1207" s="69"/>
      <c r="B1207" s="50"/>
      <c r="C1207" s="50"/>
      <c r="D1207" s="50"/>
      <c r="E1207" s="50"/>
      <c r="F1207" s="50"/>
      <c r="G1207" s="50"/>
      <c r="H1207" s="50"/>
      <c r="I1207" s="65"/>
      <c r="J1207" s="65"/>
      <c r="K1207" s="65"/>
      <c r="L1207" s="65"/>
    </row>
    <row r="1208" spans="1:12" x14ac:dyDescent="0.2">
      <c r="A1208" s="69"/>
      <c r="B1208" s="50"/>
      <c r="C1208" s="50"/>
      <c r="D1208" s="50"/>
      <c r="E1208" s="50"/>
      <c r="F1208" s="50"/>
      <c r="G1208" s="50"/>
      <c r="H1208" s="50"/>
      <c r="I1208" s="65"/>
      <c r="J1208" s="65"/>
      <c r="K1208" s="65"/>
      <c r="L1208" s="65"/>
    </row>
    <row r="1209" spans="1:12" x14ac:dyDescent="0.2">
      <c r="A1209" s="69"/>
      <c r="B1209" s="50"/>
      <c r="C1209" s="50"/>
      <c r="D1209" s="50"/>
      <c r="E1209" s="50"/>
      <c r="F1209" s="50"/>
      <c r="G1209" s="50"/>
      <c r="H1209" s="50"/>
      <c r="I1209" s="65"/>
      <c r="J1209" s="65"/>
      <c r="K1209" s="65"/>
      <c r="L1209" s="65"/>
    </row>
    <row r="1210" spans="1:12" x14ac:dyDescent="0.2">
      <c r="A1210" s="69"/>
      <c r="B1210" s="50"/>
      <c r="C1210" s="50"/>
      <c r="D1210" s="50"/>
      <c r="E1210" s="50"/>
      <c r="F1210" s="50"/>
      <c r="G1210" s="50"/>
      <c r="H1210" s="50"/>
      <c r="I1210" s="65"/>
      <c r="J1210" s="65"/>
      <c r="K1210" s="65"/>
      <c r="L1210" s="65"/>
    </row>
    <row r="1211" spans="1:12" x14ac:dyDescent="0.2">
      <c r="A1211" s="69"/>
      <c r="B1211" s="50"/>
      <c r="C1211" s="50"/>
      <c r="D1211" s="50"/>
      <c r="E1211" s="50"/>
      <c r="F1211" s="50"/>
      <c r="G1211" s="50"/>
      <c r="H1211" s="50"/>
      <c r="I1211" s="65"/>
      <c r="J1211" s="65"/>
      <c r="K1211" s="65"/>
      <c r="L1211" s="65"/>
    </row>
    <row r="1212" spans="1:12" x14ac:dyDescent="0.2">
      <c r="A1212" s="69"/>
      <c r="B1212" s="50"/>
      <c r="C1212" s="50"/>
      <c r="D1212" s="50"/>
      <c r="E1212" s="50"/>
      <c r="F1212" s="50"/>
      <c r="G1212" s="50"/>
      <c r="H1212" s="50"/>
      <c r="I1212" s="65"/>
      <c r="J1212" s="65"/>
      <c r="K1212" s="65"/>
      <c r="L1212" s="65"/>
    </row>
    <row r="1213" spans="1:12" x14ac:dyDescent="0.2">
      <c r="A1213" s="69"/>
      <c r="B1213" s="50"/>
      <c r="C1213" s="50"/>
      <c r="D1213" s="50"/>
      <c r="E1213" s="50"/>
      <c r="F1213" s="50"/>
      <c r="G1213" s="50"/>
      <c r="H1213" s="50"/>
      <c r="I1213" s="65"/>
      <c r="J1213" s="65"/>
      <c r="K1213" s="65"/>
      <c r="L1213" s="65"/>
    </row>
    <row r="1214" spans="1:12" x14ac:dyDescent="0.2">
      <c r="A1214" s="69"/>
      <c r="B1214" s="50"/>
      <c r="C1214" s="50"/>
      <c r="D1214" s="50"/>
      <c r="E1214" s="50"/>
      <c r="F1214" s="50"/>
      <c r="G1214" s="50"/>
      <c r="H1214" s="50"/>
      <c r="I1214" s="65"/>
      <c r="J1214" s="65"/>
      <c r="K1214" s="65"/>
      <c r="L1214" s="65"/>
    </row>
    <row r="1215" spans="1:12" x14ac:dyDescent="0.2">
      <c r="A1215" s="69"/>
      <c r="B1215" s="50"/>
      <c r="C1215" s="50"/>
      <c r="D1215" s="50"/>
      <c r="E1215" s="50"/>
      <c r="F1215" s="50"/>
      <c r="G1215" s="50"/>
      <c r="H1215" s="50"/>
      <c r="I1215" s="65"/>
      <c r="J1215" s="65"/>
      <c r="K1215" s="65"/>
      <c r="L1215" s="65"/>
    </row>
    <row r="1216" spans="1:12" x14ac:dyDescent="0.2">
      <c r="A1216" s="69"/>
      <c r="B1216" s="50"/>
      <c r="C1216" s="50"/>
      <c r="D1216" s="50"/>
      <c r="E1216" s="50"/>
      <c r="F1216" s="50"/>
      <c r="G1216" s="50"/>
      <c r="H1216" s="50"/>
      <c r="I1216" s="65"/>
      <c r="J1216" s="65"/>
      <c r="K1216" s="65"/>
      <c r="L1216" s="65"/>
    </row>
    <row r="1217" spans="1:12" x14ac:dyDescent="0.2">
      <c r="A1217" s="69"/>
      <c r="B1217" s="50"/>
      <c r="C1217" s="50"/>
      <c r="D1217" s="50"/>
      <c r="E1217" s="50"/>
      <c r="F1217" s="50"/>
      <c r="G1217" s="50"/>
      <c r="H1217" s="50"/>
      <c r="I1217" s="65"/>
      <c r="J1217" s="65"/>
      <c r="K1217" s="65"/>
      <c r="L1217" s="65"/>
    </row>
    <row r="1218" spans="1:12" x14ac:dyDescent="0.2">
      <c r="A1218" s="69"/>
      <c r="B1218" s="50"/>
      <c r="C1218" s="50"/>
      <c r="D1218" s="50"/>
      <c r="E1218" s="50"/>
      <c r="F1218" s="50"/>
      <c r="G1218" s="50"/>
      <c r="H1218" s="50"/>
      <c r="I1218" s="65"/>
      <c r="J1218" s="65"/>
      <c r="K1218" s="65"/>
      <c r="L1218" s="65"/>
    </row>
    <row r="1219" spans="1:12" x14ac:dyDescent="0.2">
      <c r="A1219" s="69"/>
      <c r="B1219" s="50"/>
      <c r="C1219" s="50"/>
      <c r="D1219" s="50"/>
      <c r="E1219" s="50"/>
      <c r="F1219" s="50"/>
      <c r="G1219" s="50"/>
      <c r="H1219" s="50"/>
      <c r="I1219" s="65"/>
      <c r="J1219" s="65"/>
      <c r="K1219" s="65"/>
      <c r="L1219" s="65"/>
    </row>
    <row r="1220" spans="1:12" x14ac:dyDescent="0.2">
      <c r="A1220" s="69"/>
      <c r="B1220" s="50"/>
      <c r="C1220" s="50"/>
      <c r="D1220" s="50"/>
      <c r="E1220" s="50"/>
      <c r="F1220" s="50"/>
      <c r="G1220" s="50"/>
      <c r="H1220" s="50"/>
      <c r="I1220" s="65"/>
      <c r="J1220" s="65"/>
      <c r="K1220" s="65"/>
      <c r="L1220" s="65"/>
    </row>
    <row r="1221" spans="1:12" x14ac:dyDescent="0.2">
      <c r="A1221" s="69"/>
      <c r="B1221" s="50"/>
      <c r="C1221" s="50"/>
      <c r="D1221" s="50"/>
      <c r="E1221" s="50"/>
      <c r="F1221" s="50"/>
      <c r="G1221" s="50"/>
      <c r="H1221" s="50"/>
      <c r="I1221" s="65"/>
      <c r="J1221" s="65"/>
      <c r="K1221" s="65"/>
      <c r="L1221" s="65"/>
    </row>
    <row r="1222" spans="1:12" x14ac:dyDescent="0.2">
      <c r="A1222" s="69"/>
      <c r="B1222" s="50"/>
      <c r="C1222" s="50"/>
      <c r="D1222" s="50"/>
      <c r="E1222" s="50"/>
      <c r="F1222" s="50"/>
      <c r="G1222" s="50"/>
      <c r="H1222" s="50"/>
      <c r="I1222" s="65"/>
      <c r="J1222" s="65"/>
      <c r="K1222" s="65"/>
      <c r="L1222" s="65"/>
    </row>
    <row r="1223" spans="1:12" x14ac:dyDescent="0.2">
      <c r="A1223" s="69"/>
      <c r="B1223" s="50"/>
      <c r="C1223" s="50"/>
      <c r="D1223" s="50"/>
      <c r="E1223" s="50"/>
      <c r="F1223" s="50"/>
      <c r="G1223" s="50"/>
      <c r="H1223" s="50"/>
      <c r="I1223" s="65"/>
      <c r="J1223" s="65"/>
      <c r="K1223" s="65"/>
      <c r="L1223" s="65"/>
    </row>
    <row r="1224" spans="1:12" x14ac:dyDescent="0.2">
      <c r="A1224" s="69"/>
      <c r="B1224" s="50"/>
      <c r="C1224" s="50"/>
      <c r="D1224" s="50"/>
      <c r="E1224" s="50"/>
      <c r="F1224" s="50"/>
      <c r="G1224" s="50"/>
      <c r="H1224" s="50"/>
      <c r="I1224" s="65"/>
      <c r="J1224" s="65"/>
      <c r="K1224" s="65"/>
      <c r="L1224" s="65"/>
    </row>
    <row r="1225" spans="1:12" x14ac:dyDescent="0.2">
      <c r="A1225" s="69"/>
      <c r="B1225" s="50"/>
      <c r="C1225" s="50"/>
      <c r="D1225" s="50"/>
      <c r="E1225" s="50"/>
      <c r="F1225" s="50"/>
      <c r="G1225" s="50"/>
      <c r="H1225" s="50"/>
      <c r="I1225" s="65"/>
      <c r="J1225" s="65"/>
      <c r="K1225" s="65"/>
      <c r="L1225" s="65"/>
    </row>
    <row r="1226" spans="1:12" x14ac:dyDescent="0.2">
      <c r="A1226" s="69"/>
      <c r="B1226" s="50"/>
      <c r="C1226" s="50"/>
      <c r="D1226" s="50"/>
      <c r="E1226" s="50"/>
      <c r="F1226" s="50"/>
      <c r="G1226" s="50"/>
      <c r="H1226" s="50"/>
      <c r="I1226" s="65"/>
      <c r="J1226" s="65"/>
      <c r="K1226" s="65"/>
      <c r="L1226" s="65"/>
    </row>
    <row r="1227" spans="1:12" x14ac:dyDescent="0.2">
      <c r="A1227" s="69"/>
      <c r="B1227" s="50"/>
      <c r="C1227" s="50"/>
      <c r="D1227" s="50"/>
      <c r="E1227" s="50"/>
      <c r="F1227" s="50"/>
      <c r="G1227" s="50"/>
      <c r="H1227" s="50"/>
      <c r="I1227" s="65"/>
      <c r="J1227" s="65"/>
      <c r="K1227" s="65"/>
      <c r="L1227" s="65"/>
    </row>
    <row r="1228" spans="1:12" x14ac:dyDescent="0.2">
      <c r="A1228" s="69"/>
      <c r="B1228" s="50"/>
      <c r="C1228" s="50"/>
      <c r="D1228" s="50"/>
      <c r="E1228" s="50"/>
      <c r="F1228" s="50"/>
      <c r="G1228" s="50"/>
      <c r="H1228" s="50"/>
      <c r="I1228" s="65"/>
      <c r="J1228" s="65"/>
      <c r="K1228" s="65"/>
      <c r="L1228" s="65"/>
    </row>
    <row r="1229" spans="1:12" x14ac:dyDescent="0.2">
      <c r="A1229" s="69"/>
      <c r="B1229" s="50"/>
      <c r="C1229" s="50"/>
      <c r="D1229" s="50"/>
      <c r="E1229" s="50"/>
      <c r="F1229" s="50"/>
      <c r="G1229" s="50"/>
      <c r="H1229" s="50"/>
      <c r="I1229" s="65"/>
      <c r="J1229" s="65"/>
      <c r="K1229" s="65"/>
      <c r="L1229" s="65"/>
    </row>
    <row r="1230" spans="1:12" x14ac:dyDescent="0.2">
      <c r="A1230" s="69"/>
      <c r="B1230" s="50"/>
      <c r="C1230" s="50"/>
      <c r="D1230" s="50"/>
      <c r="E1230" s="50"/>
      <c r="F1230" s="50"/>
      <c r="G1230" s="50"/>
      <c r="H1230" s="50"/>
      <c r="I1230" s="65"/>
      <c r="J1230" s="65"/>
      <c r="K1230" s="65"/>
      <c r="L1230" s="65"/>
    </row>
    <row r="1231" spans="1:12" x14ac:dyDescent="0.2">
      <c r="A1231" s="69"/>
      <c r="B1231" s="50"/>
      <c r="C1231" s="50"/>
      <c r="D1231" s="50"/>
      <c r="E1231" s="50"/>
      <c r="F1231" s="50"/>
      <c r="G1231" s="50"/>
      <c r="H1231" s="50"/>
      <c r="I1231" s="65"/>
      <c r="J1231" s="65"/>
      <c r="K1231" s="65"/>
      <c r="L1231" s="65"/>
    </row>
    <row r="1232" spans="1:12" x14ac:dyDescent="0.2">
      <c r="A1232" s="69"/>
      <c r="B1232" s="50"/>
      <c r="C1232" s="50"/>
      <c r="D1232" s="50"/>
      <c r="E1232" s="50"/>
      <c r="F1232" s="50"/>
      <c r="G1232" s="50"/>
      <c r="H1232" s="50"/>
      <c r="I1232" s="65"/>
      <c r="J1232" s="65"/>
      <c r="K1232" s="65"/>
      <c r="L1232" s="65"/>
    </row>
    <row r="1233" spans="1:12" x14ac:dyDescent="0.2">
      <c r="A1233" s="69"/>
      <c r="B1233" s="50"/>
      <c r="C1233" s="50"/>
      <c r="D1233" s="50"/>
      <c r="E1233" s="50"/>
      <c r="F1233" s="50"/>
      <c r="G1233" s="50"/>
      <c r="H1233" s="50"/>
      <c r="I1233" s="65"/>
      <c r="J1233" s="65"/>
      <c r="K1233" s="65"/>
      <c r="L1233" s="65"/>
    </row>
    <row r="1234" spans="1:12" x14ac:dyDescent="0.2">
      <c r="A1234" s="69"/>
      <c r="B1234" s="50"/>
      <c r="C1234" s="50"/>
      <c r="D1234" s="50"/>
      <c r="E1234" s="50"/>
      <c r="F1234" s="50"/>
      <c r="G1234" s="50"/>
      <c r="H1234" s="50"/>
      <c r="I1234" s="65"/>
      <c r="J1234" s="65"/>
      <c r="K1234" s="65"/>
      <c r="L1234" s="65"/>
    </row>
    <row r="1235" spans="1:12" x14ac:dyDescent="0.2">
      <c r="A1235" s="69"/>
      <c r="B1235" s="50"/>
      <c r="C1235" s="50"/>
      <c r="D1235" s="50"/>
      <c r="E1235" s="50"/>
      <c r="F1235" s="50"/>
      <c r="G1235" s="50"/>
      <c r="H1235" s="50"/>
      <c r="I1235" s="65"/>
      <c r="J1235" s="65"/>
      <c r="K1235" s="65"/>
      <c r="L1235" s="65"/>
    </row>
    <row r="1236" spans="1:12" x14ac:dyDescent="0.2">
      <c r="A1236" s="69"/>
      <c r="B1236" s="50"/>
      <c r="C1236" s="50"/>
      <c r="D1236" s="50"/>
      <c r="E1236" s="50"/>
      <c r="F1236" s="50"/>
      <c r="G1236" s="50"/>
      <c r="H1236" s="50"/>
      <c r="I1236" s="65"/>
      <c r="J1236" s="65"/>
      <c r="K1236" s="65"/>
      <c r="L1236" s="65"/>
    </row>
    <row r="1237" spans="1:12" x14ac:dyDescent="0.2">
      <c r="A1237" s="69"/>
      <c r="B1237" s="50"/>
      <c r="C1237" s="50"/>
      <c r="D1237" s="50"/>
      <c r="E1237" s="50"/>
      <c r="F1237" s="50"/>
      <c r="G1237" s="50"/>
      <c r="H1237" s="50"/>
      <c r="I1237" s="65"/>
      <c r="J1237" s="65"/>
      <c r="K1237" s="65"/>
      <c r="L1237" s="65"/>
    </row>
    <row r="1238" spans="1:12" x14ac:dyDescent="0.2">
      <c r="A1238" s="69"/>
      <c r="B1238" s="50"/>
      <c r="C1238" s="50"/>
      <c r="D1238" s="50"/>
      <c r="E1238" s="50"/>
      <c r="F1238" s="50"/>
      <c r="G1238" s="50"/>
      <c r="H1238" s="50"/>
      <c r="I1238" s="65"/>
      <c r="J1238" s="65"/>
      <c r="K1238" s="65"/>
      <c r="L1238" s="65"/>
    </row>
    <row r="1239" spans="1:12" x14ac:dyDescent="0.2">
      <c r="A1239" s="69"/>
      <c r="B1239" s="50"/>
      <c r="C1239" s="50"/>
      <c r="D1239" s="50"/>
      <c r="E1239" s="50"/>
      <c r="F1239" s="50"/>
      <c r="G1239" s="50"/>
      <c r="H1239" s="50"/>
      <c r="I1239" s="65"/>
      <c r="J1239" s="65"/>
      <c r="K1239" s="65"/>
      <c r="L1239" s="65"/>
    </row>
    <row r="1240" spans="1:12" x14ac:dyDescent="0.2">
      <c r="A1240" s="69"/>
      <c r="B1240" s="50"/>
      <c r="C1240" s="50"/>
      <c r="D1240" s="50"/>
      <c r="E1240" s="50"/>
      <c r="F1240" s="50"/>
      <c r="G1240" s="50"/>
      <c r="H1240" s="50"/>
      <c r="I1240" s="65"/>
      <c r="J1240" s="65"/>
      <c r="K1240" s="65"/>
      <c r="L1240" s="65"/>
    </row>
    <row r="1241" spans="1:12" x14ac:dyDescent="0.2">
      <c r="A1241" s="69"/>
      <c r="B1241" s="50"/>
      <c r="C1241" s="50"/>
      <c r="D1241" s="50"/>
      <c r="E1241" s="50"/>
      <c r="F1241" s="50"/>
      <c r="G1241" s="50"/>
      <c r="H1241" s="50"/>
      <c r="I1241" s="65"/>
      <c r="J1241" s="65"/>
      <c r="K1241" s="65"/>
      <c r="L1241" s="65"/>
    </row>
    <row r="1242" spans="1:12" x14ac:dyDescent="0.2">
      <c r="A1242" s="69"/>
      <c r="B1242" s="50"/>
      <c r="C1242" s="50"/>
      <c r="D1242" s="50"/>
      <c r="E1242" s="50"/>
      <c r="F1242" s="50"/>
      <c r="G1242" s="50"/>
      <c r="H1242" s="50"/>
      <c r="I1242" s="65"/>
      <c r="J1242" s="65"/>
      <c r="K1242" s="65"/>
      <c r="L1242" s="65"/>
    </row>
    <row r="1243" spans="1:12" x14ac:dyDescent="0.2">
      <c r="A1243" s="69"/>
      <c r="B1243" s="50"/>
      <c r="C1243" s="50"/>
      <c r="D1243" s="50"/>
      <c r="E1243" s="50"/>
      <c r="F1243" s="50"/>
      <c r="G1243" s="50"/>
      <c r="H1243" s="50"/>
      <c r="I1243" s="65"/>
      <c r="J1243" s="65"/>
      <c r="K1243" s="65"/>
      <c r="L1243" s="65"/>
    </row>
    <row r="1244" spans="1:12" x14ac:dyDescent="0.2">
      <c r="A1244" s="69"/>
      <c r="B1244" s="50"/>
      <c r="C1244" s="50"/>
      <c r="D1244" s="50"/>
      <c r="E1244" s="50"/>
      <c r="F1244" s="50"/>
      <c r="G1244" s="50"/>
      <c r="H1244" s="50"/>
      <c r="I1244" s="65"/>
      <c r="J1244" s="65"/>
      <c r="K1244" s="65"/>
      <c r="L1244" s="65"/>
    </row>
    <row r="1245" spans="1:12" x14ac:dyDescent="0.2">
      <c r="A1245" s="69"/>
      <c r="B1245" s="50"/>
      <c r="C1245" s="50"/>
      <c r="D1245" s="50"/>
      <c r="E1245" s="50"/>
      <c r="F1245" s="50"/>
      <c r="G1245" s="50"/>
      <c r="H1245" s="50"/>
      <c r="I1245" s="65"/>
      <c r="J1245" s="65"/>
      <c r="K1245" s="65"/>
      <c r="L1245" s="65"/>
    </row>
    <row r="1246" spans="1:12" x14ac:dyDescent="0.2">
      <c r="A1246" s="69"/>
      <c r="B1246" s="50"/>
      <c r="C1246" s="50"/>
      <c r="D1246" s="50"/>
      <c r="E1246" s="50"/>
      <c r="F1246" s="50"/>
      <c r="G1246" s="50"/>
      <c r="H1246" s="50"/>
      <c r="I1246" s="65"/>
      <c r="J1246" s="65"/>
      <c r="K1246" s="65"/>
      <c r="L1246" s="65"/>
    </row>
    <row r="1247" spans="1:12" x14ac:dyDescent="0.2">
      <c r="A1247" s="69"/>
      <c r="B1247" s="50"/>
      <c r="C1247" s="50"/>
      <c r="D1247" s="50"/>
      <c r="E1247" s="50"/>
      <c r="F1247" s="50"/>
      <c r="G1247" s="50"/>
      <c r="H1247" s="50"/>
      <c r="I1247" s="65"/>
      <c r="J1247" s="65"/>
      <c r="K1247" s="65"/>
      <c r="L1247" s="65"/>
    </row>
    <row r="1248" spans="1:12" x14ac:dyDescent="0.2">
      <c r="A1248" s="69"/>
      <c r="B1248" s="50"/>
      <c r="C1248" s="50"/>
      <c r="D1248" s="50"/>
      <c r="E1248" s="50"/>
      <c r="F1248" s="50"/>
      <c r="G1248" s="50"/>
      <c r="H1248" s="50"/>
      <c r="I1248" s="65"/>
      <c r="J1248" s="65"/>
      <c r="K1248" s="65"/>
      <c r="L1248" s="65"/>
    </row>
    <row r="1249" spans="1:12" x14ac:dyDescent="0.2">
      <c r="A1249" s="69"/>
      <c r="B1249" s="50"/>
      <c r="C1249" s="50"/>
      <c r="D1249" s="50"/>
      <c r="E1249" s="50"/>
      <c r="F1249" s="50"/>
      <c r="G1249" s="50"/>
      <c r="H1249" s="50"/>
      <c r="I1249" s="65"/>
      <c r="J1249" s="65"/>
      <c r="K1249" s="65"/>
      <c r="L1249" s="65"/>
    </row>
    <row r="1250" spans="1:12" x14ac:dyDescent="0.2">
      <c r="A1250" s="69"/>
      <c r="B1250" s="50"/>
      <c r="C1250" s="50"/>
      <c r="D1250" s="50"/>
      <c r="E1250" s="50"/>
      <c r="F1250" s="50"/>
      <c r="G1250" s="50"/>
      <c r="H1250" s="50"/>
      <c r="I1250" s="65"/>
      <c r="J1250" s="65"/>
      <c r="K1250" s="65"/>
      <c r="L1250" s="65"/>
    </row>
    <row r="1251" spans="1:12" x14ac:dyDescent="0.2">
      <c r="A1251" s="69"/>
      <c r="B1251" s="50"/>
      <c r="C1251" s="50"/>
      <c r="D1251" s="50"/>
      <c r="E1251" s="50"/>
      <c r="F1251" s="50"/>
      <c r="G1251" s="50"/>
      <c r="H1251" s="50"/>
      <c r="I1251" s="65"/>
      <c r="J1251" s="65"/>
      <c r="K1251" s="65"/>
      <c r="L1251" s="65"/>
    </row>
    <row r="1252" spans="1:12" x14ac:dyDescent="0.2">
      <c r="A1252" s="69"/>
      <c r="B1252" s="50"/>
      <c r="C1252" s="50"/>
      <c r="D1252" s="50"/>
      <c r="E1252" s="50"/>
      <c r="F1252" s="50"/>
      <c r="G1252" s="50"/>
      <c r="H1252" s="50"/>
      <c r="I1252" s="65"/>
      <c r="J1252" s="65"/>
      <c r="K1252" s="65"/>
      <c r="L1252" s="65"/>
    </row>
    <row r="1253" spans="1:12" x14ac:dyDescent="0.2">
      <c r="A1253" s="69"/>
      <c r="B1253" s="50"/>
      <c r="C1253" s="50"/>
      <c r="D1253" s="50"/>
      <c r="E1253" s="50"/>
      <c r="F1253" s="50"/>
      <c r="G1253" s="50"/>
      <c r="H1253" s="50"/>
      <c r="I1253" s="65"/>
      <c r="J1253" s="65"/>
      <c r="K1253" s="65"/>
      <c r="L1253" s="65"/>
    </row>
    <row r="1254" spans="1:12" x14ac:dyDescent="0.2">
      <c r="A1254" s="69"/>
      <c r="B1254" s="50"/>
      <c r="C1254" s="50"/>
      <c r="D1254" s="50"/>
      <c r="E1254" s="50"/>
      <c r="F1254" s="50"/>
      <c r="G1254" s="50"/>
      <c r="H1254" s="50"/>
      <c r="I1254" s="65"/>
      <c r="J1254" s="65"/>
      <c r="K1254" s="65"/>
      <c r="L1254" s="65"/>
    </row>
    <row r="1255" spans="1:12" x14ac:dyDescent="0.2">
      <c r="A1255" s="69"/>
      <c r="B1255" s="50"/>
      <c r="C1255" s="50"/>
      <c r="D1255" s="50"/>
      <c r="E1255" s="50"/>
      <c r="F1255" s="50"/>
      <c r="G1255" s="50"/>
      <c r="H1255" s="50"/>
      <c r="I1255" s="65"/>
      <c r="J1255" s="65"/>
      <c r="K1255" s="65"/>
      <c r="L1255" s="65"/>
    </row>
    <row r="1256" spans="1:12" x14ac:dyDescent="0.2">
      <c r="A1256" s="69"/>
      <c r="B1256" s="50"/>
      <c r="C1256" s="50"/>
      <c r="D1256" s="50"/>
      <c r="E1256" s="50"/>
      <c r="F1256" s="50"/>
      <c r="G1256" s="50"/>
      <c r="H1256" s="50"/>
      <c r="I1256" s="65"/>
      <c r="J1256" s="65"/>
      <c r="K1256" s="65"/>
      <c r="L1256" s="65"/>
    </row>
    <row r="1257" spans="1:12" x14ac:dyDescent="0.2">
      <c r="A1257" s="69"/>
      <c r="B1257" s="50"/>
      <c r="C1257" s="50"/>
      <c r="D1257" s="50"/>
      <c r="E1257" s="50"/>
      <c r="F1257" s="50"/>
      <c r="G1257" s="50"/>
      <c r="H1257" s="50"/>
      <c r="I1257" s="65"/>
      <c r="J1257" s="65"/>
      <c r="K1257" s="65"/>
      <c r="L1257" s="65"/>
    </row>
    <row r="1258" spans="1:12" x14ac:dyDescent="0.2">
      <c r="A1258" s="69"/>
      <c r="B1258" s="50"/>
      <c r="C1258" s="50"/>
      <c r="D1258" s="50"/>
      <c r="E1258" s="50"/>
      <c r="F1258" s="50"/>
      <c r="G1258" s="50"/>
      <c r="H1258" s="50"/>
      <c r="I1258" s="65"/>
      <c r="J1258" s="65"/>
      <c r="K1258" s="65"/>
      <c r="L1258" s="65"/>
    </row>
    <row r="1259" spans="1:12" x14ac:dyDescent="0.2">
      <c r="A1259" s="69"/>
      <c r="B1259" s="50"/>
      <c r="C1259" s="50"/>
      <c r="D1259" s="50"/>
      <c r="E1259" s="50"/>
      <c r="F1259" s="50"/>
      <c r="G1259" s="50"/>
      <c r="H1259" s="50"/>
      <c r="I1259" s="65"/>
      <c r="J1259" s="65"/>
      <c r="K1259" s="65"/>
      <c r="L1259" s="65"/>
    </row>
    <row r="1260" spans="1:12" x14ac:dyDescent="0.2">
      <c r="A1260" s="69"/>
      <c r="B1260" s="50"/>
      <c r="C1260" s="50"/>
      <c r="D1260" s="50"/>
      <c r="E1260" s="50"/>
      <c r="F1260" s="50"/>
      <c r="G1260" s="50"/>
      <c r="H1260" s="50"/>
      <c r="I1260" s="65"/>
      <c r="J1260" s="65"/>
      <c r="K1260" s="65"/>
      <c r="L1260" s="65"/>
    </row>
    <row r="1261" spans="1:12" x14ac:dyDescent="0.2">
      <c r="A1261" s="69"/>
      <c r="B1261" s="50"/>
      <c r="C1261" s="50"/>
      <c r="D1261" s="50"/>
      <c r="E1261" s="50"/>
      <c r="F1261" s="50"/>
      <c r="G1261" s="50"/>
      <c r="H1261" s="50"/>
      <c r="I1261" s="65"/>
      <c r="J1261" s="65"/>
      <c r="K1261" s="65"/>
      <c r="L1261" s="65"/>
    </row>
    <row r="1262" spans="1:12" x14ac:dyDescent="0.2">
      <c r="A1262" s="69"/>
      <c r="B1262" s="50"/>
      <c r="C1262" s="50"/>
      <c r="D1262" s="50"/>
      <c r="E1262" s="50"/>
      <c r="F1262" s="50"/>
      <c r="G1262" s="50"/>
      <c r="H1262" s="50"/>
      <c r="I1262" s="65"/>
      <c r="J1262" s="65"/>
      <c r="K1262" s="65"/>
      <c r="L1262" s="65"/>
    </row>
    <row r="1263" spans="1:12" x14ac:dyDescent="0.2">
      <c r="A1263" s="69"/>
      <c r="B1263" s="50"/>
      <c r="C1263" s="50"/>
      <c r="D1263" s="50"/>
      <c r="E1263" s="50"/>
      <c r="F1263" s="50"/>
      <c r="G1263" s="50"/>
      <c r="H1263" s="50"/>
      <c r="I1263" s="65"/>
      <c r="J1263" s="65"/>
      <c r="K1263" s="65"/>
      <c r="L1263" s="65"/>
    </row>
    <row r="1264" spans="1:12" x14ac:dyDescent="0.2">
      <c r="A1264" s="69"/>
      <c r="B1264" s="50"/>
      <c r="C1264" s="50"/>
      <c r="D1264" s="50"/>
      <c r="E1264" s="50"/>
      <c r="F1264" s="50"/>
      <c r="G1264" s="50"/>
      <c r="H1264" s="50"/>
      <c r="I1264" s="65"/>
      <c r="J1264" s="65"/>
      <c r="K1264" s="65"/>
      <c r="L1264" s="65"/>
    </row>
    <row r="1265" spans="1:12" x14ac:dyDescent="0.2">
      <c r="A1265" s="69"/>
      <c r="B1265" s="50"/>
      <c r="C1265" s="50"/>
      <c r="D1265" s="50"/>
      <c r="E1265" s="50"/>
      <c r="F1265" s="50"/>
      <c r="G1265" s="50"/>
      <c r="H1265" s="50"/>
      <c r="I1265" s="65"/>
      <c r="J1265" s="65"/>
      <c r="K1265" s="65"/>
      <c r="L1265" s="65"/>
    </row>
    <row r="1266" spans="1:12" x14ac:dyDescent="0.2">
      <c r="A1266" s="69"/>
      <c r="B1266" s="50"/>
      <c r="C1266" s="50"/>
      <c r="D1266" s="50"/>
      <c r="E1266" s="50"/>
      <c r="F1266" s="50"/>
      <c r="G1266" s="50"/>
      <c r="H1266" s="50"/>
      <c r="I1266" s="65"/>
      <c r="J1266" s="65"/>
      <c r="K1266" s="65"/>
      <c r="L1266" s="65"/>
    </row>
    <row r="1267" spans="1:12" x14ac:dyDescent="0.2">
      <c r="A1267" s="69"/>
      <c r="B1267" s="50"/>
      <c r="C1267" s="50"/>
      <c r="D1267" s="50"/>
      <c r="E1267" s="50"/>
      <c r="F1267" s="50"/>
      <c r="G1267" s="50"/>
      <c r="H1267" s="50"/>
      <c r="I1267" s="65"/>
      <c r="J1267" s="65"/>
      <c r="K1267" s="65"/>
      <c r="L1267" s="65"/>
    </row>
    <row r="1268" spans="1:12" x14ac:dyDescent="0.2">
      <c r="A1268" s="69"/>
      <c r="B1268" s="50"/>
      <c r="C1268" s="50"/>
      <c r="D1268" s="50"/>
      <c r="E1268" s="50"/>
      <c r="F1268" s="50"/>
      <c r="G1268" s="50"/>
      <c r="H1268" s="50"/>
      <c r="I1268" s="65"/>
      <c r="J1268" s="65"/>
      <c r="K1268" s="65"/>
      <c r="L1268" s="65"/>
    </row>
    <row r="1269" spans="1:12" x14ac:dyDescent="0.2">
      <c r="A1269" s="69"/>
      <c r="B1269" s="50"/>
      <c r="C1269" s="50"/>
      <c r="D1269" s="50"/>
      <c r="E1269" s="50"/>
      <c r="F1269" s="50"/>
      <c r="G1269" s="50"/>
      <c r="H1269" s="50"/>
      <c r="I1269" s="65"/>
      <c r="J1269" s="65"/>
      <c r="K1269" s="65"/>
      <c r="L1269" s="65"/>
    </row>
    <row r="1270" spans="1:12" x14ac:dyDescent="0.2">
      <c r="A1270" s="69"/>
      <c r="B1270" s="50"/>
      <c r="C1270" s="50"/>
      <c r="D1270" s="50"/>
      <c r="E1270" s="50"/>
      <c r="F1270" s="50"/>
      <c r="G1270" s="50"/>
      <c r="H1270" s="50"/>
      <c r="I1270" s="65"/>
      <c r="J1270" s="65"/>
      <c r="K1270" s="65"/>
      <c r="L1270" s="65"/>
    </row>
    <row r="1271" spans="1:12" x14ac:dyDescent="0.2">
      <c r="A1271" s="69"/>
      <c r="B1271" s="50"/>
      <c r="C1271" s="50"/>
      <c r="D1271" s="50"/>
      <c r="E1271" s="50"/>
      <c r="F1271" s="50"/>
      <c r="G1271" s="50"/>
      <c r="H1271" s="50"/>
      <c r="I1271" s="65"/>
      <c r="J1271" s="65"/>
      <c r="K1271" s="65"/>
      <c r="L1271" s="65"/>
    </row>
    <row r="1272" spans="1:12" x14ac:dyDescent="0.2">
      <c r="A1272" s="69"/>
      <c r="B1272" s="50"/>
      <c r="C1272" s="50"/>
      <c r="D1272" s="50"/>
      <c r="E1272" s="50"/>
      <c r="F1272" s="50"/>
      <c r="G1272" s="50"/>
      <c r="H1272" s="50"/>
      <c r="I1272" s="65"/>
      <c r="J1272" s="65"/>
      <c r="K1272" s="65"/>
      <c r="L1272" s="65"/>
    </row>
    <row r="1273" spans="1:12" x14ac:dyDescent="0.2">
      <c r="A1273" s="69"/>
      <c r="B1273" s="50"/>
      <c r="C1273" s="50"/>
      <c r="D1273" s="50"/>
      <c r="E1273" s="50"/>
      <c r="F1273" s="50"/>
      <c r="G1273" s="50"/>
      <c r="H1273" s="50"/>
      <c r="I1273" s="65"/>
      <c r="J1273" s="65"/>
      <c r="K1273" s="65"/>
      <c r="L1273" s="65"/>
    </row>
    <row r="1274" spans="1:12" x14ac:dyDescent="0.2">
      <c r="A1274" s="69"/>
      <c r="B1274" s="50"/>
      <c r="C1274" s="50"/>
      <c r="D1274" s="50"/>
      <c r="E1274" s="50"/>
      <c r="F1274" s="50"/>
      <c r="G1274" s="50"/>
      <c r="H1274" s="50"/>
      <c r="I1274" s="65"/>
      <c r="J1274" s="65"/>
      <c r="K1274" s="65"/>
      <c r="L1274" s="65"/>
    </row>
    <row r="1275" spans="1:12" x14ac:dyDescent="0.2">
      <c r="A1275" s="69"/>
      <c r="B1275" s="50"/>
      <c r="C1275" s="50"/>
      <c r="D1275" s="50"/>
      <c r="E1275" s="50"/>
      <c r="F1275" s="50"/>
      <c r="G1275" s="50"/>
      <c r="H1275" s="50"/>
      <c r="I1275" s="65"/>
      <c r="J1275" s="65"/>
      <c r="K1275" s="65"/>
      <c r="L1275" s="65"/>
    </row>
    <row r="1276" spans="1:12" x14ac:dyDescent="0.2">
      <c r="A1276" s="69"/>
      <c r="B1276" s="50"/>
      <c r="C1276" s="50"/>
      <c r="D1276" s="50"/>
      <c r="E1276" s="50"/>
      <c r="F1276" s="50"/>
      <c r="G1276" s="50"/>
      <c r="H1276" s="50"/>
      <c r="I1276" s="65"/>
      <c r="J1276" s="65"/>
      <c r="K1276" s="65"/>
      <c r="L1276" s="65"/>
    </row>
    <row r="1277" spans="1:12" x14ac:dyDescent="0.2">
      <c r="A1277" s="69"/>
      <c r="B1277" s="50"/>
      <c r="C1277" s="50"/>
      <c r="D1277" s="50"/>
      <c r="E1277" s="50"/>
      <c r="F1277" s="50"/>
      <c r="G1277" s="50"/>
      <c r="H1277" s="50"/>
      <c r="I1277" s="65"/>
      <c r="J1277" s="65"/>
      <c r="K1277" s="65"/>
      <c r="L1277" s="65"/>
    </row>
    <row r="1278" spans="1:12" x14ac:dyDescent="0.2">
      <c r="A1278" s="69"/>
      <c r="B1278" s="50"/>
      <c r="C1278" s="50"/>
      <c r="D1278" s="50"/>
      <c r="E1278" s="50"/>
      <c r="F1278" s="50"/>
      <c r="G1278" s="50"/>
      <c r="H1278" s="50"/>
      <c r="I1278" s="65"/>
      <c r="J1278" s="65"/>
      <c r="K1278" s="65"/>
      <c r="L1278" s="65"/>
    </row>
    <row r="1279" spans="1:12" x14ac:dyDescent="0.2">
      <c r="A1279" s="69"/>
      <c r="B1279" s="50"/>
      <c r="C1279" s="50"/>
      <c r="D1279" s="50"/>
      <c r="E1279" s="50"/>
      <c r="F1279" s="50"/>
      <c r="G1279" s="50"/>
      <c r="H1279" s="50"/>
      <c r="I1279" s="65"/>
      <c r="J1279" s="65"/>
      <c r="K1279" s="65"/>
      <c r="L1279" s="65"/>
    </row>
    <row r="1280" spans="1:12" x14ac:dyDescent="0.2">
      <c r="A1280" s="69"/>
      <c r="B1280" s="50"/>
      <c r="C1280" s="50"/>
      <c r="D1280" s="50"/>
      <c r="E1280" s="50"/>
      <c r="F1280" s="50"/>
      <c r="G1280" s="50"/>
      <c r="H1280" s="50"/>
      <c r="I1280" s="65"/>
      <c r="J1280" s="65"/>
      <c r="K1280" s="65"/>
      <c r="L1280" s="65"/>
    </row>
    <row r="1281" spans="1:12" x14ac:dyDescent="0.2">
      <c r="A1281" s="69"/>
      <c r="B1281" s="50"/>
      <c r="C1281" s="50"/>
      <c r="D1281" s="50"/>
      <c r="E1281" s="50"/>
      <c r="F1281" s="50"/>
      <c r="G1281" s="50"/>
      <c r="H1281" s="50"/>
      <c r="I1281" s="65"/>
      <c r="J1281" s="65"/>
      <c r="K1281" s="65"/>
      <c r="L1281" s="65"/>
    </row>
    <row r="1282" spans="1:12" x14ac:dyDescent="0.2">
      <c r="A1282" s="69"/>
      <c r="B1282" s="50"/>
      <c r="C1282" s="50"/>
      <c r="D1282" s="50"/>
      <c r="E1282" s="50"/>
      <c r="F1282" s="50"/>
      <c r="G1282" s="50"/>
      <c r="H1282" s="50"/>
      <c r="I1282" s="65"/>
      <c r="J1282" s="65"/>
      <c r="K1282" s="65"/>
      <c r="L1282" s="65"/>
    </row>
    <row r="1283" spans="1:12" x14ac:dyDescent="0.2">
      <c r="A1283" s="69"/>
      <c r="B1283" s="50"/>
      <c r="C1283" s="50"/>
      <c r="D1283" s="50"/>
      <c r="E1283" s="50"/>
      <c r="F1283" s="50"/>
      <c r="G1283" s="50"/>
      <c r="H1283" s="50"/>
      <c r="I1283" s="65"/>
      <c r="J1283" s="65"/>
      <c r="K1283" s="65"/>
      <c r="L1283" s="65"/>
    </row>
    <row r="1284" spans="1:12" x14ac:dyDescent="0.2">
      <c r="A1284" s="69"/>
      <c r="B1284" s="50"/>
      <c r="C1284" s="50"/>
      <c r="D1284" s="50"/>
      <c r="E1284" s="50"/>
      <c r="F1284" s="50"/>
      <c r="G1284" s="50"/>
      <c r="H1284" s="50"/>
      <c r="I1284" s="65"/>
      <c r="J1284" s="65"/>
      <c r="K1284" s="65"/>
      <c r="L1284" s="65"/>
    </row>
    <row r="1285" spans="1:12" x14ac:dyDescent="0.2">
      <c r="A1285" s="69"/>
      <c r="B1285" s="50"/>
      <c r="C1285" s="50"/>
      <c r="D1285" s="50"/>
      <c r="E1285" s="50"/>
      <c r="F1285" s="50"/>
      <c r="G1285" s="50"/>
      <c r="H1285" s="50"/>
      <c r="I1285" s="65"/>
      <c r="J1285" s="65"/>
      <c r="K1285" s="65"/>
      <c r="L1285" s="65"/>
    </row>
    <row r="1286" spans="1:12" x14ac:dyDescent="0.2">
      <c r="A1286" s="69"/>
      <c r="B1286" s="50"/>
      <c r="C1286" s="50"/>
      <c r="D1286" s="50"/>
      <c r="E1286" s="50"/>
      <c r="F1286" s="50"/>
      <c r="G1286" s="50"/>
      <c r="H1286" s="50"/>
      <c r="I1286" s="65"/>
      <c r="J1286" s="65"/>
      <c r="K1286" s="65"/>
      <c r="L1286" s="65"/>
    </row>
    <row r="1287" spans="1:12" x14ac:dyDescent="0.2">
      <c r="A1287" s="69"/>
      <c r="B1287" s="50"/>
      <c r="C1287" s="50"/>
      <c r="D1287" s="50"/>
      <c r="E1287" s="50"/>
      <c r="F1287" s="50"/>
      <c r="G1287" s="50"/>
      <c r="H1287" s="50"/>
      <c r="I1287" s="65"/>
      <c r="J1287" s="65"/>
      <c r="K1287" s="65"/>
      <c r="L1287" s="65"/>
    </row>
    <row r="1288" spans="1:12" x14ac:dyDescent="0.2">
      <c r="A1288" s="69"/>
      <c r="B1288" s="50"/>
      <c r="C1288" s="50"/>
      <c r="D1288" s="50"/>
      <c r="E1288" s="50"/>
      <c r="F1288" s="50"/>
      <c r="G1288" s="50"/>
      <c r="H1288" s="50"/>
      <c r="I1288" s="65"/>
      <c r="J1288" s="65"/>
      <c r="K1288" s="65"/>
      <c r="L1288" s="65"/>
    </row>
    <row r="1289" spans="1:12" x14ac:dyDescent="0.2">
      <c r="A1289" s="69"/>
      <c r="B1289" s="50"/>
      <c r="C1289" s="50"/>
      <c r="D1289" s="50"/>
      <c r="E1289" s="50"/>
      <c r="F1289" s="50"/>
      <c r="G1289" s="50"/>
      <c r="H1289" s="50"/>
      <c r="I1289" s="65"/>
      <c r="J1289" s="65"/>
      <c r="K1289" s="65"/>
      <c r="L1289" s="65"/>
    </row>
    <row r="1290" spans="1:12" x14ac:dyDescent="0.2">
      <c r="A1290" s="69"/>
      <c r="B1290" s="50"/>
      <c r="C1290" s="50"/>
      <c r="D1290" s="50"/>
      <c r="E1290" s="50"/>
      <c r="F1290" s="50"/>
      <c r="G1290" s="50"/>
      <c r="H1290" s="50"/>
      <c r="I1290" s="65"/>
      <c r="J1290" s="65"/>
      <c r="K1290" s="65"/>
      <c r="L1290" s="65"/>
    </row>
    <row r="1291" spans="1:12" x14ac:dyDescent="0.2">
      <c r="A1291" s="69"/>
      <c r="B1291" s="50"/>
      <c r="C1291" s="50"/>
      <c r="D1291" s="50"/>
      <c r="E1291" s="50"/>
      <c r="F1291" s="50"/>
      <c r="G1291" s="50"/>
      <c r="H1291" s="50"/>
      <c r="I1291" s="65"/>
      <c r="J1291" s="65"/>
      <c r="K1291" s="65"/>
      <c r="L1291" s="65"/>
    </row>
    <row r="1292" spans="1:12" x14ac:dyDescent="0.2">
      <c r="A1292" s="69"/>
      <c r="B1292" s="50"/>
      <c r="C1292" s="50"/>
      <c r="D1292" s="50"/>
      <c r="E1292" s="50"/>
      <c r="F1292" s="50"/>
      <c r="G1292" s="50"/>
      <c r="H1292" s="50"/>
      <c r="I1292" s="65"/>
      <c r="J1292" s="65"/>
      <c r="K1292" s="65"/>
      <c r="L1292" s="65"/>
    </row>
    <row r="1293" spans="1:12" x14ac:dyDescent="0.2">
      <c r="A1293" s="69"/>
      <c r="B1293" s="50"/>
      <c r="C1293" s="50"/>
      <c r="D1293" s="50"/>
      <c r="E1293" s="50"/>
      <c r="F1293" s="50"/>
      <c r="G1293" s="50"/>
      <c r="H1293" s="50"/>
      <c r="I1293" s="65"/>
      <c r="J1293" s="65"/>
      <c r="K1293" s="65"/>
      <c r="L1293" s="65"/>
    </row>
    <row r="1294" spans="1:12" x14ac:dyDescent="0.2">
      <c r="A1294" s="69"/>
      <c r="B1294" s="50"/>
      <c r="C1294" s="50"/>
      <c r="D1294" s="50"/>
      <c r="E1294" s="50"/>
      <c r="F1294" s="50"/>
      <c r="G1294" s="50"/>
      <c r="H1294" s="50"/>
      <c r="I1294" s="65"/>
      <c r="J1294" s="65"/>
      <c r="K1294" s="65"/>
      <c r="L1294" s="65"/>
    </row>
    <row r="1295" spans="1:12" x14ac:dyDescent="0.2">
      <c r="A1295" s="69"/>
      <c r="B1295" s="50"/>
      <c r="C1295" s="50"/>
      <c r="D1295" s="50"/>
      <c r="E1295" s="50"/>
      <c r="F1295" s="50"/>
      <c r="G1295" s="50"/>
      <c r="H1295" s="50"/>
      <c r="I1295" s="65"/>
      <c r="J1295" s="65"/>
      <c r="K1295" s="65"/>
      <c r="L1295" s="65"/>
    </row>
    <row r="1296" spans="1:12" x14ac:dyDescent="0.2">
      <c r="A1296" s="69"/>
      <c r="B1296" s="50"/>
      <c r="C1296" s="50"/>
      <c r="D1296" s="50"/>
      <c r="E1296" s="50"/>
      <c r="F1296" s="50"/>
      <c r="G1296" s="50"/>
      <c r="H1296" s="50"/>
      <c r="I1296" s="65"/>
      <c r="J1296" s="65"/>
      <c r="K1296" s="65"/>
      <c r="L1296" s="65"/>
    </row>
    <row r="1297" spans="1:12" x14ac:dyDescent="0.2">
      <c r="A1297" s="69"/>
      <c r="B1297" s="50"/>
      <c r="C1297" s="50"/>
      <c r="D1297" s="50"/>
      <c r="E1297" s="50"/>
      <c r="F1297" s="50"/>
      <c r="G1297" s="50"/>
      <c r="H1297" s="50"/>
      <c r="I1297" s="65"/>
      <c r="J1297" s="65"/>
      <c r="K1297" s="65"/>
      <c r="L1297" s="65"/>
    </row>
    <row r="1298" spans="1:12" x14ac:dyDescent="0.2">
      <c r="A1298" s="69"/>
      <c r="B1298" s="50"/>
      <c r="C1298" s="50"/>
      <c r="D1298" s="50"/>
      <c r="E1298" s="50"/>
      <c r="F1298" s="50"/>
      <c r="G1298" s="50"/>
      <c r="H1298" s="50"/>
      <c r="I1298" s="65"/>
      <c r="J1298" s="65"/>
      <c r="K1298" s="65"/>
      <c r="L1298" s="65"/>
    </row>
    <row r="1299" spans="1:12" x14ac:dyDescent="0.2">
      <c r="A1299" s="69"/>
      <c r="B1299" s="50"/>
      <c r="C1299" s="50"/>
      <c r="D1299" s="50"/>
      <c r="E1299" s="50"/>
      <c r="F1299" s="50"/>
      <c r="G1299" s="50"/>
      <c r="H1299" s="50"/>
      <c r="I1299" s="65"/>
      <c r="J1299" s="65"/>
      <c r="K1299" s="65"/>
      <c r="L1299" s="65"/>
    </row>
    <row r="1300" spans="1:12" x14ac:dyDescent="0.2">
      <c r="A1300" s="69"/>
      <c r="B1300" s="50"/>
      <c r="C1300" s="50"/>
      <c r="D1300" s="50"/>
      <c r="E1300" s="50"/>
      <c r="F1300" s="50"/>
      <c r="G1300" s="50"/>
      <c r="H1300" s="50"/>
      <c r="I1300" s="65"/>
      <c r="J1300" s="65"/>
      <c r="K1300" s="65"/>
      <c r="L1300" s="65"/>
    </row>
    <row r="1301" spans="1:12" x14ac:dyDescent="0.2">
      <c r="A1301" s="69"/>
      <c r="B1301" s="50"/>
      <c r="C1301" s="50"/>
      <c r="D1301" s="50"/>
      <c r="E1301" s="50"/>
      <c r="F1301" s="50"/>
      <c r="G1301" s="50"/>
      <c r="H1301" s="50"/>
      <c r="I1301" s="65"/>
      <c r="J1301" s="65"/>
      <c r="K1301" s="65"/>
      <c r="L1301" s="65"/>
    </row>
    <row r="1302" spans="1:12" x14ac:dyDescent="0.2">
      <c r="A1302" s="69"/>
      <c r="B1302" s="50"/>
      <c r="C1302" s="50"/>
      <c r="D1302" s="50"/>
      <c r="E1302" s="50"/>
      <c r="F1302" s="50"/>
      <c r="G1302" s="50"/>
      <c r="H1302" s="50"/>
      <c r="I1302" s="65"/>
      <c r="J1302" s="65"/>
      <c r="K1302" s="65"/>
      <c r="L1302" s="65"/>
    </row>
    <row r="1303" spans="1:12" x14ac:dyDescent="0.2">
      <c r="A1303" s="69"/>
      <c r="B1303" s="50"/>
      <c r="C1303" s="50"/>
      <c r="D1303" s="50"/>
      <c r="E1303" s="50"/>
      <c r="F1303" s="50"/>
      <c r="G1303" s="50"/>
      <c r="H1303" s="50"/>
      <c r="I1303" s="65"/>
      <c r="J1303" s="65"/>
      <c r="K1303" s="65"/>
      <c r="L1303" s="65"/>
    </row>
    <row r="1304" spans="1:12" x14ac:dyDescent="0.2">
      <c r="A1304" s="69"/>
      <c r="B1304" s="50"/>
      <c r="C1304" s="50"/>
      <c r="D1304" s="50"/>
      <c r="E1304" s="50"/>
      <c r="F1304" s="50"/>
      <c r="G1304" s="50"/>
      <c r="H1304" s="50"/>
      <c r="I1304" s="65"/>
      <c r="J1304" s="65"/>
      <c r="K1304" s="65"/>
      <c r="L1304" s="65"/>
    </row>
    <row r="1305" spans="1:12" x14ac:dyDescent="0.2">
      <c r="A1305" s="69"/>
      <c r="B1305" s="50"/>
      <c r="C1305" s="50"/>
      <c r="D1305" s="50"/>
      <c r="E1305" s="50"/>
      <c r="F1305" s="50"/>
      <c r="G1305" s="50"/>
      <c r="H1305" s="50"/>
      <c r="I1305" s="65"/>
      <c r="J1305" s="65"/>
      <c r="K1305" s="65"/>
      <c r="L1305" s="65"/>
    </row>
    <row r="1306" spans="1:12" x14ac:dyDescent="0.2">
      <c r="A1306" s="69"/>
      <c r="B1306" s="50"/>
      <c r="C1306" s="50"/>
      <c r="D1306" s="50"/>
      <c r="E1306" s="50"/>
      <c r="F1306" s="50"/>
      <c r="G1306" s="50"/>
      <c r="H1306" s="50"/>
      <c r="I1306" s="65"/>
      <c r="J1306" s="65"/>
      <c r="K1306" s="65"/>
      <c r="L1306" s="65"/>
    </row>
    <row r="1307" spans="1:12" x14ac:dyDescent="0.2">
      <c r="A1307" s="69"/>
      <c r="B1307" s="50"/>
      <c r="C1307" s="50"/>
      <c r="D1307" s="50"/>
      <c r="E1307" s="50"/>
      <c r="F1307" s="50"/>
      <c r="G1307" s="50"/>
      <c r="H1307" s="50"/>
      <c r="I1307" s="65"/>
      <c r="J1307" s="65"/>
      <c r="K1307" s="65"/>
      <c r="L1307" s="65"/>
    </row>
    <row r="1308" spans="1:12" x14ac:dyDescent="0.2">
      <c r="A1308" s="69"/>
      <c r="B1308" s="50"/>
      <c r="C1308" s="50"/>
      <c r="D1308" s="50"/>
      <c r="E1308" s="50"/>
      <c r="F1308" s="50"/>
      <c r="G1308" s="50"/>
      <c r="H1308" s="50"/>
      <c r="I1308" s="65"/>
      <c r="J1308" s="65"/>
      <c r="K1308" s="65"/>
      <c r="L1308" s="65"/>
    </row>
    <row r="1309" spans="1:12" x14ac:dyDescent="0.2">
      <c r="A1309" s="69"/>
      <c r="B1309" s="50"/>
      <c r="C1309" s="50"/>
      <c r="D1309" s="50"/>
      <c r="E1309" s="50"/>
      <c r="F1309" s="50"/>
      <c r="G1309" s="50"/>
      <c r="H1309" s="50"/>
      <c r="I1309" s="65"/>
      <c r="J1309" s="65"/>
      <c r="K1309" s="65"/>
      <c r="L1309" s="65"/>
    </row>
    <row r="1310" spans="1:12" x14ac:dyDescent="0.2">
      <c r="A1310" s="69"/>
      <c r="B1310" s="50"/>
      <c r="C1310" s="50"/>
      <c r="D1310" s="50"/>
      <c r="E1310" s="50"/>
      <c r="F1310" s="50"/>
      <c r="G1310" s="50"/>
      <c r="H1310" s="50"/>
      <c r="I1310" s="65"/>
      <c r="J1310" s="65"/>
      <c r="K1310" s="65"/>
      <c r="L1310" s="65"/>
    </row>
    <row r="1311" spans="1:12" x14ac:dyDescent="0.2">
      <c r="A1311" s="69"/>
      <c r="B1311" s="50"/>
      <c r="C1311" s="50"/>
      <c r="D1311" s="50"/>
      <c r="E1311" s="50"/>
      <c r="F1311" s="50"/>
      <c r="G1311" s="50"/>
      <c r="H1311" s="50"/>
      <c r="I1311" s="65"/>
      <c r="J1311" s="65"/>
      <c r="K1311" s="65"/>
      <c r="L1311" s="65"/>
    </row>
    <row r="1312" spans="1:12" x14ac:dyDescent="0.2">
      <c r="A1312" s="69"/>
      <c r="B1312" s="50"/>
      <c r="C1312" s="50"/>
      <c r="D1312" s="50"/>
      <c r="E1312" s="50"/>
      <c r="F1312" s="50"/>
      <c r="G1312" s="50"/>
      <c r="H1312" s="50"/>
      <c r="I1312" s="65"/>
      <c r="J1312" s="65"/>
      <c r="K1312" s="65"/>
      <c r="L1312" s="65"/>
    </row>
    <row r="1313" spans="1:12" x14ac:dyDescent="0.2">
      <c r="A1313" s="69"/>
      <c r="B1313" s="50"/>
      <c r="C1313" s="50"/>
      <c r="D1313" s="50"/>
      <c r="E1313" s="50"/>
      <c r="F1313" s="50"/>
      <c r="G1313" s="50"/>
      <c r="H1313" s="50"/>
      <c r="I1313" s="65"/>
      <c r="J1313" s="65"/>
      <c r="K1313" s="65"/>
      <c r="L1313" s="65"/>
    </row>
    <row r="1314" spans="1:12" x14ac:dyDescent="0.2">
      <c r="A1314" s="69"/>
      <c r="B1314" s="50"/>
      <c r="C1314" s="50"/>
      <c r="D1314" s="50"/>
      <c r="E1314" s="50"/>
      <c r="F1314" s="50"/>
      <c r="G1314" s="50"/>
      <c r="H1314" s="50"/>
      <c r="I1314" s="65"/>
      <c r="J1314" s="65"/>
      <c r="K1314" s="65"/>
      <c r="L1314" s="65"/>
    </row>
    <row r="1315" spans="1:12" x14ac:dyDescent="0.2">
      <c r="A1315" s="69"/>
      <c r="B1315" s="50"/>
      <c r="C1315" s="50"/>
      <c r="D1315" s="50"/>
      <c r="E1315" s="50"/>
      <c r="F1315" s="50"/>
      <c r="G1315" s="50"/>
      <c r="H1315" s="50"/>
      <c r="I1315" s="65"/>
      <c r="J1315" s="65"/>
      <c r="K1315" s="65"/>
      <c r="L1315" s="65"/>
    </row>
    <row r="1316" spans="1:12" x14ac:dyDescent="0.2">
      <c r="A1316" s="69"/>
      <c r="B1316" s="50"/>
      <c r="C1316" s="50"/>
      <c r="D1316" s="50"/>
      <c r="E1316" s="50"/>
      <c r="F1316" s="50"/>
      <c r="G1316" s="50"/>
      <c r="H1316" s="50"/>
      <c r="I1316" s="65"/>
      <c r="J1316" s="65"/>
      <c r="K1316" s="65"/>
      <c r="L1316" s="65"/>
    </row>
    <row r="1317" spans="1:12" x14ac:dyDescent="0.2">
      <c r="A1317" s="69"/>
      <c r="B1317" s="50"/>
      <c r="C1317" s="50"/>
      <c r="D1317" s="50"/>
      <c r="E1317" s="50"/>
      <c r="F1317" s="50"/>
      <c r="G1317" s="50"/>
      <c r="H1317" s="50"/>
      <c r="I1317" s="65"/>
      <c r="J1317" s="65"/>
      <c r="K1317" s="65"/>
      <c r="L1317" s="65"/>
    </row>
    <row r="1318" spans="1:12" x14ac:dyDescent="0.2">
      <c r="A1318" s="69"/>
      <c r="B1318" s="50"/>
      <c r="C1318" s="50"/>
      <c r="D1318" s="50"/>
      <c r="E1318" s="50"/>
      <c r="F1318" s="50"/>
      <c r="G1318" s="50"/>
      <c r="H1318" s="50"/>
      <c r="I1318" s="65"/>
      <c r="J1318" s="65"/>
      <c r="K1318" s="65"/>
      <c r="L1318" s="65"/>
    </row>
    <row r="1319" spans="1:12" x14ac:dyDescent="0.2">
      <c r="A1319" s="69"/>
      <c r="B1319" s="50"/>
      <c r="C1319" s="50"/>
      <c r="D1319" s="50"/>
      <c r="E1319" s="50"/>
      <c r="F1319" s="50"/>
      <c r="G1319" s="50"/>
      <c r="H1319" s="50"/>
      <c r="I1319" s="65"/>
      <c r="J1319" s="65"/>
      <c r="K1319" s="65"/>
      <c r="L1319" s="65"/>
    </row>
    <row r="1320" spans="1:12" x14ac:dyDescent="0.2">
      <c r="A1320" s="69"/>
      <c r="B1320" s="50"/>
      <c r="C1320" s="50"/>
      <c r="D1320" s="50"/>
      <c r="E1320" s="50"/>
      <c r="F1320" s="50"/>
      <c r="G1320" s="50"/>
      <c r="H1320" s="50"/>
      <c r="I1320" s="65"/>
      <c r="J1320" s="65"/>
      <c r="K1320" s="65"/>
      <c r="L1320" s="65"/>
    </row>
    <row r="1321" spans="1:12" x14ac:dyDescent="0.2">
      <c r="A1321" s="69"/>
      <c r="B1321" s="50"/>
      <c r="C1321" s="50"/>
      <c r="D1321" s="50"/>
      <c r="E1321" s="50"/>
      <c r="F1321" s="50"/>
      <c r="G1321" s="50"/>
      <c r="H1321" s="50"/>
      <c r="I1321" s="65"/>
      <c r="J1321" s="65"/>
      <c r="K1321" s="65"/>
      <c r="L1321" s="65"/>
    </row>
    <row r="1322" spans="1:12" x14ac:dyDescent="0.2">
      <c r="A1322" s="69"/>
      <c r="B1322" s="50"/>
      <c r="C1322" s="50"/>
      <c r="D1322" s="50"/>
      <c r="E1322" s="50"/>
      <c r="F1322" s="50"/>
      <c r="G1322" s="50"/>
      <c r="H1322" s="50"/>
      <c r="I1322" s="65"/>
      <c r="J1322" s="65"/>
      <c r="K1322" s="65"/>
      <c r="L1322" s="65"/>
    </row>
    <row r="1323" spans="1:12" x14ac:dyDescent="0.2">
      <c r="A1323" s="69"/>
      <c r="B1323" s="50"/>
      <c r="C1323" s="50"/>
      <c r="D1323" s="50"/>
      <c r="E1323" s="50"/>
      <c r="F1323" s="50"/>
      <c r="G1323" s="50"/>
      <c r="H1323" s="50"/>
      <c r="I1323" s="65"/>
      <c r="J1323" s="65"/>
      <c r="K1323" s="65"/>
      <c r="L1323" s="65"/>
    </row>
    <row r="1324" spans="1:12" x14ac:dyDescent="0.2">
      <c r="A1324" s="69"/>
      <c r="B1324" s="50"/>
      <c r="C1324" s="50"/>
      <c r="D1324" s="50"/>
      <c r="E1324" s="50"/>
      <c r="F1324" s="50"/>
      <c r="G1324" s="50"/>
      <c r="H1324" s="50"/>
      <c r="I1324" s="65"/>
      <c r="J1324" s="65"/>
      <c r="K1324" s="65"/>
      <c r="L1324" s="65"/>
    </row>
    <row r="1325" spans="1:12" x14ac:dyDescent="0.2">
      <c r="A1325" s="69"/>
      <c r="B1325" s="50"/>
      <c r="C1325" s="50"/>
      <c r="D1325" s="50"/>
      <c r="E1325" s="50"/>
      <c r="F1325" s="50"/>
      <c r="G1325" s="50"/>
      <c r="H1325" s="50"/>
      <c r="I1325" s="65"/>
      <c r="J1325" s="65"/>
      <c r="K1325" s="65"/>
      <c r="L1325" s="65"/>
    </row>
    <row r="1326" spans="1:12" x14ac:dyDescent="0.2">
      <c r="A1326" s="69"/>
      <c r="B1326" s="50"/>
      <c r="C1326" s="50"/>
      <c r="D1326" s="50"/>
      <c r="E1326" s="50"/>
      <c r="F1326" s="50"/>
      <c r="G1326" s="50"/>
      <c r="H1326" s="50"/>
      <c r="I1326" s="65"/>
      <c r="J1326" s="65"/>
      <c r="K1326" s="65"/>
      <c r="L1326" s="65"/>
    </row>
    <row r="1327" spans="1:12" x14ac:dyDescent="0.2">
      <c r="A1327" s="69"/>
      <c r="B1327" s="50"/>
      <c r="C1327" s="50"/>
      <c r="D1327" s="50"/>
      <c r="E1327" s="50"/>
      <c r="F1327" s="50"/>
      <c r="G1327" s="50"/>
      <c r="H1327" s="50"/>
      <c r="I1327" s="65"/>
      <c r="J1327" s="65"/>
      <c r="K1327" s="65"/>
      <c r="L1327" s="65"/>
    </row>
    <row r="1328" spans="1:12" x14ac:dyDescent="0.2">
      <c r="A1328" s="69"/>
      <c r="B1328" s="50"/>
      <c r="C1328" s="50"/>
      <c r="D1328" s="50"/>
      <c r="E1328" s="50"/>
      <c r="F1328" s="50"/>
      <c r="G1328" s="50"/>
      <c r="H1328" s="50"/>
      <c r="I1328" s="65"/>
      <c r="J1328" s="65"/>
      <c r="K1328" s="65"/>
      <c r="L1328" s="65"/>
    </row>
    <row r="1329" spans="1:12" x14ac:dyDescent="0.2">
      <c r="A1329" s="69"/>
      <c r="B1329" s="50"/>
      <c r="C1329" s="50"/>
      <c r="D1329" s="50"/>
      <c r="E1329" s="50"/>
      <c r="F1329" s="50"/>
      <c r="G1329" s="50"/>
      <c r="H1329" s="50"/>
      <c r="I1329" s="65"/>
      <c r="J1329" s="65"/>
      <c r="K1329" s="65"/>
      <c r="L1329" s="65"/>
    </row>
    <row r="1330" spans="1:12" x14ac:dyDescent="0.2">
      <c r="A1330" s="69"/>
      <c r="B1330" s="50"/>
      <c r="C1330" s="50"/>
      <c r="D1330" s="50"/>
      <c r="E1330" s="50"/>
      <c r="F1330" s="50"/>
      <c r="G1330" s="50"/>
      <c r="H1330" s="50"/>
      <c r="I1330" s="65"/>
      <c r="J1330" s="65"/>
      <c r="K1330" s="65"/>
      <c r="L1330" s="65"/>
    </row>
    <row r="1331" spans="1:12" x14ac:dyDescent="0.2">
      <c r="A1331" s="69"/>
      <c r="B1331" s="50"/>
      <c r="C1331" s="50"/>
      <c r="D1331" s="50"/>
      <c r="E1331" s="50"/>
      <c r="F1331" s="50"/>
      <c r="G1331" s="50"/>
      <c r="H1331" s="50"/>
      <c r="I1331" s="65"/>
      <c r="J1331" s="65"/>
      <c r="K1331" s="65"/>
      <c r="L1331" s="65"/>
    </row>
    <row r="1332" spans="1:12" x14ac:dyDescent="0.2">
      <c r="A1332" s="69"/>
      <c r="B1332" s="50"/>
      <c r="C1332" s="50"/>
      <c r="D1332" s="50"/>
      <c r="E1332" s="50"/>
      <c r="F1332" s="50"/>
      <c r="G1332" s="50"/>
      <c r="H1332" s="50"/>
      <c r="I1332" s="65"/>
      <c r="J1332" s="65"/>
      <c r="K1332" s="65"/>
      <c r="L1332" s="65"/>
    </row>
    <row r="1333" spans="1:12" x14ac:dyDescent="0.2">
      <c r="A1333" s="69"/>
      <c r="B1333" s="50"/>
      <c r="C1333" s="50"/>
      <c r="D1333" s="50"/>
      <c r="E1333" s="50"/>
      <c r="F1333" s="50"/>
      <c r="G1333" s="50"/>
      <c r="H1333" s="50"/>
      <c r="I1333" s="65"/>
      <c r="J1333" s="65"/>
      <c r="K1333" s="65"/>
      <c r="L1333" s="65"/>
    </row>
    <row r="1334" spans="1:12" x14ac:dyDescent="0.2">
      <c r="A1334" s="69"/>
      <c r="B1334" s="50"/>
      <c r="C1334" s="50"/>
      <c r="D1334" s="50"/>
      <c r="E1334" s="50"/>
      <c r="F1334" s="50"/>
      <c r="G1334" s="50"/>
      <c r="H1334" s="50"/>
      <c r="I1334" s="65"/>
      <c r="J1334" s="65"/>
      <c r="K1334" s="65"/>
      <c r="L1334" s="65"/>
    </row>
    <row r="1335" spans="1:12" x14ac:dyDescent="0.2">
      <c r="A1335" s="69"/>
      <c r="B1335" s="50"/>
      <c r="C1335" s="50"/>
      <c r="D1335" s="50"/>
      <c r="E1335" s="50"/>
      <c r="F1335" s="50"/>
      <c r="G1335" s="50"/>
      <c r="H1335" s="50"/>
      <c r="I1335" s="65"/>
      <c r="J1335" s="65"/>
      <c r="K1335" s="65"/>
      <c r="L1335" s="65"/>
    </row>
    <row r="1336" spans="1:12" x14ac:dyDescent="0.2">
      <c r="A1336" s="69"/>
      <c r="B1336" s="50"/>
      <c r="C1336" s="50"/>
      <c r="D1336" s="50"/>
      <c r="E1336" s="50"/>
      <c r="F1336" s="50"/>
      <c r="G1336" s="50"/>
      <c r="H1336" s="50"/>
      <c r="I1336" s="65"/>
      <c r="J1336" s="65"/>
      <c r="K1336" s="65"/>
      <c r="L1336" s="65"/>
    </row>
    <row r="1337" spans="1:12" x14ac:dyDescent="0.2">
      <c r="A1337" s="69"/>
      <c r="B1337" s="50"/>
      <c r="C1337" s="50"/>
      <c r="D1337" s="50"/>
      <c r="E1337" s="50"/>
      <c r="F1337" s="50"/>
      <c r="G1337" s="50"/>
      <c r="H1337" s="50"/>
      <c r="I1337" s="65"/>
      <c r="J1337" s="65"/>
      <c r="K1337" s="65"/>
      <c r="L1337" s="65"/>
    </row>
    <row r="1338" spans="1:12" x14ac:dyDescent="0.2">
      <c r="A1338" s="69"/>
      <c r="B1338" s="50"/>
      <c r="C1338" s="50"/>
      <c r="D1338" s="50"/>
      <c r="E1338" s="50"/>
      <c r="F1338" s="50"/>
      <c r="G1338" s="50"/>
      <c r="H1338" s="50"/>
      <c r="I1338" s="65"/>
      <c r="J1338" s="65"/>
      <c r="K1338" s="65"/>
      <c r="L1338" s="65"/>
    </row>
    <row r="1339" spans="1:12" x14ac:dyDescent="0.2">
      <c r="A1339" s="69"/>
      <c r="B1339" s="50"/>
      <c r="C1339" s="50"/>
      <c r="D1339" s="50"/>
      <c r="E1339" s="50"/>
      <c r="F1339" s="50"/>
      <c r="G1339" s="50"/>
      <c r="H1339" s="50"/>
      <c r="I1339" s="65"/>
      <c r="J1339" s="65"/>
      <c r="K1339" s="65"/>
      <c r="L1339" s="65"/>
    </row>
    <row r="1340" spans="1:12" x14ac:dyDescent="0.2">
      <c r="A1340" s="69"/>
      <c r="B1340" s="50"/>
      <c r="C1340" s="50"/>
      <c r="D1340" s="50"/>
      <c r="E1340" s="50"/>
      <c r="F1340" s="50"/>
      <c r="G1340" s="50"/>
      <c r="H1340" s="50"/>
      <c r="I1340" s="65"/>
      <c r="J1340" s="65"/>
      <c r="K1340" s="65"/>
      <c r="L1340" s="65"/>
    </row>
    <row r="1341" spans="1:12" x14ac:dyDescent="0.2">
      <c r="A1341" s="69"/>
      <c r="B1341" s="50"/>
      <c r="C1341" s="50"/>
      <c r="D1341" s="50"/>
      <c r="E1341" s="50"/>
      <c r="F1341" s="50"/>
      <c r="G1341" s="50"/>
      <c r="H1341" s="50"/>
      <c r="I1341" s="65"/>
      <c r="J1341" s="65"/>
      <c r="K1341" s="65"/>
      <c r="L1341" s="65"/>
    </row>
    <row r="1342" spans="1:12" x14ac:dyDescent="0.2">
      <c r="A1342" s="69"/>
      <c r="B1342" s="50"/>
      <c r="C1342" s="50"/>
      <c r="D1342" s="50"/>
      <c r="E1342" s="50"/>
      <c r="F1342" s="50"/>
      <c r="G1342" s="50"/>
      <c r="H1342" s="50"/>
      <c r="I1342" s="65"/>
      <c r="J1342" s="65"/>
      <c r="K1342" s="65"/>
      <c r="L1342" s="65"/>
    </row>
    <row r="1343" spans="1:12" x14ac:dyDescent="0.2">
      <c r="A1343" s="69"/>
      <c r="B1343" s="50"/>
      <c r="C1343" s="50"/>
      <c r="D1343" s="50"/>
      <c r="E1343" s="50"/>
      <c r="F1343" s="50"/>
      <c r="G1343" s="50"/>
      <c r="H1343" s="50"/>
      <c r="I1343" s="65"/>
      <c r="J1343" s="65"/>
      <c r="K1343" s="65"/>
      <c r="L1343" s="65"/>
    </row>
    <row r="1344" spans="1:12" x14ac:dyDescent="0.2">
      <c r="A1344" s="69"/>
      <c r="B1344" s="50"/>
      <c r="C1344" s="50"/>
      <c r="D1344" s="50"/>
      <c r="E1344" s="50"/>
      <c r="F1344" s="50"/>
      <c r="G1344" s="50"/>
      <c r="H1344" s="50"/>
      <c r="I1344" s="65"/>
      <c r="J1344" s="65"/>
      <c r="K1344" s="65"/>
      <c r="L1344" s="65"/>
    </row>
    <row r="1345" spans="1:12" x14ac:dyDescent="0.2">
      <c r="A1345" s="69"/>
      <c r="B1345" s="50"/>
      <c r="C1345" s="50"/>
      <c r="D1345" s="50"/>
      <c r="E1345" s="50"/>
      <c r="F1345" s="50"/>
      <c r="G1345" s="50"/>
      <c r="H1345" s="50"/>
      <c r="I1345" s="65"/>
      <c r="J1345" s="65"/>
      <c r="K1345" s="65"/>
      <c r="L1345" s="65"/>
    </row>
    <row r="1346" spans="1:12" x14ac:dyDescent="0.2">
      <c r="A1346" s="69"/>
      <c r="B1346" s="50"/>
      <c r="C1346" s="50"/>
      <c r="D1346" s="50"/>
      <c r="E1346" s="50"/>
      <c r="F1346" s="50"/>
      <c r="G1346" s="50"/>
      <c r="H1346" s="50"/>
      <c r="I1346" s="65"/>
      <c r="J1346" s="65"/>
      <c r="K1346" s="65"/>
      <c r="L1346" s="65"/>
    </row>
    <row r="1347" spans="1:12" x14ac:dyDescent="0.2">
      <c r="A1347" s="69"/>
      <c r="B1347" s="50"/>
      <c r="C1347" s="50"/>
      <c r="D1347" s="50"/>
      <c r="E1347" s="50"/>
      <c r="F1347" s="50"/>
      <c r="G1347" s="50"/>
      <c r="H1347" s="50"/>
      <c r="I1347" s="65"/>
      <c r="J1347" s="65"/>
      <c r="K1347" s="65"/>
      <c r="L1347" s="65"/>
    </row>
    <row r="1348" spans="1:12" x14ac:dyDescent="0.2">
      <c r="A1348" s="69"/>
      <c r="B1348" s="50"/>
      <c r="C1348" s="50"/>
      <c r="D1348" s="50"/>
      <c r="E1348" s="50"/>
      <c r="F1348" s="50"/>
      <c r="G1348" s="50"/>
      <c r="H1348" s="50"/>
      <c r="I1348" s="65"/>
      <c r="J1348" s="65"/>
      <c r="K1348" s="65"/>
      <c r="L1348" s="65"/>
    </row>
    <row r="1349" spans="1:12" x14ac:dyDescent="0.2">
      <c r="A1349" s="69"/>
      <c r="B1349" s="50"/>
      <c r="C1349" s="50"/>
      <c r="D1349" s="50"/>
      <c r="E1349" s="50"/>
      <c r="F1349" s="50"/>
      <c r="G1349" s="50"/>
      <c r="H1349" s="50"/>
      <c r="I1349" s="65"/>
      <c r="J1349" s="65"/>
      <c r="K1349" s="65"/>
      <c r="L1349" s="65"/>
    </row>
    <row r="1350" spans="1:12" x14ac:dyDescent="0.2">
      <c r="A1350" s="69"/>
      <c r="B1350" s="50"/>
      <c r="C1350" s="50"/>
      <c r="D1350" s="50"/>
      <c r="E1350" s="50"/>
      <c r="F1350" s="50"/>
      <c r="G1350" s="50"/>
      <c r="H1350" s="50"/>
      <c r="I1350" s="65"/>
      <c r="J1350" s="65"/>
      <c r="K1350" s="65"/>
      <c r="L1350" s="65"/>
    </row>
    <row r="1351" spans="1:12" x14ac:dyDescent="0.2">
      <c r="A1351" s="69"/>
      <c r="B1351" s="50"/>
      <c r="C1351" s="50"/>
      <c r="D1351" s="50"/>
      <c r="E1351" s="50"/>
      <c r="F1351" s="50"/>
      <c r="G1351" s="50"/>
      <c r="H1351" s="50"/>
      <c r="I1351" s="65"/>
      <c r="J1351" s="65"/>
      <c r="K1351" s="65"/>
      <c r="L1351" s="65"/>
    </row>
    <row r="1352" spans="1:12" x14ac:dyDescent="0.2">
      <c r="A1352" s="69"/>
      <c r="B1352" s="50"/>
      <c r="C1352" s="50"/>
      <c r="D1352" s="50"/>
      <c r="E1352" s="50"/>
      <c r="F1352" s="50"/>
      <c r="G1352" s="50"/>
      <c r="H1352" s="50"/>
      <c r="I1352" s="65"/>
      <c r="J1352" s="65"/>
      <c r="K1352" s="65"/>
      <c r="L1352" s="65"/>
    </row>
    <row r="1353" spans="1:12" x14ac:dyDescent="0.2">
      <c r="A1353" s="69"/>
      <c r="B1353" s="50"/>
      <c r="C1353" s="50"/>
      <c r="D1353" s="50"/>
      <c r="E1353" s="50"/>
      <c r="F1353" s="50"/>
      <c r="G1353" s="50"/>
      <c r="H1353" s="50"/>
      <c r="I1353" s="65"/>
      <c r="J1353" s="65"/>
      <c r="K1353" s="65"/>
      <c r="L1353" s="65"/>
    </row>
    <row r="1354" spans="1:12" x14ac:dyDescent="0.2">
      <c r="A1354" s="69"/>
      <c r="B1354" s="50"/>
      <c r="C1354" s="50"/>
      <c r="D1354" s="50"/>
      <c r="E1354" s="50"/>
      <c r="F1354" s="50"/>
      <c r="G1354" s="50"/>
      <c r="H1354" s="50"/>
      <c r="I1354" s="65"/>
      <c r="J1354" s="65"/>
      <c r="K1354" s="65"/>
      <c r="L1354" s="65"/>
    </row>
    <row r="1355" spans="1:12" x14ac:dyDescent="0.2">
      <c r="A1355" s="69"/>
      <c r="B1355" s="50"/>
      <c r="C1355" s="50"/>
      <c r="D1355" s="50"/>
      <c r="E1355" s="50"/>
      <c r="F1355" s="50"/>
      <c r="G1355" s="50"/>
      <c r="H1355" s="50"/>
      <c r="I1355" s="65"/>
      <c r="J1355" s="65"/>
      <c r="K1355" s="65"/>
      <c r="L1355" s="65"/>
    </row>
    <row r="1356" spans="1:12" x14ac:dyDescent="0.2">
      <c r="A1356" s="69"/>
      <c r="B1356" s="50"/>
      <c r="C1356" s="50"/>
      <c r="D1356" s="50"/>
      <c r="E1356" s="50"/>
      <c r="F1356" s="50"/>
      <c r="G1356" s="50"/>
      <c r="H1356" s="50"/>
      <c r="I1356" s="65"/>
      <c r="J1356" s="65"/>
      <c r="K1356" s="65"/>
      <c r="L1356" s="65"/>
    </row>
    <row r="1357" spans="1:12" x14ac:dyDescent="0.2">
      <c r="A1357" s="69"/>
      <c r="B1357" s="50"/>
      <c r="C1357" s="50"/>
      <c r="D1357" s="50"/>
      <c r="E1357" s="50"/>
      <c r="F1357" s="50"/>
      <c r="G1357" s="50"/>
      <c r="H1357" s="50"/>
      <c r="I1357" s="65"/>
      <c r="J1357" s="65"/>
      <c r="K1357" s="65"/>
      <c r="L1357" s="65"/>
    </row>
    <row r="1358" spans="1:12" x14ac:dyDescent="0.2">
      <c r="A1358" s="69"/>
      <c r="B1358" s="50"/>
      <c r="C1358" s="50"/>
      <c r="D1358" s="50"/>
      <c r="E1358" s="50"/>
      <c r="F1358" s="50"/>
      <c r="G1358" s="50"/>
      <c r="H1358" s="50"/>
      <c r="I1358" s="65"/>
      <c r="J1358" s="65"/>
      <c r="K1358" s="65"/>
      <c r="L1358" s="65"/>
    </row>
    <row r="1359" spans="1:12" x14ac:dyDescent="0.2">
      <c r="A1359" s="69"/>
      <c r="B1359" s="50"/>
      <c r="C1359" s="50"/>
      <c r="D1359" s="50"/>
      <c r="E1359" s="50"/>
      <c r="F1359" s="50"/>
      <c r="G1359" s="50"/>
      <c r="H1359" s="50"/>
      <c r="I1359" s="65"/>
      <c r="J1359" s="65"/>
      <c r="K1359" s="65"/>
      <c r="L1359" s="65"/>
    </row>
    <row r="1360" spans="1:12" x14ac:dyDescent="0.2">
      <c r="A1360" s="69"/>
      <c r="B1360" s="50"/>
      <c r="C1360" s="50"/>
      <c r="D1360" s="50"/>
      <c r="E1360" s="50"/>
      <c r="F1360" s="50"/>
      <c r="G1360" s="50"/>
      <c r="H1360" s="50"/>
      <c r="I1360" s="65"/>
      <c r="J1360" s="65"/>
      <c r="K1360" s="65"/>
      <c r="L1360" s="65"/>
    </row>
    <row r="1361" spans="1:12" x14ac:dyDescent="0.2">
      <c r="A1361" s="69"/>
      <c r="B1361" s="50"/>
      <c r="C1361" s="50"/>
      <c r="D1361" s="50"/>
      <c r="E1361" s="50"/>
      <c r="F1361" s="50"/>
      <c r="G1361" s="50"/>
      <c r="H1361" s="50"/>
      <c r="I1361" s="65"/>
      <c r="J1361" s="65"/>
      <c r="K1361" s="65"/>
      <c r="L1361" s="65"/>
    </row>
    <row r="1362" spans="1:12" x14ac:dyDescent="0.2">
      <c r="A1362" s="69"/>
      <c r="B1362" s="50"/>
      <c r="C1362" s="50"/>
      <c r="D1362" s="50"/>
      <c r="E1362" s="50"/>
      <c r="F1362" s="50"/>
      <c r="G1362" s="50"/>
      <c r="H1362" s="50"/>
      <c r="I1362" s="65"/>
      <c r="J1362" s="65"/>
      <c r="K1362" s="65"/>
      <c r="L1362" s="65"/>
    </row>
    <row r="1363" spans="1:12" x14ac:dyDescent="0.2">
      <c r="A1363" s="69"/>
      <c r="B1363" s="50"/>
      <c r="C1363" s="50"/>
      <c r="D1363" s="50"/>
      <c r="E1363" s="50"/>
      <c r="F1363" s="50"/>
      <c r="G1363" s="50"/>
      <c r="H1363" s="50"/>
      <c r="I1363" s="65"/>
      <c r="J1363" s="65"/>
      <c r="K1363" s="65"/>
      <c r="L1363" s="65"/>
    </row>
    <row r="1364" spans="1:12" x14ac:dyDescent="0.2">
      <c r="A1364" s="69"/>
      <c r="B1364" s="50"/>
      <c r="C1364" s="50"/>
      <c r="D1364" s="50"/>
      <c r="E1364" s="50"/>
      <c r="F1364" s="50"/>
      <c r="G1364" s="50"/>
      <c r="H1364" s="50"/>
      <c r="I1364" s="65"/>
      <c r="J1364" s="65"/>
      <c r="K1364" s="65"/>
      <c r="L1364" s="65"/>
    </row>
  </sheetData>
  <sortState ref="A19:T831">
    <sortCondition ref="J18"/>
  </sortState>
  <mergeCells count="2">
    <mergeCell ref="B17:I17"/>
    <mergeCell ref="J17:K17"/>
  </mergeCells>
  <phoneticPr fontId="5" type="noConversion"/>
  <pageMargins left="0.44" right="0.35" top="0.61" bottom="0.62" header="0.5" footer="0.5"/>
  <pageSetup paperSize="9" scale="85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74" r:id="rId4" name="Button 134">
              <controlPr defaultSize="0" print="0" autoFill="0" autoPict="0" macro="[0]!ResetSort">
                <anchor moveWithCells="1" sizeWithCells="1">
                  <from>
                    <xdr:col>0</xdr:col>
                    <xdr:colOff>3286125</xdr:colOff>
                    <xdr:row>11</xdr:row>
                    <xdr:rowOff>0</xdr:rowOff>
                  </from>
                  <to>
                    <xdr:col>1</xdr:col>
                    <xdr:colOff>104775</xdr:colOff>
                    <xdr:row>15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9"/>
  <dimension ref="A4:N59"/>
  <sheetViews>
    <sheetView showGridLines="0" showRowColHeaders="0" workbookViewId="0"/>
  </sheetViews>
  <sheetFormatPr defaultRowHeight="12.75" x14ac:dyDescent="0.2"/>
  <cols>
    <col min="1" max="1" width="4.7109375" style="37" customWidth="1"/>
    <col min="2" max="6" width="9.140625" style="37"/>
    <col min="7" max="7" width="11.140625" style="37" bestFit="1" customWidth="1"/>
    <col min="8" max="8" width="9.28515625" style="37" bestFit="1" customWidth="1"/>
    <col min="9" max="16" width="9.140625" style="37"/>
    <col min="17" max="17" width="10" style="37" customWidth="1"/>
    <col min="18" max="16384" width="9.140625" style="37"/>
  </cols>
  <sheetData>
    <row r="4" spans="1:14" ht="15" x14ac:dyDescent="0.2">
      <c r="B4" s="36"/>
      <c r="D4" s="36"/>
    </row>
    <row r="5" spans="1:14" ht="15.75" x14ac:dyDescent="0.25">
      <c r="B5" s="261"/>
      <c r="C5" s="43"/>
      <c r="D5" s="43"/>
      <c r="E5" s="43"/>
      <c r="F5" s="43"/>
      <c r="G5" s="43"/>
      <c r="H5" s="43"/>
      <c r="I5" s="43"/>
      <c r="J5" s="43"/>
      <c r="K5" s="43"/>
      <c r="L5" s="43"/>
      <c r="M5" s="43"/>
      <c r="N5" s="43"/>
    </row>
    <row r="6" spans="1:14" x14ac:dyDescent="0.2">
      <c r="D6" s="38"/>
    </row>
    <row r="7" spans="1:14" x14ac:dyDescent="0.2">
      <c r="A7" s="38"/>
      <c r="B7" s="38"/>
    </row>
    <row r="8" spans="1:14" x14ac:dyDescent="0.2">
      <c r="B8" s="175"/>
    </row>
    <row r="39" spans="2:2" x14ac:dyDescent="0.2">
      <c r="B39" s="1" t="s">
        <v>308</v>
      </c>
    </row>
    <row r="40" spans="2:2" x14ac:dyDescent="0.2">
      <c r="B40" s="1" t="s">
        <v>323</v>
      </c>
    </row>
    <row r="41" spans="2:2" x14ac:dyDescent="0.2">
      <c r="B41" s="1" t="s">
        <v>556</v>
      </c>
    </row>
    <row r="42" spans="2:2" x14ac:dyDescent="0.2">
      <c r="B42" s="1" t="s">
        <v>557</v>
      </c>
    </row>
    <row r="43" spans="2:2" ht="15" x14ac:dyDescent="0.2">
      <c r="B43" s="36"/>
    </row>
    <row r="48" spans="2:2" hidden="1" x14ac:dyDescent="0.2"/>
    <row r="49" spans="3:8" hidden="1" x14ac:dyDescent="0.2">
      <c r="C49" s="39"/>
      <c r="D49" s="1"/>
      <c r="E49" s="1" t="s">
        <v>466</v>
      </c>
      <c r="F49" s="40" t="s">
        <v>467</v>
      </c>
      <c r="G49" s="1"/>
    </row>
    <row r="50" spans="3:8" hidden="1" x14ac:dyDescent="0.2">
      <c r="C50" s="41" t="s">
        <v>468</v>
      </c>
      <c r="D50" s="1">
        <v>77</v>
      </c>
      <c r="E50" s="1">
        <v>4.7410873714672742E-3</v>
      </c>
      <c r="F50" s="40">
        <v>28408.676128317224</v>
      </c>
      <c r="G50" s="42">
        <v>28000</v>
      </c>
    </row>
    <row r="51" spans="3:8" hidden="1" x14ac:dyDescent="0.2">
      <c r="C51" s="41" t="s">
        <v>469</v>
      </c>
      <c r="D51" s="1">
        <v>141</v>
      </c>
      <c r="E51" s="1">
        <v>8.6817314204790351E-3</v>
      </c>
      <c r="F51" s="40">
        <v>52021.082260944524</v>
      </c>
      <c r="G51" s="42">
        <v>52000</v>
      </c>
    </row>
    <row r="52" spans="3:8" hidden="1" x14ac:dyDescent="0.2">
      <c r="C52" s="41" t="s">
        <v>470</v>
      </c>
      <c r="D52" s="1">
        <v>763</v>
      </c>
      <c r="E52" s="1">
        <v>4.6979865771812082E-2</v>
      </c>
      <c r="F52" s="40">
        <v>281504.15436241613</v>
      </c>
      <c r="G52" s="42">
        <v>282000</v>
      </c>
    </row>
    <row r="53" spans="3:8" hidden="1" x14ac:dyDescent="0.2">
      <c r="C53" s="41" t="s">
        <v>471</v>
      </c>
      <c r="D53" s="1">
        <v>3723</v>
      </c>
      <c r="E53" s="1">
        <v>0.22923465303860599</v>
      </c>
      <c r="F53" s="40">
        <v>1373577.9379964287</v>
      </c>
      <c r="G53" s="42">
        <v>1374000</v>
      </c>
    </row>
    <row r="54" spans="3:8" hidden="1" x14ac:dyDescent="0.2">
      <c r="C54" s="41" t="s">
        <v>472</v>
      </c>
      <c r="D54" s="1">
        <v>7632</v>
      </c>
      <c r="E54" s="1">
        <v>0.4699218028446524</v>
      </c>
      <c r="F54" s="40">
        <v>2815779.4313158058</v>
      </c>
      <c r="G54" s="42">
        <v>2816000</v>
      </c>
    </row>
    <row r="55" spans="3:8" hidden="1" x14ac:dyDescent="0.2">
      <c r="C55" s="41" t="s">
        <v>473</v>
      </c>
      <c r="D55" s="1">
        <v>2217</v>
      </c>
      <c r="E55" s="1">
        <v>0.13650637276029801</v>
      </c>
      <c r="F55" s="40">
        <v>817948.50618804258</v>
      </c>
      <c r="G55" s="42">
        <v>818000</v>
      </c>
      <c r="H55" s="42"/>
    </row>
    <row r="56" spans="3:8" hidden="1" x14ac:dyDescent="0.2">
      <c r="C56" s="41" t="s">
        <v>474</v>
      </c>
      <c r="D56" s="1">
        <v>738</v>
      </c>
      <c r="E56" s="1">
        <v>4.5440551690166864E-2</v>
      </c>
      <c r="F56" s="40">
        <v>272280.5582168586</v>
      </c>
      <c r="G56" s="42">
        <v>272000</v>
      </c>
      <c r="H56" s="42"/>
    </row>
    <row r="57" spans="3:8" hidden="1" x14ac:dyDescent="0.2">
      <c r="C57" s="41" t="s">
        <v>475</v>
      </c>
      <c r="D57" s="1">
        <v>311</v>
      </c>
      <c r="E57" s="1">
        <v>1.9149067175666522E-2</v>
      </c>
      <c r="F57" s="40">
        <v>114741.53605073578</v>
      </c>
      <c r="G57" s="42">
        <v>115000</v>
      </c>
      <c r="H57" s="42"/>
    </row>
    <row r="58" spans="3:8" hidden="1" x14ac:dyDescent="0.2">
      <c r="C58" s="41" t="s">
        <v>476</v>
      </c>
      <c r="D58" s="1">
        <v>639</v>
      </c>
      <c r="E58" s="1">
        <v>3.9344867926851795E-2</v>
      </c>
      <c r="F58" s="40">
        <v>235755.11748045072</v>
      </c>
      <c r="G58" s="42">
        <v>236000</v>
      </c>
      <c r="H58" s="42"/>
    </row>
    <row r="59" spans="3:8" hidden="1" x14ac:dyDescent="0.2"/>
  </sheetData>
  <phoneticPr fontId="5" type="noConversion"/>
  <pageMargins left="0.71" right="0.56000000000000005" top="0.85" bottom="0.68" header="0.5" footer="0.5"/>
  <pageSetup paperSize="9" scale="85" orientation="landscape" r:id="rId1"/>
  <headerFooter alignWithMargins="0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Blad10"/>
  <dimension ref="B4:Q74"/>
  <sheetViews>
    <sheetView showGridLines="0" showRowColHeaders="0" workbookViewId="0"/>
  </sheetViews>
  <sheetFormatPr defaultRowHeight="12.75" x14ac:dyDescent="0.2"/>
  <cols>
    <col min="1" max="16384" width="9.140625" style="2"/>
  </cols>
  <sheetData>
    <row r="4" spans="2:14" ht="15.75" x14ac:dyDescent="0.25">
      <c r="C4" s="43"/>
      <c r="D4" s="43"/>
      <c r="E4" s="43"/>
      <c r="F4" s="43"/>
      <c r="G4" s="43"/>
      <c r="H4" s="43"/>
      <c r="I4" s="43"/>
      <c r="J4" s="43"/>
      <c r="K4" s="43"/>
      <c r="L4" s="43"/>
      <c r="M4" s="43"/>
      <c r="N4" s="43"/>
    </row>
    <row r="5" spans="2:14" ht="15.75" x14ac:dyDescent="0.25">
      <c r="B5" s="43"/>
    </row>
    <row r="41" spans="2:17" x14ac:dyDescent="0.2">
      <c r="B41" s="98" t="s">
        <v>1157</v>
      </c>
      <c r="C41" s="98"/>
      <c r="D41" s="98"/>
      <c r="E41" s="98"/>
      <c r="F41" s="98"/>
      <c r="G41" s="98"/>
      <c r="H41" s="98"/>
      <c r="I41" s="98"/>
      <c r="J41" s="98"/>
      <c r="K41" s="98"/>
      <c r="L41" s="98"/>
      <c r="M41" s="98"/>
      <c r="N41" s="98"/>
      <c r="O41" s="98"/>
      <c r="P41" s="98"/>
      <c r="Q41" s="98"/>
    </row>
    <row r="42" spans="2:17" x14ac:dyDescent="0.2">
      <c r="B42" s="98" t="s">
        <v>222</v>
      </c>
      <c r="C42" s="98"/>
      <c r="D42" s="98"/>
      <c r="E42" s="98"/>
      <c r="F42" s="98"/>
      <c r="G42" s="98"/>
      <c r="H42" s="98"/>
      <c r="I42" s="98"/>
      <c r="J42" s="98"/>
      <c r="K42" s="98"/>
      <c r="L42" s="98"/>
      <c r="M42" s="98"/>
      <c r="N42" s="98"/>
      <c r="O42" s="98"/>
      <c r="P42" s="98"/>
      <c r="Q42" s="98"/>
    </row>
    <row r="43" spans="2:17" x14ac:dyDescent="0.2">
      <c r="B43" s="98"/>
      <c r="C43" s="98"/>
      <c r="D43" s="98"/>
      <c r="E43" s="98"/>
      <c r="F43" s="98"/>
      <c r="G43" s="98"/>
      <c r="H43" s="98"/>
      <c r="I43" s="98"/>
      <c r="J43" s="98"/>
      <c r="K43" s="98"/>
      <c r="L43" s="98"/>
      <c r="M43" s="98"/>
      <c r="N43" s="98"/>
      <c r="O43" s="98"/>
      <c r="P43" s="98"/>
      <c r="Q43" s="98"/>
    </row>
    <row r="44" spans="2:17" x14ac:dyDescent="0.2">
      <c r="B44" s="173" t="s">
        <v>586</v>
      </c>
      <c r="E44" s="98"/>
      <c r="F44" s="98"/>
      <c r="G44" s="98"/>
      <c r="H44" s="98"/>
      <c r="I44" s="98"/>
      <c r="J44" s="98"/>
      <c r="K44" s="98"/>
      <c r="L44" s="98"/>
      <c r="M44" s="98"/>
      <c r="N44" s="98"/>
      <c r="O44" s="98"/>
      <c r="P44" s="98"/>
      <c r="Q44" s="98"/>
    </row>
    <row r="45" spans="2:17" x14ac:dyDescent="0.2">
      <c r="B45" s="98" t="s">
        <v>1140</v>
      </c>
      <c r="C45" s="98"/>
      <c r="D45" s="98"/>
      <c r="E45" s="98"/>
      <c r="F45" s="98"/>
      <c r="G45" s="98"/>
      <c r="H45" s="98"/>
      <c r="I45" s="98"/>
      <c r="J45" s="98"/>
      <c r="K45" s="98"/>
      <c r="L45" s="98"/>
      <c r="M45" s="98"/>
      <c r="N45" s="98"/>
      <c r="O45" s="98"/>
      <c r="P45" s="98"/>
      <c r="Q45" s="98"/>
    </row>
    <row r="46" spans="2:17" x14ac:dyDescent="0.2">
      <c r="B46" s="98" t="s">
        <v>1141</v>
      </c>
      <c r="C46" s="98"/>
      <c r="D46" s="98"/>
      <c r="E46" s="98"/>
      <c r="F46" s="98"/>
      <c r="G46" s="98"/>
      <c r="H46" s="98"/>
      <c r="I46" s="98"/>
      <c r="J46" s="98"/>
      <c r="K46" s="98"/>
      <c r="L46" s="98"/>
      <c r="M46" s="98"/>
      <c r="N46" s="98"/>
      <c r="O46" s="98"/>
      <c r="P46" s="98"/>
      <c r="Q46" s="98"/>
    </row>
    <row r="47" spans="2:17" x14ac:dyDescent="0.2">
      <c r="B47" s="98" t="s">
        <v>585</v>
      </c>
      <c r="C47" s="98"/>
      <c r="D47" s="98"/>
      <c r="E47" s="98"/>
      <c r="F47" s="98"/>
      <c r="G47" s="98"/>
      <c r="H47" s="98"/>
      <c r="I47" s="98"/>
      <c r="J47" s="98"/>
      <c r="K47" s="98"/>
      <c r="L47" s="98"/>
      <c r="M47" s="98"/>
      <c r="N47" s="98"/>
      <c r="O47" s="98"/>
      <c r="P47" s="98"/>
      <c r="Q47" s="98"/>
    </row>
    <row r="48" spans="2:17" x14ac:dyDescent="0.2">
      <c r="C48" s="98"/>
      <c r="D48" s="98"/>
      <c r="E48" s="98"/>
      <c r="F48" s="98"/>
      <c r="G48" s="98"/>
      <c r="H48" s="98"/>
      <c r="I48" s="98"/>
      <c r="J48" s="98"/>
      <c r="K48" s="98"/>
      <c r="L48" s="98"/>
      <c r="M48" s="98"/>
      <c r="N48" s="98"/>
      <c r="O48" s="98"/>
      <c r="P48" s="98"/>
      <c r="Q48" s="98"/>
    </row>
    <row r="49" spans="2:2" x14ac:dyDescent="0.2">
      <c r="B49" s="27" t="s">
        <v>344</v>
      </c>
    </row>
    <row r="50" spans="2:2" x14ac:dyDescent="0.2">
      <c r="B50" s="195" t="s">
        <v>341</v>
      </c>
    </row>
    <row r="51" spans="2:2" x14ac:dyDescent="0.2">
      <c r="B51" s="2" t="s">
        <v>766</v>
      </c>
    </row>
    <row r="52" spans="2:2" x14ac:dyDescent="0.2">
      <c r="B52" s="2" t="s">
        <v>342</v>
      </c>
    </row>
    <row r="54" spans="2:2" x14ac:dyDescent="0.2">
      <c r="B54" s="2" t="s">
        <v>343</v>
      </c>
    </row>
    <row r="56" spans="2:2" x14ac:dyDescent="0.2">
      <c r="B56" s="98" t="s">
        <v>345</v>
      </c>
    </row>
    <row r="62" spans="2:2" x14ac:dyDescent="0.2">
      <c r="B62" s="2" t="s">
        <v>346</v>
      </c>
    </row>
    <row r="64" spans="2:2" x14ac:dyDescent="0.2">
      <c r="B64" s="2" t="s">
        <v>347</v>
      </c>
    </row>
    <row r="65" spans="2:2" x14ac:dyDescent="0.2">
      <c r="B65" s="2" t="s">
        <v>348</v>
      </c>
    </row>
    <row r="66" spans="2:2" x14ac:dyDescent="0.2">
      <c r="B66" s="2" t="s">
        <v>349</v>
      </c>
    </row>
    <row r="69" spans="2:2" x14ac:dyDescent="0.2">
      <c r="B69" s="174"/>
    </row>
    <row r="70" spans="2:2" x14ac:dyDescent="0.2">
      <c r="B70"/>
    </row>
    <row r="74" spans="2:2" ht="15.75" x14ac:dyDescent="0.3">
      <c r="B74" s="196"/>
    </row>
  </sheetData>
  <phoneticPr fontId="5" type="noConversion"/>
  <pageMargins left="0.75" right="0.75" top="1" bottom="0.8" header="0.5" footer="0.5"/>
  <pageSetup paperSize="9" scale="85" orientation="landscape" r:id="rId1"/>
  <headerFooter alignWithMargins="0"/>
  <drawing r:id="rId2"/>
  <legacyDrawing r:id="rId3"/>
  <oleObjects>
    <mc:AlternateContent xmlns:mc="http://schemas.openxmlformats.org/markup-compatibility/2006">
      <mc:Choice Requires="x14">
        <oleObject progId="Equation.3" shapeId="209935" r:id="rId4">
          <objectPr defaultSize="0" autoPict="0" r:id="rId5">
            <anchor moveWithCells="1" sizeWithCells="1">
              <from>
                <xdr:col>1</xdr:col>
                <xdr:colOff>9525</xdr:colOff>
                <xdr:row>56</xdr:row>
                <xdr:rowOff>47625</xdr:rowOff>
              </from>
              <to>
                <xdr:col>4</xdr:col>
                <xdr:colOff>38100</xdr:colOff>
                <xdr:row>60</xdr:row>
                <xdr:rowOff>9525</xdr:rowOff>
              </to>
            </anchor>
          </objectPr>
        </oleObject>
      </mc:Choice>
      <mc:Fallback>
        <oleObject progId="Equation.3" shapeId="209935" r:id="rId4"/>
      </mc:Fallback>
    </mc:AlternateContent>
  </oleObjec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16"/>
  <dimension ref="B42:P52"/>
  <sheetViews>
    <sheetView showGridLines="0" showRowColHeaders="0" workbookViewId="0"/>
  </sheetViews>
  <sheetFormatPr defaultRowHeight="12.75" x14ac:dyDescent="0.2"/>
  <cols>
    <col min="1" max="16384" width="9.140625" style="2"/>
  </cols>
  <sheetData>
    <row r="42" spans="2:16" x14ac:dyDescent="0.2">
      <c r="B42" s="98"/>
      <c r="C42" s="98"/>
      <c r="D42" s="98"/>
      <c r="E42" s="98"/>
      <c r="F42" s="98"/>
      <c r="G42" s="98"/>
      <c r="H42" s="98"/>
      <c r="I42" s="98"/>
      <c r="J42" s="98"/>
      <c r="K42" s="98"/>
      <c r="L42" s="98"/>
      <c r="M42" s="98"/>
      <c r="N42" s="98"/>
      <c r="O42" s="98"/>
      <c r="P42" s="98"/>
    </row>
    <row r="43" spans="2:16" x14ac:dyDescent="0.2">
      <c r="B43" s="98" t="s">
        <v>1114</v>
      </c>
      <c r="C43" s="98"/>
      <c r="D43" s="98"/>
      <c r="E43" s="98"/>
      <c r="F43" s="98"/>
      <c r="G43" s="98"/>
      <c r="H43" s="98"/>
      <c r="I43" s="98"/>
      <c r="J43" s="98"/>
      <c r="K43" s="98"/>
      <c r="L43" s="98"/>
      <c r="M43" s="98"/>
      <c r="N43" s="98"/>
      <c r="O43" s="98"/>
      <c r="P43" s="98"/>
    </row>
    <row r="44" spans="2:16" x14ac:dyDescent="0.2">
      <c r="B44" s="98" t="s">
        <v>1055</v>
      </c>
      <c r="C44" s="98"/>
      <c r="D44" s="98"/>
      <c r="E44" s="98"/>
      <c r="F44" s="98"/>
      <c r="G44" s="98"/>
      <c r="H44" s="98"/>
      <c r="I44" s="98"/>
      <c r="J44" s="98"/>
      <c r="K44" s="98"/>
      <c r="L44" s="98"/>
      <c r="M44" s="98"/>
      <c r="N44" s="98"/>
      <c r="O44" s="98"/>
      <c r="P44" s="98"/>
    </row>
    <row r="45" spans="2:16" x14ac:dyDescent="0.2">
      <c r="B45" s="98"/>
      <c r="C45" s="98"/>
      <c r="D45" s="98"/>
      <c r="E45" s="98"/>
      <c r="F45" s="98"/>
      <c r="G45" s="98"/>
      <c r="H45" s="98"/>
      <c r="I45" s="98"/>
      <c r="J45" s="98"/>
      <c r="K45" s="98"/>
      <c r="L45" s="98"/>
      <c r="M45" s="98"/>
      <c r="N45" s="98"/>
      <c r="O45" s="98"/>
      <c r="P45" s="98"/>
    </row>
    <row r="46" spans="2:16" x14ac:dyDescent="0.2">
      <c r="B46" s="19" t="s">
        <v>1115</v>
      </c>
      <c r="H46" s="98"/>
      <c r="I46" s="98"/>
      <c r="J46" s="98"/>
      <c r="K46" s="98"/>
      <c r="L46" s="98"/>
      <c r="M46" s="98"/>
      <c r="N46" s="98"/>
      <c r="O46" s="98"/>
      <c r="P46" s="98"/>
    </row>
    <row r="47" spans="2:16" x14ac:dyDescent="0.2">
      <c r="B47" s="98" t="s">
        <v>1116</v>
      </c>
      <c r="H47" s="98"/>
      <c r="I47" s="98"/>
      <c r="J47" s="98"/>
      <c r="K47" s="98"/>
      <c r="L47" s="98"/>
      <c r="M47" s="98"/>
      <c r="N47" s="98"/>
      <c r="O47" s="98"/>
      <c r="P47" s="98"/>
    </row>
    <row r="48" spans="2:16" x14ac:dyDescent="0.2">
      <c r="G48" s="98"/>
      <c r="H48" s="98"/>
      <c r="I48" s="98"/>
      <c r="J48" s="98"/>
      <c r="K48" s="98"/>
      <c r="L48" s="98"/>
      <c r="M48" s="98"/>
      <c r="N48" s="98"/>
      <c r="O48" s="98"/>
      <c r="P48" s="98"/>
    </row>
    <row r="49" spans="2:16" x14ac:dyDescent="0.2">
      <c r="B49" s="98"/>
      <c r="C49" s="98"/>
      <c r="D49" s="98"/>
      <c r="E49" s="98"/>
      <c r="F49" s="98"/>
      <c r="G49" s="98"/>
      <c r="H49" s="98"/>
      <c r="I49" s="98"/>
      <c r="J49" s="98"/>
      <c r="K49" s="98"/>
      <c r="L49" s="98"/>
      <c r="M49" s="98"/>
      <c r="N49" s="98"/>
      <c r="O49" s="98"/>
      <c r="P49" s="98"/>
    </row>
    <row r="50" spans="2:16" x14ac:dyDescent="0.2">
      <c r="B50" s="98"/>
      <c r="C50" s="98"/>
      <c r="D50" s="98"/>
      <c r="E50" s="98"/>
      <c r="F50" s="98"/>
      <c r="G50" s="98"/>
      <c r="H50" s="98"/>
      <c r="I50" s="98"/>
      <c r="J50" s="98"/>
      <c r="K50" s="98"/>
      <c r="L50" s="98"/>
      <c r="M50" s="98"/>
      <c r="N50" s="98"/>
      <c r="O50" s="98"/>
      <c r="P50" s="98"/>
    </row>
    <row r="51" spans="2:16" x14ac:dyDescent="0.2">
      <c r="B51" s="98"/>
      <c r="C51" s="98"/>
      <c r="D51" s="98"/>
      <c r="E51" s="98"/>
      <c r="F51" s="98"/>
      <c r="G51" s="98"/>
    </row>
    <row r="52" spans="2:16" x14ac:dyDescent="0.2">
      <c r="B52" s="98"/>
      <c r="C52" s="98"/>
      <c r="D52" s="98"/>
      <c r="E52" s="98"/>
      <c r="F52" s="98"/>
      <c r="G52" s="98"/>
    </row>
  </sheetData>
  <phoneticPr fontId="5" type="noConversion"/>
  <pageMargins left="0.75" right="0.75" top="1" bottom="0.61" header="0.5" footer="0.5"/>
  <pageSetup paperSize="9" scale="85" orientation="landscape" r:id="rId1"/>
  <headerFooter alignWithMargins="0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17"/>
  <dimension ref="A39:Q51"/>
  <sheetViews>
    <sheetView showGridLines="0" showRowColHeaders="0" workbookViewId="0"/>
  </sheetViews>
  <sheetFormatPr defaultRowHeight="12.75" x14ac:dyDescent="0.2"/>
  <cols>
    <col min="1" max="16384" width="9.140625" style="2"/>
  </cols>
  <sheetData>
    <row r="39" spans="1:17" x14ac:dyDescent="0.2">
      <c r="A39" s="98"/>
      <c r="B39" s="98" t="s">
        <v>0</v>
      </c>
      <c r="C39" s="98"/>
      <c r="D39" s="98"/>
      <c r="E39" s="98"/>
      <c r="F39" s="98"/>
      <c r="G39" s="98"/>
      <c r="H39" s="98"/>
      <c r="I39" s="98"/>
      <c r="J39" s="98"/>
      <c r="K39" s="98"/>
      <c r="L39" s="98"/>
      <c r="M39" s="98"/>
      <c r="N39" s="98"/>
      <c r="O39" s="98"/>
      <c r="P39" s="98"/>
    </row>
    <row r="40" spans="1:17" x14ac:dyDescent="0.2">
      <c r="A40" s="98"/>
      <c r="B40" s="98" t="s">
        <v>141</v>
      </c>
      <c r="C40" s="98"/>
      <c r="D40" s="98"/>
      <c r="E40" s="98"/>
      <c r="F40" s="98"/>
      <c r="G40" s="98"/>
      <c r="H40" s="98"/>
      <c r="I40" s="98"/>
      <c r="J40" s="98"/>
      <c r="K40" s="98"/>
      <c r="L40" s="98"/>
      <c r="M40" s="98"/>
      <c r="N40" s="98"/>
      <c r="O40" s="98"/>
      <c r="P40" s="98"/>
    </row>
    <row r="41" spans="1:17" x14ac:dyDescent="0.2">
      <c r="A41" s="98"/>
      <c r="B41" s="98" t="s">
        <v>142</v>
      </c>
      <c r="C41" s="98"/>
      <c r="D41" s="98"/>
      <c r="E41" s="98"/>
      <c r="F41" s="98"/>
      <c r="G41" s="98"/>
      <c r="H41" s="98"/>
      <c r="I41" s="98"/>
      <c r="J41" s="98"/>
      <c r="K41" s="98"/>
      <c r="L41" s="98"/>
      <c r="M41" s="98"/>
      <c r="N41" s="98"/>
      <c r="O41" s="98"/>
      <c r="P41" s="98"/>
    </row>
    <row r="42" spans="1:17" x14ac:dyDescent="0.2">
      <c r="A42" s="98"/>
      <c r="B42" s="98"/>
      <c r="C42" s="98"/>
      <c r="D42" s="98"/>
      <c r="E42" s="98"/>
      <c r="F42" s="98"/>
      <c r="G42" s="98"/>
      <c r="H42" s="98"/>
      <c r="I42" s="98"/>
      <c r="J42" s="98"/>
      <c r="K42" s="98"/>
      <c r="L42" s="98"/>
      <c r="M42" s="98"/>
      <c r="N42" s="98"/>
      <c r="O42" s="98"/>
      <c r="P42" s="98"/>
    </row>
    <row r="43" spans="1:17" x14ac:dyDescent="0.2">
      <c r="A43" s="98"/>
      <c r="B43" s="98"/>
      <c r="C43" s="98"/>
      <c r="D43" s="98"/>
      <c r="E43" s="98"/>
      <c r="F43" s="98"/>
      <c r="G43" s="98"/>
      <c r="H43" s="98"/>
      <c r="I43" s="98"/>
      <c r="J43" s="98"/>
      <c r="K43" s="98"/>
      <c r="L43" s="98"/>
      <c r="M43" s="98"/>
      <c r="N43" s="98"/>
      <c r="O43" s="98"/>
      <c r="P43" s="98"/>
      <c r="Q43" s="98"/>
    </row>
    <row r="44" spans="1:17" x14ac:dyDescent="0.2">
      <c r="A44" s="98"/>
      <c r="B44" s="98"/>
      <c r="C44" s="98"/>
      <c r="D44" s="98"/>
      <c r="E44" s="98"/>
      <c r="F44" s="98"/>
      <c r="G44" s="98"/>
      <c r="H44" s="98"/>
      <c r="I44" s="98"/>
      <c r="J44" s="98"/>
      <c r="K44" s="98"/>
      <c r="L44" s="98"/>
      <c r="M44" s="98"/>
      <c r="N44" s="98"/>
      <c r="O44" s="98"/>
      <c r="P44" s="98"/>
      <c r="Q44" s="98"/>
    </row>
    <row r="45" spans="1:17" x14ac:dyDescent="0.2">
      <c r="A45" s="98"/>
      <c r="B45" s="98"/>
      <c r="C45" s="98"/>
      <c r="D45" s="98"/>
      <c r="E45" s="98"/>
      <c r="F45" s="98"/>
      <c r="G45" s="98"/>
      <c r="H45" s="98"/>
      <c r="I45" s="98"/>
      <c r="J45" s="98"/>
      <c r="K45" s="98"/>
      <c r="L45" s="98"/>
      <c r="M45" s="98"/>
      <c r="N45" s="98"/>
      <c r="O45" s="98"/>
      <c r="P45" s="98"/>
      <c r="Q45" s="98"/>
    </row>
    <row r="46" spans="1:17" x14ac:dyDescent="0.2">
      <c r="A46" s="98"/>
      <c r="B46" s="98"/>
      <c r="C46" s="98"/>
      <c r="D46" s="98"/>
      <c r="E46" s="98"/>
      <c r="F46" s="98"/>
      <c r="G46" s="98"/>
      <c r="H46" s="98"/>
      <c r="I46" s="98"/>
      <c r="J46" s="98"/>
      <c r="K46" s="98"/>
      <c r="L46" s="98"/>
      <c r="M46" s="98"/>
      <c r="N46" s="98"/>
      <c r="O46" s="98"/>
      <c r="P46" s="98"/>
      <c r="Q46" s="98"/>
    </row>
    <row r="47" spans="1:17" x14ac:dyDescent="0.2">
      <c r="A47" s="98"/>
      <c r="B47" s="98"/>
      <c r="C47" s="98"/>
      <c r="D47" s="98"/>
      <c r="E47" s="98"/>
      <c r="F47" s="98"/>
      <c r="G47" s="98"/>
      <c r="H47" s="98"/>
      <c r="I47" s="98"/>
      <c r="J47" s="98"/>
      <c r="K47" s="98"/>
      <c r="L47" s="98"/>
      <c r="M47" s="98"/>
      <c r="N47" s="98"/>
      <c r="O47" s="98"/>
      <c r="P47" s="98"/>
      <c r="Q47" s="98"/>
    </row>
    <row r="48" spans="1:17" x14ac:dyDescent="0.2">
      <c r="Q48" s="98"/>
    </row>
    <row r="49" spans="17:17" x14ac:dyDescent="0.2">
      <c r="Q49" s="98"/>
    </row>
    <row r="50" spans="17:17" x14ac:dyDescent="0.2">
      <c r="Q50" s="98"/>
    </row>
    <row r="51" spans="17:17" x14ac:dyDescent="0.2">
      <c r="Q51" s="98"/>
    </row>
  </sheetData>
  <phoneticPr fontId="5" type="noConversion"/>
  <pageMargins left="0.75" right="0.75" top="1" bottom="0.56999999999999995" header="0.5" footer="0.5"/>
  <pageSetup paperSize="9" scale="85" orientation="landscape" r:id="rId1"/>
  <headerFooter alignWithMargins="0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12"/>
  <dimension ref="A39:Q50"/>
  <sheetViews>
    <sheetView showGridLines="0" showRowColHeaders="0" workbookViewId="0"/>
  </sheetViews>
  <sheetFormatPr defaultRowHeight="12.75" x14ac:dyDescent="0.2"/>
  <cols>
    <col min="1" max="16384" width="9.140625" style="2"/>
  </cols>
  <sheetData>
    <row r="39" spans="1:17" x14ac:dyDescent="0.2">
      <c r="A39" s="98"/>
      <c r="B39" s="99" t="s">
        <v>5</v>
      </c>
      <c r="C39" s="98"/>
      <c r="D39" s="98"/>
      <c r="E39" s="98"/>
      <c r="F39" s="98"/>
      <c r="G39" s="98"/>
      <c r="H39" s="98"/>
      <c r="I39" s="98"/>
      <c r="J39" s="98"/>
      <c r="K39" s="98"/>
      <c r="L39" s="98"/>
      <c r="M39" s="98"/>
      <c r="N39" s="98"/>
      <c r="O39" s="98"/>
      <c r="P39" s="98"/>
      <c r="Q39" s="98"/>
    </row>
    <row r="40" spans="1:17" x14ac:dyDescent="0.2">
      <c r="A40" s="98"/>
      <c r="B40" s="99"/>
      <c r="C40" s="98"/>
      <c r="D40" s="98"/>
      <c r="E40" s="98"/>
      <c r="F40" s="98"/>
      <c r="G40" s="98"/>
      <c r="H40" s="98"/>
      <c r="I40" s="98"/>
      <c r="J40" s="98"/>
      <c r="K40" s="98"/>
      <c r="L40" s="98"/>
      <c r="M40" s="98"/>
      <c r="N40" s="98"/>
      <c r="O40" s="98"/>
      <c r="P40" s="98"/>
      <c r="Q40" s="98"/>
    </row>
    <row r="41" spans="1:17" x14ac:dyDescent="0.2">
      <c r="A41" s="98"/>
      <c r="B41" s="99" t="s">
        <v>558</v>
      </c>
      <c r="C41" s="98"/>
      <c r="D41" s="98"/>
      <c r="E41" s="98"/>
      <c r="F41" s="98"/>
      <c r="G41" s="98"/>
      <c r="H41" s="98"/>
      <c r="I41" s="98"/>
      <c r="J41" s="98"/>
      <c r="K41" s="98"/>
      <c r="L41" s="98"/>
      <c r="M41" s="98"/>
      <c r="N41" s="98"/>
      <c r="O41" s="98"/>
      <c r="P41" s="98"/>
      <c r="Q41" s="98"/>
    </row>
    <row r="42" spans="1:17" x14ac:dyDescent="0.2">
      <c r="A42" s="98"/>
      <c r="B42" s="99" t="s">
        <v>1046</v>
      </c>
      <c r="C42" s="98"/>
      <c r="D42" s="98"/>
      <c r="E42" s="98"/>
      <c r="F42" s="98"/>
      <c r="G42" s="98"/>
      <c r="H42" s="98"/>
      <c r="I42" s="98"/>
      <c r="J42" s="98"/>
      <c r="K42" s="98"/>
      <c r="L42" s="98"/>
      <c r="M42" s="98"/>
      <c r="N42" s="98"/>
      <c r="O42" s="98"/>
      <c r="P42" s="98"/>
      <c r="Q42" s="98"/>
    </row>
    <row r="43" spans="1:17" x14ac:dyDescent="0.2">
      <c r="A43" s="98"/>
      <c r="B43" s="99"/>
      <c r="C43" s="98"/>
      <c r="D43" s="98"/>
      <c r="E43" s="98"/>
      <c r="F43" s="98"/>
      <c r="G43" s="98"/>
      <c r="H43" s="98"/>
      <c r="I43" s="98"/>
      <c r="J43" s="98"/>
      <c r="K43" s="98"/>
      <c r="L43" s="98"/>
      <c r="M43" s="98"/>
      <c r="N43" s="98"/>
      <c r="O43" s="98"/>
      <c r="P43" s="98"/>
      <c r="Q43" s="98"/>
    </row>
    <row r="44" spans="1:17" x14ac:dyDescent="0.2">
      <c r="A44" s="98"/>
      <c r="B44" s="99" t="s">
        <v>276</v>
      </c>
      <c r="C44" s="98"/>
      <c r="D44" s="98"/>
      <c r="E44" s="98"/>
      <c r="F44" s="98"/>
      <c r="G44" s="98"/>
      <c r="H44" s="98"/>
      <c r="I44" s="98"/>
      <c r="J44" s="98"/>
      <c r="K44" s="98"/>
      <c r="L44" s="98"/>
      <c r="M44" s="98"/>
      <c r="N44" s="98"/>
      <c r="O44" s="98"/>
      <c r="P44" s="98"/>
      <c r="Q44" s="98"/>
    </row>
    <row r="45" spans="1:17" x14ac:dyDescent="0.2">
      <c r="A45" s="98"/>
      <c r="B45" s="99"/>
      <c r="C45" s="98"/>
      <c r="D45" s="98"/>
      <c r="E45" s="98"/>
      <c r="F45" s="98"/>
      <c r="G45" s="98"/>
      <c r="H45" s="98"/>
      <c r="I45" s="98"/>
      <c r="J45" s="98"/>
      <c r="K45" s="98"/>
      <c r="L45" s="98"/>
      <c r="M45" s="98"/>
      <c r="N45" s="98"/>
      <c r="O45" s="98"/>
      <c r="P45" s="98"/>
      <c r="Q45" s="98"/>
    </row>
    <row r="46" spans="1:17" x14ac:dyDescent="0.2">
      <c r="A46" s="98"/>
      <c r="B46" s="99"/>
      <c r="C46" s="98"/>
      <c r="D46" s="98"/>
      <c r="E46" s="98"/>
      <c r="F46" s="98"/>
      <c r="G46" s="98"/>
      <c r="H46" s="98"/>
      <c r="I46" s="98"/>
      <c r="J46" s="98"/>
      <c r="K46" s="98"/>
      <c r="L46" s="98"/>
      <c r="M46" s="98"/>
      <c r="N46" s="98"/>
      <c r="O46" s="98"/>
      <c r="P46" s="98"/>
      <c r="Q46" s="98"/>
    </row>
    <row r="47" spans="1:17" x14ac:dyDescent="0.2">
      <c r="A47" s="98"/>
      <c r="B47" s="98"/>
      <c r="C47" s="98"/>
      <c r="D47" s="98"/>
      <c r="E47" s="98"/>
      <c r="F47" s="98"/>
      <c r="G47" s="98"/>
      <c r="H47" s="98"/>
      <c r="I47" s="98"/>
      <c r="J47" s="98"/>
      <c r="K47" s="98"/>
      <c r="L47" s="98"/>
      <c r="M47" s="98"/>
      <c r="N47" s="98"/>
      <c r="O47" s="98"/>
      <c r="P47" s="98"/>
      <c r="Q47" s="98"/>
    </row>
    <row r="48" spans="1:17" x14ac:dyDescent="0.2">
      <c r="A48" s="98"/>
      <c r="B48" s="98"/>
      <c r="C48" s="98"/>
      <c r="D48" s="98"/>
      <c r="E48" s="98"/>
      <c r="F48" s="98"/>
      <c r="G48" s="98"/>
      <c r="H48" s="98"/>
      <c r="I48" s="98"/>
      <c r="J48" s="98"/>
      <c r="K48" s="98"/>
      <c r="L48" s="98"/>
      <c r="M48" s="98"/>
      <c r="N48" s="98"/>
      <c r="O48" s="98"/>
      <c r="P48" s="98"/>
      <c r="Q48" s="98"/>
    </row>
    <row r="49" spans="1:17" x14ac:dyDescent="0.2">
      <c r="A49" s="98"/>
      <c r="B49" s="98"/>
      <c r="C49" s="98"/>
      <c r="D49" s="98"/>
      <c r="E49" s="98"/>
      <c r="F49" s="98"/>
      <c r="G49" s="98"/>
      <c r="H49" s="98"/>
      <c r="I49" s="98"/>
      <c r="J49" s="98"/>
      <c r="K49" s="98"/>
      <c r="L49" s="98"/>
      <c r="M49" s="98"/>
      <c r="N49" s="98"/>
      <c r="O49" s="98"/>
      <c r="P49" s="98"/>
      <c r="Q49" s="98"/>
    </row>
    <row r="50" spans="1:17" x14ac:dyDescent="0.2">
      <c r="A50" s="98"/>
      <c r="Q50" s="98"/>
    </row>
  </sheetData>
  <phoneticPr fontId="5" type="noConversion"/>
  <pageMargins left="0.75" right="0.75" top="0.77" bottom="0.54" header="0.5" footer="0.38"/>
  <pageSetup paperSize="9" scale="85" orientation="landscape" r:id="rId1"/>
  <headerFooter alignWithMargins="0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14"/>
  <dimension ref="A39:P54"/>
  <sheetViews>
    <sheetView showGridLines="0" showRowColHeaders="0" workbookViewId="0"/>
  </sheetViews>
  <sheetFormatPr defaultRowHeight="12.75" x14ac:dyDescent="0.2"/>
  <cols>
    <col min="1" max="16384" width="9.140625" style="2"/>
  </cols>
  <sheetData>
    <row r="39" spans="1:16" x14ac:dyDescent="0.2">
      <c r="A39" s="98"/>
      <c r="B39" s="4" t="s">
        <v>1053</v>
      </c>
      <c r="C39" s="98"/>
      <c r="D39" s="98"/>
      <c r="E39" s="98"/>
      <c r="F39" s="98"/>
      <c r="G39" s="98"/>
      <c r="H39" s="98"/>
      <c r="I39" s="98"/>
      <c r="J39" s="98"/>
      <c r="K39" s="98"/>
      <c r="L39" s="98"/>
      <c r="M39" s="98"/>
      <c r="N39" s="98"/>
      <c r="O39" s="98"/>
      <c r="P39" s="98"/>
    </row>
    <row r="40" spans="1:16" x14ac:dyDescent="0.2">
      <c r="A40" s="98"/>
      <c r="B40" s="4"/>
      <c r="C40" s="98"/>
      <c r="D40" s="98"/>
      <c r="E40" s="98"/>
      <c r="F40" s="98"/>
      <c r="G40" s="98"/>
      <c r="H40" s="98"/>
      <c r="I40" s="98"/>
      <c r="J40" s="98"/>
      <c r="K40" s="98"/>
      <c r="L40" s="98"/>
      <c r="M40" s="98"/>
      <c r="N40" s="98"/>
      <c r="O40" s="98"/>
      <c r="P40" s="98"/>
    </row>
    <row r="41" spans="1:16" x14ac:dyDescent="0.2">
      <c r="A41" s="98"/>
      <c r="B41" s="4" t="s">
        <v>985</v>
      </c>
      <c r="C41" s="98"/>
      <c r="D41" s="98"/>
      <c r="E41" s="98"/>
      <c r="F41" s="98"/>
      <c r="G41" s="98"/>
      <c r="H41" s="98"/>
      <c r="I41" s="98"/>
      <c r="J41" s="98"/>
      <c r="K41" s="98"/>
      <c r="L41" s="98"/>
      <c r="M41" s="98"/>
      <c r="N41" s="98"/>
      <c r="O41" s="98"/>
      <c r="P41" s="98"/>
    </row>
    <row r="42" spans="1:16" x14ac:dyDescent="0.2">
      <c r="A42" s="98"/>
      <c r="B42" s="4" t="s">
        <v>1046</v>
      </c>
      <c r="C42" s="98"/>
      <c r="D42" s="98"/>
      <c r="E42" s="98"/>
      <c r="F42" s="98"/>
      <c r="G42" s="98"/>
      <c r="H42" s="98"/>
      <c r="I42" s="98"/>
      <c r="J42" s="98"/>
      <c r="K42" s="98"/>
      <c r="L42" s="98"/>
      <c r="M42" s="98"/>
      <c r="N42" s="98"/>
      <c r="O42" s="98"/>
      <c r="P42" s="98"/>
    </row>
    <row r="43" spans="1:16" x14ac:dyDescent="0.2">
      <c r="A43" s="98"/>
      <c r="B43" s="4"/>
      <c r="C43" s="98"/>
      <c r="D43" s="98"/>
      <c r="E43" s="98"/>
      <c r="F43" s="98"/>
      <c r="G43" s="98"/>
      <c r="H43" s="98"/>
      <c r="I43" s="98"/>
      <c r="J43" s="98"/>
      <c r="K43" s="98"/>
      <c r="L43" s="98"/>
      <c r="M43" s="98"/>
      <c r="N43" s="98"/>
      <c r="O43" s="98"/>
      <c r="P43" s="98"/>
    </row>
    <row r="44" spans="1:16" x14ac:dyDescent="0.2">
      <c r="A44" s="98"/>
      <c r="B44" s="4" t="s">
        <v>6</v>
      </c>
      <c r="C44" s="98"/>
      <c r="D44" s="98"/>
      <c r="E44" s="98"/>
      <c r="F44" s="98"/>
      <c r="G44" s="98"/>
      <c r="H44" s="98"/>
      <c r="I44" s="98"/>
      <c r="J44" s="98"/>
      <c r="K44" s="98"/>
      <c r="L44" s="98"/>
      <c r="M44" s="98"/>
      <c r="N44" s="98"/>
      <c r="O44" s="98"/>
      <c r="P44" s="98"/>
    </row>
    <row r="45" spans="1:16" x14ac:dyDescent="0.2">
      <c r="A45" s="98"/>
      <c r="B45" s="4" t="s">
        <v>1048</v>
      </c>
      <c r="C45" s="98"/>
      <c r="D45" s="98"/>
      <c r="E45" s="98"/>
      <c r="F45" s="98"/>
      <c r="G45" s="98"/>
      <c r="H45" s="98"/>
      <c r="I45" s="98"/>
      <c r="J45" s="98"/>
      <c r="K45" s="98"/>
      <c r="L45" s="98"/>
      <c r="M45" s="98"/>
      <c r="N45" s="98"/>
      <c r="O45" s="98"/>
      <c r="P45" s="98"/>
    </row>
    <row r="46" spans="1:16" x14ac:dyDescent="0.2">
      <c r="A46" s="98"/>
      <c r="B46" s="98"/>
      <c r="C46" s="98"/>
      <c r="D46" s="98"/>
      <c r="E46" s="98"/>
      <c r="F46" s="98"/>
      <c r="G46" s="98"/>
      <c r="H46" s="98"/>
      <c r="I46" s="98"/>
      <c r="J46" s="98"/>
      <c r="K46" s="98"/>
      <c r="L46" s="98"/>
      <c r="M46" s="98"/>
      <c r="N46" s="98"/>
      <c r="O46" s="98"/>
      <c r="P46" s="98"/>
    </row>
    <row r="47" spans="1:16" x14ac:dyDescent="0.2">
      <c r="A47" s="98"/>
      <c r="B47" s="98"/>
      <c r="C47" s="98"/>
      <c r="D47" s="98"/>
      <c r="E47" s="98"/>
      <c r="F47" s="98"/>
      <c r="G47" s="98"/>
      <c r="H47" s="98"/>
      <c r="I47" s="98"/>
      <c r="J47" s="98"/>
      <c r="K47" s="98"/>
      <c r="L47" s="98"/>
      <c r="M47" s="98"/>
      <c r="N47" s="98"/>
      <c r="O47" s="98"/>
      <c r="P47" s="98"/>
    </row>
    <row r="48" spans="1:16" x14ac:dyDescent="0.2">
      <c r="A48" s="98"/>
      <c r="B48" s="98"/>
      <c r="C48" s="98"/>
      <c r="D48" s="98"/>
      <c r="E48" s="98"/>
      <c r="F48" s="98"/>
      <c r="G48" s="98"/>
      <c r="H48" s="98"/>
      <c r="I48" s="98"/>
      <c r="J48" s="98"/>
      <c r="K48" s="98"/>
      <c r="L48" s="98"/>
      <c r="M48" s="98"/>
      <c r="N48" s="98"/>
      <c r="O48" s="98"/>
      <c r="P48" s="98"/>
    </row>
    <row r="49" spans="1:16" x14ac:dyDescent="0.2">
      <c r="A49" s="98"/>
      <c r="B49" s="98"/>
      <c r="C49" s="98"/>
      <c r="D49" s="98"/>
      <c r="E49" s="98"/>
      <c r="F49" s="98"/>
      <c r="G49" s="98"/>
      <c r="H49" s="98"/>
      <c r="I49" s="98"/>
      <c r="J49" s="98"/>
      <c r="K49" s="98"/>
      <c r="L49" s="98"/>
      <c r="M49" s="98"/>
      <c r="N49" s="98"/>
      <c r="O49" s="98"/>
      <c r="P49" s="98"/>
    </row>
    <row r="50" spans="1:16" x14ac:dyDescent="0.2">
      <c r="A50" s="98"/>
      <c r="B50" s="98"/>
      <c r="C50" s="98"/>
      <c r="D50" s="98"/>
      <c r="E50" s="98"/>
      <c r="F50" s="98"/>
      <c r="G50" s="98"/>
      <c r="H50" s="98"/>
      <c r="I50" s="98"/>
      <c r="J50" s="98"/>
      <c r="K50" s="98"/>
      <c r="L50" s="98"/>
      <c r="M50" s="98"/>
      <c r="N50" s="98"/>
      <c r="O50" s="98"/>
      <c r="P50" s="98"/>
    </row>
    <row r="51" spans="1:16" x14ac:dyDescent="0.2">
      <c r="A51" s="98"/>
      <c r="B51" s="98"/>
      <c r="C51" s="98"/>
      <c r="D51" s="98"/>
      <c r="E51" s="98"/>
      <c r="F51" s="98"/>
      <c r="G51" s="98"/>
      <c r="H51" s="98"/>
      <c r="I51" s="98"/>
      <c r="J51" s="98"/>
      <c r="K51" s="98"/>
      <c r="L51" s="98"/>
      <c r="M51" s="98"/>
      <c r="N51" s="98"/>
      <c r="O51" s="98"/>
      <c r="P51" s="98"/>
    </row>
    <row r="52" spans="1:16" x14ac:dyDescent="0.2">
      <c r="A52" s="98"/>
      <c r="B52" s="98"/>
      <c r="C52" s="98"/>
      <c r="D52" s="98"/>
      <c r="E52" s="98"/>
      <c r="F52" s="98"/>
      <c r="G52" s="98"/>
      <c r="H52" s="98"/>
      <c r="I52" s="98"/>
      <c r="J52" s="98"/>
      <c r="K52" s="98"/>
      <c r="L52" s="98"/>
      <c r="M52" s="98"/>
      <c r="N52" s="98"/>
      <c r="O52" s="98"/>
      <c r="P52" s="98"/>
    </row>
    <row r="53" spans="1:16" x14ac:dyDescent="0.2">
      <c r="A53" s="98"/>
      <c r="B53" s="98"/>
      <c r="C53" s="98"/>
      <c r="D53" s="98"/>
      <c r="E53" s="98"/>
      <c r="F53" s="98"/>
      <c r="G53" s="98"/>
      <c r="H53" s="98"/>
      <c r="I53" s="98"/>
      <c r="J53" s="98"/>
      <c r="K53" s="98"/>
      <c r="L53" s="98"/>
      <c r="M53" s="98"/>
      <c r="N53" s="98"/>
      <c r="O53" s="98"/>
      <c r="P53" s="98"/>
    </row>
    <row r="54" spans="1:16" x14ac:dyDescent="0.2">
      <c r="A54" s="98"/>
      <c r="B54" s="98"/>
      <c r="C54" s="98"/>
      <c r="D54" s="98"/>
      <c r="E54" s="98"/>
      <c r="F54" s="98"/>
      <c r="G54" s="98"/>
      <c r="H54" s="98"/>
      <c r="I54" s="98"/>
      <c r="J54" s="98"/>
      <c r="K54" s="98"/>
      <c r="L54" s="98"/>
      <c r="M54" s="98"/>
      <c r="N54" s="98"/>
      <c r="O54" s="98"/>
      <c r="P54" s="98"/>
    </row>
  </sheetData>
  <phoneticPr fontId="5" type="noConversion"/>
  <pageMargins left="0.75" right="0.75" top="0.56000000000000005" bottom="0.5" header="0.5" footer="0.31"/>
  <pageSetup paperSize="9" scale="85" orientation="landscape" r:id="rId1"/>
  <headerFooter alignWithMargins="0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5"/>
  <dimension ref="B1:T157"/>
  <sheetViews>
    <sheetView showGridLines="0" showRowColHeaders="0" workbookViewId="0">
      <pane ySplit="22" topLeftCell="A140" activePane="bottomLeft" state="frozen"/>
      <selection pane="bottomLeft"/>
    </sheetView>
  </sheetViews>
  <sheetFormatPr defaultRowHeight="12.75" x14ac:dyDescent="0.2"/>
  <cols>
    <col min="1" max="1" width="2.85546875" style="44" customWidth="1"/>
    <col min="2" max="2" width="14.140625" style="44" customWidth="1"/>
    <col min="3" max="3" width="19.42578125" style="50" customWidth="1"/>
    <col min="4" max="4" width="17.42578125" style="50" customWidth="1"/>
    <col min="5" max="5" width="13.140625" style="50" customWidth="1"/>
    <col min="6" max="6" width="12.85546875" style="50" customWidth="1"/>
    <col min="7" max="9" width="10.7109375" style="50" customWidth="1"/>
    <col min="10" max="21" width="10.7109375" style="44" customWidth="1"/>
    <col min="22" max="42" width="10.140625" style="44" customWidth="1"/>
    <col min="43" max="16384" width="9.140625" style="44"/>
  </cols>
  <sheetData>
    <row r="1" spans="2:14" x14ac:dyDescent="0.2">
      <c r="C1" s="44"/>
      <c r="D1" s="44"/>
      <c r="E1" s="44"/>
      <c r="F1" s="44"/>
      <c r="G1" s="44"/>
      <c r="H1" s="44"/>
      <c r="I1" s="44"/>
    </row>
    <row r="2" spans="2:14" ht="18" x14ac:dyDescent="0.25">
      <c r="B2" s="229" t="s">
        <v>1074</v>
      </c>
      <c r="C2" s="44"/>
      <c r="D2" s="44"/>
      <c r="E2" s="44"/>
      <c r="F2" s="44"/>
      <c r="G2" s="44"/>
      <c r="H2" s="44"/>
      <c r="I2" s="44"/>
      <c r="N2" s="46"/>
    </row>
    <row r="3" spans="2:14" ht="18" x14ac:dyDescent="0.25">
      <c r="B3" s="45"/>
      <c r="C3" s="44"/>
      <c r="D3" s="44"/>
      <c r="E3" s="44"/>
      <c r="F3" s="44"/>
      <c r="G3" s="44"/>
      <c r="H3" s="44"/>
      <c r="I3" s="44"/>
      <c r="N3" s="47"/>
    </row>
    <row r="4" spans="2:14" x14ac:dyDescent="0.2">
      <c r="B4" s="47" t="s">
        <v>772</v>
      </c>
      <c r="C4" s="44"/>
      <c r="D4" s="44"/>
      <c r="E4" s="44"/>
      <c r="F4" s="44"/>
      <c r="G4" s="44"/>
      <c r="H4" s="44"/>
      <c r="I4" s="44"/>
      <c r="N4" s="47"/>
    </row>
    <row r="5" spans="2:14" x14ac:dyDescent="0.2">
      <c r="B5" s="47" t="s">
        <v>826</v>
      </c>
      <c r="C5" s="44"/>
      <c r="D5" s="44"/>
      <c r="E5" s="44"/>
      <c r="F5" s="44"/>
      <c r="G5" s="44"/>
      <c r="H5" s="44"/>
      <c r="I5" s="44"/>
      <c r="N5" s="47"/>
    </row>
    <row r="6" spans="2:14" x14ac:dyDescent="0.2">
      <c r="B6" s="47" t="s">
        <v>827</v>
      </c>
      <c r="C6" s="44"/>
      <c r="D6" s="44"/>
      <c r="E6" s="44"/>
      <c r="F6" s="44"/>
      <c r="G6" s="44"/>
      <c r="H6" s="44"/>
      <c r="I6" s="44"/>
      <c r="N6" s="47"/>
    </row>
    <row r="7" spans="2:14" x14ac:dyDescent="0.2">
      <c r="B7" s="47" t="s">
        <v>775</v>
      </c>
      <c r="C7" s="44"/>
      <c r="D7" s="44"/>
      <c r="E7" s="44"/>
      <c r="F7" s="44"/>
      <c r="G7" s="44"/>
      <c r="H7" s="44"/>
      <c r="I7" s="44"/>
      <c r="N7" s="47"/>
    </row>
    <row r="8" spans="2:14" x14ac:dyDescent="0.2">
      <c r="B8" s="47" t="s">
        <v>201</v>
      </c>
      <c r="C8" s="44"/>
      <c r="D8" s="44"/>
      <c r="E8" s="44"/>
      <c r="F8" s="44"/>
      <c r="G8" s="44"/>
      <c r="H8" s="44"/>
      <c r="I8" s="44"/>
    </row>
    <row r="9" spans="2:14" x14ac:dyDescent="0.2">
      <c r="C9" s="44"/>
      <c r="D9" s="44"/>
      <c r="E9" s="44"/>
      <c r="F9" s="44"/>
      <c r="G9" s="44"/>
      <c r="H9" s="44"/>
      <c r="I9" s="44"/>
      <c r="N9" s="47"/>
    </row>
    <row r="10" spans="2:14" ht="15.75" x14ac:dyDescent="0.25">
      <c r="B10" s="48" t="s">
        <v>776</v>
      </c>
      <c r="C10" s="44"/>
      <c r="D10" s="44"/>
      <c r="E10" s="44"/>
      <c r="F10" s="44"/>
      <c r="G10" s="44"/>
      <c r="H10" s="44"/>
      <c r="I10" s="44"/>
      <c r="N10" s="49"/>
    </row>
    <row r="11" spans="2:14" x14ac:dyDescent="0.2">
      <c r="N11" s="47"/>
    </row>
    <row r="12" spans="2:14" x14ac:dyDescent="0.2">
      <c r="B12" s="51" t="s">
        <v>771</v>
      </c>
    </row>
    <row r="13" spans="2:14" x14ac:dyDescent="0.2">
      <c r="N13" s="52"/>
    </row>
    <row r="14" spans="2:14" ht="3.75" customHeight="1" x14ac:dyDescent="0.2">
      <c r="N14" s="52"/>
    </row>
    <row r="15" spans="2:14" ht="3.75" customHeight="1" x14ac:dyDescent="0.2">
      <c r="N15" s="47"/>
    </row>
    <row r="16" spans="2:14" ht="3.75" customHeight="1" x14ac:dyDescent="0.2">
      <c r="N16" s="47"/>
    </row>
    <row r="17" spans="2:20" ht="3.75" customHeight="1" x14ac:dyDescent="0.2">
      <c r="N17" s="47"/>
    </row>
    <row r="18" spans="2:20" ht="3.75" customHeight="1" x14ac:dyDescent="0.2">
      <c r="N18" s="47"/>
    </row>
    <row r="19" spans="2:20" ht="3.75" customHeight="1" x14ac:dyDescent="0.2">
      <c r="B19" s="47"/>
    </row>
    <row r="20" spans="2:20" ht="3.75" customHeight="1" x14ac:dyDescent="0.2"/>
    <row r="21" spans="2:20" s="55" customFormat="1" ht="12.75" customHeight="1" x14ac:dyDescent="0.2">
      <c r="B21" s="53"/>
      <c r="C21" s="274" t="s">
        <v>1050</v>
      </c>
      <c r="D21" s="274" t="s">
        <v>1051</v>
      </c>
      <c r="E21" s="275" t="s">
        <v>480</v>
      </c>
      <c r="F21" s="275" t="s">
        <v>1052</v>
      </c>
      <c r="G21" s="54"/>
      <c r="H21" s="54"/>
      <c r="J21" s="53"/>
      <c r="K21" s="53"/>
      <c r="L21" s="53"/>
      <c r="M21" s="53"/>
      <c r="N21" s="53"/>
      <c r="O21" s="53"/>
      <c r="P21" s="53"/>
      <c r="Q21" s="53"/>
      <c r="R21" s="53"/>
      <c r="S21" s="53"/>
      <c r="T21" s="53"/>
    </row>
    <row r="22" spans="2:20" s="55" customFormat="1" ht="12.75" customHeight="1" x14ac:dyDescent="0.2">
      <c r="B22" s="56"/>
      <c r="C22" s="274"/>
      <c r="D22" s="274"/>
      <c r="E22" s="276"/>
      <c r="F22" s="276"/>
      <c r="G22" s="57"/>
      <c r="H22" s="57"/>
      <c r="J22" s="58"/>
      <c r="K22" s="59"/>
      <c r="L22" s="58"/>
      <c r="M22" s="58"/>
      <c r="N22" s="60"/>
    </row>
    <row r="23" spans="2:20" x14ac:dyDescent="0.2">
      <c r="B23" s="61">
        <v>36873</v>
      </c>
      <c r="C23" s="62">
        <v>4.1944485443448101E-2</v>
      </c>
      <c r="D23" s="63">
        <v>3.4185081486749702E-2</v>
      </c>
      <c r="E23" s="63"/>
      <c r="F23" s="63"/>
      <c r="G23" s="63"/>
      <c r="H23" s="63"/>
      <c r="I23" s="64"/>
      <c r="J23" s="67"/>
      <c r="K23" s="62"/>
      <c r="N23" s="66"/>
    </row>
    <row r="24" spans="2:20" x14ac:dyDescent="0.2">
      <c r="B24" s="61">
        <v>36891</v>
      </c>
      <c r="C24" s="62">
        <v>2.9213223139710559E-2</v>
      </c>
      <c r="D24" s="63">
        <v>2.1548629423359555E-2</v>
      </c>
      <c r="E24" s="63">
        <v>2.136166095733642E-2</v>
      </c>
      <c r="F24" s="63">
        <v>1.4385435572878524E-2</v>
      </c>
      <c r="G24" s="44"/>
      <c r="H24" s="90"/>
      <c r="I24" s="64"/>
      <c r="J24" s="67"/>
      <c r="K24" s="62"/>
      <c r="L24" s="90"/>
      <c r="N24" s="66"/>
    </row>
    <row r="25" spans="2:20" x14ac:dyDescent="0.2">
      <c r="B25" s="61">
        <v>36922</v>
      </c>
      <c r="C25" s="62">
        <v>3.4470444993645266E-2</v>
      </c>
      <c r="D25" s="63">
        <v>2.7404682439887473E-2</v>
      </c>
      <c r="G25" s="63"/>
      <c r="H25" s="63"/>
      <c r="I25" s="63"/>
      <c r="J25" s="67"/>
      <c r="K25" s="62"/>
      <c r="L25" s="90"/>
      <c r="N25" s="66"/>
    </row>
    <row r="26" spans="2:20" x14ac:dyDescent="0.2">
      <c r="B26" s="61">
        <v>36950</v>
      </c>
      <c r="C26" s="62">
        <v>1.5265800868734553E-2</v>
      </c>
      <c r="D26" s="62">
        <v>7.8503517895816E-3</v>
      </c>
      <c r="E26" s="62"/>
      <c r="F26" s="62"/>
      <c r="G26" s="62"/>
      <c r="H26" s="62"/>
      <c r="I26" s="62"/>
      <c r="J26" s="67"/>
      <c r="K26" s="62"/>
      <c r="L26" s="90"/>
      <c r="N26" s="66"/>
    </row>
    <row r="27" spans="2:20" x14ac:dyDescent="0.2">
      <c r="B27" s="61">
        <v>36981</v>
      </c>
      <c r="C27" s="62">
        <v>-1.8410568162869163E-3</v>
      </c>
      <c r="D27" s="62">
        <v>-1.0267239300616793E-2</v>
      </c>
      <c r="E27" s="62"/>
      <c r="F27" s="62"/>
      <c r="G27" s="62"/>
      <c r="H27" s="62"/>
      <c r="I27" s="62"/>
      <c r="J27" s="67"/>
      <c r="K27" s="62"/>
      <c r="L27" s="90"/>
      <c r="N27" s="66"/>
    </row>
    <row r="28" spans="2:20" x14ac:dyDescent="0.2">
      <c r="B28" s="61">
        <v>37011</v>
      </c>
      <c r="C28" s="62">
        <v>2.0691238008785837E-2</v>
      </c>
      <c r="D28" s="62">
        <v>1.0771200659497771E-2</v>
      </c>
      <c r="E28" s="62"/>
      <c r="F28" s="62"/>
      <c r="G28" s="62"/>
      <c r="H28" s="62"/>
      <c r="I28" s="62"/>
      <c r="J28" s="67"/>
      <c r="K28" s="62"/>
      <c r="L28" s="90"/>
      <c r="N28" s="66"/>
    </row>
    <row r="29" spans="2:20" x14ac:dyDescent="0.2">
      <c r="B29" s="61">
        <v>37042</v>
      </c>
      <c r="C29" s="62">
        <v>2.985371110015975E-2</v>
      </c>
      <c r="D29" s="62">
        <v>1.8881108471976438E-2</v>
      </c>
      <c r="E29" s="62"/>
      <c r="F29" s="62"/>
      <c r="G29" s="62"/>
      <c r="H29" s="62"/>
      <c r="I29" s="62"/>
      <c r="J29" s="67"/>
      <c r="K29" s="62"/>
      <c r="L29" s="90"/>
      <c r="N29" s="66"/>
    </row>
    <row r="30" spans="2:20" x14ac:dyDescent="0.2">
      <c r="B30" s="61">
        <v>37072</v>
      </c>
      <c r="C30" s="62">
        <v>2.1832256757043877E-2</v>
      </c>
      <c r="D30" s="62">
        <v>1.1325475944840457E-2</v>
      </c>
      <c r="E30" s="62"/>
      <c r="F30" s="62"/>
      <c r="G30" s="62"/>
      <c r="H30" s="62"/>
      <c r="I30" s="62"/>
      <c r="J30" s="67"/>
      <c r="K30" s="62"/>
      <c r="L30" s="90"/>
      <c r="N30" s="66"/>
    </row>
    <row r="31" spans="2:20" x14ac:dyDescent="0.2">
      <c r="B31" s="61">
        <v>37103</v>
      </c>
      <c r="C31" s="62">
        <v>9.9048701493387632E-3</v>
      </c>
      <c r="D31" s="62">
        <v>4.7028351006228597E-4</v>
      </c>
      <c r="E31" s="62"/>
      <c r="F31" s="62"/>
      <c r="G31" s="62"/>
      <c r="H31" s="62"/>
      <c r="I31" s="62"/>
      <c r="J31" s="67"/>
      <c r="K31" s="62"/>
      <c r="L31" s="90"/>
      <c r="N31" s="66"/>
    </row>
    <row r="32" spans="2:20" x14ac:dyDescent="0.2">
      <c r="B32" s="61">
        <v>37134</v>
      </c>
      <c r="C32" s="62">
        <v>-5.8520358709966656E-3</v>
      </c>
      <c r="D32" s="62">
        <v>-1.5417734422042306E-2</v>
      </c>
      <c r="F32" s="62"/>
      <c r="G32" s="62"/>
      <c r="H32" s="62"/>
      <c r="I32" s="62"/>
      <c r="J32" s="67"/>
      <c r="K32" s="62"/>
      <c r="L32" s="90"/>
      <c r="N32" s="66"/>
    </row>
    <row r="33" spans="2:14" x14ac:dyDescent="0.2">
      <c r="B33" s="61">
        <v>37164</v>
      </c>
      <c r="C33" s="62">
        <v>-2.8352978395008131E-2</v>
      </c>
      <c r="D33" s="62">
        <v>-3.8834699205131495E-2</v>
      </c>
      <c r="E33" s="62"/>
      <c r="F33" s="62"/>
      <c r="G33" s="62"/>
      <c r="H33" s="62"/>
      <c r="I33" s="62"/>
      <c r="J33" s="67"/>
      <c r="K33" s="62"/>
      <c r="L33" s="90"/>
      <c r="N33" s="66"/>
    </row>
    <row r="34" spans="2:14" x14ac:dyDescent="0.2">
      <c r="B34" s="61">
        <v>37195</v>
      </c>
      <c r="C34" s="62">
        <v>-1.585379730917981E-2</v>
      </c>
      <c r="D34" s="62">
        <v>-2.5904718303681462E-2</v>
      </c>
      <c r="E34" s="62"/>
      <c r="F34" s="62"/>
      <c r="G34" s="62"/>
      <c r="H34" s="62"/>
      <c r="I34" s="62"/>
      <c r="J34" s="67"/>
      <c r="K34" s="62"/>
      <c r="L34" s="90"/>
      <c r="N34" s="66"/>
    </row>
    <row r="35" spans="2:14" x14ac:dyDescent="0.2">
      <c r="B35" s="61">
        <v>37225</v>
      </c>
      <c r="C35" s="62">
        <v>1.5011297694889443E-3</v>
      </c>
      <c r="D35" s="62">
        <v>-8.6559676423678678E-3</v>
      </c>
      <c r="E35" s="62"/>
      <c r="F35" s="62"/>
      <c r="G35" s="62"/>
      <c r="H35" s="62"/>
      <c r="I35" s="62"/>
      <c r="J35" s="67"/>
      <c r="K35" s="62"/>
      <c r="L35" s="90"/>
      <c r="N35" s="66"/>
    </row>
    <row r="36" spans="2:14" x14ac:dyDescent="0.2">
      <c r="B36" s="61">
        <v>37256</v>
      </c>
      <c r="C36" s="62">
        <v>4.0482393961585482E-3</v>
      </c>
      <c r="D36" s="62">
        <v>-6.1731336402864878E-3</v>
      </c>
      <c r="E36" s="63">
        <v>2.276482105255127E-2</v>
      </c>
      <c r="F36" s="62">
        <v>1.2858501944238876E-2</v>
      </c>
      <c r="G36" s="62"/>
      <c r="H36" s="62"/>
      <c r="I36" s="62"/>
      <c r="J36" s="67"/>
      <c r="K36" s="62"/>
      <c r="L36" s="90"/>
      <c r="N36" s="66"/>
    </row>
    <row r="37" spans="2:14" x14ac:dyDescent="0.2">
      <c r="B37" s="61">
        <v>37287</v>
      </c>
      <c r="C37" s="62">
        <v>-5.667357900465719E-3</v>
      </c>
      <c r="D37" s="62">
        <v>-1.5298287953683931E-2</v>
      </c>
      <c r="G37" s="62"/>
      <c r="H37" s="62"/>
      <c r="I37" s="62"/>
      <c r="J37" s="67"/>
      <c r="K37" s="62"/>
      <c r="L37" s="90"/>
      <c r="N37" s="66"/>
    </row>
    <row r="38" spans="2:14" x14ac:dyDescent="0.2">
      <c r="B38" s="61">
        <v>37315</v>
      </c>
      <c r="C38" s="62">
        <v>-3.2903120307584913E-3</v>
      </c>
      <c r="D38" s="62">
        <v>-1.3144274988336146E-2</v>
      </c>
      <c r="E38" s="62"/>
      <c r="F38" s="62"/>
      <c r="G38" s="62"/>
      <c r="H38" s="62"/>
      <c r="I38" s="62"/>
      <c r="J38" s="67"/>
      <c r="K38" s="62"/>
      <c r="L38" s="90"/>
      <c r="N38" s="66"/>
    </row>
    <row r="39" spans="2:14" x14ac:dyDescent="0.2">
      <c r="B39" s="61">
        <v>37346</v>
      </c>
      <c r="C39" s="62">
        <v>2.3982886472156918E-3</v>
      </c>
      <c r="D39" s="62">
        <v>-8.6379847426899525E-3</v>
      </c>
      <c r="E39" s="62"/>
      <c r="F39" s="62"/>
      <c r="G39" s="62"/>
      <c r="H39" s="62"/>
      <c r="I39" s="62"/>
      <c r="J39" s="67"/>
      <c r="K39" s="62"/>
      <c r="L39" s="90"/>
      <c r="N39" s="66"/>
    </row>
    <row r="40" spans="2:14" x14ac:dyDescent="0.2">
      <c r="B40" s="61">
        <v>37376</v>
      </c>
      <c r="C40" s="62">
        <v>-1.2952820132294431E-2</v>
      </c>
      <c r="D40" s="62">
        <v>-2.4244469021596826E-2</v>
      </c>
      <c r="E40" s="62"/>
      <c r="F40" s="62"/>
      <c r="G40" s="62"/>
      <c r="H40" s="62"/>
      <c r="I40" s="62"/>
      <c r="J40" s="67"/>
      <c r="K40" s="62"/>
      <c r="L40" s="90"/>
      <c r="N40" s="66"/>
    </row>
    <row r="41" spans="2:14" x14ac:dyDescent="0.2">
      <c r="B41" s="61">
        <v>37407</v>
      </c>
      <c r="C41" s="62">
        <v>-2.2360659830725063E-2</v>
      </c>
      <c r="D41" s="62">
        <v>-3.3758340216878069E-2</v>
      </c>
      <c r="E41" s="62"/>
      <c r="F41" s="62"/>
      <c r="G41" s="62"/>
      <c r="H41" s="62"/>
      <c r="I41" s="62"/>
      <c r="J41" s="67"/>
      <c r="K41" s="62"/>
      <c r="L41" s="90"/>
      <c r="N41" s="66"/>
    </row>
    <row r="42" spans="2:14" x14ac:dyDescent="0.2">
      <c r="B42" s="61">
        <v>37437</v>
      </c>
      <c r="C42" s="62">
        <v>-4.5427655968047501E-2</v>
      </c>
      <c r="D42" s="62">
        <v>-5.6242413003703695E-2</v>
      </c>
      <c r="E42" s="62"/>
      <c r="F42" s="62"/>
      <c r="G42" s="62"/>
      <c r="H42" s="62"/>
      <c r="I42" s="62"/>
      <c r="J42" s="67"/>
      <c r="K42" s="62"/>
      <c r="L42" s="90"/>
      <c r="N42" s="66"/>
    </row>
    <row r="43" spans="2:14" x14ac:dyDescent="0.2">
      <c r="B43" s="61">
        <v>37468</v>
      </c>
      <c r="C43" s="62">
        <v>-6.1224875463743861E-2</v>
      </c>
      <c r="D43" s="62">
        <v>-7.1328747213725285E-2</v>
      </c>
      <c r="E43" s="62"/>
      <c r="F43" s="62"/>
      <c r="G43" s="62"/>
      <c r="H43" s="62"/>
      <c r="I43" s="62"/>
      <c r="J43" s="67"/>
      <c r="K43" s="62"/>
      <c r="L43" s="90"/>
      <c r="N43" s="66"/>
    </row>
    <row r="44" spans="2:14" x14ac:dyDescent="0.2">
      <c r="B44" s="61">
        <v>37499</v>
      </c>
      <c r="C44" s="62">
        <v>-6.1997545623277285E-2</v>
      </c>
      <c r="D44" s="62">
        <v>-7.2026959066810781E-2</v>
      </c>
      <c r="F44" s="62"/>
      <c r="G44" s="62"/>
      <c r="H44" s="62"/>
      <c r="I44" s="62"/>
      <c r="J44" s="67"/>
      <c r="K44" s="62"/>
      <c r="L44" s="90"/>
      <c r="N44" s="66"/>
    </row>
    <row r="45" spans="2:14" x14ac:dyDescent="0.2">
      <c r="B45" s="61">
        <v>37529</v>
      </c>
      <c r="C45" s="62">
        <v>-8.5605650565585945E-2</v>
      </c>
      <c r="D45" s="62">
        <v>-9.6191525348371942E-2</v>
      </c>
      <c r="E45" s="62"/>
      <c r="F45" s="62"/>
      <c r="G45" s="62"/>
      <c r="H45" s="62"/>
      <c r="I45" s="62"/>
      <c r="J45" s="67"/>
      <c r="K45" s="62"/>
      <c r="L45" s="90"/>
      <c r="N45" s="66"/>
    </row>
    <row r="46" spans="2:14" x14ac:dyDescent="0.2">
      <c r="B46" s="61">
        <v>37560</v>
      </c>
      <c r="C46" s="62">
        <v>-6.703261910928289E-2</v>
      </c>
      <c r="D46" s="62">
        <v>-7.811047611313271E-2</v>
      </c>
      <c r="E46" s="62"/>
      <c r="F46" s="62"/>
      <c r="G46" s="62"/>
      <c r="H46" s="62"/>
      <c r="I46" s="62"/>
      <c r="J46" s="67"/>
      <c r="K46" s="62"/>
      <c r="L46" s="90"/>
      <c r="N46" s="66"/>
    </row>
    <row r="47" spans="2:14" x14ac:dyDescent="0.2">
      <c r="B47" s="61">
        <v>37590</v>
      </c>
      <c r="C47" s="62">
        <v>-5.2669649763952171E-2</v>
      </c>
      <c r="D47" s="62">
        <v>-6.3490325914083545E-2</v>
      </c>
      <c r="E47" s="62"/>
      <c r="F47" s="62"/>
      <c r="G47" s="62"/>
      <c r="H47" s="62"/>
      <c r="I47" s="62"/>
      <c r="J47" s="67"/>
      <c r="K47" s="62"/>
      <c r="L47" s="90"/>
      <c r="N47" s="66"/>
    </row>
    <row r="48" spans="2:14" x14ac:dyDescent="0.2">
      <c r="B48" s="61">
        <v>37621</v>
      </c>
      <c r="C48" s="62">
        <v>-7.069027551758654E-2</v>
      </c>
      <c r="D48" s="62">
        <v>-8.1363488144732155E-2</v>
      </c>
      <c r="E48" s="63">
        <v>2.9435410499572753E-2</v>
      </c>
      <c r="F48" s="62">
        <v>1.731618596262785E-2</v>
      </c>
      <c r="G48" s="62"/>
      <c r="H48" s="62"/>
      <c r="I48" s="62"/>
      <c r="J48" s="67"/>
      <c r="K48" s="62"/>
      <c r="L48" s="90"/>
      <c r="N48" s="66"/>
    </row>
    <row r="49" spans="2:14" x14ac:dyDescent="0.2">
      <c r="B49" s="61">
        <v>37652</v>
      </c>
      <c r="C49" s="62">
        <v>-7.0135071498244037E-2</v>
      </c>
      <c r="D49" s="62">
        <v>-8.1082083561948126E-2</v>
      </c>
      <c r="G49" s="62"/>
      <c r="H49" s="62"/>
      <c r="I49" s="62"/>
      <c r="J49" s="67"/>
      <c r="K49" s="62"/>
      <c r="L49" s="90"/>
      <c r="N49" s="66"/>
    </row>
    <row r="50" spans="2:14" x14ac:dyDescent="0.2">
      <c r="B50" s="61">
        <v>37680</v>
      </c>
      <c r="C50" s="62">
        <v>-7.2571541857751262E-2</v>
      </c>
      <c r="D50" s="62">
        <v>-8.4368288687806992E-2</v>
      </c>
      <c r="E50" s="62"/>
      <c r="F50" s="62"/>
      <c r="G50" s="62"/>
      <c r="H50" s="62"/>
      <c r="I50" s="62"/>
      <c r="J50" s="67"/>
      <c r="K50" s="62"/>
      <c r="L50" s="90"/>
      <c r="N50" s="66"/>
    </row>
    <row r="51" spans="2:14" x14ac:dyDescent="0.2">
      <c r="B51" s="61">
        <v>37711</v>
      </c>
      <c r="C51" s="62">
        <v>-7.1063686828130704E-2</v>
      </c>
      <c r="D51" s="62">
        <v>-8.3327589721909345E-2</v>
      </c>
      <c r="E51" s="62"/>
      <c r="F51" s="62"/>
      <c r="G51" s="62"/>
      <c r="H51" s="62"/>
      <c r="I51" s="62"/>
      <c r="J51" s="67"/>
      <c r="K51" s="62"/>
      <c r="L51" s="90"/>
      <c r="N51" s="66"/>
    </row>
    <row r="52" spans="2:14" x14ac:dyDescent="0.2">
      <c r="B52" s="61">
        <v>37741</v>
      </c>
      <c r="C52" s="62">
        <v>-5.4954814205048427E-2</v>
      </c>
      <c r="D52" s="62">
        <v>-6.6895914983121973E-2</v>
      </c>
      <c r="E52" s="62"/>
      <c r="F52" s="62"/>
      <c r="G52" s="62"/>
      <c r="H52" s="62"/>
      <c r="I52" s="62"/>
      <c r="J52" s="67"/>
      <c r="K52" s="62"/>
      <c r="L52" s="90"/>
      <c r="N52" s="66"/>
    </row>
    <row r="53" spans="2:14" x14ac:dyDescent="0.2">
      <c r="B53" s="61">
        <v>37772</v>
      </c>
      <c r="C53" s="62">
        <v>-5.1866752709012774E-2</v>
      </c>
      <c r="D53" s="62">
        <v>-6.3604430327384165E-2</v>
      </c>
      <c r="E53" s="62"/>
      <c r="F53" s="62"/>
      <c r="G53" s="62"/>
      <c r="H53" s="62"/>
      <c r="I53" s="62"/>
      <c r="J53" s="67"/>
      <c r="K53" s="62"/>
      <c r="L53" s="90"/>
      <c r="N53" s="66"/>
    </row>
    <row r="54" spans="2:14" x14ac:dyDescent="0.2">
      <c r="B54" s="61">
        <v>37802</v>
      </c>
      <c r="C54" s="62">
        <v>-4.0726863641158295E-2</v>
      </c>
      <c r="D54" s="62">
        <v>-5.2157286858934504E-2</v>
      </c>
      <c r="E54" s="62"/>
      <c r="F54" s="62"/>
      <c r="G54" s="62"/>
      <c r="H54" s="62"/>
      <c r="I54" s="62"/>
      <c r="J54" s="67"/>
      <c r="K54" s="62"/>
      <c r="L54" s="90"/>
      <c r="N54" s="66"/>
    </row>
    <row r="55" spans="2:14" x14ac:dyDescent="0.2">
      <c r="B55" s="61">
        <v>37833</v>
      </c>
      <c r="C55" s="62">
        <v>-3.2080109833262468E-2</v>
      </c>
      <c r="D55" s="62">
        <v>-4.3131071458743397E-2</v>
      </c>
      <c r="E55" s="62"/>
      <c r="F55" s="62"/>
      <c r="G55" s="62"/>
      <c r="H55" s="62"/>
      <c r="I55" s="62"/>
      <c r="J55" s="67"/>
      <c r="K55" s="62"/>
      <c r="L55" s="90"/>
      <c r="N55" s="66"/>
    </row>
    <row r="56" spans="2:14" x14ac:dyDescent="0.2">
      <c r="B56" s="61">
        <v>37864</v>
      </c>
      <c r="C56" s="62">
        <v>-2.3525179201037201E-2</v>
      </c>
      <c r="D56" s="62">
        <v>-3.4524092565202391E-2</v>
      </c>
      <c r="F56" s="62"/>
      <c r="G56" s="62"/>
      <c r="H56" s="62"/>
      <c r="I56" s="62"/>
      <c r="J56" s="67"/>
      <c r="K56" s="62"/>
      <c r="L56" s="90"/>
      <c r="N56" s="66"/>
    </row>
    <row r="57" spans="2:14" x14ac:dyDescent="0.2">
      <c r="B57" s="61">
        <v>37894</v>
      </c>
      <c r="C57" s="62">
        <v>-3.3240878057555143E-2</v>
      </c>
      <c r="D57" s="62">
        <v>-4.4827020282767416E-2</v>
      </c>
      <c r="E57" s="62"/>
      <c r="F57" s="62"/>
      <c r="G57" s="62"/>
      <c r="H57" s="62"/>
      <c r="I57" s="62"/>
      <c r="J57" s="67"/>
      <c r="K57" s="62"/>
      <c r="L57" s="90"/>
      <c r="N57" s="66"/>
    </row>
    <row r="58" spans="2:14" x14ac:dyDescent="0.2">
      <c r="B58" s="61">
        <v>37925</v>
      </c>
      <c r="C58" s="62">
        <v>-2.0371364102513268E-2</v>
      </c>
      <c r="D58" s="62">
        <v>-3.2079646012366569E-2</v>
      </c>
      <c r="E58" s="62"/>
      <c r="F58" s="62"/>
      <c r="G58" s="62"/>
      <c r="H58" s="62"/>
      <c r="I58" s="62"/>
      <c r="J58" s="67"/>
      <c r="K58" s="62"/>
      <c r="L58" s="90"/>
      <c r="N58" s="66"/>
    </row>
    <row r="59" spans="2:14" x14ac:dyDescent="0.2">
      <c r="B59" s="61">
        <v>37955</v>
      </c>
      <c r="C59" s="62">
        <v>-2.0828327760144809E-2</v>
      </c>
      <c r="D59" s="62">
        <v>-3.2182176662197692E-2</v>
      </c>
      <c r="E59" s="62"/>
      <c r="F59" s="62"/>
      <c r="G59" s="62"/>
      <c r="H59" s="62"/>
      <c r="I59" s="62"/>
      <c r="J59" s="67"/>
      <c r="K59" s="62"/>
      <c r="L59" s="90"/>
      <c r="N59" s="66"/>
    </row>
    <row r="60" spans="2:14" x14ac:dyDescent="0.2">
      <c r="B60" s="61">
        <v>37986</v>
      </c>
      <c r="C60" s="62">
        <v>-1.6658330381532478E-2</v>
      </c>
      <c r="D60" s="62">
        <v>-2.8072136451758656E-2</v>
      </c>
      <c r="E60" s="63">
        <v>3.1078791618347163E-2</v>
      </c>
      <c r="F60" s="62">
        <v>1.946856297105648E-2</v>
      </c>
      <c r="G60" s="62"/>
      <c r="H60" s="62"/>
      <c r="I60" s="62"/>
      <c r="J60" s="67"/>
      <c r="K60" s="62"/>
      <c r="L60" s="90"/>
      <c r="N60" s="66"/>
    </row>
    <row r="61" spans="2:14" x14ac:dyDescent="0.2">
      <c r="B61" s="61">
        <v>38017</v>
      </c>
      <c r="C61" s="62">
        <v>-4.7650734584944116E-3</v>
      </c>
      <c r="D61" s="62">
        <v>-1.5971690400716887E-2</v>
      </c>
      <c r="G61" s="62"/>
      <c r="H61" s="62"/>
      <c r="I61" s="62"/>
      <c r="J61" s="67"/>
      <c r="K61" s="62"/>
      <c r="L61" s="90"/>
      <c r="N61" s="66"/>
    </row>
    <row r="62" spans="2:14" x14ac:dyDescent="0.2">
      <c r="B62" s="61">
        <v>38046</v>
      </c>
      <c r="C62" s="62">
        <v>1.0376537058383413E-3</v>
      </c>
      <c r="D62" s="62">
        <v>-9.8531879500926012E-3</v>
      </c>
      <c r="E62" s="62"/>
      <c r="F62" s="62"/>
      <c r="G62" s="62"/>
      <c r="H62" s="62"/>
      <c r="I62" s="62"/>
      <c r="J62" s="67"/>
      <c r="K62" s="62"/>
      <c r="L62" s="90"/>
      <c r="N62" s="66"/>
    </row>
    <row r="63" spans="2:14" x14ac:dyDescent="0.2">
      <c r="B63" s="61">
        <v>38077</v>
      </c>
      <c r="C63" s="62">
        <v>6.9231923160418716E-4</v>
      </c>
      <c r="D63" s="62">
        <v>-1.0917284193586507E-2</v>
      </c>
      <c r="E63" s="62"/>
      <c r="F63" s="62"/>
      <c r="G63" s="62"/>
      <c r="H63" s="62"/>
      <c r="I63" s="62"/>
      <c r="J63" s="67"/>
      <c r="K63" s="62"/>
      <c r="L63" s="90"/>
      <c r="N63" s="66"/>
    </row>
    <row r="64" spans="2:14" x14ac:dyDescent="0.2">
      <c r="B64" s="61">
        <v>38107</v>
      </c>
      <c r="C64" s="62">
        <v>-5.9282198337367719E-4</v>
      </c>
      <c r="D64" s="62">
        <v>-1.2082717703069346E-2</v>
      </c>
      <c r="E64" s="62"/>
      <c r="F64" s="62"/>
      <c r="G64" s="62"/>
      <c r="H64" s="62"/>
      <c r="I64" s="62"/>
      <c r="J64" s="67"/>
      <c r="K64" s="62"/>
      <c r="L64" s="90"/>
      <c r="N64" s="66"/>
    </row>
    <row r="65" spans="2:14" x14ac:dyDescent="0.2">
      <c r="B65" s="61">
        <v>38138</v>
      </c>
      <c r="C65" s="62">
        <v>-4.4633515740136499E-3</v>
      </c>
      <c r="D65" s="62">
        <v>-1.6072427072010176E-2</v>
      </c>
      <c r="E65" s="62"/>
      <c r="F65" s="62"/>
      <c r="G65" s="62"/>
      <c r="H65" s="62"/>
      <c r="I65" s="62"/>
      <c r="J65" s="67"/>
      <c r="K65" s="62"/>
      <c r="L65" s="90"/>
      <c r="N65" s="66"/>
    </row>
    <row r="66" spans="2:14" x14ac:dyDescent="0.2">
      <c r="B66" s="61">
        <v>38168</v>
      </c>
      <c r="C66" s="62">
        <v>6.494845643696661E-4</v>
      </c>
      <c r="D66" s="62">
        <v>-1.0460542731541622E-2</v>
      </c>
      <c r="E66" s="62"/>
      <c r="F66" s="62"/>
      <c r="G66" s="62"/>
      <c r="H66" s="62"/>
      <c r="I66" s="62"/>
      <c r="J66" s="67"/>
      <c r="K66" s="62"/>
      <c r="L66" s="90"/>
      <c r="N66" s="66"/>
    </row>
    <row r="67" spans="2:14" x14ac:dyDescent="0.2">
      <c r="B67" s="61">
        <v>38199</v>
      </c>
      <c r="C67" s="62">
        <v>-4.0807779733609889E-3</v>
      </c>
      <c r="D67" s="62">
        <v>-1.489083907696509E-2</v>
      </c>
      <c r="E67" s="62"/>
      <c r="F67" s="62"/>
      <c r="G67" s="62"/>
      <c r="H67" s="62"/>
      <c r="I67" s="62"/>
      <c r="J67" s="67"/>
      <c r="K67" s="62"/>
      <c r="L67" s="90"/>
      <c r="N67" s="66"/>
    </row>
    <row r="68" spans="2:14" x14ac:dyDescent="0.2">
      <c r="B68" s="61">
        <v>38230</v>
      </c>
      <c r="C68" s="62">
        <v>-5.081345602871332E-3</v>
      </c>
      <c r="D68" s="62">
        <v>-1.5674661955586866E-2</v>
      </c>
      <c r="F68" s="62"/>
      <c r="G68" s="62"/>
      <c r="H68" s="62"/>
      <c r="I68" s="62"/>
      <c r="J68" s="67"/>
      <c r="K68" s="62"/>
      <c r="L68" s="90"/>
      <c r="N68" s="66"/>
    </row>
    <row r="69" spans="2:14" x14ac:dyDescent="0.2">
      <c r="B69" s="61">
        <v>38260</v>
      </c>
      <c r="C69" s="62">
        <v>-3.5102540217259244E-3</v>
      </c>
      <c r="D69" s="62">
        <v>-1.476524487914932E-2</v>
      </c>
      <c r="E69" s="62"/>
      <c r="F69" s="62"/>
      <c r="G69" s="62"/>
      <c r="H69" s="62"/>
      <c r="I69" s="62"/>
      <c r="J69" s="67"/>
      <c r="K69" s="62"/>
      <c r="L69" s="90"/>
      <c r="N69" s="66"/>
    </row>
    <row r="70" spans="2:14" x14ac:dyDescent="0.2">
      <c r="B70" s="61">
        <v>38291</v>
      </c>
      <c r="C70" s="62">
        <v>-3.4181846243503907E-3</v>
      </c>
      <c r="D70" s="62">
        <v>-1.4868318328853047E-2</v>
      </c>
      <c r="E70" s="62"/>
      <c r="F70" s="62"/>
      <c r="G70" s="62"/>
      <c r="H70" s="62"/>
      <c r="I70" s="62"/>
      <c r="J70" s="67"/>
      <c r="K70" s="62"/>
      <c r="L70" s="90"/>
      <c r="N70" s="66"/>
    </row>
    <row r="71" spans="2:14" x14ac:dyDescent="0.2">
      <c r="B71" s="61">
        <v>38321</v>
      </c>
      <c r="C71" s="62">
        <v>3.4493808749515471E-4</v>
      </c>
      <c r="D71" s="62">
        <v>-1.0471397953667361E-2</v>
      </c>
      <c r="E71" s="62"/>
      <c r="F71" s="62"/>
      <c r="G71" s="62"/>
      <c r="H71" s="62"/>
      <c r="I71" s="62"/>
      <c r="J71" s="67"/>
      <c r="K71" s="62"/>
      <c r="L71" s="90"/>
      <c r="N71" s="66"/>
    </row>
    <row r="72" spans="2:14" x14ac:dyDescent="0.2">
      <c r="B72" s="61">
        <v>38352</v>
      </c>
      <c r="C72" s="62">
        <v>3.2353919745398267E-3</v>
      </c>
      <c r="D72" s="62">
        <v>-7.5207632668000679E-3</v>
      </c>
      <c r="E72" s="63">
        <v>2.9857726097106928E-2</v>
      </c>
      <c r="F72" s="62">
        <v>1.946168072920984E-2</v>
      </c>
      <c r="G72" s="62"/>
      <c r="H72" s="62"/>
      <c r="I72" s="62"/>
      <c r="J72" s="67"/>
      <c r="K72" s="62"/>
      <c r="L72" s="90"/>
      <c r="N72" s="66"/>
    </row>
    <row r="73" spans="2:14" x14ac:dyDescent="0.2">
      <c r="B73" s="61">
        <v>38383</v>
      </c>
      <c r="C73" s="62">
        <v>1.0241518593147002E-2</v>
      </c>
      <c r="D73" s="62">
        <v>4.3491823343178027E-5</v>
      </c>
      <c r="G73" s="62"/>
      <c r="H73" s="62"/>
      <c r="I73" s="62"/>
      <c r="J73" s="67"/>
      <c r="K73" s="62"/>
      <c r="L73" s="90"/>
      <c r="N73" s="66"/>
    </row>
    <row r="74" spans="2:14" x14ac:dyDescent="0.2">
      <c r="B74" s="61">
        <v>38411</v>
      </c>
      <c r="C74" s="62">
        <v>1.482239235496002E-2</v>
      </c>
      <c r="D74" s="62">
        <v>4.1942931763401248E-3</v>
      </c>
      <c r="E74" s="62"/>
      <c r="F74" s="62"/>
      <c r="G74" s="62"/>
      <c r="H74" s="62"/>
      <c r="I74" s="62"/>
      <c r="J74" s="67"/>
      <c r="K74" s="62"/>
      <c r="L74" s="90"/>
      <c r="N74" s="66"/>
    </row>
    <row r="75" spans="2:14" x14ac:dyDescent="0.2">
      <c r="B75" s="61">
        <v>38442</v>
      </c>
      <c r="C75" s="62">
        <v>1.4477044854297232E-2</v>
      </c>
      <c r="D75" s="62">
        <v>3.7261994448885005E-3</v>
      </c>
      <c r="E75" s="62"/>
      <c r="F75" s="62"/>
      <c r="G75" s="62"/>
      <c r="H75" s="62"/>
      <c r="I75" s="62"/>
      <c r="J75" s="67"/>
      <c r="K75" s="62"/>
      <c r="L75" s="90"/>
      <c r="N75" s="66"/>
    </row>
    <row r="76" spans="2:14" x14ac:dyDescent="0.2">
      <c r="B76" s="61">
        <v>38472</v>
      </c>
      <c r="C76" s="62">
        <v>1.2525283838135183E-2</v>
      </c>
      <c r="D76" s="62">
        <v>1.741840457652799E-3</v>
      </c>
      <c r="E76" s="62"/>
      <c r="F76" s="62"/>
      <c r="G76" s="62"/>
      <c r="H76" s="62"/>
      <c r="I76" s="62"/>
      <c r="J76" s="67"/>
      <c r="K76" s="62"/>
      <c r="L76" s="90"/>
      <c r="N76" s="66"/>
    </row>
    <row r="77" spans="2:14" x14ac:dyDescent="0.2">
      <c r="B77" s="61">
        <v>38503</v>
      </c>
      <c r="C77" s="62">
        <v>2.2922137451328074E-2</v>
      </c>
      <c r="D77" s="62">
        <v>1.2080834781232008E-2</v>
      </c>
      <c r="E77" s="62"/>
      <c r="F77" s="62"/>
      <c r="G77" s="62"/>
      <c r="H77" s="62"/>
      <c r="I77" s="62"/>
      <c r="J77" s="67"/>
      <c r="K77" s="62"/>
      <c r="L77" s="90"/>
      <c r="N77" s="66"/>
    </row>
    <row r="78" spans="2:14" x14ac:dyDescent="0.2">
      <c r="B78" s="61">
        <v>38533</v>
      </c>
      <c r="C78" s="62">
        <v>3.1608211033280577E-2</v>
      </c>
      <c r="D78" s="62">
        <v>2.0727322154043826E-2</v>
      </c>
      <c r="E78" s="62"/>
      <c r="F78" s="62"/>
      <c r="G78" s="62"/>
      <c r="H78" s="62"/>
      <c r="I78" s="62"/>
      <c r="J78" s="67"/>
      <c r="K78" s="62"/>
      <c r="L78" s="90"/>
      <c r="N78" s="66"/>
    </row>
    <row r="79" spans="2:14" x14ac:dyDescent="0.2">
      <c r="B79" s="61">
        <v>38564</v>
      </c>
      <c r="C79" s="62">
        <v>3.7373515279066051E-2</v>
      </c>
      <c r="D79" s="62">
        <v>2.6871026698744638E-2</v>
      </c>
      <c r="E79" s="62"/>
      <c r="F79" s="62"/>
      <c r="G79" s="62"/>
      <c r="H79" s="62"/>
      <c r="I79" s="62"/>
      <c r="J79" s="67"/>
      <c r="K79" s="62"/>
      <c r="L79" s="90"/>
      <c r="N79" s="66"/>
    </row>
    <row r="80" spans="2:14" x14ac:dyDescent="0.2">
      <c r="B80" s="61">
        <v>38595</v>
      </c>
      <c r="C80" s="62">
        <v>3.4547599092232276E-2</v>
      </c>
      <c r="D80" s="62">
        <v>2.3982048101524711E-2</v>
      </c>
      <c r="F80" s="62"/>
      <c r="G80" s="62"/>
      <c r="H80" s="62"/>
      <c r="I80" s="62"/>
      <c r="J80" s="67"/>
      <c r="K80" s="62"/>
      <c r="L80" s="90"/>
      <c r="N80" s="66"/>
    </row>
    <row r="81" spans="2:12" x14ac:dyDescent="0.2">
      <c r="B81" s="61">
        <v>38625</v>
      </c>
      <c r="C81" s="62">
        <v>4.2610079736795259E-2</v>
      </c>
      <c r="D81" s="62">
        <v>3.1351522851562619E-2</v>
      </c>
      <c r="E81" s="62"/>
      <c r="F81" s="62"/>
      <c r="G81" s="62"/>
      <c r="H81" s="62"/>
      <c r="I81" s="62"/>
      <c r="J81" s="67"/>
      <c r="K81" s="90"/>
      <c r="L81" s="90"/>
    </row>
    <row r="82" spans="2:12" x14ac:dyDescent="0.2">
      <c r="B82" s="61">
        <v>38656</v>
      </c>
      <c r="C82" s="62">
        <v>3.9599620455029606E-2</v>
      </c>
      <c r="D82" s="62">
        <v>2.8289954554848729E-2</v>
      </c>
      <c r="E82" s="62"/>
      <c r="F82" s="62"/>
      <c r="G82" s="62"/>
      <c r="H82" s="62"/>
      <c r="I82" s="62"/>
      <c r="J82" s="67"/>
      <c r="K82" s="90"/>
      <c r="L82" s="90"/>
    </row>
    <row r="83" spans="2:12" x14ac:dyDescent="0.2">
      <c r="B83" s="61">
        <v>38686</v>
      </c>
      <c r="C83" s="62">
        <v>4.7240474686750543E-2</v>
      </c>
      <c r="D83" s="62">
        <v>3.6174714678961495E-2</v>
      </c>
      <c r="E83" s="62"/>
      <c r="F83" s="62"/>
      <c r="G83" s="62"/>
      <c r="H83" s="62"/>
      <c r="I83" s="62"/>
      <c r="J83" s="67"/>
      <c r="K83" s="90"/>
      <c r="L83" s="90"/>
    </row>
    <row r="84" spans="2:12" x14ac:dyDescent="0.2">
      <c r="B84" s="61">
        <v>38717</v>
      </c>
      <c r="C84" s="62">
        <v>5.1023952329731635E-2</v>
      </c>
      <c r="D84" s="62">
        <v>3.9969120847023198E-2</v>
      </c>
      <c r="E84" s="63">
        <v>2.89111852645874E-2</v>
      </c>
      <c r="F84" s="62">
        <v>1.8905712826249532E-2</v>
      </c>
      <c r="G84" s="62"/>
      <c r="H84" s="62"/>
      <c r="I84" s="62"/>
      <c r="J84" s="67"/>
      <c r="K84" s="90"/>
      <c r="L84" s="90"/>
    </row>
    <row r="85" spans="2:12" x14ac:dyDescent="0.2">
      <c r="B85" s="61">
        <v>38748</v>
      </c>
      <c r="C85" s="62">
        <v>5.0136571265158199E-2</v>
      </c>
      <c r="D85" s="62">
        <v>3.9924696157996209E-2</v>
      </c>
      <c r="G85" s="62"/>
      <c r="H85" s="62"/>
      <c r="I85" s="62"/>
      <c r="J85" s="67"/>
      <c r="K85" s="90"/>
      <c r="L85" s="90"/>
    </row>
    <row r="86" spans="2:12" x14ac:dyDescent="0.2">
      <c r="B86" s="61">
        <v>38776</v>
      </c>
      <c r="C86" s="62">
        <v>5.6744259739211399E-2</v>
      </c>
      <c r="D86" s="62">
        <v>4.6057149056302427E-2</v>
      </c>
      <c r="E86" s="63"/>
      <c r="F86" s="62"/>
      <c r="G86" s="62"/>
      <c r="H86" s="62"/>
      <c r="I86" s="62"/>
      <c r="J86" s="67"/>
      <c r="K86" s="90"/>
      <c r="L86" s="90"/>
    </row>
    <row r="87" spans="2:12" x14ac:dyDescent="0.2">
      <c r="B87" s="61">
        <v>38807</v>
      </c>
      <c r="C87" s="62">
        <v>5.9380883833274292E-2</v>
      </c>
      <c r="D87" s="62">
        <v>4.8141964784657709E-2</v>
      </c>
      <c r="F87" s="62"/>
      <c r="G87" s="62"/>
      <c r="H87" s="62"/>
      <c r="I87" s="62"/>
      <c r="J87" s="67"/>
      <c r="K87" s="90"/>
      <c r="L87" s="90"/>
    </row>
    <row r="88" spans="2:12" x14ac:dyDescent="0.2">
      <c r="B88" s="61">
        <v>38837</v>
      </c>
      <c r="C88" s="62">
        <v>5.7893895207078321E-2</v>
      </c>
      <c r="D88" s="62">
        <v>4.6268814703733341E-2</v>
      </c>
      <c r="E88" s="62"/>
      <c r="F88" s="62"/>
      <c r="G88" s="62"/>
      <c r="H88" s="62"/>
      <c r="I88" s="62"/>
      <c r="J88" s="67"/>
      <c r="K88" s="90"/>
      <c r="L88" s="90"/>
    </row>
    <row r="89" spans="2:12" x14ac:dyDescent="0.2">
      <c r="B89" s="61">
        <v>38868</v>
      </c>
      <c r="C89" s="62">
        <v>4.3999999999999997E-2</v>
      </c>
      <c r="D89" s="62">
        <v>3.2266482805877184E-2</v>
      </c>
      <c r="E89" s="62"/>
      <c r="F89" s="62"/>
      <c r="G89" s="62"/>
      <c r="H89" s="62"/>
      <c r="I89" s="62"/>
      <c r="J89" s="67"/>
      <c r="K89" s="90"/>
      <c r="L89" s="90"/>
    </row>
    <row r="90" spans="2:12" x14ac:dyDescent="0.2">
      <c r="B90" s="61">
        <v>38898</v>
      </c>
      <c r="C90" s="62">
        <v>4.3799999999999999E-2</v>
      </c>
      <c r="D90" s="62">
        <v>3.2376415782498835E-2</v>
      </c>
      <c r="E90" s="62"/>
      <c r="F90" s="62"/>
      <c r="G90" s="62"/>
      <c r="H90" s="62"/>
      <c r="I90" s="62"/>
      <c r="J90" s="67"/>
      <c r="K90" s="90"/>
      <c r="L90" s="90"/>
    </row>
    <row r="91" spans="2:12" x14ac:dyDescent="0.2">
      <c r="B91" s="61">
        <v>38929</v>
      </c>
      <c r="C91" s="62">
        <v>4.359794932972591E-2</v>
      </c>
      <c r="D91" s="62">
        <v>3.2415263728103216E-2</v>
      </c>
      <c r="E91" s="62"/>
      <c r="F91" s="62"/>
      <c r="G91" s="62"/>
      <c r="H91" s="62"/>
      <c r="I91" s="62"/>
      <c r="J91" s="67"/>
      <c r="K91" s="90"/>
      <c r="L91" s="90"/>
    </row>
    <row r="92" spans="2:12" x14ac:dyDescent="0.2">
      <c r="B92" s="61">
        <v>38960</v>
      </c>
      <c r="C92" s="62">
        <v>4.7822286996518748E-2</v>
      </c>
      <c r="D92" s="62">
        <v>3.6615016583132709E-2</v>
      </c>
      <c r="E92" s="62"/>
      <c r="F92" s="62"/>
      <c r="G92" s="62"/>
      <c r="H92" s="62"/>
      <c r="I92" s="62"/>
      <c r="J92" s="67"/>
      <c r="K92" s="90"/>
      <c r="L92" s="90"/>
    </row>
    <row r="93" spans="2:12" x14ac:dyDescent="0.2">
      <c r="B93" s="61">
        <v>38990</v>
      </c>
      <c r="C93" s="62">
        <v>5.1760927419626929E-2</v>
      </c>
      <c r="D93" s="62">
        <v>4.0069293877977863E-2</v>
      </c>
      <c r="E93" s="62"/>
      <c r="F93" s="62"/>
      <c r="G93" s="62"/>
      <c r="H93" s="62"/>
      <c r="I93" s="62"/>
      <c r="J93" s="67"/>
      <c r="K93" s="90"/>
      <c r="L93" s="90"/>
    </row>
    <row r="94" spans="2:12" x14ac:dyDescent="0.2">
      <c r="B94" s="61">
        <v>39021</v>
      </c>
      <c r="C94" s="62">
        <v>5.5149368696020322E-2</v>
      </c>
      <c r="D94" s="62">
        <v>4.3494004748145132E-2</v>
      </c>
      <c r="E94" s="62"/>
      <c r="F94" s="62"/>
      <c r="G94" s="62"/>
      <c r="H94" s="62"/>
      <c r="I94" s="62"/>
      <c r="J94" s="67"/>
      <c r="K94" s="90"/>
      <c r="L94" s="90"/>
    </row>
    <row r="95" spans="2:12" x14ac:dyDescent="0.2">
      <c r="B95" s="61">
        <v>39051</v>
      </c>
      <c r="C95" s="62">
        <v>5.3271803275811547E-2</v>
      </c>
      <c r="D95" s="62">
        <v>4.1607747360923319E-2</v>
      </c>
      <c r="E95" s="67"/>
      <c r="F95" s="62"/>
      <c r="G95" s="62"/>
      <c r="H95" s="62"/>
      <c r="I95" s="62"/>
      <c r="J95" s="67"/>
      <c r="K95" s="90"/>
      <c r="L95" s="90"/>
    </row>
    <row r="96" spans="2:12" x14ac:dyDescent="0.2">
      <c r="B96" s="61">
        <v>39082</v>
      </c>
      <c r="C96" s="62">
        <v>5.8892379627384812E-2</v>
      </c>
      <c r="D96" s="62">
        <v>4.7248204632641677E-2</v>
      </c>
      <c r="E96" s="62">
        <v>2.9000000000000001E-2</v>
      </c>
      <c r="F96" s="62">
        <v>1.8187786090944069E-2</v>
      </c>
      <c r="G96" s="62"/>
      <c r="H96" s="62"/>
      <c r="I96" s="62"/>
      <c r="J96" s="67"/>
      <c r="K96" s="90"/>
      <c r="L96" s="90"/>
    </row>
    <row r="97" spans="2:12" x14ac:dyDescent="0.2">
      <c r="B97" s="68">
        <v>39113</v>
      </c>
      <c r="C97" s="62">
        <v>6.2E-2</v>
      </c>
      <c r="D97" s="62">
        <v>5.0643140205407722E-2</v>
      </c>
      <c r="G97" s="62"/>
      <c r="H97" s="62"/>
      <c r="I97" s="62"/>
      <c r="J97" s="67"/>
      <c r="K97" s="90"/>
      <c r="L97" s="90"/>
    </row>
    <row r="98" spans="2:12" x14ac:dyDescent="0.2">
      <c r="B98" s="61">
        <v>39141</v>
      </c>
      <c r="C98" s="62">
        <v>6.0193528731770071E-2</v>
      </c>
      <c r="D98" s="62">
        <v>4.8689985855187246E-2</v>
      </c>
      <c r="E98" s="67"/>
      <c r="F98" s="62"/>
      <c r="G98" s="62"/>
      <c r="H98" s="62"/>
      <c r="I98" s="62"/>
      <c r="J98" s="67"/>
      <c r="K98" s="90"/>
      <c r="L98" s="90"/>
    </row>
    <row r="99" spans="2:12" x14ac:dyDescent="0.2">
      <c r="B99" s="61">
        <v>39172</v>
      </c>
      <c r="C99" s="63">
        <v>6.4564324830753222E-2</v>
      </c>
      <c r="D99" s="62">
        <v>5.2522620695754307E-2</v>
      </c>
      <c r="E99" s="67"/>
      <c r="F99" s="62"/>
      <c r="G99" s="62"/>
      <c r="H99" s="62"/>
      <c r="I99" s="62"/>
      <c r="J99" s="67"/>
      <c r="K99" s="90"/>
      <c r="L99" s="90"/>
    </row>
    <row r="100" spans="2:12" x14ac:dyDescent="0.2">
      <c r="B100" s="61">
        <v>39202</v>
      </c>
      <c r="C100" s="62">
        <v>6.7463896782851265E-2</v>
      </c>
      <c r="D100" s="62">
        <v>5.5033553075613639E-2</v>
      </c>
      <c r="F100" s="62"/>
      <c r="G100" s="62"/>
      <c r="H100" s="62"/>
      <c r="I100" s="62"/>
      <c r="J100" s="67"/>
      <c r="K100" s="90"/>
      <c r="L100" s="90"/>
    </row>
    <row r="101" spans="2:12" x14ac:dyDescent="0.2">
      <c r="B101" s="61">
        <v>39233</v>
      </c>
      <c r="C101" s="62">
        <v>7.2349404324642028E-2</v>
      </c>
      <c r="D101" s="62">
        <v>6.0039238342899148E-2</v>
      </c>
      <c r="F101" s="62"/>
      <c r="G101" s="62"/>
      <c r="H101" s="62"/>
      <c r="I101" s="62"/>
      <c r="J101" s="67"/>
      <c r="K101" s="90"/>
      <c r="L101" s="90"/>
    </row>
    <row r="102" spans="2:12" x14ac:dyDescent="0.2">
      <c r="B102" s="61">
        <v>39263</v>
      </c>
      <c r="C102" s="63">
        <v>7.0343827295215947E-2</v>
      </c>
      <c r="D102" s="62">
        <v>5.8000055826007646E-2</v>
      </c>
      <c r="F102" s="62"/>
      <c r="G102" s="62"/>
      <c r="H102" s="62"/>
      <c r="I102" s="62"/>
      <c r="J102" s="67"/>
      <c r="K102" s="90"/>
      <c r="L102" s="90"/>
    </row>
    <row r="103" spans="2:12" x14ac:dyDescent="0.2">
      <c r="B103" s="61">
        <v>39294</v>
      </c>
      <c r="C103" s="63">
        <v>6.7299999999999999E-2</v>
      </c>
      <c r="D103" s="62">
        <v>5.5202713208013732E-2</v>
      </c>
      <c r="F103" s="62"/>
      <c r="G103" s="62"/>
      <c r="H103" s="62"/>
      <c r="I103" s="62"/>
      <c r="J103" s="67"/>
      <c r="K103" s="90"/>
      <c r="L103" s="90"/>
    </row>
    <row r="104" spans="2:12" x14ac:dyDescent="0.2">
      <c r="B104" s="61">
        <v>39325</v>
      </c>
      <c r="C104" s="62">
        <v>6.5489151248442859E-2</v>
      </c>
      <c r="D104" s="62">
        <v>5.3521367869992176E-2</v>
      </c>
      <c r="F104" s="62"/>
      <c r="G104" s="62"/>
      <c r="H104" s="62"/>
      <c r="I104" s="62"/>
      <c r="J104" s="67"/>
      <c r="K104" s="90"/>
      <c r="L104" s="90"/>
    </row>
    <row r="105" spans="2:12" x14ac:dyDescent="0.2">
      <c r="B105" s="61">
        <v>39353</v>
      </c>
      <c r="C105" s="62">
        <v>6.5394162553259028E-2</v>
      </c>
      <c r="D105" s="62">
        <v>5.2674689687163712E-2</v>
      </c>
      <c r="F105" s="62"/>
      <c r="H105" s="62"/>
      <c r="J105" s="67"/>
      <c r="K105" s="90"/>
      <c r="L105" s="90"/>
    </row>
    <row r="106" spans="2:12" x14ac:dyDescent="0.2">
      <c r="B106" s="61">
        <v>39386</v>
      </c>
      <c r="C106" s="62">
        <v>6.6821058285115434E-2</v>
      </c>
      <c r="D106" s="62">
        <v>5.3727785198714129E-2</v>
      </c>
      <c r="F106" s="62"/>
      <c r="H106" s="62"/>
      <c r="J106" s="67"/>
      <c r="K106" s="90"/>
      <c r="L106" s="90"/>
    </row>
    <row r="107" spans="2:12" x14ac:dyDescent="0.2">
      <c r="B107" s="61">
        <v>39416</v>
      </c>
      <c r="C107" s="62">
        <v>5.9590164348598797E-2</v>
      </c>
      <c r="D107" s="62">
        <v>4.6141160304356443E-2</v>
      </c>
      <c r="F107" s="62"/>
      <c r="H107" s="62"/>
      <c r="J107" s="67"/>
      <c r="K107" s="90"/>
      <c r="L107" s="90"/>
    </row>
    <row r="108" spans="2:12" x14ac:dyDescent="0.2">
      <c r="B108" s="61">
        <v>39447</v>
      </c>
      <c r="C108" s="62">
        <v>5.8044997942331818E-2</v>
      </c>
      <c r="D108" s="62">
        <v>4.4545527707018584E-2</v>
      </c>
      <c r="E108" s="63">
        <v>3.1099999999999999E-2</v>
      </c>
      <c r="F108" s="62">
        <v>1.7944317787332631E-2</v>
      </c>
      <c r="H108" s="62"/>
      <c r="J108" s="67"/>
      <c r="K108" s="90"/>
      <c r="L108" s="90"/>
    </row>
    <row r="109" spans="2:12" x14ac:dyDescent="0.2">
      <c r="B109" s="61">
        <v>39478</v>
      </c>
      <c r="C109" s="63">
        <v>3.8598902509140144E-2</v>
      </c>
      <c r="D109" s="62">
        <v>2.6024271859803161E-2</v>
      </c>
      <c r="F109" s="62"/>
      <c r="H109" s="62"/>
      <c r="J109" s="67"/>
      <c r="K109" s="90"/>
      <c r="L109" s="90"/>
    </row>
    <row r="110" spans="2:12" x14ac:dyDescent="0.2">
      <c r="B110" s="61">
        <v>39507</v>
      </c>
      <c r="C110" s="63">
        <v>4.0303905909068509E-2</v>
      </c>
      <c r="D110" s="62">
        <v>2.7461672860831232E-2</v>
      </c>
      <c r="F110" s="62"/>
      <c r="H110" s="62"/>
      <c r="J110" s="67"/>
      <c r="K110" s="90"/>
      <c r="L110" s="90"/>
    </row>
    <row r="111" spans="2:12" x14ac:dyDescent="0.2">
      <c r="B111" s="61">
        <v>39538</v>
      </c>
      <c r="C111" s="63">
        <v>3.244250437241801E-2</v>
      </c>
      <c r="D111" s="62">
        <v>1.9037555292700015E-2</v>
      </c>
      <c r="F111" s="62"/>
      <c r="H111" s="62"/>
      <c r="J111" s="67"/>
      <c r="K111" s="90"/>
      <c r="L111" s="90"/>
    </row>
    <row r="112" spans="2:12" x14ac:dyDescent="0.2">
      <c r="B112" s="61">
        <v>39568</v>
      </c>
      <c r="C112" s="63">
        <v>3.9764054710611244E-2</v>
      </c>
      <c r="D112" s="62">
        <v>2.6007256561989545E-2</v>
      </c>
      <c r="F112" s="62"/>
      <c r="H112" s="62"/>
      <c r="J112" s="67"/>
      <c r="K112" s="90"/>
      <c r="L112" s="90"/>
    </row>
    <row r="113" spans="2:12" x14ac:dyDescent="0.2">
      <c r="B113" s="61">
        <v>39599</v>
      </c>
      <c r="C113" s="63">
        <v>4.2500000000000003E-2</v>
      </c>
      <c r="D113" s="62">
        <v>2.8487882226032157E-2</v>
      </c>
      <c r="F113" s="62"/>
      <c r="H113" s="62"/>
      <c r="J113" s="67"/>
      <c r="K113" s="90"/>
      <c r="L113" s="90"/>
    </row>
    <row r="114" spans="2:12" x14ac:dyDescent="0.2">
      <c r="B114" s="61">
        <v>39629</v>
      </c>
      <c r="C114" s="62">
        <v>2.7672873595805437E-2</v>
      </c>
      <c r="D114" s="62">
        <v>1.358501620340391E-2</v>
      </c>
      <c r="F114" s="62"/>
      <c r="H114" s="62"/>
      <c r="J114" s="67"/>
      <c r="K114" s="90"/>
      <c r="L114" s="90"/>
    </row>
    <row r="115" spans="2:12" x14ac:dyDescent="0.2">
      <c r="B115" s="61">
        <v>39660</v>
      </c>
      <c r="C115" s="62">
        <v>2.5698025510801501E-2</v>
      </c>
      <c r="D115" s="62">
        <v>1.1878917786482424E-2</v>
      </c>
      <c r="F115" s="62"/>
      <c r="H115" s="62"/>
      <c r="J115" s="67"/>
      <c r="K115" s="90"/>
      <c r="L115" s="90"/>
    </row>
    <row r="116" spans="2:12" x14ac:dyDescent="0.2">
      <c r="B116" s="61">
        <v>39691</v>
      </c>
      <c r="C116" s="62">
        <v>2.7445335039780076E-2</v>
      </c>
      <c r="D116" s="62">
        <v>1.3558157509492297E-2</v>
      </c>
      <c r="F116" s="62"/>
      <c r="H116" s="62"/>
      <c r="J116" s="67"/>
      <c r="K116" s="90"/>
      <c r="L116" s="90"/>
    </row>
    <row r="117" spans="2:12" x14ac:dyDescent="0.2">
      <c r="B117" s="61">
        <v>39721</v>
      </c>
      <c r="C117" s="62">
        <v>1.250261342755922E-2</v>
      </c>
      <c r="D117" s="62">
        <v>-1.8499898710262475E-3</v>
      </c>
      <c r="F117" s="62"/>
      <c r="H117" s="62"/>
      <c r="J117" s="67"/>
      <c r="K117" s="90"/>
      <c r="L117" s="90"/>
    </row>
    <row r="118" spans="2:12" x14ac:dyDescent="0.2">
      <c r="B118" s="61">
        <v>39752</v>
      </c>
      <c r="C118" s="62">
        <v>-7.5383875148255456E-3</v>
      </c>
      <c r="D118" s="62">
        <v>-2.1634276779328276E-2</v>
      </c>
      <c r="F118" s="62"/>
      <c r="H118" s="62"/>
      <c r="J118" s="67"/>
      <c r="K118" s="90"/>
      <c r="L118" s="90"/>
    </row>
    <row r="119" spans="2:12" x14ac:dyDescent="0.2">
      <c r="B119" s="61">
        <v>39782</v>
      </c>
      <c r="C119" s="62">
        <v>-1.1504305720920358E-2</v>
      </c>
      <c r="D119" s="62">
        <v>-2.4876939720925084E-2</v>
      </c>
      <c r="F119" s="62"/>
      <c r="H119" s="62"/>
      <c r="J119" s="67"/>
      <c r="K119" s="90"/>
      <c r="L119" s="90"/>
    </row>
    <row r="120" spans="2:12" x14ac:dyDescent="0.2">
      <c r="B120" s="61">
        <v>39813</v>
      </c>
      <c r="C120" s="62">
        <v>-8.1448477384566571E-3</v>
      </c>
      <c r="D120" s="62">
        <v>-2.0525774681651843E-2</v>
      </c>
      <c r="E120" s="63">
        <v>3.5105043945312511E-2</v>
      </c>
      <c r="F120" s="62">
        <v>2.2184246086472958E-2</v>
      </c>
      <c r="H120" s="62"/>
      <c r="J120" s="67"/>
      <c r="K120" s="90"/>
      <c r="L120" s="90"/>
    </row>
    <row r="121" spans="2:12" x14ac:dyDescent="0.2">
      <c r="B121" s="61">
        <v>39844</v>
      </c>
      <c r="C121" s="224">
        <v>-1.0905817471719459E-2</v>
      </c>
      <c r="D121" s="62">
        <v>-2.2917707176761448E-2</v>
      </c>
      <c r="F121" s="62"/>
      <c r="H121" s="62"/>
      <c r="J121" s="67"/>
      <c r="K121" s="90"/>
      <c r="L121" s="90"/>
    </row>
    <row r="122" spans="2:12" x14ac:dyDescent="0.2">
      <c r="B122" s="61">
        <v>39872</v>
      </c>
      <c r="C122" s="224">
        <v>-1.1421187647476256E-2</v>
      </c>
      <c r="D122" s="62">
        <v>-2.3372180736469406E-2</v>
      </c>
      <c r="F122" s="62"/>
      <c r="H122" s="62"/>
      <c r="J122" s="67"/>
      <c r="K122" s="90"/>
      <c r="L122" s="90"/>
    </row>
    <row r="123" spans="2:12" x14ac:dyDescent="0.2">
      <c r="B123" s="61">
        <v>39903</v>
      </c>
      <c r="C123" s="224">
        <v>-1.1433679364785697E-2</v>
      </c>
      <c r="D123" s="62">
        <v>-2.3511776323394629E-2</v>
      </c>
      <c r="F123" s="62"/>
      <c r="H123" s="62"/>
      <c r="J123" s="67"/>
      <c r="K123" s="90"/>
      <c r="L123" s="90"/>
    </row>
    <row r="124" spans="2:12" x14ac:dyDescent="0.2">
      <c r="B124" s="61">
        <v>39933</v>
      </c>
      <c r="C124" s="224">
        <v>5.8475468159503363E-3</v>
      </c>
      <c r="D124" s="62">
        <v>-6.4777286344437357E-3</v>
      </c>
      <c r="F124" s="62"/>
      <c r="H124" s="62"/>
      <c r="J124" s="67"/>
      <c r="K124" s="90"/>
      <c r="L124" s="90"/>
    </row>
    <row r="125" spans="2:12" x14ac:dyDescent="0.2">
      <c r="B125" s="61">
        <v>39964</v>
      </c>
      <c r="C125" s="224">
        <v>1.1170524943810163E-2</v>
      </c>
      <c r="D125" s="62">
        <v>-1.1924484536891544E-3</v>
      </c>
      <c r="F125" s="62"/>
      <c r="H125" s="62"/>
      <c r="J125" s="67"/>
      <c r="K125" s="90"/>
      <c r="L125" s="90"/>
    </row>
    <row r="126" spans="2:12" x14ac:dyDescent="0.2">
      <c r="B126" s="61">
        <v>39994</v>
      </c>
      <c r="C126" s="224">
        <v>1.3029093251482361E-2</v>
      </c>
      <c r="D126" s="62">
        <v>5.473128672552896E-4</v>
      </c>
      <c r="F126" s="62"/>
      <c r="H126" s="62"/>
      <c r="J126" s="67"/>
      <c r="K126" s="90"/>
      <c r="L126" s="90"/>
    </row>
    <row r="127" spans="2:12" x14ac:dyDescent="0.2">
      <c r="B127" s="61">
        <v>40025</v>
      </c>
      <c r="C127" s="224">
        <v>1.8901288726589967E-2</v>
      </c>
      <c r="D127" s="62">
        <v>6.7386723308759944E-3</v>
      </c>
      <c r="F127" s="62"/>
      <c r="H127" s="62"/>
      <c r="J127" s="67"/>
      <c r="K127" s="90"/>
      <c r="L127" s="90"/>
    </row>
    <row r="128" spans="2:12" x14ac:dyDescent="0.2">
      <c r="B128" s="61">
        <v>40056</v>
      </c>
      <c r="C128" s="224">
        <v>2.1092283118913844E-2</v>
      </c>
      <c r="D128" s="62">
        <v>8.8289205702789531E-3</v>
      </c>
      <c r="F128" s="62"/>
      <c r="H128" s="62"/>
      <c r="J128" s="67"/>
      <c r="K128" s="90"/>
      <c r="L128" s="90"/>
    </row>
    <row r="129" spans="2:12" x14ac:dyDescent="0.2">
      <c r="B129" s="61">
        <v>40086</v>
      </c>
      <c r="C129" s="224">
        <v>2.4270381294047346E-2</v>
      </c>
      <c r="D129" s="62">
        <v>1.1823532400842218E-2</v>
      </c>
      <c r="F129" s="62"/>
      <c r="H129" s="62"/>
      <c r="J129" s="67"/>
      <c r="K129" s="90"/>
      <c r="L129" s="90"/>
    </row>
    <row r="130" spans="2:12" x14ac:dyDescent="0.2">
      <c r="B130" s="61">
        <v>40117</v>
      </c>
      <c r="C130" s="224">
        <v>2.6668072977410431E-2</v>
      </c>
      <c r="D130" s="62">
        <v>1.4087793226733147E-2</v>
      </c>
      <c r="F130" s="62"/>
      <c r="H130" s="62"/>
      <c r="J130" s="67"/>
      <c r="K130" s="90"/>
      <c r="L130" s="90"/>
    </row>
    <row r="131" spans="2:12" x14ac:dyDescent="0.2">
      <c r="B131" s="61">
        <v>40147</v>
      </c>
      <c r="C131" s="224">
        <v>2.8385516527609313E-2</v>
      </c>
      <c r="D131" s="62">
        <v>1.5873251118418308E-2</v>
      </c>
      <c r="F131" s="62"/>
      <c r="H131" s="62"/>
      <c r="J131" s="67"/>
      <c r="K131" s="90"/>
      <c r="L131" s="90"/>
    </row>
    <row r="132" spans="2:12" x14ac:dyDescent="0.2">
      <c r="B132" s="61">
        <v>40178</v>
      </c>
      <c r="C132" s="224">
        <v>3.1944349909616948E-2</v>
      </c>
      <c r="D132" s="62">
        <v>1.9308385716834797E-2</v>
      </c>
      <c r="E132" s="63">
        <v>2.79359130859375E-2</v>
      </c>
      <c r="F132" s="62">
        <v>1.5349031447052131E-2</v>
      </c>
      <c r="H132" s="62"/>
      <c r="J132" s="67"/>
      <c r="K132" s="90"/>
      <c r="L132" s="90"/>
    </row>
    <row r="133" spans="2:12" x14ac:dyDescent="0.2">
      <c r="B133" s="61">
        <v>40209</v>
      </c>
      <c r="C133" s="224">
        <v>3.0703852564881555E-2</v>
      </c>
      <c r="D133" s="62">
        <v>1.8584471684042425E-2</v>
      </c>
      <c r="F133" s="62"/>
      <c r="H133" s="62"/>
      <c r="J133" s="67"/>
      <c r="K133" s="90"/>
      <c r="L133" s="90"/>
    </row>
    <row r="134" spans="2:12" x14ac:dyDescent="0.2">
      <c r="B134" s="61">
        <v>40237</v>
      </c>
      <c r="C134" s="224">
        <v>2.7390350802765685E-2</v>
      </c>
      <c r="D134" s="62">
        <v>1.4971511735579091E-2</v>
      </c>
      <c r="F134" s="62"/>
      <c r="H134" s="62"/>
      <c r="J134" s="67"/>
      <c r="K134" s="90"/>
      <c r="L134" s="90"/>
    </row>
    <row r="135" spans="2:12" x14ac:dyDescent="0.2">
      <c r="B135" s="160">
        <v>40268</v>
      </c>
      <c r="C135" s="242">
        <v>3.669809625032866E-2</v>
      </c>
      <c r="D135" s="62">
        <v>2.4071410714172625E-2</v>
      </c>
      <c r="F135" s="62"/>
      <c r="H135" s="62"/>
      <c r="J135" s="67"/>
      <c r="K135" s="90"/>
      <c r="L135" s="90"/>
    </row>
    <row r="136" spans="2:12" x14ac:dyDescent="0.2">
      <c r="B136" s="160">
        <v>40298</v>
      </c>
      <c r="C136" s="242">
        <v>3.8628510169618754E-2</v>
      </c>
      <c r="D136" s="62">
        <v>2.603844629148E-2</v>
      </c>
      <c r="F136" s="62"/>
      <c r="H136" s="62"/>
      <c r="J136" s="67"/>
      <c r="K136" s="90"/>
      <c r="L136" s="90"/>
    </row>
    <row r="137" spans="2:12" x14ac:dyDescent="0.2">
      <c r="B137" s="160">
        <v>40329</v>
      </c>
      <c r="C137" s="161">
        <v>3.3225234782453976E-2</v>
      </c>
      <c r="D137" s="62">
        <v>2.0644845305179516E-2</v>
      </c>
      <c r="F137" s="62"/>
      <c r="H137" s="62"/>
      <c r="J137" s="67"/>
      <c r="K137" s="90"/>
      <c r="L137" s="90"/>
    </row>
    <row r="138" spans="2:12" x14ac:dyDescent="0.2">
      <c r="B138" s="160">
        <v>40359</v>
      </c>
      <c r="C138" s="161">
        <v>3.0566288151634442E-2</v>
      </c>
      <c r="D138" s="62">
        <v>1.8075096199156038E-2</v>
      </c>
      <c r="F138" s="62"/>
      <c r="H138" s="62"/>
      <c r="J138" s="67"/>
      <c r="K138" s="90"/>
      <c r="L138" s="90"/>
    </row>
    <row r="139" spans="2:12" x14ac:dyDescent="0.2">
      <c r="B139" s="160">
        <v>40390</v>
      </c>
      <c r="C139" s="161">
        <v>3.2312782361443991E-2</v>
      </c>
      <c r="D139" s="62">
        <v>2.0071045031447188E-2</v>
      </c>
      <c r="F139" s="62"/>
      <c r="H139" s="62"/>
      <c r="J139" s="67"/>
      <c r="K139" s="90"/>
      <c r="L139" s="90"/>
    </row>
    <row r="140" spans="2:12" x14ac:dyDescent="0.2">
      <c r="B140" s="160">
        <v>40421</v>
      </c>
      <c r="C140" s="161">
        <v>2.9506999372779858E-2</v>
      </c>
      <c r="D140" s="62">
        <v>1.7359436795189032E-2</v>
      </c>
      <c r="F140" s="62"/>
      <c r="H140" s="224"/>
      <c r="J140" s="67"/>
      <c r="K140" s="90"/>
      <c r="L140" s="90"/>
    </row>
    <row r="141" spans="2:12" x14ac:dyDescent="0.2">
      <c r="B141" s="160">
        <v>40451</v>
      </c>
      <c r="C141" s="161">
        <v>3.335931017917132E-2</v>
      </c>
      <c r="D141" s="62">
        <v>2.0682496548403373E-2</v>
      </c>
      <c r="F141" s="62"/>
      <c r="H141" s="224"/>
      <c r="J141" s="67"/>
      <c r="K141" s="90"/>
      <c r="L141" s="90"/>
    </row>
    <row r="142" spans="2:12" x14ac:dyDescent="0.2">
      <c r="B142" s="160">
        <v>40482</v>
      </c>
      <c r="C142" s="161">
        <v>3.5975209023492986E-2</v>
      </c>
      <c r="D142" s="62">
        <v>2.3125833495651227E-2</v>
      </c>
      <c r="F142" s="62"/>
      <c r="H142" s="224"/>
      <c r="J142" s="67"/>
      <c r="K142" s="90"/>
      <c r="L142" s="90"/>
    </row>
    <row r="143" spans="2:12" x14ac:dyDescent="0.2">
      <c r="B143" s="160">
        <v>40512</v>
      </c>
      <c r="C143" s="161">
        <v>3.7473871553749323E-2</v>
      </c>
      <c r="D143" s="62">
        <v>2.4458909450991939E-2</v>
      </c>
      <c r="F143" s="62"/>
      <c r="H143" s="224"/>
      <c r="J143" s="67"/>
      <c r="K143" s="90"/>
      <c r="L143" s="90"/>
    </row>
    <row r="144" spans="2:12" x14ac:dyDescent="0.2">
      <c r="B144" s="160">
        <v>40543</v>
      </c>
      <c r="C144" s="161">
        <v>4.2412769241055637E-2</v>
      </c>
      <c r="D144" s="62">
        <v>2.8949994981807947E-2</v>
      </c>
      <c r="E144" s="226">
        <v>2.15332568359375E-2</v>
      </c>
      <c r="F144" s="226">
        <v>8.3401417466919536E-3</v>
      </c>
      <c r="H144" s="62"/>
      <c r="J144" s="67"/>
      <c r="K144" s="90"/>
    </row>
    <row r="145" spans="2:11" x14ac:dyDescent="0.2">
      <c r="B145" s="160">
        <v>40574</v>
      </c>
      <c r="C145" s="176">
        <v>3.8442396321812032E-2</v>
      </c>
      <c r="D145" s="62">
        <v>2.5641282056729553E-2</v>
      </c>
      <c r="F145" s="62"/>
      <c r="H145" s="62"/>
      <c r="J145" s="67"/>
      <c r="K145" s="90"/>
    </row>
    <row r="146" spans="2:11" x14ac:dyDescent="0.2">
      <c r="B146" s="160">
        <v>40602</v>
      </c>
      <c r="C146" s="161">
        <v>3.8625571906551304E-2</v>
      </c>
      <c r="D146" s="62">
        <v>2.5498098365235977E-2</v>
      </c>
      <c r="F146" s="62"/>
      <c r="H146" s="62"/>
      <c r="J146" s="67"/>
      <c r="K146" s="90"/>
    </row>
    <row r="147" spans="2:11" x14ac:dyDescent="0.2">
      <c r="B147" s="160">
        <v>40633</v>
      </c>
      <c r="C147" s="161">
        <v>3.905410892308208E-2</v>
      </c>
      <c r="D147" s="62">
        <v>2.5557541452574606E-2</v>
      </c>
      <c r="F147" s="62"/>
      <c r="H147" s="62"/>
      <c r="J147" s="67"/>
      <c r="K147" s="90"/>
    </row>
    <row r="148" spans="2:11" x14ac:dyDescent="0.2">
      <c r="B148" s="160">
        <v>40663</v>
      </c>
      <c r="C148" s="161">
        <v>3.9851568220885765E-2</v>
      </c>
      <c r="D148" s="62">
        <v>2.61421381643685E-2</v>
      </c>
      <c r="F148" s="62"/>
      <c r="H148" s="62"/>
      <c r="J148" s="67"/>
      <c r="K148" s="90"/>
    </row>
    <row r="149" spans="2:11" x14ac:dyDescent="0.2">
      <c r="B149" s="160">
        <v>40694</v>
      </c>
      <c r="C149" s="161">
        <v>3.8890105359171354E-2</v>
      </c>
      <c r="D149" s="62">
        <v>2.5145744937958403E-2</v>
      </c>
      <c r="F149" s="62"/>
      <c r="H149" s="62"/>
      <c r="J149" s="67"/>
      <c r="K149" s="90"/>
    </row>
    <row r="150" spans="2:11" x14ac:dyDescent="0.2">
      <c r="B150" s="160">
        <v>40724</v>
      </c>
      <c r="C150" s="161">
        <v>3.7436450723536942E-2</v>
      </c>
      <c r="D150" s="62">
        <v>2.3929728238789583E-2</v>
      </c>
      <c r="F150" s="62"/>
      <c r="H150" s="62"/>
      <c r="J150" s="67"/>
      <c r="K150" s="90"/>
    </row>
    <row r="151" spans="2:11" x14ac:dyDescent="0.2">
      <c r="B151" s="160">
        <v>40755</v>
      </c>
      <c r="C151" s="161">
        <v>3.4277375851144785E-2</v>
      </c>
      <c r="D151" s="62">
        <v>2.0909664735007993E-2</v>
      </c>
      <c r="F151" s="62"/>
      <c r="H151" s="62"/>
      <c r="J151" s="67"/>
      <c r="K151" s="90"/>
    </row>
    <row r="152" spans="2:11" x14ac:dyDescent="0.2">
      <c r="B152" s="160">
        <v>40786</v>
      </c>
      <c r="C152" s="161">
        <v>2.3176244540428031E-2</v>
      </c>
      <c r="D152" s="62">
        <v>9.9986986813036527E-3</v>
      </c>
      <c r="F152" s="62"/>
      <c r="H152" s="62"/>
      <c r="J152" s="67"/>
      <c r="K152" s="90"/>
    </row>
    <row r="153" spans="2:11" x14ac:dyDescent="0.2">
      <c r="B153" s="160">
        <v>40816</v>
      </c>
      <c r="C153" s="163">
        <v>1.6991182799443404E-2</v>
      </c>
      <c r="D153" s="62">
        <v>3.5362049089282532E-3</v>
      </c>
      <c r="H153" s="62"/>
      <c r="J153" s="67"/>
      <c r="K153" s="90"/>
    </row>
    <row r="154" spans="2:11" x14ac:dyDescent="0.2">
      <c r="B154" s="160">
        <v>40847</v>
      </c>
      <c r="C154" s="62">
        <v>2.4613764648437501E-2</v>
      </c>
      <c r="D154" s="62">
        <v>1.1123333942320901E-2</v>
      </c>
      <c r="H154" s="62"/>
      <c r="J154" s="67"/>
      <c r="K154" s="90"/>
    </row>
    <row r="155" spans="2:11" x14ac:dyDescent="0.2">
      <c r="B155" s="160">
        <v>40877</v>
      </c>
      <c r="C155" s="62">
        <v>2.3371118164062503E-2</v>
      </c>
      <c r="D155" s="62">
        <v>9.8214578965045707E-3</v>
      </c>
      <c r="H155" s="62"/>
    </row>
    <row r="156" spans="2:11" x14ac:dyDescent="0.2">
      <c r="B156" s="160">
        <v>40908</v>
      </c>
      <c r="C156" s="62">
        <v>2.412726074218751E-2</v>
      </c>
      <c r="D156" s="62">
        <v>1.0515910236677195E-2</v>
      </c>
      <c r="E156" s="226">
        <v>2.0072153320312508E-2</v>
      </c>
      <c r="F156" s="62">
        <v>6.5146979610135602E-3</v>
      </c>
      <c r="H156" s="62"/>
    </row>
    <row r="157" spans="2:11" x14ac:dyDescent="0.2">
      <c r="B157" s="160">
        <v>40939</v>
      </c>
      <c r="C157" s="62">
        <v>3.1015268554687503E-2</v>
      </c>
    </row>
  </sheetData>
  <mergeCells count="4">
    <mergeCell ref="C21:C22"/>
    <mergeCell ref="E21:E22"/>
    <mergeCell ref="D21:D22"/>
    <mergeCell ref="F21:F22"/>
  </mergeCells>
  <phoneticPr fontId="5" type="noConversion"/>
  <pageMargins left="0.1" right="0.11" top="1" bottom="1" header="0.5" footer="0.5"/>
  <pageSetup scale="85" orientation="landscape" r:id="rId1"/>
  <headerFooter alignWithMargins="0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7"/>
  <dimension ref="A1:T88"/>
  <sheetViews>
    <sheetView showGridLines="0" showRowColHeaders="0" workbookViewId="0">
      <pane ySplit="11" topLeftCell="A12" activePane="bottomLeft" state="frozen"/>
      <selection pane="bottomLeft"/>
    </sheetView>
  </sheetViews>
  <sheetFormatPr defaultRowHeight="12.75" x14ac:dyDescent="0.2"/>
  <cols>
    <col min="1" max="1" width="2.85546875" style="44" customWidth="1"/>
    <col min="2" max="2" width="26" style="44" customWidth="1"/>
    <col min="3" max="9" width="8.85546875" style="50" customWidth="1"/>
    <col min="10" max="13" width="8.85546875" style="44" customWidth="1"/>
    <col min="14" max="14" width="12.85546875" style="44" bestFit="1" customWidth="1"/>
    <col min="15" max="21" width="10.7109375" style="44" customWidth="1"/>
    <col min="22" max="42" width="10.140625" style="44" customWidth="1"/>
    <col min="43" max="16384" width="9.140625" style="44"/>
  </cols>
  <sheetData>
    <row r="1" spans="1:20" x14ac:dyDescent="0.2">
      <c r="A1" s="44" t="s">
        <v>777</v>
      </c>
    </row>
    <row r="2" spans="1:20" ht="18" x14ac:dyDescent="0.25">
      <c r="B2" s="230" t="s">
        <v>1075</v>
      </c>
      <c r="P2" s="46"/>
    </row>
    <row r="4" spans="1:20" x14ac:dyDescent="0.2">
      <c r="B4" s="47" t="s">
        <v>1056</v>
      </c>
      <c r="P4" s="47"/>
    </row>
    <row r="5" spans="1:20" x14ac:dyDescent="0.2">
      <c r="B5" s="47" t="s">
        <v>777</v>
      </c>
      <c r="P5" s="47"/>
    </row>
    <row r="6" spans="1:20" x14ac:dyDescent="0.2">
      <c r="B6" s="47" t="s">
        <v>1057</v>
      </c>
      <c r="P6" s="47"/>
    </row>
    <row r="7" spans="1:20" s="83" customFormat="1" x14ac:dyDescent="0.2">
      <c r="B7" s="47"/>
      <c r="C7" s="82"/>
      <c r="D7" s="82"/>
      <c r="E7" s="82"/>
      <c r="F7" s="82"/>
      <c r="G7" s="82"/>
      <c r="H7" s="82"/>
      <c r="I7" s="82"/>
      <c r="P7" s="55"/>
    </row>
    <row r="8" spans="1:20" s="83" customFormat="1" x14ac:dyDescent="0.2">
      <c r="B8" s="47" t="s">
        <v>1058</v>
      </c>
      <c r="C8" s="82"/>
      <c r="D8" s="82"/>
      <c r="E8" s="82"/>
      <c r="F8" s="82"/>
      <c r="G8" s="82"/>
      <c r="H8" s="82"/>
      <c r="I8" s="82"/>
    </row>
    <row r="9" spans="1:20" s="83" customFormat="1" ht="39" customHeight="1" x14ac:dyDescent="0.2">
      <c r="C9" s="82"/>
      <c r="D9" s="82"/>
      <c r="E9" s="82"/>
      <c r="F9" s="82"/>
      <c r="G9" s="82"/>
      <c r="H9" s="82"/>
      <c r="I9" s="82"/>
    </row>
    <row r="10" spans="1:20" s="55" customFormat="1" ht="12.75" customHeight="1" x14ac:dyDescent="0.2">
      <c r="C10" s="54"/>
      <c r="D10" s="54"/>
      <c r="E10" s="54"/>
      <c r="F10" s="54"/>
      <c r="G10" s="54"/>
      <c r="H10" s="54"/>
      <c r="J10" s="53"/>
      <c r="K10" s="53"/>
      <c r="L10" s="53"/>
      <c r="M10" s="53"/>
      <c r="N10" s="53"/>
      <c r="O10" s="53"/>
      <c r="P10" s="53"/>
      <c r="Q10" s="53"/>
      <c r="R10" s="53"/>
      <c r="S10" s="53"/>
      <c r="T10" s="53"/>
    </row>
    <row r="11" spans="1:20" s="77" customFormat="1" x14ac:dyDescent="0.2">
      <c r="C11" s="78">
        <v>2001</v>
      </c>
      <c r="D11" s="78">
        <v>2002</v>
      </c>
      <c r="E11" s="78">
        <v>2003</v>
      </c>
      <c r="F11" s="78">
        <v>2004</v>
      </c>
      <c r="G11" s="78">
        <v>2005</v>
      </c>
      <c r="H11" s="79">
        <v>39082</v>
      </c>
      <c r="I11" s="78">
        <v>2007</v>
      </c>
      <c r="J11" s="78">
        <v>2008</v>
      </c>
      <c r="K11" s="84">
        <v>2009</v>
      </c>
      <c r="L11" s="84">
        <v>2010</v>
      </c>
      <c r="M11" s="84">
        <v>2011</v>
      </c>
      <c r="N11" s="258">
        <v>40939</v>
      </c>
      <c r="P11" s="80"/>
      <c r="Q11" s="85"/>
      <c r="R11" s="80"/>
    </row>
    <row r="12" spans="1:20" x14ac:dyDescent="0.2">
      <c r="B12" s="44" t="s">
        <v>479</v>
      </c>
      <c r="C12" s="63">
        <v>-0.111</v>
      </c>
      <c r="D12" s="62">
        <v>-0.31223079839764201</v>
      </c>
      <c r="E12" s="62">
        <v>0.1782730775091621</v>
      </c>
      <c r="F12" s="62">
        <v>8.7501758829949594E-2</v>
      </c>
      <c r="G12" s="62">
        <v>0.30552648011758543</v>
      </c>
      <c r="H12" s="62">
        <v>0.12140116450721394</v>
      </c>
      <c r="I12" s="62">
        <v>5.6636805614445285E-2</v>
      </c>
      <c r="J12" s="62">
        <v>-0.34156819000074978</v>
      </c>
      <c r="K12" s="62">
        <v>0.34685505788951732</v>
      </c>
      <c r="L12" s="176">
        <v>0.12151293044644662</v>
      </c>
      <c r="M12" s="62">
        <v>-0.10687426681227297</v>
      </c>
      <c r="N12" s="62">
        <v>5.8039755815538996E-2</v>
      </c>
      <c r="P12" s="76"/>
      <c r="Q12" s="86"/>
      <c r="S12" s="66"/>
    </row>
    <row r="13" spans="1:20" x14ac:dyDescent="0.2">
      <c r="B13" s="19" t="s">
        <v>807</v>
      </c>
      <c r="C13" s="63">
        <v>-0.106</v>
      </c>
      <c r="D13" s="63">
        <v>-0.26700000000000002</v>
      </c>
      <c r="E13" s="63">
        <v>0.187</v>
      </c>
      <c r="F13" s="63">
        <v>0.10100000000000001</v>
      </c>
      <c r="G13" s="63">
        <v>0.251</v>
      </c>
      <c r="H13" s="63">
        <v>0.105</v>
      </c>
      <c r="I13" s="63">
        <v>4.7E-2</v>
      </c>
      <c r="J13" s="62">
        <v>-0.36199999999999999</v>
      </c>
      <c r="K13" s="62">
        <v>0.35141800246609134</v>
      </c>
      <c r="L13" s="176">
        <v>0.14644453351666153</v>
      </c>
      <c r="M13" s="62">
        <v>-0.10536246609942557</v>
      </c>
      <c r="N13" s="62">
        <v>7.5060110134398839E-2</v>
      </c>
      <c r="P13" s="76"/>
      <c r="Q13" s="87"/>
      <c r="S13" s="66"/>
    </row>
    <row r="14" spans="1:20" x14ac:dyDescent="0.2">
      <c r="J14" s="50"/>
      <c r="K14" s="50"/>
      <c r="P14" s="88"/>
      <c r="Q14" s="89"/>
      <c r="S14" s="66"/>
    </row>
    <row r="15" spans="1:20" x14ac:dyDescent="0.2">
      <c r="L15" s="98"/>
      <c r="P15" s="88"/>
      <c r="Q15" s="89"/>
      <c r="S15" s="66"/>
    </row>
    <row r="16" spans="1:20" x14ac:dyDescent="0.2">
      <c r="B16" s="19" t="s">
        <v>1112</v>
      </c>
      <c r="L16" s="98"/>
      <c r="P16" s="88"/>
      <c r="Q16" s="89"/>
      <c r="S16" s="66"/>
    </row>
    <row r="17" spans="1:19" x14ac:dyDescent="0.2">
      <c r="B17" s="19" t="s">
        <v>1113</v>
      </c>
      <c r="L17" s="98"/>
      <c r="P17" s="76"/>
      <c r="Q17" s="90"/>
      <c r="S17" s="66"/>
    </row>
    <row r="18" spans="1:19" x14ac:dyDescent="0.2">
      <c r="A18" s="83"/>
      <c r="C18" s="177"/>
      <c r="D18" s="177"/>
      <c r="E18" s="177"/>
      <c r="F18" s="177"/>
      <c r="G18" s="177"/>
      <c r="H18" s="177"/>
      <c r="I18" s="177"/>
      <c r="J18" s="177"/>
      <c r="K18" s="177"/>
      <c r="L18" s="178"/>
      <c r="M18" s="83"/>
      <c r="P18" s="76"/>
      <c r="Q18" s="90"/>
      <c r="S18" s="66"/>
    </row>
    <row r="19" spans="1:19" x14ac:dyDescent="0.2">
      <c r="A19" s="83"/>
      <c r="F19" s="177"/>
      <c r="G19" s="177"/>
      <c r="H19" s="177"/>
      <c r="I19" s="177"/>
      <c r="J19" s="177"/>
      <c r="K19" s="177"/>
      <c r="L19" s="179"/>
      <c r="M19" s="83"/>
      <c r="P19" s="76"/>
      <c r="Q19" s="90"/>
      <c r="S19" s="66"/>
    </row>
    <row r="20" spans="1:19" x14ac:dyDescent="0.2">
      <c r="A20" s="83"/>
      <c r="F20" s="82"/>
      <c r="G20" s="82"/>
      <c r="H20" s="82"/>
      <c r="I20" s="82"/>
      <c r="J20" s="83"/>
      <c r="K20" s="83"/>
      <c r="L20" s="83"/>
      <c r="M20" s="83"/>
      <c r="P20" s="76"/>
      <c r="Q20" s="90"/>
      <c r="S20" s="66"/>
    </row>
    <row r="21" spans="1:19" x14ac:dyDescent="0.2">
      <c r="F21" s="62"/>
      <c r="G21" s="62"/>
      <c r="H21" s="62"/>
      <c r="I21" s="62"/>
      <c r="K21" s="65"/>
      <c r="L21" s="65"/>
      <c r="P21" s="76"/>
      <c r="Q21" s="90"/>
      <c r="S21" s="66"/>
    </row>
    <row r="22" spans="1:19" x14ac:dyDescent="0.2">
      <c r="B22" s="98"/>
      <c r="C22" s="98"/>
      <c r="D22" s="98"/>
      <c r="E22" s="177"/>
      <c r="F22" s="62"/>
      <c r="G22" s="62"/>
      <c r="H22" s="62"/>
      <c r="I22" s="62"/>
      <c r="K22" s="65"/>
      <c r="L22" s="65"/>
      <c r="P22" s="76"/>
      <c r="Q22" s="90"/>
      <c r="S22" s="66"/>
    </row>
    <row r="23" spans="1:19" x14ac:dyDescent="0.2">
      <c r="B23" s="98"/>
      <c r="C23" s="98"/>
      <c r="D23" s="98"/>
      <c r="E23" s="82"/>
      <c r="F23" s="98"/>
      <c r="G23" s="98"/>
      <c r="H23" s="62"/>
      <c r="I23" s="62"/>
      <c r="K23" s="65"/>
      <c r="L23" s="65"/>
      <c r="M23" s="76"/>
      <c r="P23" s="90"/>
      <c r="Q23" s="87"/>
    </row>
    <row r="24" spans="1:19" x14ac:dyDescent="0.2">
      <c r="B24" s="98"/>
      <c r="C24" s="98"/>
      <c r="D24" s="98"/>
      <c r="E24" s="62"/>
      <c r="F24" s="98"/>
      <c r="G24" s="98"/>
      <c r="H24" s="62"/>
      <c r="I24" s="62"/>
      <c r="K24" s="65"/>
      <c r="L24" s="65"/>
      <c r="M24" s="76"/>
      <c r="O24" s="66"/>
    </row>
    <row r="25" spans="1:19" x14ac:dyDescent="0.2">
      <c r="B25" s="98"/>
      <c r="C25" s="98"/>
      <c r="D25" s="98"/>
      <c r="E25" s="62"/>
      <c r="F25" s="98"/>
      <c r="G25" s="98"/>
      <c r="H25" s="62"/>
      <c r="I25" s="62"/>
      <c r="K25" s="65"/>
      <c r="L25" s="76"/>
      <c r="M25" s="90"/>
      <c r="N25" s="90"/>
    </row>
    <row r="26" spans="1:19" x14ac:dyDescent="0.2">
      <c r="B26" s="98"/>
      <c r="C26" s="98"/>
      <c r="D26" s="98"/>
      <c r="E26" s="98"/>
      <c r="F26" s="98"/>
      <c r="G26" s="98"/>
      <c r="H26" s="62"/>
      <c r="I26" s="62"/>
      <c r="J26" s="90"/>
      <c r="K26" s="65"/>
      <c r="M26" s="90"/>
      <c r="N26" s="66"/>
    </row>
    <row r="27" spans="1:19" x14ac:dyDescent="0.2">
      <c r="E27" s="98"/>
      <c r="F27" s="98"/>
      <c r="G27" s="98"/>
      <c r="H27" s="62"/>
      <c r="I27" s="62"/>
      <c r="K27" s="64"/>
      <c r="M27" s="90"/>
      <c r="N27" s="66"/>
    </row>
    <row r="28" spans="1:19" x14ac:dyDescent="0.2">
      <c r="B28" s="62"/>
      <c r="C28" s="62"/>
      <c r="D28" s="62"/>
      <c r="E28" s="62"/>
      <c r="F28" s="62"/>
      <c r="G28" s="62"/>
      <c r="H28" s="62"/>
      <c r="I28" s="62"/>
      <c r="K28" s="64"/>
      <c r="N28" s="66"/>
    </row>
    <row r="29" spans="1:19" x14ac:dyDescent="0.2">
      <c r="B29" s="62"/>
      <c r="C29" s="62"/>
      <c r="D29" s="62"/>
      <c r="E29" s="62"/>
      <c r="F29" s="62"/>
      <c r="G29" s="62"/>
      <c r="H29" s="62"/>
      <c r="I29" s="62"/>
      <c r="K29" s="64"/>
      <c r="N29" s="66"/>
    </row>
    <row r="30" spans="1:19" x14ac:dyDescent="0.2">
      <c r="B30" s="62"/>
      <c r="C30" s="62"/>
      <c r="D30" s="62"/>
      <c r="E30" s="62"/>
      <c r="F30" s="62"/>
      <c r="G30" s="62"/>
      <c r="H30" s="62"/>
      <c r="I30" s="62"/>
      <c r="K30" s="64"/>
      <c r="N30" s="66"/>
    </row>
    <row r="31" spans="1:19" x14ac:dyDescent="0.2">
      <c r="B31" s="62"/>
      <c r="C31" s="62"/>
      <c r="D31" s="62"/>
      <c r="E31" s="62"/>
      <c r="F31" s="62"/>
      <c r="G31" s="62"/>
      <c r="H31" s="62"/>
      <c r="I31" s="62"/>
      <c r="K31" s="64"/>
      <c r="N31" s="66"/>
    </row>
    <row r="32" spans="1:19" x14ac:dyDescent="0.2">
      <c r="B32" s="62"/>
      <c r="C32" s="62"/>
      <c r="D32" s="62"/>
      <c r="E32" s="62"/>
      <c r="F32" s="62"/>
      <c r="G32" s="62"/>
      <c r="H32" s="62"/>
      <c r="I32" s="62"/>
      <c r="K32" s="64"/>
      <c r="N32" s="66"/>
    </row>
    <row r="33" spans="2:14" ht="14.25" x14ac:dyDescent="0.2">
      <c r="B33" s="180"/>
      <c r="C33" s="62"/>
      <c r="D33" s="62"/>
      <c r="E33" s="62"/>
      <c r="F33" s="62"/>
      <c r="G33" s="62"/>
      <c r="H33" s="62"/>
      <c r="I33" s="62"/>
      <c r="K33" s="64"/>
      <c r="N33" s="66"/>
    </row>
    <row r="34" spans="2:14" x14ac:dyDescent="0.2">
      <c r="B34" s="62"/>
      <c r="C34" s="62"/>
      <c r="D34" s="62"/>
      <c r="E34" s="62"/>
      <c r="F34" s="62"/>
      <c r="G34" s="62"/>
      <c r="H34" s="62"/>
      <c r="I34" s="62"/>
      <c r="K34" s="64"/>
      <c r="N34" s="66"/>
    </row>
    <row r="35" spans="2:14" x14ac:dyDescent="0.2">
      <c r="B35" s="62"/>
      <c r="C35" s="62"/>
      <c r="D35" s="62"/>
      <c r="E35" s="62"/>
      <c r="F35" s="62"/>
      <c r="G35" s="62"/>
      <c r="H35" s="62"/>
      <c r="I35" s="62"/>
      <c r="K35" s="64"/>
      <c r="N35" s="66"/>
    </row>
    <row r="36" spans="2:14" x14ac:dyDescent="0.2">
      <c r="B36" s="62"/>
      <c r="C36" s="62"/>
      <c r="D36" s="62"/>
      <c r="E36" s="62"/>
      <c r="F36" s="62"/>
      <c r="G36" s="62"/>
      <c r="H36" s="62"/>
      <c r="I36" s="62"/>
      <c r="K36" s="64"/>
      <c r="N36" s="66"/>
    </row>
    <row r="37" spans="2:14" x14ac:dyDescent="0.2">
      <c r="B37" s="62"/>
      <c r="C37" s="62"/>
      <c r="D37" s="62"/>
      <c r="E37" s="62"/>
      <c r="F37" s="62"/>
      <c r="G37" s="62"/>
      <c r="H37" s="62"/>
      <c r="I37" s="62"/>
      <c r="K37" s="64"/>
      <c r="N37" s="66"/>
    </row>
    <row r="38" spans="2:14" x14ac:dyDescent="0.2">
      <c r="B38" s="62"/>
      <c r="C38" s="62"/>
      <c r="D38" s="62"/>
      <c r="E38" s="62"/>
      <c r="F38" s="62"/>
      <c r="G38" s="62"/>
      <c r="H38" s="62"/>
      <c r="I38" s="62"/>
      <c r="K38" s="64"/>
      <c r="N38" s="66"/>
    </row>
    <row r="39" spans="2:14" x14ac:dyDescent="0.2">
      <c r="B39" s="62"/>
      <c r="C39" s="62"/>
      <c r="D39" s="62"/>
      <c r="E39" s="62"/>
      <c r="F39" s="62"/>
      <c r="G39" s="62"/>
      <c r="H39" s="62"/>
      <c r="I39" s="62"/>
      <c r="K39" s="64"/>
      <c r="N39" s="66"/>
    </row>
    <row r="40" spans="2:14" x14ac:dyDescent="0.2">
      <c r="B40" s="62"/>
      <c r="C40" s="62"/>
      <c r="D40" s="62"/>
      <c r="E40" s="62"/>
      <c r="F40" s="62"/>
      <c r="G40" s="62"/>
      <c r="H40" s="62"/>
      <c r="I40" s="62"/>
      <c r="K40" s="64"/>
      <c r="N40" s="66"/>
    </row>
    <row r="41" spans="2:14" x14ac:dyDescent="0.2">
      <c r="B41" s="62"/>
      <c r="C41" s="62"/>
      <c r="D41" s="62"/>
      <c r="E41" s="62"/>
      <c r="F41" s="62"/>
      <c r="G41" s="62"/>
      <c r="H41" s="62"/>
      <c r="I41" s="62"/>
      <c r="K41" s="64"/>
      <c r="N41" s="66"/>
    </row>
    <row r="42" spans="2:14" x14ac:dyDescent="0.2">
      <c r="B42" s="62"/>
      <c r="C42" s="62"/>
      <c r="D42" s="62"/>
      <c r="E42" s="62"/>
      <c r="F42" s="62"/>
      <c r="G42" s="62"/>
      <c r="H42" s="62"/>
      <c r="I42" s="62"/>
      <c r="K42" s="64"/>
      <c r="N42" s="66"/>
    </row>
    <row r="43" spans="2:14" x14ac:dyDescent="0.2">
      <c r="B43" s="62"/>
      <c r="C43" s="62"/>
      <c r="D43" s="62"/>
      <c r="E43" s="62"/>
      <c r="F43" s="62"/>
      <c r="G43" s="62"/>
      <c r="H43" s="62"/>
      <c r="I43" s="62"/>
      <c r="K43" s="64"/>
      <c r="N43" s="66"/>
    </row>
    <row r="44" spans="2:14" x14ac:dyDescent="0.2">
      <c r="B44" s="62"/>
      <c r="C44" s="62"/>
      <c r="D44" s="62"/>
      <c r="E44" s="62"/>
      <c r="F44" s="62"/>
      <c r="G44" s="62"/>
      <c r="H44" s="62"/>
      <c r="I44" s="62"/>
      <c r="K44" s="64"/>
      <c r="N44" s="66"/>
    </row>
    <row r="45" spans="2:14" x14ac:dyDescent="0.2">
      <c r="B45" s="62"/>
      <c r="C45" s="62"/>
      <c r="D45" s="62"/>
      <c r="E45" s="62"/>
      <c r="F45" s="62"/>
      <c r="G45" s="62"/>
      <c r="H45" s="62"/>
      <c r="I45" s="62"/>
      <c r="K45" s="64"/>
      <c r="N45" s="66"/>
    </row>
    <row r="46" spans="2:14" x14ac:dyDescent="0.2">
      <c r="B46" s="62"/>
      <c r="C46" s="62"/>
      <c r="D46" s="62"/>
      <c r="E46" s="62"/>
      <c r="F46" s="62"/>
      <c r="G46" s="62"/>
      <c r="H46" s="62"/>
      <c r="I46" s="62"/>
      <c r="K46" s="64"/>
      <c r="N46" s="66"/>
    </row>
    <row r="47" spans="2:14" x14ac:dyDescent="0.2">
      <c r="B47" s="62"/>
      <c r="C47" s="62"/>
      <c r="D47" s="62"/>
      <c r="E47" s="62"/>
      <c r="F47" s="62"/>
      <c r="G47" s="62"/>
      <c r="H47" s="62"/>
      <c r="I47" s="62"/>
      <c r="K47" s="64"/>
      <c r="N47" s="66"/>
    </row>
    <row r="48" spans="2:14" x14ac:dyDescent="0.2">
      <c r="B48" s="62"/>
      <c r="C48" s="62"/>
      <c r="D48" s="62"/>
      <c r="E48" s="62"/>
      <c r="F48" s="62"/>
      <c r="G48" s="62"/>
      <c r="H48" s="62"/>
      <c r="I48" s="62"/>
      <c r="K48" s="64"/>
      <c r="N48" s="66"/>
    </row>
    <row r="49" spans="2:14" x14ac:dyDescent="0.2">
      <c r="B49" s="62"/>
      <c r="C49" s="62"/>
      <c r="D49" s="62"/>
      <c r="E49" s="62"/>
      <c r="F49" s="62"/>
      <c r="G49" s="62"/>
      <c r="H49" s="62"/>
      <c r="I49" s="62"/>
      <c r="K49" s="64"/>
      <c r="N49" s="66"/>
    </row>
    <row r="50" spans="2:14" x14ac:dyDescent="0.2">
      <c r="B50" s="62"/>
      <c r="C50" s="62"/>
      <c r="D50" s="62"/>
      <c r="E50" s="62"/>
      <c r="F50" s="62"/>
      <c r="G50" s="62"/>
      <c r="H50" s="62"/>
      <c r="I50" s="62"/>
      <c r="K50" s="64"/>
      <c r="N50" s="66"/>
    </row>
    <row r="51" spans="2:14" x14ac:dyDescent="0.2">
      <c r="B51" s="62"/>
      <c r="C51" s="62"/>
      <c r="D51" s="62"/>
      <c r="E51" s="62"/>
      <c r="F51" s="62"/>
      <c r="G51" s="62"/>
      <c r="H51" s="62"/>
      <c r="I51" s="62"/>
      <c r="K51" s="64"/>
      <c r="N51" s="66"/>
    </row>
    <row r="52" spans="2:14" x14ac:dyDescent="0.2">
      <c r="B52" s="62"/>
      <c r="C52" s="62"/>
      <c r="D52" s="62"/>
      <c r="E52" s="62"/>
      <c r="F52" s="62"/>
      <c r="G52" s="62"/>
      <c r="H52" s="62"/>
      <c r="I52" s="62"/>
      <c r="K52" s="64"/>
      <c r="N52" s="66"/>
    </row>
    <row r="53" spans="2:14" x14ac:dyDescent="0.2">
      <c r="B53" s="62"/>
      <c r="C53" s="62"/>
      <c r="D53" s="62"/>
      <c r="E53" s="62"/>
      <c r="F53" s="62"/>
      <c r="G53" s="62"/>
      <c r="H53" s="62"/>
      <c r="I53" s="62"/>
      <c r="K53" s="64"/>
      <c r="N53" s="66"/>
    </row>
    <row r="54" spans="2:14" x14ac:dyDescent="0.2">
      <c r="B54" s="62"/>
      <c r="C54" s="62"/>
      <c r="D54" s="62"/>
      <c r="E54" s="62"/>
      <c r="F54" s="62"/>
      <c r="G54" s="62"/>
      <c r="H54" s="62"/>
      <c r="I54" s="62"/>
      <c r="K54" s="64"/>
      <c r="N54" s="66"/>
    </row>
    <row r="55" spans="2:14" x14ac:dyDescent="0.2">
      <c r="B55" s="62"/>
      <c r="C55" s="62"/>
      <c r="D55" s="62"/>
      <c r="E55" s="62"/>
      <c r="F55" s="62"/>
      <c r="G55" s="62"/>
      <c r="H55" s="62"/>
      <c r="I55" s="62"/>
      <c r="K55" s="64"/>
      <c r="N55" s="66"/>
    </row>
    <row r="56" spans="2:14" x14ac:dyDescent="0.2">
      <c r="B56" s="62"/>
      <c r="C56" s="62"/>
      <c r="D56" s="62"/>
      <c r="E56" s="62"/>
      <c r="F56" s="62"/>
      <c r="G56" s="62"/>
      <c r="H56" s="62"/>
      <c r="I56" s="62"/>
      <c r="K56" s="64"/>
      <c r="N56" s="66"/>
    </row>
    <row r="57" spans="2:14" x14ac:dyDescent="0.2">
      <c r="B57" s="62"/>
      <c r="C57" s="62"/>
      <c r="D57" s="62"/>
      <c r="E57" s="62"/>
      <c r="F57" s="62"/>
      <c r="G57" s="62"/>
      <c r="H57" s="62"/>
      <c r="I57" s="62"/>
      <c r="K57" s="64"/>
      <c r="N57" s="66"/>
    </row>
    <row r="58" spans="2:14" x14ac:dyDescent="0.2">
      <c r="B58" s="62"/>
      <c r="C58" s="62"/>
      <c r="D58" s="62"/>
      <c r="E58" s="62"/>
      <c r="F58" s="62"/>
      <c r="G58" s="62"/>
      <c r="H58" s="62"/>
      <c r="I58" s="62"/>
      <c r="K58" s="64"/>
      <c r="N58" s="66"/>
    </row>
    <row r="59" spans="2:14" x14ac:dyDescent="0.2">
      <c r="B59" s="62"/>
      <c r="C59" s="62"/>
      <c r="D59" s="62"/>
      <c r="E59" s="62"/>
      <c r="F59" s="62"/>
      <c r="G59" s="62"/>
      <c r="H59" s="62"/>
      <c r="I59" s="62"/>
      <c r="K59" s="64"/>
      <c r="N59" s="66"/>
    </row>
    <row r="60" spans="2:14" x14ac:dyDescent="0.2">
      <c r="B60" s="62"/>
      <c r="C60" s="62"/>
      <c r="D60" s="62"/>
      <c r="E60" s="62"/>
      <c r="F60" s="62"/>
      <c r="G60" s="62"/>
      <c r="H60" s="62"/>
      <c r="I60" s="62"/>
      <c r="K60" s="64"/>
      <c r="N60" s="66"/>
    </row>
    <row r="61" spans="2:14" x14ac:dyDescent="0.2">
      <c r="B61" s="62"/>
      <c r="C61" s="62"/>
      <c r="D61" s="62"/>
      <c r="E61" s="62"/>
      <c r="F61" s="62"/>
      <c r="G61" s="62"/>
      <c r="H61" s="62"/>
      <c r="I61" s="62"/>
      <c r="K61" s="64"/>
      <c r="N61" s="66"/>
    </row>
    <row r="62" spans="2:14" x14ac:dyDescent="0.2">
      <c r="B62" s="62"/>
      <c r="C62" s="62"/>
      <c r="D62" s="62"/>
      <c r="E62" s="62"/>
      <c r="F62" s="62"/>
      <c r="G62" s="62"/>
      <c r="H62" s="62"/>
      <c r="I62" s="62"/>
      <c r="K62" s="64"/>
      <c r="N62" s="66"/>
    </row>
    <row r="63" spans="2:14" x14ac:dyDescent="0.2">
      <c r="B63" s="62"/>
      <c r="C63" s="62"/>
      <c r="D63" s="62"/>
      <c r="E63" s="62"/>
      <c r="F63" s="62"/>
      <c r="G63" s="62"/>
      <c r="H63" s="62"/>
      <c r="I63" s="62"/>
      <c r="K63" s="64"/>
      <c r="N63" s="66"/>
    </row>
    <row r="64" spans="2:14" x14ac:dyDescent="0.2">
      <c r="B64" s="62"/>
      <c r="C64" s="62"/>
      <c r="D64" s="62"/>
      <c r="E64" s="62"/>
      <c r="F64" s="62"/>
      <c r="G64" s="62"/>
      <c r="H64" s="62"/>
      <c r="I64" s="62"/>
      <c r="K64" s="64"/>
      <c r="N64" s="66"/>
    </row>
    <row r="65" spans="2:14" x14ac:dyDescent="0.2">
      <c r="B65" s="62"/>
      <c r="C65" s="62"/>
      <c r="D65" s="62"/>
      <c r="E65" s="62"/>
      <c r="F65" s="62"/>
      <c r="G65" s="62"/>
      <c r="H65" s="62"/>
      <c r="I65" s="62"/>
      <c r="N65" s="66"/>
    </row>
    <row r="66" spans="2:14" x14ac:dyDescent="0.2">
      <c r="B66" s="62"/>
      <c r="C66" s="62"/>
      <c r="D66" s="62"/>
      <c r="E66" s="62"/>
      <c r="F66" s="62"/>
      <c r="G66" s="62"/>
      <c r="H66" s="62"/>
      <c r="I66" s="62"/>
      <c r="N66" s="66"/>
    </row>
    <row r="67" spans="2:14" x14ac:dyDescent="0.2">
      <c r="B67" s="62"/>
      <c r="C67" s="62"/>
      <c r="D67" s="62"/>
      <c r="E67" s="62"/>
      <c r="F67" s="62"/>
      <c r="G67" s="62"/>
      <c r="H67" s="62"/>
      <c r="I67" s="62"/>
      <c r="N67" s="66"/>
    </row>
    <row r="68" spans="2:14" x14ac:dyDescent="0.2">
      <c r="B68" s="62"/>
      <c r="C68" s="62"/>
      <c r="D68" s="62"/>
      <c r="E68" s="62"/>
      <c r="F68" s="62"/>
      <c r="G68" s="62"/>
      <c r="H68" s="62"/>
      <c r="I68" s="62"/>
      <c r="N68" s="66"/>
    </row>
    <row r="69" spans="2:14" x14ac:dyDescent="0.2">
      <c r="B69" s="62"/>
      <c r="C69" s="62"/>
      <c r="D69" s="62"/>
      <c r="E69" s="62"/>
      <c r="F69" s="62"/>
      <c r="G69" s="62"/>
      <c r="H69" s="62"/>
      <c r="I69" s="62"/>
    </row>
    <row r="70" spans="2:14" x14ac:dyDescent="0.2">
      <c r="B70" s="62"/>
      <c r="C70" s="62"/>
      <c r="D70" s="62"/>
      <c r="E70" s="62"/>
      <c r="F70" s="62"/>
      <c r="G70" s="62"/>
      <c r="H70" s="62"/>
      <c r="I70" s="62"/>
    </row>
    <row r="71" spans="2:14" x14ac:dyDescent="0.2">
      <c r="B71" s="62"/>
      <c r="C71" s="62"/>
      <c r="D71" s="62"/>
      <c r="E71" s="62"/>
      <c r="F71" s="62"/>
      <c r="G71" s="62"/>
      <c r="H71" s="62"/>
      <c r="I71" s="62"/>
    </row>
    <row r="72" spans="2:14" x14ac:dyDescent="0.2">
      <c r="B72" s="62"/>
      <c r="C72" s="62"/>
      <c r="D72" s="62"/>
      <c r="E72" s="62"/>
      <c r="F72" s="62"/>
      <c r="G72" s="62"/>
      <c r="H72" s="62"/>
      <c r="I72" s="62"/>
    </row>
    <row r="73" spans="2:14" x14ac:dyDescent="0.2">
      <c r="B73" s="62"/>
      <c r="C73" s="62"/>
      <c r="D73" s="62"/>
      <c r="E73" s="62"/>
      <c r="F73" s="62"/>
      <c r="G73" s="62"/>
      <c r="H73" s="62"/>
      <c r="I73" s="62"/>
    </row>
    <row r="74" spans="2:14" x14ac:dyDescent="0.2">
      <c r="B74" s="62"/>
      <c r="C74" s="62"/>
      <c r="D74" s="62"/>
      <c r="E74" s="62"/>
      <c r="F74" s="62"/>
      <c r="G74" s="62"/>
      <c r="H74" s="62"/>
      <c r="I74" s="62"/>
    </row>
    <row r="75" spans="2:14" x14ac:dyDescent="0.2">
      <c r="B75" s="62"/>
      <c r="C75" s="62"/>
      <c r="D75" s="62"/>
      <c r="E75" s="62"/>
      <c r="F75" s="62"/>
      <c r="G75" s="62"/>
      <c r="H75" s="62"/>
      <c r="I75" s="62"/>
    </row>
    <row r="76" spans="2:14" x14ac:dyDescent="0.2">
      <c r="B76" s="62"/>
      <c r="C76" s="62"/>
      <c r="D76" s="62"/>
      <c r="E76" s="62"/>
      <c r="F76" s="62"/>
      <c r="G76" s="62"/>
      <c r="H76" s="62"/>
      <c r="I76" s="62"/>
    </row>
    <row r="77" spans="2:14" x14ac:dyDescent="0.2">
      <c r="B77" s="62"/>
      <c r="C77" s="62"/>
      <c r="D77" s="62"/>
      <c r="E77" s="62"/>
      <c r="F77" s="62"/>
      <c r="G77" s="62"/>
      <c r="H77" s="62"/>
      <c r="I77" s="62"/>
    </row>
    <row r="78" spans="2:14" x14ac:dyDescent="0.2">
      <c r="B78" s="62"/>
      <c r="C78" s="62"/>
      <c r="D78" s="62"/>
      <c r="E78" s="62"/>
      <c r="F78" s="62"/>
      <c r="G78" s="62"/>
      <c r="H78" s="62"/>
      <c r="I78" s="62"/>
    </row>
    <row r="79" spans="2:14" x14ac:dyDescent="0.2">
      <c r="B79" s="62"/>
      <c r="C79" s="62"/>
      <c r="D79" s="62"/>
      <c r="E79" s="62"/>
      <c r="F79" s="62"/>
      <c r="G79" s="62"/>
      <c r="H79" s="62"/>
      <c r="I79" s="62"/>
    </row>
    <row r="80" spans="2:14" x14ac:dyDescent="0.2">
      <c r="B80" s="62"/>
      <c r="C80" s="62"/>
      <c r="D80" s="62"/>
      <c r="E80" s="62"/>
      <c r="F80" s="62"/>
      <c r="G80" s="62"/>
      <c r="H80" s="62"/>
      <c r="I80" s="62"/>
    </row>
    <row r="81" spans="2:9" x14ac:dyDescent="0.2">
      <c r="B81" s="62"/>
      <c r="C81" s="62"/>
      <c r="D81" s="62"/>
      <c r="E81" s="62"/>
      <c r="F81" s="62"/>
      <c r="G81" s="62"/>
      <c r="H81" s="62"/>
      <c r="I81" s="62"/>
    </row>
    <row r="82" spans="2:9" x14ac:dyDescent="0.2">
      <c r="B82" s="62"/>
      <c r="C82" s="62"/>
      <c r="D82" s="62"/>
      <c r="E82" s="62"/>
      <c r="F82" s="62"/>
      <c r="G82" s="62"/>
      <c r="H82" s="62"/>
      <c r="I82" s="62"/>
    </row>
    <row r="83" spans="2:9" x14ac:dyDescent="0.2">
      <c r="B83" s="62"/>
      <c r="C83" s="62"/>
      <c r="D83" s="62"/>
      <c r="E83" s="62"/>
      <c r="F83" s="62"/>
      <c r="G83" s="62"/>
      <c r="H83" s="62"/>
      <c r="I83" s="62"/>
    </row>
    <row r="84" spans="2:9" x14ac:dyDescent="0.2">
      <c r="B84" s="62"/>
      <c r="C84" s="62"/>
      <c r="D84" s="62"/>
      <c r="E84" s="62"/>
      <c r="F84" s="62"/>
      <c r="G84" s="62"/>
      <c r="H84" s="62"/>
      <c r="I84" s="62"/>
    </row>
    <row r="85" spans="2:9" x14ac:dyDescent="0.2">
      <c r="B85" s="62"/>
      <c r="C85" s="62"/>
      <c r="D85" s="62"/>
      <c r="E85" s="62"/>
      <c r="F85" s="62"/>
      <c r="G85" s="62"/>
      <c r="H85" s="62"/>
      <c r="I85" s="62"/>
    </row>
    <row r="86" spans="2:9" x14ac:dyDescent="0.2">
      <c r="B86" s="62"/>
      <c r="C86" s="62"/>
      <c r="D86" s="62"/>
      <c r="E86" s="62"/>
      <c r="F86" s="62"/>
      <c r="G86" s="62"/>
      <c r="H86" s="62"/>
      <c r="I86" s="62"/>
    </row>
    <row r="87" spans="2:9" x14ac:dyDescent="0.2">
      <c r="B87" s="62"/>
      <c r="C87" s="62"/>
      <c r="D87" s="62"/>
      <c r="E87" s="62"/>
      <c r="F87" s="62"/>
      <c r="G87" s="62"/>
      <c r="H87" s="62"/>
      <c r="I87" s="62"/>
    </row>
    <row r="88" spans="2:9" x14ac:dyDescent="0.2">
      <c r="B88" s="62"/>
      <c r="C88" s="62"/>
      <c r="D88" s="62"/>
      <c r="E88" s="62"/>
      <c r="F88" s="62"/>
      <c r="G88" s="62"/>
      <c r="H88" s="62"/>
      <c r="I88" s="62"/>
    </row>
  </sheetData>
  <phoneticPr fontId="5" type="noConversion"/>
  <pageMargins left="0.75" right="0.75" top="1" bottom="1" header="0.5" footer="0.5"/>
  <pageSetup scale="85" orientation="landscape" r:id="rId1"/>
  <headerFooter alignWithMargins="0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6"/>
  <dimension ref="A2:AA93"/>
  <sheetViews>
    <sheetView showGridLines="0" showRowColHeaders="0" workbookViewId="0">
      <pane ySplit="11" topLeftCell="A12" activePane="bottomLeft" state="frozen"/>
      <selection pane="bottomLeft"/>
    </sheetView>
  </sheetViews>
  <sheetFormatPr defaultRowHeight="12.75" x14ac:dyDescent="0.2"/>
  <cols>
    <col min="1" max="1" width="2.85546875" style="44" customWidth="1"/>
    <col min="2" max="2" width="26" style="44" customWidth="1"/>
    <col min="3" max="9" width="10.7109375" style="50" customWidth="1"/>
    <col min="10" max="21" width="10.7109375" style="44" customWidth="1"/>
    <col min="22" max="42" width="10.140625" style="44" customWidth="1"/>
    <col min="43" max="16384" width="9.140625" style="44"/>
  </cols>
  <sheetData>
    <row r="2" spans="1:27" ht="18" x14ac:dyDescent="0.25">
      <c r="B2" s="46" t="s">
        <v>7</v>
      </c>
      <c r="P2" s="46"/>
    </row>
    <row r="4" spans="1:27" x14ac:dyDescent="0.2">
      <c r="B4" s="47" t="s">
        <v>4</v>
      </c>
      <c r="P4" s="47"/>
    </row>
    <row r="5" spans="1:27" x14ac:dyDescent="0.2">
      <c r="B5" s="52" t="s">
        <v>1</v>
      </c>
      <c r="P5" s="47"/>
    </row>
    <row r="6" spans="1:27" x14ac:dyDescent="0.2">
      <c r="B6" s="47" t="s">
        <v>2</v>
      </c>
      <c r="P6" s="47"/>
    </row>
    <row r="7" spans="1:27" x14ac:dyDescent="0.2">
      <c r="B7" s="47" t="s">
        <v>3</v>
      </c>
      <c r="P7" s="47"/>
    </row>
    <row r="8" spans="1:27" x14ac:dyDescent="0.2">
      <c r="B8" s="47"/>
    </row>
    <row r="9" spans="1:27" ht="39" customHeight="1" x14ac:dyDescent="0.2">
      <c r="B9" s="47"/>
    </row>
    <row r="10" spans="1:27" s="55" customFormat="1" ht="12.75" customHeight="1" x14ac:dyDescent="0.2">
      <c r="C10" s="54"/>
      <c r="D10" s="54"/>
      <c r="E10" s="54"/>
      <c r="F10" s="54"/>
      <c r="G10" s="54"/>
      <c r="H10" s="54"/>
      <c r="J10" s="53"/>
      <c r="K10" s="53"/>
      <c r="L10" s="53"/>
      <c r="M10" s="53"/>
      <c r="N10" s="53"/>
      <c r="O10" s="53"/>
      <c r="P10" s="53"/>
      <c r="Q10" s="53"/>
      <c r="R10" s="53"/>
      <c r="S10" s="53"/>
      <c r="T10" s="53"/>
    </row>
    <row r="11" spans="1:27" s="55" customFormat="1" x14ac:dyDescent="0.2">
      <c r="A11" s="77"/>
      <c r="B11" s="77"/>
      <c r="C11" s="78">
        <v>2000</v>
      </c>
      <c r="D11" s="78">
        <v>2001</v>
      </c>
      <c r="E11" s="78">
        <v>2002</v>
      </c>
      <c r="F11" s="78">
        <v>2003</v>
      </c>
      <c r="G11" s="78">
        <v>2004</v>
      </c>
      <c r="H11" s="78">
        <v>2005</v>
      </c>
      <c r="I11" s="79">
        <v>39082</v>
      </c>
      <c r="J11" s="79">
        <v>39447</v>
      </c>
      <c r="K11" s="79">
        <v>39448</v>
      </c>
      <c r="L11" s="79">
        <v>40178</v>
      </c>
      <c r="M11" s="197">
        <v>40543</v>
      </c>
      <c r="N11" s="197">
        <v>40908</v>
      </c>
      <c r="O11" s="260">
        <v>40939</v>
      </c>
      <c r="P11" s="77"/>
      <c r="Q11" s="77"/>
      <c r="R11" s="77"/>
      <c r="S11" s="77"/>
      <c r="T11" s="77"/>
      <c r="U11" s="77"/>
      <c r="V11" s="77"/>
      <c r="W11" s="77"/>
      <c r="X11" s="77"/>
      <c r="Y11" s="77"/>
      <c r="Z11" s="77"/>
      <c r="AA11" s="77"/>
    </row>
    <row r="12" spans="1:27" x14ac:dyDescent="0.2">
      <c r="B12" s="44" t="s">
        <v>788</v>
      </c>
      <c r="C12" s="65">
        <v>55.831616023629408</v>
      </c>
      <c r="D12" s="65">
        <v>74.033547998326426</v>
      </c>
      <c r="E12" s="65">
        <v>93.93715098490317</v>
      </c>
      <c r="F12" s="65">
        <v>114.64956724755694</v>
      </c>
      <c r="G12" s="65">
        <v>136.62021154457284</v>
      </c>
      <c r="H12" s="65">
        <v>159.77779842054943</v>
      </c>
      <c r="I12" s="65">
        <v>209</v>
      </c>
      <c r="J12" s="65">
        <v>235.50159071018251</v>
      </c>
      <c r="K12" s="65">
        <v>263.98657166722467</v>
      </c>
      <c r="L12" s="65">
        <v>293.39683174242759</v>
      </c>
      <c r="M12" s="171">
        <v>323.04324834873717</v>
      </c>
      <c r="N12" s="171">
        <v>354.29697772737427</v>
      </c>
      <c r="O12" s="65">
        <v>353.99534268455272</v>
      </c>
    </row>
    <row r="13" spans="1:27" x14ac:dyDescent="0.2">
      <c r="B13" s="44" t="s">
        <v>789</v>
      </c>
      <c r="C13" s="65">
        <v>52.735199475111202</v>
      </c>
      <c r="D13" s="65">
        <v>65.023593666597904</v>
      </c>
      <c r="E13" s="65">
        <v>59.275358189472996</v>
      </c>
      <c r="F13" s="65">
        <v>93.920076415257597</v>
      </c>
      <c r="G13" s="65">
        <v>124.75628531142399</v>
      </c>
      <c r="H13" s="65">
        <v>192.35696213467801</v>
      </c>
      <c r="I13" s="65">
        <v>267</v>
      </c>
      <c r="J13" s="65">
        <v>308.29568458589898</v>
      </c>
      <c r="K13" s="65">
        <v>230.23493756186801</v>
      </c>
      <c r="L13" s="24">
        <v>340.16227208294498</v>
      </c>
      <c r="M13" s="171">
        <v>408.47751268748601</v>
      </c>
      <c r="N13" s="171">
        <v>393.15689279941199</v>
      </c>
      <c r="O13" s="65">
        <v>415.59691731884999</v>
      </c>
    </row>
    <row r="14" spans="1:27" x14ac:dyDescent="0.2">
      <c r="C14" s="63"/>
      <c r="D14" s="63"/>
      <c r="E14" s="63"/>
      <c r="F14" s="63"/>
      <c r="G14" s="63"/>
      <c r="H14" s="63"/>
      <c r="I14" s="63"/>
      <c r="K14" s="65"/>
      <c r="N14" s="171"/>
    </row>
    <row r="15" spans="1:27" x14ac:dyDescent="0.2">
      <c r="B15" s="62"/>
      <c r="C15" s="62"/>
      <c r="D15" s="62"/>
      <c r="E15" s="62"/>
      <c r="F15" s="62"/>
      <c r="G15" s="62"/>
      <c r="H15" s="62"/>
      <c r="I15" s="62"/>
      <c r="K15" s="65"/>
      <c r="L15" s="159"/>
      <c r="N15" s="66"/>
    </row>
    <row r="16" spans="1:27" x14ac:dyDescent="0.2">
      <c r="B16" s="62"/>
      <c r="C16" s="62"/>
      <c r="D16" s="62"/>
      <c r="E16" s="62"/>
      <c r="F16" s="62"/>
      <c r="G16" s="62"/>
      <c r="H16" s="62"/>
      <c r="I16" s="62"/>
      <c r="K16" s="65"/>
      <c r="N16" s="66"/>
    </row>
    <row r="17" spans="2:14" x14ac:dyDescent="0.2">
      <c r="B17" s="62"/>
      <c r="C17" s="62"/>
      <c r="D17" s="62"/>
      <c r="E17" s="62"/>
      <c r="F17" s="62"/>
      <c r="G17" s="62"/>
      <c r="H17" s="62"/>
      <c r="I17" s="62"/>
      <c r="K17" s="65"/>
      <c r="N17" s="66"/>
    </row>
    <row r="18" spans="2:14" x14ac:dyDescent="0.2">
      <c r="B18" s="156"/>
      <c r="C18" s="62"/>
      <c r="D18" s="62"/>
      <c r="E18" s="62"/>
      <c r="F18" s="62"/>
      <c r="G18" s="62"/>
      <c r="H18" s="62"/>
      <c r="I18" s="62"/>
      <c r="K18" s="65"/>
      <c r="L18" s="156"/>
      <c r="N18" s="66"/>
    </row>
    <row r="19" spans="2:14" x14ac:dyDescent="0.2">
      <c r="B19" s="156"/>
      <c r="C19" s="62"/>
      <c r="D19" s="62"/>
      <c r="E19" s="62"/>
      <c r="F19" s="62"/>
      <c r="G19" s="81"/>
      <c r="H19" s="81"/>
      <c r="I19" s="62"/>
      <c r="K19" s="65"/>
      <c r="N19" s="66"/>
    </row>
    <row r="20" spans="2:14" x14ac:dyDescent="0.2">
      <c r="B20" s="62"/>
      <c r="C20" s="62"/>
      <c r="D20" s="62"/>
      <c r="E20" s="62"/>
      <c r="F20" s="62"/>
      <c r="G20" s="81"/>
      <c r="H20" s="81"/>
      <c r="K20" s="65"/>
      <c r="N20" s="66"/>
    </row>
    <row r="21" spans="2:14" x14ac:dyDescent="0.2">
      <c r="B21" s="62"/>
      <c r="C21" s="62"/>
      <c r="D21" s="62"/>
      <c r="E21" s="62"/>
      <c r="F21" s="62"/>
      <c r="G21" s="81"/>
      <c r="H21" s="81"/>
      <c r="K21" s="65"/>
      <c r="N21" s="66"/>
    </row>
    <row r="22" spans="2:14" x14ac:dyDescent="0.2">
      <c r="B22" s="62"/>
      <c r="C22" s="62"/>
      <c r="D22" s="62"/>
      <c r="E22" s="62"/>
      <c r="F22" s="62"/>
      <c r="G22" s="62"/>
      <c r="H22" s="62"/>
      <c r="I22" s="62"/>
      <c r="K22" s="65"/>
      <c r="N22" s="66"/>
    </row>
    <row r="23" spans="2:14" x14ac:dyDescent="0.2">
      <c r="B23" s="62"/>
      <c r="C23" s="62"/>
      <c r="D23" s="62"/>
      <c r="E23" s="62"/>
      <c r="F23" s="62"/>
      <c r="G23" s="62"/>
      <c r="H23" s="62"/>
      <c r="I23" s="62"/>
      <c r="K23" s="65"/>
      <c r="N23" s="66"/>
    </row>
    <row r="24" spans="2:14" x14ac:dyDescent="0.2">
      <c r="B24" s="62"/>
      <c r="C24" s="62"/>
      <c r="D24" s="62"/>
      <c r="E24" s="62"/>
      <c r="F24" s="62"/>
      <c r="G24" s="62"/>
      <c r="H24" s="62"/>
      <c r="I24" s="62"/>
      <c r="K24" s="65"/>
      <c r="N24" s="66"/>
    </row>
    <row r="25" spans="2:14" x14ac:dyDescent="0.2">
      <c r="B25" s="62"/>
      <c r="C25" s="62"/>
      <c r="D25" s="62"/>
      <c r="E25" s="62"/>
      <c r="F25" s="62"/>
      <c r="G25" s="62"/>
      <c r="H25" s="62"/>
      <c r="I25" s="62"/>
      <c r="K25" s="65"/>
      <c r="N25" s="66"/>
    </row>
    <row r="26" spans="2:14" x14ac:dyDescent="0.2">
      <c r="B26" s="62"/>
      <c r="C26" s="62"/>
      <c r="D26" s="62"/>
      <c r="E26" s="62"/>
      <c r="F26" s="62"/>
      <c r="G26" s="62"/>
      <c r="H26" s="62"/>
      <c r="I26" s="62"/>
      <c r="K26" s="65"/>
      <c r="N26" s="66"/>
    </row>
    <row r="27" spans="2:14" x14ac:dyDescent="0.2">
      <c r="B27" s="62"/>
      <c r="C27" s="62"/>
      <c r="D27" s="62"/>
      <c r="E27" s="62"/>
      <c r="F27" s="62"/>
      <c r="G27" s="62"/>
      <c r="H27" s="62"/>
      <c r="I27" s="62"/>
      <c r="K27" s="65"/>
      <c r="N27" s="66"/>
    </row>
    <row r="28" spans="2:14" x14ac:dyDescent="0.2">
      <c r="B28" s="62"/>
      <c r="C28" s="62"/>
      <c r="D28" s="62"/>
      <c r="E28" s="62"/>
      <c r="F28" s="62"/>
      <c r="G28" s="62"/>
      <c r="H28" s="62"/>
      <c r="I28" s="62"/>
      <c r="K28" s="65"/>
      <c r="N28" s="66"/>
    </row>
    <row r="29" spans="2:14" x14ac:dyDescent="0.2">
      <c r="B29" s="62"/>
      <c r="C29" s="62"/>
      <c r="D29" s="62"/>
      <c r="E29" s="62"/>
      <c r="F29" s="62"/>
      <c r="G29" s="62"/>
      <c r="H29" s="62"/>
      <c r="I29" s="62"/>
      <c r="K29" s="64"/>
      <c r="N29" s="66"/>
    </row>
    <row r="30" spans="2:14" x14ac:dyDescent="0.2">
      <c r="B30" s="62"/>
      <c r="C30" s="62"/>
      <c r="D30" s="62"/>
      <c r="E30" s="62"/>
      <c r="F30" s="62"/>
      <c r="G30" s="62"/>
      <c r="H30" s="62"/>
      <c r="I30" s="62"/>
      <c r="K30" s="64"/>
      <c r="N30" s="66"/>
    </row>
    <row r="31" spans="2:14" x14ac:dyDescent="0.2">
      <c r="B31" s="62"/>
      <c r="C31" s="62"/>
      <c r="D31" s="62"/>
      <c r="E31" s="62"/>
      <c r="F31" s="62"/>
      <c r="G31" s="62"/>
      <c r="H31" s="62"/>
      <c r="I31" s="62"/>
      <c r="K31" s="64"/>
      <c r="N31" s="66"/>
    </row>
    <row r="32" spans="2:14" x14ac:dyDescent="0.2">
      <c r="B32" s="62"/>
      <c r="C32" s="62"/>
      <c r="D32" s="62"/>
      <c r="E32" s="62"/>
      <c r="F32" s="62"/>
      <c r="G32" s="62"/>
      <c r="H32" s="62"/>
      <c r="I32" s="62"/>
      <c r="K32" s="64"/>
      <c r="N32" s="66"/>
    </row>
    <row r="33" spans="2:14" x14ac:dyDescent="0.2">
      <c r="B33" s="62"/>
      <c r="C33" s="62"/>
      <c r="D33" s="62"/>
      <c r="E33" s="62"/>
      <c r="F33" s="62"/>
      <c r="G33" s="62"/>
      <c r="H33" s="62"/>
      <c r="I33" s="62"/>
      <c r="K33" s="64"/>
      <c r="N33" s="66"/>
    </row>
    <row r="34" spans="2:14" x14ac:dyDescent="0.2">
      <c r="B34" s="62"/>
      <c r="C34" s="62"/>
      <c r="D34" s="62"/>
      <c r="E34" s="62"/>
      <c r="F34" s="62"/>
      <c r="G34" s="62"/>
      <c r="H34" s="62"/>
      <c r="I34" s="62"/>
      <c r="K34" s="64"/>
      <c r="N34" s="66"/>
    </row>
    <row r="35" spans="2:14" x14ac:dyDescent="0.2">
      <c r="B35" s="62"/>
      <c r="C35" s="62"/>
      <c r="D35" s="62"/>
      <c r="E35" s="62"/>
      <c r="F35" s="62"/>
      <c r="G35" s="62"/>
      <c r="H35" s="62"/>
      <c r="I35" s="62"/>
      <c r="K35" s="64"/>
      <c r="N35" s="66"/>
    </row>
    <row r="36" spans="2:14" x14ac:dyDescent="0.2">
      <c r="B36" s="62"/>
      <c r="C36" s="62"/>
      <c r="D36" s="62"/>
      <c r="E36" s="62"/>
      <c r="F36" s="62"/>
      <c r="G36" s="62"/>
      <c r="H36" s="62"/>
      <c r="I36" s="62"/>
      <c r="K36" s="64"/>
      <c r="N36" s="66"/>
    </row>
    <row r="37" spans="2:14" x14ac:dyDescent="0.2">
      <c r="B37" s="62"/>
      <c r="C37" s="62"/>
      <c r="D37" s="62"/>
      <c r="E37" s="62"/>
      <c r="F37" s="62"/>
      <c r="G37" s="62"/>
      <c r="H37" s="62"/>
      <c r="I37" s="62"/>
      <c r="K37" s="64"/>
      <c r="N37" s="66"/>
    </row>
    <row r="38" spans="2:14" x14ac:dyDescent="0.2">
      <c r="B38" s="62"/>
      <c r="C38" s="62"/>
      <c r="D38" s="62"/>
      <c r="E38" s="62"/>
      <c r="F38" s="62"/>
      <c r="G38" s="62"/>
      <c r="H38" s="62"/>
      <c r="I38" s="62"/>
      <c r="K38" s="64"/>
      <c r="N38" s="66"/>
    </row>
    <row r="39" spans="2:14" x14ac:dyDescent="0.2">
      <c r="B39" s="62"/>
      <c r="C39" s="62"/>
      <c r="D39" s="62"/>
      <c r="E39" s="62"/>
      <c r="F39" s="62"/>
      <c r="G39" s="62"/>
      <c r="H39" s="62"/>
      <c r="I39" s="62"/>
      <c r="K39" s="64"/>
      <c r="N39" s="66"/>
    </row>
    <row r="40" spans="2:14" x14ac:dyDescent="0.2">
      <c r="B40" s="62"/>
      <c r="C40" s="62"/>
      <c r="D40" s="62"/>
      <c r="E40" s="62"/>
      <c r="F40" s="62"/>
      <c r="G40" s="62"/>
      <c r="H40" s="62"/>
      <c r="I40" s="62"/>
      <c r="K40" s="64"/>
      <c r="N40" s="66"/>
    </row>
    <row r="41" spans="2:14" x14ac:dyDescent="0.2">
      <c r="B41" s="62"/>
      <c r="C41" s="62"/>
      <c r="D41" s="62"/>
      <c r="E41" s="62"/>
      <c r="F41" s="62"/>
      <c r="G41" s="62"/>
      <c r="H41" s="62"/>
      <c r="I41" s="62"/>
      <c r="K41" s="64"/>
      <c r="N41" s="66"/>
    </row>
    <row r="42" spans="2:14" x14ac:dyDescent="0.2">
      <c r="B42" s="62"/>
      <c r="C42" s="62"/>
      <c r="D42" s="62"/>
      <c r="E42" s="62"/>
      <c r="F42" s="62"/>
      <c r="G42" s="62"/>
      <c r="H42" s="62"/>
      <c r="I42" s="62"/>
      <c r="K42" s="64"/>
      <c r="N42" s="66"/>
    </row>
    <row r="43" spans="2:14" x14ac:dyDescent="0.2">
      <c r="B43" s="62"/>
      <c r="C43" s="62"/>
      <c r="D43" s="62"/>
      <c r="E43" s="62"/>
      <c r="F43" s="62"/>
      <c r="G43" s="62"/>
      <c r="H43" s="62"/>
      <c r="I43" s="62"/>
      <c r="K43" s="64"/>
      <c r="N43" s="66"/>
    </row>
    <row r="44" spans="2:14" x14ac:dyDescent="0.2">
      <c r="B44" s="62"/>
      <c r="C44" s="62"/>
      <c r="D44" s="62"/>
      <c r="E44" s="62"/>
      <c r="F44" s="62"/>
      <c r="G44" s="62"/>
      <c r="H44" s="62"/>
      <c r="I44" s="62"/>
      <c r="K44" s="64"/>
      <c r="N44" s="66"/>
    </row>
    <row r="45" spans="2:14" x14ac:dyDescent="0.2">
      <c r="B45" s="62"/>
      <c r="C45" s="62"/>
      <c r="D45" s="62"/>
      <c r="E45" s="62"/>
      <c r="F45" s="62"/>
      <c r="G45" s="62"/>
      <c r="H45" s="62"/>
      <c r="I45" s="62"/>
      <c r="K45" s="64"/>
      <c r="N45" s="66"/>
    </row>
    <row r="46" spans="2:14" x14ac:dyDescent="0.2">
      <c r="B46" s="62"/>
      <c r="C46" s="62"/>
      <c r="D46" s="62"/>
      <c r="E46" s="62"/>
      <c r="F46" s="62"/>
      <c r="G46" s="62"/>
      <c r="H46" s="62"/>
      <c r="I46" s="62"/>
      <c r="K46" s="64"/>
      <c r="N46" s="66"/>
    </row>
    <row r="47" spans="2:14" x14ac:dyDescent="0.2">
      <c r="B47" s="62"/>
      <c r="C47" s="62"/>
      <c r="D47" s="62"/>
      <c r="E47" s="62"/>
      <c r="F47" s="62"/>
      <c r="G47" s="62"/>
      <c r="H47" s="62"/>
      <c r="I47" s="62"/>
      <c r="K47" s="64"/>
      <c r="N47" s="66"/>
    </row>
    <row r="48" spans="2:14" x14ac:dyDescent="0.2">
      <c r="B48" s="62"/>
      <c r="C48" s="62"/>
      <c r="D48" s="62"/>
      <c r="E48" s="62"/>
      <c r="F48" s="62"/>
      <c r="G48" s="62"/>
      <c r="H48" s="62"/>
      <c r="I48" s="62"/>
      <c r="K48" s="64"/>
      <c r="N48" s="66"/>
    </row>
    <row r="49" spans="2:14" x14ac:dyDescent="0.2">
      <c r="B49" s="62"/>
      <c r="C49" s="62"/>
      <c r="D49" s="62"/>
      <c r="E49" s="62"/>
      <c r="F49" s="62"/>
      <c r="G49" s="62"/>
      <c r="H49" s="62"/>
      <c r="I49" s="62"/>
      <c r="K49" s="64"/>
      <c r="N49" s="66"/>
    </row>
    <row r="50" spans="2:14" x14ac:dyDescent="0.2">
      <c r="B50" s="62"/>
      <c r="C50" s="62"/>
      <c r="D50" s="62"/>
      <c r="E50" s="62"/>
      <c r="F50" s="62"/>
      <c r="G50" s="62"/>
      <c r="H50" s="62"/>
      <c r="I50" s="62"/>
      <c r="K50" s="64"/>
      <c r="N50" s="66"/>
    </row>
    <row r="51" spans="2:14" x14ac:dyDescent="0.2">
      <c r="B51" s="62"/>
      <c r="C51" s="62"/>
      <c r="D51" s="62"/>
      <c r="E51" s="62"/>
      <c r="F51" s="62"/>
      <c r="G51" s="62"/>
      <c r="H51" s="62"/>
      <c r="I51" s="62"/>
      <c r="K51" s="64"/>
      <c r="N51" s="66"/>
    </row>
    <row r="52" spans="2:14" x14ac:dyDescent="0.2">
      <c r="B52" s="62"/>
      <c r="C52" s="62"/>
      <c r="D52" s="62"/>
      <c r="E52" s="62"/>
      <c r="F52" s="62"/>
      <c r="G52" s="62"/>
      <c r="H52" s="62"/>
      <c r="I52" s="62"/>
      <c r="K52" s="64"/>
      <c r="N52" s="66"/>
    </row>
    <row r="53" spans="2:14" x14ac:dyDescent="0.2">
      <c r="B53" s="62"/>
      <c r="C53" s="62"/>
      <c r="D53" s="62"/>
      <c r="E53" s="62"/>
      <c r="F53" s="62"/>
      <c r="G53" s="62"/>
      <c r="H53" s="62"/>
      <c r="I53" s="62"/>
      <c r="K53" s="64"/>
      <c r="N53" s="66"/>
    </row>
    <row r="54" spans="2:14" x14ac:dyDescent="0.2">
      <c r="B54" s="62"/>
      <c r="C54" s="62"/>
      <c r="D54" s="62"/>
      <c r="E54" s="62"/>
      <c r="F54" s="62"/>
      <c r="G54" s="62"/>
      <c r="H54" s="62"/>
      <c r="I54" s="62"/>
      <c r="K54" s="64"/>
      <c r="N54" s="66"/>
    </row>
    <row r="55" spans="2:14" x14ac:dyDescent="0.2">
      <c r="B55" s="62"/>
      <c r="C55" s="62"/>
      <c r="D55" s="62"/>
      <c r="E55" s="62"/>
      <c r="F55" s="62"/>
      <c r="G55" s="62"/>
      <c r="H55" s="62"/>
      <c r="I55" s="62"/>
      <c r="K55" s="64"/>
      <c r="N55" s="66"/>
    </row>
    <row r="56" spans="2:14" x14ac:dyDescent="0.2">
      <c r="B56" s="62"/>
      <c r="C56" s="62"/>
      <c r="D56" s="62"/>
      <c r="E56" s="62"/>
      <c r="F56" s="62"/>
      <c r="G56" s="62"/>
      <c r="H56" s="62"/>
      <c r="I56" s="62"/>
      <c r="K56" s="64"/>
      <c r="N56" s="66"/>
    </row>
    <row r="57" spans="2:14" x14ac:dyDescent="0.2">
      <c r="B57" s="62"/>
      <c r="C57" s="62"/>
      <c r="D57" s="62"/>
      <c r="E57" s="62"/>
      <c r="F57" s="62"/>
      <c r="G57" s="62"/>
      <c r="H57" s="62"/>
      <c r="I57" s="62"/>
      <c r="K57" s="64"/>
      <c r="N57" s="66"/>
    </row>
    <row r="58" spans="2:14" x14ac:dyDescent="0.2">
      <c r="B58" s="62"/>
      <c r="C58" s="62"/>
      <c r="D58" s="62"/>
      <c r="E58" s="62"/>
      <c r="F58" s="62"/>
      <c r="G58" s="62"/>
      <c r="H58" s="62"/>
      <c r="I58" s="62"/>
      <c r="K58" s="64"/>
      <c r="N58" s="66"/>
    </row>
    <row r="59" spans="2:14" x14ac:dyDescent="0.2">
      <c r="B59" s="62"/>
      <c r="C59" s="62"/>
      <c r="D59" s="62"/>
      <c r="E59" s="62"/>
      <c r="F59" s="62"/>
      <c r="G59" s="62"/>
      <c r="H59" s="62"/>
      <c r="I59" s="62"/>
      <c r="K59" s="64"/>
      <c r="N59" s="66"/>
    </row>
    <row r="60" spans="2:14" x14ac:dyDescent="0.2">
      <c r="B60" s="62"/>
      <c r="C60" s="62"/>
      <c r="D60" s="62"/>
      <c r="E60" s="62"/>
      <c r="F60" s="62"/>
      <c r="G60" s="62"/>
      <c r="H60" s="62"/>
      <c r="I60" s="62"/>
      <c r="K60" s="64"/>
      <c r="N60" s="66"/>
    </row>
    <row r="61" spans="2:14" x14ac:dyDescent="0.2">
      <c r="B61" s="62"/>
      <c r="C61" s="62"/>
      <c r="D61" s="62"/>
      <c r="E61" s="62"/>
      <c r="F61" s="62"/>
      <c r="G61" s="62"/>
      <c r="H61" s="62"/>
      <c r="I61" s="62"/>
      <c r="K61" s="64"/>
      <c r="N61" s="66"/>
    </row>
    <row r="62" spans="2:14" x14ac:dyDescent="0.2">
      <c r="B62" s="62"/>
      <c r="C62" s="62"/>
      <c r="D62" s="62"/>
      <c r="E62" s="62"/>
      <c r="F62" s="62"/>
      <c r="G62" s="62"/>
      <c r="H62" s="62"/>
      <c r="I62" s="62"/>
      <c r="K62" s="64"/>
      <c r="N62" s="66"/>
    </row>
    <row r="63" spans="2:14" x14ac:dyDescent="0.2">
      <c r="B63" s="62"/>
      <c r="C63" s="62"/>
      <c r="D63" s="62"/>
      <c r="E63" s="62"/>
      <c r="F63" s="62"/>
      <c r="G63" s="62"/>
      <c r="H63" s="62"/>
      <c r="I63" s="62"/>
      <c r="K63" s="64"/>
      <c r="N63" s="66"/>
    </row>
    <row r="64" spans="2:14" x14ac:dyDescent="0.2">
      <c r="B64" s="62"/>
      <c r="C64" s="62"/>
      <c r="D64" s="62"/>
      <c r="E64" s="62"/>
      <c r="F64" s="62"/>
      <c r="G64" s="62"/>
      <c r="H64" s="62"/>
      <c r="I64" s="62"/>
      <c r="K64" s="64"/>
      <c r="N64" s="66"/>
    </row>
    <row r="65" spans="2:14" x14ac:dyDescent="0.2">
      <c r="B65" s="62"/>
      <c r="C65" s="62"/>
      <c r="D65" s="62"/>
      <c r="E65" s="62"/>
      <c r="F65" s="62"/>
      <c r="G65" s="62"/>
      <c r="H65" s="62"/>
      <c r="I65" s="62"/>
      <c r="K65" s="64"/>
      <c r="N65" s="66"/>
    </row>
    <row r="66" spans="2:14" x14ac:dyDescent="0.2">
      <c r="B66" s="62"/>
      <c r="C66" s="62"/>
      <c r="D66" s="62"/>
      <c r="E66" s="62"/>
      <c r="F66" s="62"/>
      <c r="G66" s="62"/>
      <c r="H66" s="62"/>
      <c r="I66" s="62"/>
      <c r="K66" s="64"/>
      <c r="N66" s="66"/>
    </row>
    <row r="67" spans="2:14" x14ac:dyDescent="0.2">
      <c r="B67" s="62"/>
      <c r="C67" s="62"/>
      <c r="D67" s="62"/>
      <c r="E67" s="62"/>
      <c r="F67" s="62"/>
      <c r="G67" s="62"/>
      <c r="H67" s="62"/>
      <c r="I67" s="62"/>
      <c r="K67" s="64"/>
      <c r="N67" s="66"/>
    </row>
    <row r="68" spans="2:14" x14ac:dyDescent="0.2">
      <c r="B68" s="62"/>
      <c r="C68" s="62"/>
      <c r="D68" s="62"/>
      <c r="E68" s="62"/>
      <c r="F68" s="62"/>
      <c r="G68" s="62"/>
      <c r="H68" s="62"/>
      <c r="I68" s="62"/>
      <c r="K68" s="64"/>
      <c r="N68" s="66"/>
    </row>
    <row r="69" spans="2:14" x14ac:dyDescent="0.2">
      <c r="B69" s="62"/>
      <c r="C69" s="62"/>
      <c r="D69" s="62"/>
      <c r="E69" s="62"/>
      <c r="F69" s="62"/>
      <c r="G69" s="62"/>
      <c r="H69" s="62"/>
      <c r="I69" s="62"/>
      <c r="K69" s="64"/>
      <c r="N69" s="66"/>
    </row>
    <row r="70" spans="2:14" x14ac:dyDescent="0.2">
      <c r="B70" s="62"/>
      <c r="C70" s="62"/>
      <c r="D70" s="62"/>
      <c r="E70" s="62"/>
      <c r="F70" s="62"/>
      <c r="G70" s="62"/>
      <c r="H70" s="62"/>
      <c r="I70" s="62"/>
    </row>
    <row r="71" spans="2:14" x14ac:dyDescent="0.2">
      <c r="B71" s="62"/>
      <c r="C71" s="62"/>
      <c r="D71" s="62"/>
      <c r="E71" s="62"/>
      <c r="F71" s="62"/>
      <c r="G71" s="62"/>
      <c r="H71" s="62"/>
      <c r="I71" s="62"/>
    </row>
    <row r="72" spans="2:14" x14ac:dyDescent="0.2">
      <c r="B72" s="62"/>
      <c r="C72" s="62"/>
      <c r="D72" s="62"/>
      <c r="E72" s="62"/>
      <c r="F72" s="62"/>
      <c r="G72" s="62"/>
      <c r="H72" s="62"/>
      <c r="I72" s="62"/>
    </row>
    <row r="73" spans="2:14" x14ac:dyDescent="0.2">
      <c r="B73" s="62"/>
      <c r="C73" s="62"/>
      <c r="D73" s="62"/>
      <c r="E73" s="62"/>
      <c r="F73" s="62"/>
      <c r="G73" s="62"/>
      <c r="H73" s="62"/>
      <c r="I73" s="62"/>
    </row>
    <row r="74" spans="2:14" x14ac:dyDescent="0.2">
      <c r="B74" s="62"/>
      <c r="C74" s="62"/>
      <c r="D74" s="62"/>
      <c r="E74" s="62"/>
      <c r="F74" s="62"/>
      <c r="G74" s="62"/>
      <c r="H74" s="62"/>
      <c r="I74" s="62"/>
    </row>
    <row r="75" spans="2:14" x14ac:dyDescent="0.2">
      <c r="B75" s="62"/>
      <c r="C75" s="62"/>
      <c r="D75" s="62"/>
      <c r="E75" s="62"/>
      <c r="F75" s="62"/>
      <c r="G75" s="62"/>
      <c r="H75" s="62"/>
      <c r="I75" s="62"/>
    </row>
    <row r="76" spans="2:14" x14ac:dyDescent="0.2">
      <c r="B76" s="62"/>
      <c r="C76" s="62"/>
      <c r="D76" s="62"/>
      <c r="E76" s="62"/>
      <c r="F76" s="62"/>
      <c r="G76" s="62"/>
      <c r="H76" s="62"/>
      <c r="I76" s="62"/>
    </row>
    <row r="77" spans="2:14" x14ac:dyDescent="0.2">
      <c r="B77" s="62"/>
      <c r="C77" s="62"/>
      <c r="D77" s="62"/>
      <c r="E77" s="62"/>
      <c r="F77" s="62"/>
      <c r="G77" s="62"/>
      <c r="H77" s="62"/>
      <c r="I77" s="62"/>
    </row>
    <row r="78" spans="2:14" x14ac:dyDescent="0.2">
      <c r="B78" s="62"/>
      <c r="C78" s="62"/>
      <c r="D78" s="62"/>
      <c r="E78" s="62"/>
      <c r="F78" s="62"/>
      <c r="G78" s="62"/>
      <c r="H78" s="62"/>
      <c r="I78" s="62"/>
    </row>
    <row r="79" spans="2:14" x14ac:dyDescent="0.2">
      <c r="B79" s="62"/>
      <c r="C79" s="62"/>
      <c r="D79" s="62"/>
      <c r="E79" s="62"/>
      <c r="F79" s="62"/>
      <c r="G79" s="62"/>
      <c r="H79" s="62"/>
      <c r="I79" s="62"/>
    </row>
    <row r="80" spans="2:14" x14ac:dyDescent="0.2">
      <c r="B80" s="62"/>
      <c r="C80" s="62"/>
      <c r="D80" s="62"/>
      <c r="E80" s="62"/>
      <c r="F80" s="62"/>
      <c r="G80" s="62"/>
      <c r="H80" s="62"/>
      <c r="I80" s="62"/>
    </row>
    <row r="81" spans="2:9" x14ac:dyDescent="0.2">
      <c r="B81" s="62"/>
      <c r="C81" s="62"/>
      <c r="D81" s="62"/>
      <c r="E81" s="62"/>
      <c r="F81" s="62"/>
      <c r="G81" s="62"/>
      <c r="H81" s="62"/>
      <c r="I81" s="62"/>
    </row>
    <row r="82" spans="2:9" x14ac:dyDescent="0.2">
      <c r="B82" s="62"/>
      <c r="C82" s="62"/>
      <c r="D82" s="62"/>
      <c r="E82" s="62"/>
      <c r="F82" s="62"/>
      <c r="G82" s="62"/>
      <c r="H82" s="62"/>
      <c r="I82" s="62"/>
    </row>
    <row r="83" spans="2:9" x14ac:dyDescent="0.2">
      <c r="B83" s="62"/>
      <c r="C83" s="62"/>
      <c r="D83" s="62"/>
      <c r="E83" s="62"/>
      <c r="F83" s="62"/>
      <c r="G83" s="62"/>
      <c r="H83" s="62"/>
      <c r="I83" s="62"/>
    </row>
    <row r="84" spans="2:9" x14ac:dyDescent="0.2">
      <c r="B84" s="62"/>
      <c r="C84" s="62"/>
      <c r="D84" s="62"/>
      <c r="E84" s="62"/>
      <c r="F84" s="62"/>
      <c r="G84" s="62"/>
      <c r="H84" s="62"/>
      <c r="I84" s="62"/>
    </row>
    <row r="85" spans="2:9" x14ac:dyDescent="0.2">
      <c r="B85" s="62"/>
      <c r="C85" s="62"/>
      <c r="D85" s="62"/>
      <c r="E85" s="62"/>
      <c r="F85" s="62"/>
      <c r="G85" s="62"/>
      <c r="H85" s="62"/>
      <c r="I85" s="62"/>
    </row>
    <row r="86" spans="2:9" x14ac:dyDescent="0.2">
      <c r="B86" s="62"/>
      <c r="C86" s="62"/>
      <c r="D86" s="62"/>
      <c r="E86" s="62"/>
      <c r="F86" s="62"/>
      <c r="G86" s="62"/>
      <c r="H86" s="62"/>
      <c r="I86" s="62"/>
    </row>
    <row r="87" spans="2:9" x14ac:dyDescent="0.2">
      <c r="B87" s="62"/>
      <c r="C87" s="62"/>
      <c r="D87" s="62"/>
      <c r="E87" s="62"/>
      <c r="F87" s="62"/>
      <c r="G87" s="62"/>
      <c r="H87" s="62"/>
      <c r="I87" s="62"/>
    </row>
    <row r="88" spans="2:9" x14ac:dyDescent="0.2">
      <c r="B88" s="62"/>
      <c r="C88" s="62"/>
      <c r="D88" s="62"/>
      <c r="E88" s="62"/>
      <c r="F88" s="62"/>
      <c r="G88" s="62"/>
      <c r="H88" s="62"/>
      <c r="I88" s="62"/>
    </row>
    <row r="89" spans="2:9" x14ac:dyDescent="0.2">
      <c r="B89" s="62"/>
      <c r="C89" s="62"/>
      <c r="D89" s="62"/>
      <c r="E89" s="62"/>
      <c r="F89" s="62"/>
      <c r="G89" s="62"/>
      <c r="H89" s="62"/>
      <c r="I89" s="62"/>
    </row>
    <row r="90" spans="2:9" x14ac:dyDescent="0.2">
      <c r="B90" s="62"/>
      <c r="C90" s="62"/>
      <c r="D90" s="62"/>
      <c r="E90" s="62"/>
      <c r="F90" s="62"/>
      <c r="G90" s="62"/>
      <c r="H90" s="62"/>
      <c r="I90" s="62"/>
    </row>
    <row r="91" spans="2:9" x14ac:dyDescent="0.2">
      <c r="B91" s="62"/>
      <c r="C91" s="62"/>
      <c r="D91" s="62"/>
      <c r="E91" s="62"/>
      <c r="F91" s="62"/>
      <c r="G91" s="62"/>
      <c r="H91" s="62"/>
      <c r="I91" s="62"/>
    </row>
    <row r="92" spans="2:9" x14ac:dyDescent="0.2">
      <c r="B92" s="62"/>
      <c r="C92" s="62"/>
      <c r="D92" s="62"/>
      <c r="E92" s="62"/>
      <c r="F92" s="62"/>
      <c r="G92" s="62"/>
      <c r="H92" s="62"/>
      <c r="I92" s="62"/>
    </row>
    <row r="93" spans="2:9" x14ac:dyDescent="0.2">
      <c r="B93" s="62"/>
      <c r="C93" s="62"/>
      <c r="D93" s="62"/>
      <c r="E93" s="62"/>
      <c r="F93" s="62"/>
      <c r="G93" s="62"/>
      <c r="H93" s="62"/>
      <c r="I93" s="62"/>
    </row>
  </sheetData>
  <phoneticPr fontId="5" type="noConversion"/>
  <pageMargins left="0.75" right="0.75" top="1" bottom="1" header="0.5" footer="0.5"/>
  <pageSetup scale="85" orientation="landscape" r:id="rId1"/>
  <headerFooter alignWithMargins="0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4"/>
  <dimension ref="B2:V227"/>
  <sheetViews>
    <sheetView showGridLines="0" showRowColHeaders="0" workbookViewId="0">
      <pane ySplit="19" topLeftCell="A143" activePane="bottomLeft" state="frozen"/>
      <selection activeCell="E11" sqref="E11"/>
      <selection pane="bottomLeft"/>
    </sheetView>
  </sheetViews>
  <sheetFormatPr defaultRowHeight="12.75" x14ac:dyDescent="0.2"/>
  <cols>
    <col min="1" max="1" width="2.85546875" style="44" customWidth="1"/>
    <col min="2" max="2" width="10.140625" style="44" bestFit="1" customWidth="1"/>
    <col min="3" max="9" width="26" style="44" customWidth="1"/>
    <col min="10" max="10" width="2.85546875" style="44" customWidth="1"/>
    <col min="11" max="11" width="10.140625" style="44" bestFit="1" customWidth="1"/>
    <col min="12" max="17" width="26" style="44" customWidth="1"/>
    <col min="18" max="43" width="10.140625" style="44" customWidth="1"/>
    <col min="44" max="16384" width="9.140625" style="44"/>
  </cols>
  <sheetData>
    <row r="2" spans="2:22" ht="18" x14ac:dyDescent="0.25">
      <c r="B2" s="230" t="s">
        <v>1076</v>
      </c>
      <c r="I2" s="46"/>
      <c r="K2" s="46"/>
    </row>
    <row r="3" spans="2:22" ht="12.75" customHeight="1" x14ac:dyDescent="0.25">
      <c r="B3" s="46"/>
      <c r="I3" s="47"/>
      <c r="K3" s="46"/>
    </row>
    <row r="4" spans="2:22" x14ac:dyDescent="0.2">
      <c r="B4" s="47"/>
      <c r="I4" s="47"/>
      <c r="K4" s="47"/>
    </row>
    <row r="5" spans="2:22" x14ac:dyDescent="0.2">
      <c r="B5" s="47"/>
      <c r="I5" s="47"/>
      <c r="K5" s="47"/>
    </row>
    <row r="6" spans="2:22" x14ac:dyDescent="0.2">
      <c r="I6" s="47"/>
    </row>
    <row r="7" spans="2:22" x14ac:dyDescent="0.2">
      <c r="B7" s="47" t="s">
        <v>202</v>
      </c>
      <c r="I7" s="47"/>
      <c r="K7" s="47"/>
    </row>
    <row r="8" spans="2:22" x14ac:dyDescent="0.2">
      <c r="B8" s="47" t="s">
        <v>1049</v>
      </c>
      <c r="I8" s="47"/>
      <c r="K8" s="47"/>
    </row>
    <row r="9" spans="2:22" x14ac:dyDescent="0.2">
      <c r="B9" s="47"/>
      <c r="I9" s="47"/>
    </row>
    <row r="10" spans="2:22" x14ac:dyDescent="0.2">
      <c r="B10" s="259" t="s">
        <v>6</v>
      </c>
      <c r="I10" s="49"/>
      <c r="K10" s="47"/>
    </row>
    <row r="11" spans="2:22" x14ac:dyDescent="0.2">
      <c r="B11" s="47" t="s">
        <v>925</v>
      </c>
      <c r="I11" s="49"/>
      <c r="K11" s="47"/>
    </row>
    <row r="12" spans="2:22" x14ac:dyDescent="0.2">
      <c r="B12" s="47"/>
      <c r="I12" s="49"/>
      <c r="K12" s="47"/>
    </row>
    <row r="13" spans="2:22" x14ac:dyDescent="0.2">
      <c r="B13" s="47"/>
      <c r="I13" s="49"/>
      <c r="K13" s="47"/>
    </row>
    <row r="14" spans="2:22" x14ac:dyDescent="0.2">
      <c r="B14" s="47"/>
      <c r="I14" s="47"/>
      <c r="K14" s="47"/>
    </row>
    <row r="15" spans="2:22" x14ac:dyDescent="0.2">
      <c r="C15" s="91"/>
      <c r="D15" s="91"/>
      <c r="E15" s="91"/>
      <c r="F15" s="91"/>
      <c r="G15" s="91"/>
      <c r="H15" s="91"/>
      <c r="I15" s="47"/>
      <c r="L15" s="91"/>
      <c r="M15" s="91"/>
      <c r="N15" s="91"/>
      <c r="O15" s="91"/>
      <c r="P15" s="91"/>
      <c r="Q15" s="91"/>
      <c r="R15" s="91"/>
      <c r="S15" s="91"/>
      <c r="T15" s="91"/>
      <c r="U15" s="91"/>
      <c r="V15" s="83"/>
    </row>
    <row r="16" spans="2:22" x14ac:dyDescent="0.2">
      <c r="C16" s="92"/>
      <c r="D16" s="92"/>
      <c r="E16" s="92"/>
      <c r="F16" s="92"/>
      <c r="G16" s="92"/>
      <c r="H16" s="92"/>
      <c r="I16" s="47"/>
      <c r="L16" s="92"/>
      <c r="M16" s="92"/>
      <c r="N16" s="92"/>
      <c r="O16" s="92"/>
      <c r="P16" s="92"/>
      <c r="Q16" s="92"/>
      <c r="R16" s="92"/>
      <c r="S16" s="92"/>
      <c r="T16" s="92"/>
      <c r="U16" s="92"/>
      <c r="V16" s="83"/>
    </row>
    <row r="17" spans="2:22" x14ac:dyDescent="0.2">
      <c r="B17" s="47"/>
      <c r="C17" s="92"/>
      <c r="D17" s="92"/>
      <c r="E17" s="92"/>
      <c r="F17" s="92"/>
      <c r="G17" s="92"/>
      <c r="H17" s="92"/>
      <c r="I17" s="92"/>
      <c r="K17" s="47"/>
      <c r="L17" s="92"/>
      <c r="M17" s="92"/>
      <c r="N17" s="92"/>
      <c r="O17" s="92"/>
      <c r="P17" s="92"/>
      <c r="Q17" s="92"/>
      <c r="R17" s="92"/>
      <c r="S17" s="92"/>
      <c r="T17" s="92"/>
      <c r="U17" s="92"/>
      <c r="V17" s="83"/>
    </row>
    <row r="18" spans="2:22" s="55" customFormat="1" ht="12.75" customHeight="1" x14ac:dyDescent="0.2">
      <c r="B18" s="53"/>
      <c r="C18" s="274" t="s">
        <v>109</v>
      </c>
      <c r="D18" s="274" t="s">
        <v>110</v>
      </c>
      <c r="E18" s="274" t="s">
        <v>773</v>
      </c>
      <c r="F18" s="274" t="s">
        <v>774</v>
      </c>
      <c r="G18" s="53"/>
      <c r="H18" s="53"/>
      <c r="I18" s="53"/>
      <c r="K18" s="53"/>
      <c r="L18" s="274"/>
      <c r="M18" s="274"/>
      <c r="N18" s="274"/>
      <c r="O18" s="274"/>
      <c r="P18" s="53"/>
      <c r="Q18" s="53"/>
    </row>
    <row r="19" spans="2:22" s="55" customFormat="1" x14ac:dyDescent="0.2">
      <c r="B19" s="56"/>
      <c r="C19" s="274"/>
      <c r="D19" s="274"/>
      <c r="E19" s="274"/>
      <c r="F19" s="274"/>
      <c r="G19" s="58"/>
      <c r="H19" s="59"/>
      <c r="I19" s="58"/>
      <c r="K19" s="56"/>
      <c r="L19" s="274"/>
      <c r="M19" s="274"/>
      <c r="N19" s="274"/>
      <c r="O19" s="274"/>
      <c r="P19" s="58"/>
      <c r="Q19" s="59"/>
    </row>
    <row r="20" spans="2:22" x14ac:dyDescent="0.2">
      <c r="B20" s="68">
        <v>36873</v>
      </c>
      <c r="C20" s="62">
        <v>0</v>
      </c>
      <c r="D20" s="62">
        <v>0</v>
      </c>
      <c r="E20" s="62">
        <v>0</v>
      </c>
      <c r="F20" s="62"/>
      <c r="H20" s="65"/>
      <c r="K20" s="61"/>
      <c r="L20" s="62"/>
      <c r="M20" s="62"/>
      <c r="N20" s="62"/>
      <c r="O20" s="62"/>
      <c r="Q20" s="65"/>
    </row>
    <row r="21" spans="2:22" x14ac:dyDescent="0.2">
      <c r="B21" s="68">
        <v>36891</v>
      </c>
      <c r="C21" s="62">
        <v>-4.5388155165690725E-2</v>
      </c>
      <c r="D21" s="62">
        <v>-4.4660831855340755E-2</v>
      </c>
      <c r="E21" s="62">
        <v>-4.5388155165690725E-2</v>
      </c>
      <c r="F21" s="62">
        <v>-4.4660831855340755E-2</v>
      </c>
      <c r="H21" s="65"/>
      <c r="K21" s="61"/>
      <c r="L21" s="62"/>
      <c r="M21" s="62"/>
      <c r="N21" s="62"/>
      <c r="O21" s="62"/>
      <c r="Q21" s="65"/>
    </row>
    <row r="22" spans="2:22" x14ac:dyDescent="0.2">
      <c r="B22" s="68">
        <v>36922</v>
      </c>
      <c r="C22" s="62">
        <v>-2.3061835549637144E-2</v>
      </c>
      <c r="D22" s="62">
        <v>-1.9328789449330031E-2</v>
      </c>
      <c r="E22" s="62">
        <v>-2.3061835549637144E-2</v>
      </c>
      <c r="F22" s="62">
        <v>-1.9328789449330031E-2</v>
      </c>
      <c r="H22" s="65"/>
      <c r="K22" s="61"/>
      <c r="L22" s="62"/>
      <c r="M22" s="62"/>
      <c r="N22" s="62"/>
      <c r="O22" s="62"/>
      <c r="Q22" s="65"/>
    </row>
    <row r="23" spans="2:22" x14ac:dyDescent="0.2">
      <c r="B23" s="68">
        <v>36950</v>
      </c>
      <c r="C23" s="62">
        <v>-9.3336214097018311E-2</v>
      </c>
      <c r="D23" s="62">
        <v>-9.2990949898273945E-2</v>
      </c>
      <c r="E23" s="62">
        <v>-9.3336214097018311E-2</v>
      </c>
      <c r="F23" s="62">
        <v>-9.2990949898273945E-2</v>
      </c>
      <c r="H23" s="65"/>
      <c r="K23" s="61"/>
      <c r="L23" s="62"/>
      <c r="M23" s="62"/>
      <c r="N23" s="62"/>
      <c r="O23" s="62"/>
      <c r="Q23" s="65"/>
    </row>
    <row r="24" spans="2:22" x14ac:dyDescent="0.2">
      <c r="B24" s="68">
        <v>36981</v>
      </c>
      <c r="C24" s="62">
        <v>-0.15455948709528244</v>
      </c>
      <c r="D24" s="62">
        <v>-0.16063029954622343</v>
      </c>
      <c r="E24" s="62">
        <v>-0.15455948709528244</v>
      </c>
      <c r="F24" s="62">
        <v>-0.16063029954622343</v>
      </c>
      <c r="H24" s="65"/>
      <c r="K24" s="61"/>
      <c r="L24" s="62"/>
      <c r="M24" s="62"/>
      <c r="N24" s="62"/>
      <c r="O24" s="62"/>
      <c r="Q24" s="65"/>
    </row>
    <row r="25" spans="2:22" x14ac:dyDescent="0.2">
      <c r="B25" s="68">
        <v>37011</v>
      </c>
      <c r="C25" s="62">
        <v>-0.10298425231858033</v>
      </c>
      <c r="D25" s="62">
        <v>-0.1170998991535821</v>
      </c>
      <c r="E25" s="62">
        <v>-0.10298425231858033</v>
      </c>
      <c r="F25" s="62">
        <v>-0.1170998991535821</v>
      </c>
      <c r="H25" s="65"/>
      <c r="K25" s="61"/>
      <c r="L25" s="62"/>
      <c r="M25" s="62"/>
      <c r="N25" s="62"/>
      <c r="O25" s="62"/>
      <c r="Q25" s="65"/>
    </row>
    <row r="26" spans="2:22" x14ac:dyDescent="0.2">
      <c r="B26" s="68">
        <v>37042</v>
      </c>
      <c r="C26" s="62">
        <v>-7.016137882463358E-2</v>
      </c>
      <c r="D26" s="62">
        <v>-9.0924429539379514E-2</v>
      </c>
      <c r="E26" s="62">
        <v>-7.016137882463358E-2</v>
      </c>
      <c r="F26" s="62">
        <v>-9.0924429539379514E-2</v>
      </c>
      <c r="H26" s="65"/>
      <c r="K26" s="61"/>
      <c r="L26" s="62"/>
      <c r="M26" s="62"/>
      <c r="N26" s="62"/>
      <c r="O26" s="62"/>
      <c r="Q26" s="65"/>
    </row>
    <row r="27" spans="2:22" x14ac:dyDescent="0.2">
      <c r="B27" s="68">
        <v>37072</v>
      </c>
      <c r="C27" s="62">
        <v>-9.557327690967421E-2</v>
      </c>
      <c r="D27" s="62">
        <v>-0.11445061440242799</v>
      </c>
      <c r="E27" s="62">
        <v>-9.557327690967421E-2</v>
      </c>
      <c r="F27" s="62">
        <v>-0.11445061440242799</v>
      </c>
      <c r="H27" s="65"/>
      <c r="K27" s="61"/>
      <c r="L27" s="62"/>
      <c r="M27" s="62"/>
      <c r="N27" s="62"/>
      <c r="O27" s="62"/>
      <c r="Q27" s="65"/>
    </row>
    <row r="28" spans="2:22" x14ac:dyDescent="0.2">
      <c r="B28" s="68">
        <v>37103</v>
      </c>
      <c r="C28" s="62">
        <v>-0.13384481410068805</v>
      </c>
      <c r="D28" s="62">
        <v>-0.14747483201292899</v>
      </c>
      <c r="E28" s="62">
        <v>-0.13384481410068805</v>
      </c>
      <c r="F28" s="62">
        <v>-0.14747483201292899</v>
      </c>
      <c r="H28" s="65"/>
      <c r="K28" s="61"/>
      <c r="L28" s="62"/>
      <c r="M28" s="62"/>
      <c r="N28" s="62"/>
      <c r="O28" s="62"/>
      <c r="Q28" s="65"/>
    </row>
    <row r="29" spans="2:22" x14ac:dyDescent="0.2">
      <c r="B29" s="68">
        <v>37134</v>
      </c>
      <c r="C29" s="62">
        <v>-0.18550338163818569</v>
      </c>
      <c r="D29" s="62">
        <v>-0.20041755738546863</v>
      </c>
      <c r="E29" s="62">
        <v>-0.18550338163818569</v>
      </c>
      <c r="F29" s="62">
        <v>-0.20041755738546863</v>
      </c>
      <c r="H29" s="65"/>
      <c r="K29" s="61"/>
      <c r="L29" s="62"/>
      <c r="M29" s="62"/>
      <c r="N29" s="62"/>
      <c r="O29" s="62"/>
      <c r="Q29" s="65"/>
    </row>
    <row r="30" spans="2:22" x14ac:dyDescent="0.2">
      <c r="B30" s="68">
        <v>37164</v>
      </c>
      <c r="C30" s="62">
        <v>-0.25676123723683508</v>
      </c>
      <c r="D30" s="62">
        <v>-0.27658828092670085</v>
      </c>
      <c r="E30" s="62">
        <v>-0.25676123723683508</v>
      </c>
      <c r="F30" s="62">
        <v>-0.27658828092670085</v>
      </c>
      <c r="H30" s="65"/>
      <c r="K30" s="61"/>
      <c r="L30" s="62"/>
      <c r="M30" s="62"/>
      <c r="N30" s="62"/>
      <c r="O30" s="62"/>
      <c r="Q30" s="65"/>
    </row>
    <row r="31" spans="2:22" x14ac:dyDescent="0.2">
      <c r="B31" s="68">
        <v>37195</v>
      </c>
      <c r="C31" s="62">
        <v>-0.21912568174453229</v>
      </c>
      <c r="D31" s="62">
        <v>-0.23769720027606334</v>
      </c>
      <c r="E31" s="62">
        <v>-0.21912568174453229</v>
      </c>
      <c r="F31" s="62">
        <v>-0.23769720027606334</v>
      </c>
      <c r="H31" s="65"/>
      <c r="K31" s="61"/>
      <c r="L31" s="62"/>
      <c r="M31" s="62"/>
      <c r="N31" s="62"/>
      <c r="O31" s="62"/>
      <c r="Q31" s="65"/>
    </row>
    <row r="32" spans="2:22" x14ac:dyDescent="0.2">
      <c r="B32" s="68">
        <v>37225</v>
      </c>
      <c r="C32" s="62">
        <v>-0.16090624193691538</v>
      </c>
      <c r="D32" s="62">
        <v>-0.18116667814571941</v>
      </c>
      <c r="E32" s="62">
        <v>-0.16090624193691538</v>
      </c>
      <c r="F32" s="62">
        <v>-0.18116667814571941</v>
      </c>
      <c r="H32" s="65"/>
      <c r="K32" s="61"/>
      <c r="L32" s="62"/>
      <c r="M32" s="62"/>
      <c r="N32" s="62"/>
      <c r="O32" s="62"/>
      <c r="Q32" s="65"/>
    </row>
    <row r="33" spans="2:17" x14ac:dyDescent="0.2">
      <c r="B33" s="68">
        <v>37256</v>
      </c>
      <c r="C33" s="62">
        <v>-0.15163030159442259</v>
      </c>
      <c r="D33" s="62">
        <v>-0.17303629027404399</v>
      </c>
      <c r="E33" s="62">
        <v>-0.15163030159442259</v>
      </c>
      <c r="F33" s="62">
        <v>-0.17303629027404399</v>
      </c>
      <c r="H33" s="65"/>
      <c r="K33" s="61"/>
      <c r="L33" s="62"/>
      <c r="M33" s="62"/>
      <c r="N33" s="62"/>
      <c r="O33" s="62"/>
      <c r="Q33" s="65"/>
    </row>
    <row r="34" spans="2:17" x14ac:dyDescent="0.2">
      <c r="B34" s="68">
        <v>37287</v>
      </c>
      <c r="C34" s="62">
        <v>-0.16226125402914071</v>
      </c>
      <c r="D34" s="62">
        <v>-0.17982548286273181</v>
      </c>
      <c r="E34" s="62">
        <v>-0.18662022488362295</v>
      </c>
      <c r="F34" s="62">
        <v>-0.20507862007785627</v>
      </c>
      <c r="H34" s="65"/>
      <c r="K34" s="61"/>
      <c r="L34" s="62"/>
      <c r="M34" s="62"/>
      <c r="N34" s="62"/>
      <c r="O34" s="62"/>
      <c r="Q34" s="65"/>
    </row>
    <row r="35" spans="2:17" x14ac:dyDescent="0.2">
      <c r="B35" s="68">
        <v>37315</v>
      </c>
      <c r="C35" s="62">
        <v>-0.15995282583486503</v>
      </c>
      <c r="D35" s="62">
        <v>-0.17789240716081489</v>
      </c>
      <c r="E35" s="62">
        <v>-0.19577125072951806</v>
      </c>
      <c r="F35" s="62">
        <v>-0.21577248539957083</v>
      </c>
      <c r="H35" s="65"/>
      <c r="K35" s="61"/>
      <c r="L35" s="62"/>
      <c r="M35" s="62"/>
      <c r="N35" s="62"/>
      <c r="O35" s="62"/>
      <c r="Q35" s="65"/>
    </row>
    <row r="36" spans="2:17" x14ac:dyDescent="0.2">
      <c r="B36" s="68">
        <v>37346</v>
      </c>
      <c r="C36" s="62">
        <v>-0.13668758570700124</v>
      </c>
      <c r="D36" s="62">
        <v>-0.1598893652815141</v>
      </c>
      <c r="E36" s="62">
        <v>-0.17796435824374601</v>
      </c>
      <c r="F36" s="62">
        <v>-0.20548652285000768</v>
      </c>
      <c r="H36" s="65"/>
      <c r="K36" s="61"/>
      <c r="L36" s="62"/>
      <c r="M36" s="62"/>
      <c r="N36" s="62"/>
      <c r="O36" s="62"/>
      <c r="Q36" s="65"/>
    </row>
    <row r="37" spans="2:17" x14ac:dyDescent="0.2">
      <c r="B37" s="68">
        <v>37376</v>
      </c>
      <c r="C37" s="62">
        <v>-0.16588858009420038</v>
      </c>
      <c r="D37" s="62">
        <v>-0.1893815764872061</v>
      </c>
      <c r="E37" s="62">
        <v>-0.22660606519990201</v>
      </c>
      <c r="F37" s="62">
        <v>-0.25551269083185868</v>
      </c>
      <c r="H37" s="64"/>
      <c r="K37" s="61"/>
      <c r="L37" s="62"/>
      <c r="M37" s="62"/>
      <c r="N37" s="62"/>
      <c r="O37" s="62"/>
      <c r="Q37" s="64"/>
    </row>
    <row r="38" spans="2:17" x14ac:dyDescent="0.2">
      <c r="B38" s="68">
        <v>37407</v>
      </c>
      <c r="C38" s="62">
        <v>-0.17925892347518058</v>
      </c>
      <c r="D38" s="62">
        <v>-0.202477220739679</v>
      </c>
      <c r="E38" s="62">
        <v>-0.25645158127320089</v>
      </c>
      <c r="F38" s="62">
        <v>-0.28607394152218535</v>
      </c>
      <c r="H38" s="64"/>
      <c r="K38" s="61"/>
      <c r="L38" s="62"/>
      <c r="M38" s="62"/>
      <c r="N38" s="62"/>
      <c r="O38" s="62"/>
      <c r="Q38" s="64"/>
    </row>
    <row r="39" spans="2:17" x14ac:dyDescent="0.2">
      <c r="B39" s="68">
        <v>37437</v>
      </c>
      <c r="C39" s="62">
        <v>-0.22050976223006347</v>
      </c>
      <c r="D39" s="62">
        <v>-0.24061222909381852</v>
      </c>
      <c r="E39" s="62">
        <v>-0.32593737992429506</v>
      </c>
      <c r="F39" s="62">
        <v>-0.35184388618635543</v>
      </c>
      <c r="H39" s="64"/>
      <c r="K39" s="61"/>
      <c r="L39" s="62"/>
      <c r="M39" s="62"/>
      <c r="N39" s="62"/>
      <c r="O39" s="62"/>
      <c r="Q39" s="64"/>
    </row>
    <row r="40" spans="2:17" x14ac:dyDescent="0.2">
      <c r="B40" s="68">
        <v>37468</v>
      </c>
      <c r="C40" s="62">
        <v>-0.24416776840847387</v>
      </c>
      <c r="D40" s="62">
        <v>-0.26110857275586996</v>
      </c>
      <c r="E40" s="62">
        <v>-0.37284385787911678</v>
      </c>
      <c r="F40" s="62">
        <v>-0.39495439392157172</v>
      </c>
      <c r="H40" s="64"/>
      <c r="K40" s="61"/>
      <c r="L40" s="62"/>
      <c r="M40" s="62"/>
      <c r="N40" s="62"/>
      <c r="O40" s="62"/>
      <c r="Q40" s="64"/>
    </row>
    <row r="41" spans="2:17" x14ac:dyDescent="0.2">
      <c r="B41" s="68">
        <v>37499</v>
      </c>
      <c r="C41" s="62">
        <v>-0.23780624183716714</v>
      </c>
      <c r="D41" s="62">
        <v>-0.25420894591188581</v>
      </c>
      <c r="E41" s="62">
        <v>-0.37825195439072901</v>
      </c>
      <c r="F41" s="62">
        <v>-0.40039202796785789</v>
      </c>
      <c r="H41" s="64"/>
      <c r="K41" s="61"/>
      <c r="L41" s="62"/>
      <c r="M41" s="62"/>
      <c r="N41" s="62"/>
      <c r="O41" s="62"/>
      <c r="Q41" s="64"/>
    </row>
    <row r="42" spans="2:17" x14ac:dyDescent="0.2">
      <c r="B42" s="68">
        <v>37529</v>
      </c>
      <c r="C42" s="62">
        <v>-0.27439234057319351</v>
      </c>
      <c r="D42" s="62">
        <v>-0.29238390797011871</v>
      </c>
      <c r="E42" s="62">
        <v>-0.44458184201584461</v>
      </c>
      <c r="F42" s="62">
        <v>-0.46845774097472637</v>
      </c>
      <c r="H42" s="64"/>
      <c r="K42" s="61"/>
      <c r="L42" s="62"/>
      <c r="M42" s="62"/>
      <c r="N42" s="62"/>
      <c r="O42" s="62"/>
      <c r="Q42" s="64"/>
    </row>
    <row r="43" spans="2:17" x14ac:dyDescent="0.2">
      <c r="B43" s="68">
        <v>37560</v>
      </c>
      <c r="C43" s="62">
        <v>-0.23343554860848559</v>
      </c>
      <c r="D43" s="62">
        <v>-0.2529240597264083</v>
      </c>
      <c r="E43" s="62">
        <v>-0.39921608781484508</v>
      </c>
      <c r="F43" s="62">
        <v>-0.42692108303906973</v>
      </c>
      <c r="H43" s="64"/>
      <c r="K43" s="61"/>
      <c r="L43" s="62"/>
      <c r="M43" s="62"/>
      <c r="N43" s="62"/>
      <c r="O43" s="62"/>
      <c r="Q43" s="64"/>
    </row>
    <row r="44" spans="2:17" x14ac:dyDescent="0.2">
      <c r="B44" s="68">
        <v>37590</v>
      </c>
      <c r="C44" s="62">
        <v>-0.20070973309006235</v>
      </c>
      <c r="D44" s="62">
        <v>-0.21912139700742306</v>
      </c>
      <c r="E44" s="62">
        <v>-0.36113506922304062</v>
      </c>
      <c r="F44" s="62">
        <v>-0.3890432569526493</v>
      </c>
      <c r="H44" s="64"/>
      <c r="K44" s="61"/>
      <c r="L44" s="62"/>
      <c r="M44" s="62"/>
      <c r="N44" s="62"/>
      <c r="O44" s="62"/>
      <c r="Q44" s="64"/>
    </row>
    <row r="45" spans="2:17" x14ac:dyDescent="0.2">
      <c r="B45" s="68">
        <v>37621</v>
      </c>
      <c r="C45" s="62">
        <v>-0.22785838594751284</v>
      </c>
      <c r="D45" s="62">
        <v>-0.24546098585877341</v>
      </c>
      <c r="E45" s="62">
        <v>-0.41650742840072186</v>
      </c>
      <c r="F45" s="62">
        <v>-0.44280807503042408</v>
      </c>
      <c r="H45" s="64"/>
      <c r="K45" s="61"/>
      <c r="L45" s="62"/>
      <c r="M45" s="62"/>
      <c r="N45" s="62"/>
      <c r="O45" s="62"/>
      <c r="Q45" s="64"/>
    </row>
    <row r="46" spans="2:17" x14ac:dyDescent="0.2">
      <c r="B46" s="68">
        <v>37652</v>
      </c>
      <c r="C46" s="62">
        <v>-0.23460327412364324</v>
      </c>
      <c r="D46" s="62">
        <v>-0.25253463167868995</v>
      </c>
      <c r="E46" s="62">
        <v>-0.43969955560310947</v>
      </c>
      <c r="F46" s="62">
        <v>-0.46669954078600318</v>
      </c>
      <c r="H46" s="64"/>
      <c r="K46" s="61"/>
      <c r="L46" s="62"/>
      <c r="M46" s="62"/>
      <c r="N46" s="62"/>
      <c r="O46" s="62"/>
      <c r="Q46" s="64"/>
    </row>
    <row r="47" spans="2:17" x14ac:dyDescent="0.2">
      <c r="B47" s="68">
        <v>37680</v>
      </c>
      <c r="C47" s="62">
        <v>-0.23240386065007368</v>
      </c>
      <c r="D47" s="62">
        <v>-0.25269517603713187</v>
      </c>
      <c r="E47" s="62">
        <v>-0.44849588278422881</v>
      </c>
      <c r="F47" s="62">
        <v>-0.47959722847491704</v>
      </c>
      <c r="H47" s="64"/>
      <c r="K47" s="61"/>
      <c r="L47" s="62"/>
      <c r="M47" s="62"/>
      <c r="N47" s="62"/>
      <c r="O47" s="62"/>
      <c r="Q47" s="64"/>
    </row>
    <row r="48" spans="2:17" x14ac:dyDescent="0.2">
      <c r="B48" s="68">
        <v>37711</v>
      </c>
      <c r="C48" s="62">
        <v>-0.22512802037218171</v>
      </c>
      <c r="D48" s="62">
        <v>-0.24654438583516525</v>
      </c>
      <c r="E48" s="62">
        <v>-0.44851136723349694</v>
      </c>
      <c r="F48" s="62">
        <v>-0.4822156403582547</v>
      </c>
      <c r="H48" s="64"/>
      <c r="K48" s="61"/>
      <c r="L48" s="62"/>
      <c r="M48" s="62"/>
      <c r="N48" s="62"/>
      <c r="O48" s="62"/>
      <c r="Q48" s="64"/>
    </row>
    <row r="49" spans="2:17" x14ac:dyDescent="0.2">
      <c r="B49" s="68">
        <v>37741</v>
      </c>
      <c r="C49" s="62">
        <v>-0.19717702713728946</v>
      </c>
      <c r="D49" s="62">
        <v>-0.21738415643477516</v>
      </c>
      <c r="E49" s="62">
        <v>-0.41183682582898196</v>
      </c>
      <c r="F49" s="62">
        <v>-0.44580177240055074</v>
      </c>
      <c r="H49" s="64"/>
      <c r="K49" s="61"/>
      <c r="L49" s="62"/>
      <c r="M49" s="62"/>
      <c r="N49" s="62"/>
      <c r="O49" s="62"/>
      <c r="Q49" s="64"/>
    </row>
    <row r="50" spans="2:17" x14ac:dyDescent="0.2">
      <c r="B50" s="68">
        <v>37772</v>
      </c>
      <c r="C50" s="62">
        <v>-0.18833333094140081</v>
      </c>
      <c r="D50" s="62">
        <v>-0.20771433610726042</v>
      </c>
      <c r="E50" s="62">
        <v>-0.40646780652014425</v>
      </c>
      <c r="F50" s="62">
        <v>-0.44014036902277165</v>
      </c>
      <c r="H50" s="64"/>
      <c r="K50" s="61"/>
      <c r="L50" s="62"/>
      <c r="M50" s="62"/>
      <c r="N50" s="62"/>
      <c r="O50" s="62"/>
      <c r="Q50" s="64"/>
    </row>
    <row r="51" spans="2:17" x14ac:dyDescent="0.2">
      <c r="B51" s="68">
        <v>37802</v>
      </c>
      <c r="C51" s="62">
        <v>-0.16813844327559169</v>
      </c>
      <c r="D51" s="62">
        <v>-0.18641163030864216</v>
      </c>
      <c r="E51" s="62">
        <v>-0.37846552335272365</v>
      </c>
      <c r="F51" s="62">
        <v>-0.41203778532502877</v>
      </c>
      <c r="H51" s="64"/>
      <c r="K51" s="61"/>
      <c r="L51" s="62"/>
      <c r="M51" s="62"/>
      <c r="N51" s="62"/>
      <c r="O51" s="62"/>
      <c r="Q51" s="64"/>
    </row>
    <row r="52" spans="2:17" x14ac:dyDescent="0.2">
      <c r="B52" s="68">
        <v>37833</v>
      </c>
      <c r="C52" s="62">
        <v>-0.1518031259781758</v>
      </c>
      <c r="D52" s="62">
        <v>-0.16879672984135718</v>
      </c>
      <c r="E52" s="62">
        <v>-0.35534931744811826</v>
      </c>
      <c r="F52" s="62">
        <v>-0.38818737606076836</v>
      </c>
      <c r="H52" s="64"/>
      <c r="K52" s="61"/>
      <c r="L52" s="62"/>
      <c r="M52" s="62"/>
      <c r="N52" s="62"/>
      <c r="O52" s="62"/>
      <c r="Q52" s="64"/>
    </row>
    <row r="53" spans="2:17" x14ac:dyDescent="0.2">
      <c r="B53" s="68">
        <v>37864</v>
      </c>
      <c r="C53" s="62">
        <v>-0.13574346501764911</v>
      </c>
      <c r="D53" s="62">
        <v>-0.15240816443373728</v>
      </c>
      <c r="E53" s="62">
        <v>-0.33047415193973351</v>
      </c>
      <c r="F53" s="62">
        <v>-0.36434969177653775</v>
      </c>
      <c r="H53" s="64"/>
      <c r="K53" s="61"/>
      <c r="L53" s="62"/>
      <c r="M53" s="62"/>
      <c r="N53" s="62"/>
      <c r="O53" s="62"/>
      <c r="Q53" s="64"/>
    </row>
    <row r="54" spans="2:17" x14ac:dyDescent="0.2">
      <c r="B54" s="68">
        <v>37894</v>
      </c>
      <c r="C54" s="62">
        <v>-0.14681322947025155</v>
      </c>
      <c r="D54" s="62">
        <v>-0.16496042280154943</v>
      </c>
      <c r="E54" s="62">
        <v>-0.36228741759380223</v>
      </c>
      <c r="F54" s="62">
        <v>-0.39889811482558968</v>
      </c>
      <c r="H54" s="64"/>
      <c r="K54" s="61"/>
      <c r="L54" s="62"/>
      <c r="M54" s="62"/>
      <c r="N54" s="62"/>
      <c r="O54" s="62"/>
      <c r="Q54" s="64"/>
    </row>
    <row r="55" spans="2:17" x14ac:dyDescent="0.2">
      <c r="B55" s="68">
        <v>37925</v>
      </c>
      <c r="C55" s="62">
        <v>-0.1251331817775535</v>
      </c>
      <c r="D55" s="62">
        <v>-0.14341679706964161</v>
      </c>
      <c r="E55" s="62">
        <v>-0.32288254981017206</v>
      </c>
      <c r="F55" s="62">
        <v>-0.36221314390509929</v>
      </c>
      <c r="H55" s="64"/>
      <c r="K55" s="61"/>
      <c r="L55" s="62"/>
      <c r="M55" s="62"/>
      <c r="N55" s="62"/>
      <c r="O55" s="62"/>
      <c r="Q55" s="64"/>
    </row>
    <row r="56" spans="2:17" x14ac:dyDescent="0.2">
      <c r="B56" s="68">
        <v>37955</v>
      </c>
      <c r="C56" s="62">
        <v>-0.12301693246698986</v>
      </c>
      <c r="D56" s="62">
        <v>-0.14019184001357088</v>
      </c>
      <c r="E56" s="62">
        <v>-0.32551293599988529</v>
      </c>
      <c r="F56" s="62">
        <v>-0.36332105025932415</v>
      </c>
      <c r="H56" s="64"/>
      <c r="K56" s="61"/>
      <c r="L56" s="62"/>
      <c r="M56" s="62"/>
      <c r="N56" s="62"/>
      <c r="O56" s="62"/>
      <c r="Q56" s="64"/>
    </row>
    <row r="57" spans="2:17" x14ac:dyDescent="0.2">
      <c r="B57" s="68">
        <v>37986</v>
      </c>
      <c r="C57" s="62">
        <v>-0.1143751986773297</v>
      </c>
      <c r="D57" s="62">
        <v>-0.13155412420909063</v>
      </c>
      <c r="E57" s="62">
        <v>-0.31237214995239981</v>
      </c>
      <c r="F57" s="62">
        <v>-0.35161580686466432</v>
      </c>
      <c r="H57" s="64"/>
      <c r="K57" s="61"/>
      <c r="L57" s="62"/>
      <c r="M57" s="62"/>
      <c r="N57" s="62"/>
      <c r="O57" s="62"/>
      <c r="Q57" s="64"/>
    </row>
    <row r="58" spans="2:17" x14ac:dyDescent="0.2">
      <c r="B58" s="68">
        <v>38017</v>
      </c>
      <c r="C58" s="62">
        <v>-9.8706449952690956E-2</v>
      </c>
      <c r="D58" s="62">
        <v>-0.11510276230671346</v>
      </c>
      <c r="E58" s="62">
        <v>-0.28042428168822753</v>
      </c>
      <c r="F58" s="62">
        <v>-0.32002683021401934</v>
      </c>
      <c r="H58" s="64"/>
      <c r="K58" s="61"/>
      <c r="L58" s="62"/>
      <c r="M58" s="62"/>
      <c r="N58" s="62"/>
      <c r="O58" s="62"/>
      <c r="Q58" s="64"/>
    </row>
    <row r="59" spans="2:17" x14ac:dyDescent="0.2">
      <c r="B59" s="68">
        <v>38046</v>
      </c>
      <c r="C59" s="62">
        <v>-8.9088952368647556E-2</v>
      </c>
      <c r="D59" s="62">
        <v>-0.10451536454155341</v>
      </c>
      <c r="E59" s="62">
        <v>-0.26159113811669987</v>
      </c>
      <c r="F59" s="62">
        <v>-0.30046877743691702</v>
      </c>
      <c r="H59" s="64"/>
      <c r="K59" s="61"/>
      <c r="L59" s="62"/>
      <c r="M59" s="62"/>
      <c r="N59" s="62"/>
      <c r="O59" s="62"/>
      <c r="Q59" s="64"/>
    </row>
    <row r="60" spans="2:17" x14ac:dyDescent="0.2">
      <c r="B60" s="68">
        <v>38077</v>
      </c>
      <c r="C60" s="62">
        <v>-8.7406605538522308E-2</v>
      </c>
      <c r="D60" s="62">
        <v>-0.10454961524634732</v>
      </c>
      <c r="E60" s="62">
        <v>-0.26279025098696795</v>
      </c>
      <c r="F60" s="62">
        <v>-0.30685396898452577</v>
      </c>
      <c r="H60" s="64"/>
      <c r="K60" s="61"/>
      <c r="L60" s="62"/>
      <c r="M60" s="62"/>
      <c r="N60" s="62"/>
      <c r="O60" s="62"/>
      <c r="Q60" s="64"/>
    </row>
    <row r="61" spans="2:17" x14ac:dyDescent="0.2">
      <c r="B61" s="68">
        <v>38107</v>
      </c>
      <c r="C61" s="62">
        <v>-8.6988615271393566E-2</v>
      </c>
      <c r="D61" s="62">
        <v>-0.10371465734584484</v>
      </c>
      <c r="E61" s="62">
        <v>-0.26724240937259902</v>
      </c>
      <c r="F61" s="62">
        <v>-0.31104001768855316</v>
      </c>
      <c r="H61" s="64"/>
      <c r="K61" s="61"/>
      <c r="L61" s="62"/>
      <c r="M61" s="62"/>
      <c r="N61" s="62"/>
      <c r="O61" s="62"/>
      <c r="Q61" s="64"/>
    </row>
    <row r="62" spans="2:17" x14ac:dyDescent="0.2">
      <c r="B62" s="68">
        <v>38138</v>
      </c>
      <c r="C62" s="62">
        <v>-8.9931885662111632E-2</v>
      </c>
      <c r="D62" s="62">
        <v>-0.10685537216643326</v>
      </c>
      <c r="E62" s="62">
        <v>-0.28095073852229646</v>
      </c>
      <c r="F62" s="62">
        <v>-0.32561856126314637</v>
      </c>
      <c r="H62" s="64"/>
      <c r="K62" s="61"/>
      <c r="L62" s="62"/>
      <c r="M62" s="62"/>
      <c r="N62" s="62"/>
      <c r="O62" s="62"/>
      <c r="Q62" s="64"/>
    </row>
    <row r="63" spans="2:17" x14ac:dyDescent="0.2">
      <c r="B63" s="68">
        <v>38168</v>
      </c>
      <c r="C63" s="62">
        <v>-8.1594111492517385E-2</v>
      </c>
      <c r="D63" s="62">
        <v>-9.7162913472718326E-2</v>
      </c>
      <c r="E63" s="62">
        <v>-0.26287547044942672</v>
      </c>
      <c r="F63" s="62">
        <v>-0.3056915958661327</v>
      </c>
      <c r="H63" s="64"/>
      <c r="K63" s="61"/>
      <c r="L63" s="62"/>
      <c r="M63" s="62"/>
      <c r="N63" s="62"/>
      <c r="O63" s="62"/>
      <c r="Q63" s="64"/>
    </row>
    <row r="64" spans="2:17" x14ac:dyDescent="0.2">
      <c r="B64" s="68">
        <v>38199</v>
      </c>
      <c r="C64" s="62">
        <v>-8.5704517293054172E-2</v>
      </c>
      <c r="D64" s="62">
        <v>-0.10048598561228328</v>
      </c>
      <c r="E64" s="62">
        <v>-0.28002496412248912</v>
      </c>
      <c r="F64" s="62">
        <v>-0.32087094461392418</v>
      </c>
      <c r="H64" s="64"/>
      <c r="K64" s="61"/>
      <c r="L64" s="62"/>
      <c r="M64" s="62"/>
      <c r="N64" s="62"/>
      <c r="O64" s="62"/>
      <c r="Q64" s="64"/>
    </row>
    <row r="65" spans="2:17" x14ac:dyDescent="0.2">
      <c r="B65" s="68">
        <v>38230</v>
      </c>
      <c r="C65" s="62">
        <v>-8.5215270792155073E-2</v>
      </c>
      <c r="D65" s="62">
        <v>-9.9406515102145931E-2</v>
      </c>
      <c r="E65" s="62">
        <v>-0.28394579712309564</v>
      </c>
      <c r="F65" s="62">
        <v>-0.32384098096418845</v>
      </c>
      <c r="H65" s="64"/>
      <c r="K65" s="61"/>
      <c r="L65" s="62"/>
      <c r="M65" s="62"/>
      <c r="N65" s="62"/>
      <c r="O65" s="62"/>
      <c r="Q65" s="64"/>
    </row>
    <row r="66" spans="2:17" x14ac:dyDescent="0.2">
      <c r="B66" s="68">
        <v>38260</v>
      </c>
      <c r="C66" s="62">
        <v>-8.159684410507495E-2</v>
      </c>
      <c r="D66" s="62">
        <v>-9.7256122030551784E-2</v>
      </c>
      <c r="E66" s="62">
        <v>-0.27840323907420905</v>
      </c>
      <c r="F66" s="62">
        <v>-0.32347084548463501</v>
      </c>
      <c r="H66" s="64"/>
      <c r="K66" s="61"/>
      <c r="L66" s="62"/>
      <c r="M66" s="62"/>
      <c r="N66" s="62"/>
      <c r="O66" s="62"/>
      <c r="Q66" s="64"/>
    </row>
    <row r="67" spans="2:17" x14ac:dyDescent="0.2">
      <c r="B67" s="68">
        <v>38291</v>
      </c>
      <c r="C67" s="62">
        <v>-7.9882149410125725E-2</v>
      </c>
      <c r="D67" s="62">
        <v>-9.5905139396950667E-2</v>
      </c>
      <c r="E67" s="62">
        <v>-0.27824987083614972</v>
      </c>
      <c r="F67" s="62">
        <v>-0.32525352693472087</v>
      </c>
      <c r="H67" s="64"/>
      <c r="K67" s="61"/>
      <c r="L67" s="62"/>
      <c r="M67" s="62"/>
      <c r="N67" s="62"/>
      <c r="O67" s="62"/>
      <c r="Q67" s="64"/>
    </row>
    <row r="68" spans="2:17" x14ac:dyDescent="0.2">
      <c r="B68" s="68">
        <v>38321</v>
      </c>
      <c r="C68" s="62">
        <v>-7.3719529380124937E-2</v>
      </c>
      <c r="D68" s="62">
        <v>-8.8181181115921548E-2</v>
      </c>
      <c r="E68" s="62">
        <v>-0.26384370438779248</v>
      </c>
      <c r="F68" s="62">
        <v>-0.30784445648773473</v>
      </c>
      <c r="H68" s="64"/>
      <c r="K68" s="61"/>
      <c r="L68" s="62"/>
      <c r="M68" s="62"/>
      <c r="N68" s="62"/>
      <c r="O68" s="62"/>
      <c r="Q68" s="64"/>
    </row>
    <row r="69" spans="2:17" x14ac:dyDescent="0.2">
      <c r="B69" s="68">
        <v>38352</v>
      </c>
      <c r="C69" s="62">
        <v>-6.8696459652047626E-2</v>
      </c>
      <c r="D69" s="62">
        <v>-8.2935944173102905E-2</v>
      </c>
      <c r="E69" s="62">
        <v>-0.2521934119949012</v>
      </c>
      <c r="F69" s="62">
        <v>-0.29689051299592184</v>
      </c>
      <c r="H69" s="64"/>
      <c r="K69" s="61"/>
      <c r="L69" s="62"/>
      <c r="M69" s="62"/>
      <c r="N69" s="62"/>
      <c r="O69" s="62"/>
      <c r="Q69" s="64"/>
    </row>
    <row r="70" spans="2:17" x14ac:dyDescent="0.2">
      <c r="B70" s="68">
        <v>38383</v>
      </c>
      <c r="C70" s="62">
        <v>-6.341088664394734E-2</v>
      </c>
      <c r="D70" s="62">
        <v>-7.6224112759343265E-2</v>
      </c>
      <c r="E70" s="62">
        <v>-0.23887742096441089</v>
      </c>
      <c r="F70" s="62">
        <v>-0.2805077311527554</v>
      </c>
      <c r="H70" s="64"/>
      <c r="K70" s="61"/>
      <c r="L70" s="62"/>
      <c r="M70" s="62"/>
      <c r="N70" s="62"/>
      <c r="O70" s="62"/>
      <c r="Q70" s="64"/>
    </row>
    <row r="71" spans="2:17" x14ac:dyDescent="0.2">
      <c r="B71" s="68">
        <v>38411</v>
      </c>
      <c r="C71" s="62">
        <v>-5.6910768482158702E-2</v>
      </c>
      <c r="D71" s="62">
        <v>-7.0598211042535719E-2</v>
      </c>
      <c r="E71" s="62">
        <v>-0.22044037074748646</v>
      </c>
      <c r="F71" s="62">
        <v>-0.26651033451061856</v>
      </c>
      <c r="H71" s="64"/>
      <c r="K71" s="61"/>
      <c r="L71" s="62"/>
      <c r="M71" s="62"/>
      <c r="N71" s="62"/>
      <c r="O71" s="62"/>
      <c r="Q71" s="64"/>
    </row>
    <row r="72" spans="2:17" x14ac:dyDescent="0.2">
      <c r="B72" s="68">
        <v>38442</v>
      </c>
      <c r="C72" s="62">
        <v>-5.5930861892893091E-2</v>
      </c>
      <c r="D72" s="62">
        <v>-6.9835735237260943E-2</v>
      </c>
      <c r="E72" s="62">
        <v>-0.2207386506537321</v>
      </c>
      <c r="F72" s="62">
        <v>-0.26836327207553767</v>
      </c>
      <c r="H72" s="64"/>
      <c r="K72" s="61"/>
      <c r="L72" s="62"/>
      <c r="M72" s="62"/>
      <c r="N72" s="62"/>
      <c r="O72" s="62"/>
      <c r="Q72" s="64"/>
    </row>
    <row r="73" spans="2:17" x14ac:dyDescent="0.2">
      <c r="B73" s="68">
        <v>38472</v>
      </c>
      <c r="C73" s="62">
        <v>-5.6873786580065921E-2</v>
      </c>
      <c r="D73" s="62">
        <v>-7.0805954993096609E-2</v>
      </c>
      <c r="E73" s="62">
        <v>-0.22788257530025025</v>
      </c>
      <c r="F73" s="62">
        <v>-0.27610546941961367</v>
      </c>
      <c r="H73" s="64"/>
      <c r="K73" s="61"/>
      <c r="L73" s="62"/>
      <c r="M73" s="62"/>
      <c r="N73" s="62"/>
      <c r="O73" s="62"/>
      <c r="Q73" s="64"/>
    </row>
    <row r="74" spans="2:17" x14ac:dyDescent="0.2">
      <c r="B74" s="68">
        <v>38503</v>
      </c>
      <c r="C74" s="62">
        <v>-4.3985259422495315E-2</v>
      </c>
      <c r="D74" s="62">
        <v>-5.791941284542701E-2</v>
      </c>
      <c r="E74" s="62">
        <v>-0.1832471684524668</v>
      </c>
      <c r="F74" s="62">
        <v>-0.23453097093279718</v>
      </c>
      <c r="H74" s="64"/>
      <c r="K74" s="61"/>
      <c r="L74" s="62"/>
      <c r="M74" s="62"/>
      <c r="N74" s="62"/>
      <c r="O74" s="62"/>
      <c r="Q74" s="64"/>
    </row>
    <row r="75" spans="2:17" x14ac:dyDescent="0.2">
      <c r="B75" s="68">
        <v>38533</v>
      </c>
      <c r="C75" s="62">
        <v>-3.3018014505805326E-2</v>
      </c>
      <c r="D75" s="62">
        <v>-4.6928443506298878E-2</v>
      </c>
      <c r="E75" s="62">
        <v>-0.14263136710218371</v>
      </c>
      <c r="F75" s="62">
        <v>-0.19675199763817275</v>
      </c>
      <c r="H75" s="64"/>
      <c r="K75" s="61"/>
      <c r="L75" s="62"/>
      <c r="M75" s="62"/>
      <c r="N75" s="62"/>
      <c r="O75" s="62"/>
      <c r="Q75" s="64"/>
    </row>
    <row r="76" spans="2:17" x14ac:dyDescent="0.2">
      <c r="B76" s="68">
        <v>38564</v>
      </c>
      <c r="C76" s="62">
        <v>-2.5325259264046607E-2</v>
      </c>
      <c r="D76" s="62">
        <v>-3.8343913031174237E-2</v>
      </c>
      <c r="E76" s="62">
        <v>-0.11281950386238349</v>
      </c>
      <c r="F76" s="62">
        <v>-0.16584711404670061</v>
      </c>
      <c r="H76" s="64"/>
      <c r="K76" s="61"/>
      <c r="L76" s="62"/>
      <c r="M76" s="62"/>
      <c r="N76" s="62"/>
      <c r="O76" s="62"/>
      <c r="Q76" s="64"/>
    </row>
    <row r="77" spans="2:17" x14ac:dyDescent="0.2">
      <c r="B77" s="68">
        <v>38595</v>
      </c>
      <c r="C77" s="62">
        <v>-2.746217415188934E-2</v>
      </c>
      <c r="D77" s="62">
        <v>-4.0589498864344042E-2</v>
      </c>
      <c r="E77" s="62">
        <v>-0.12389555584764222</v>
      </c>
      <c r="F77" s="62">
        <v>-0.17773262779984145</v>
      </c>
      <c r="H77" s="64"/>
      <c r="K77" s="61"/>
      <c r="L77" s="62"/>
      <c r="M77" s="62"/>
      <c r="N77" s="62"/>
      <c r="O77" s="62"/>
      <c r="Q77" s="64"/>
    </row>
    <row r="78" spans="2:17" x14ac:dyDescent="0.2">
      <c r="B78" s="68">
        <v>38625</v>
      </c>
      <c r="C78" s="62">
        <v>-1.7256064356471201E-2</v>
      </c>
      <c r="D78" s="62">
        <v>-3.174243636300067E-2</v>
      </c>
      <c r="E78" s="62">
        <v>-8.0690388803733248E-2</v>
      </c>
      <c r="F78" s="62">
        <v>-0.14330388484831758</v>
      </c>
      <c r="K78" s="61"/>
      <c r="L78" s="62"/>
      <c r="M78" s="62"/>
      <c r="N78" s="62"/>
      <c r="O78" s="62"/>
    </row>
    <row r="79" spans="2:17" x14ac:dyDescent="0.2">
      <c r="B79" s="68">
        <v>38656</v>
      </c>
      <c r="C79" s="62">
        <v>-1.9685498604054108E-2</v>
      </c>
      <c r="D79" s="62">
        <v>-3.4242878040501412E-2</v>
      </c>
      <c r="E79" s="62">
        <v>-9.3126559629821304E-2</v>
      </c>
      <c r="F79" s="62">
        <v>-0.1563893314970044</v>
      </c>
      <c r="K79" s="61"/>
      <c r="L79" s="62"/>
      <c r="M79" s="62"/>
      <c r="N79" s="62"/>
      <c r="O79" s="62"/>
    </row>
    <row r="80" spans="2:17" x14ac:dyDescent="0.2">
      <c r="B80" s="68">
        <v>38686</v>
      </c>
      <c r="C80" s="62">
        <v>-9.9800295892689128E-3</v>
      </c>
      <c r="D80" s="62">
        <v>-2.3941612747295116E-2</v>
      </c>
      <c r="E80" s="62">
        <v>-4.8914028745870031E-2</v>
      </c>
      <c r="F80" s="62">
        <v>-0.11306253230933627</v>
      </c>
      <c r="K80" s="61"/>
      <c r="L80" s="62"/>
      <c r="M80" s="62"/>
      <c r="N80" s="62"/>
      <c r="O80" s="62"/>
    </row>
    <row r="81" spans="2:17" x14ac:dyDescent="0.2">
      <c r="B81" s="68">
        <v>38717</v>
      </c>
      <c r="C81" s="62">
        <v>-4.7110674544711406E-3</v>
      </c>
      <c r="D81" s="62">
        <v>-1.8584321752021737E-2</v>
      </c>
      <c r="E81" s="62">
        <v>-2.3718697352962059E-2</v>
      </c>
      <c r="F81" s="62">
        <v>-8.9889644409592573E-2</v>
      </c>
      <c r="K81" s="61"/>
      <c r="L81" s="62"/>
      <c r="M81" s="62"/>
      <c r="N81" s="62"/>
      <c r="O81" s="62"/>
    </row>
    <row r="82" spans="2:17" x14ac:dyDescent="0.2">
      <c r="B82" s="68">
        <v>38748</v>
      </c>
      <c r="C82" s="62">
        <v>-2.0261592519472682E-3</v>
      </c>
      <c r="D82" s="62">
        <v>-1.4184660194154763E-2</v>
      </c>
      <c r="E82" s="62">
        <v>-1.0424394650775493E-2</v>
      </c>
      <c r="F82" s="62">
        <v>-7.0204544063659946E-2</v>
      </c>
      <c r="K82" s="61"/>
      <c r="L82" s="62"/>
      <c r="M82" s="62"/>
      <c r="N82" s="62"/>
      <c r="O82" s="62"/>
    </row>
    <row r="83" spans="2:17" x14ac:dyDescent="0.2">
      <c r="B83" s="68">
        <v>38776</v>
      </c>
      <c r="C83" s="62">
        <v>5.6487653200738563E-3</v>
      </c>
      <c r="D83" s="62">
        <v>-7.305353855676322E-3</v>
      </c>
      <c r="E83" s="62">
        <v>3.0014183035481645E-2</v>
      </c>
      <c r="F83" s="62">
        <v>-3.6722228966105219E-2</v>
      </c>
      <c r="K83" s="61"/>
      <c r="L83" s="62"/>
      <c r="M83" s="62"/>
      <c r="N83" s="62"/>
      <c r="O83" s="62"/>
    </row>
    <row r="84" spans="2:17" x14ac:dyDescent="0.2">
      <c r="B84" s="68">
        <v>38807</v>
      </c>
      <c r="C84" s="62">
        <v>9.2249715902352758E-3</v>
      </c>
      <c r="D84" s="62">
        <v>-4.9091212224618985E-3</v>
      </c>
      <c r="E84" s="62">
        <v>5.0193361401623671E-2</v>
      </c>
      <c r="F84" s="62">
        <v>-2.4759461132572658E-2</v>
      </c>
      <c r="K84" s="61"/>
      <c r="L84" s="62"/>
      <c r="M84" s="62"/>
      <c r="N84" s="62"/>
      <c r="O84" s="62"/>
    </row>
    <row r="85" spans="2:17" x14ac:dyDescent="0.2">
      <c r="B85" s="68">
        <v>38837</v>
      </c>
      <c r="C85" s="62">
        <v>8.0992276958389287E-3</v>
      </c>
      <c r="D85" s="62">
        <v>-6.7395195982034029E-3</v>
      </c>
      <c r="E85" s="62">
        <v>4.4662754434510399E-2</v>
      </c>
      <c r="F85" s="62">
        <v>-3.4774530142283711E-2</v>
      </c>
      <c r="K85" s="61"/>
      <c r="L85" s="62"/>
      <c r="M85" s="62"/>
      <c r="N85" s="62"/>
      <c r="O85" s="62"/>
    </row>
    <row r="86" spans="2:17" x14ac:dyDescent="0.2">
      <c r="B86" s="68">
        <v>38868</v>
      </c>
      <c r="C86" s="62">
        <v>-5.4074952826941303E-3</v>
      </c>
      <c r="D86" s="62">
        <v>-2.0103622327111714E-2</v>
      </c>
      <c r="E86" s="62">
        <v>-2.9381641778342127E-2</v>
      </c>
      <c r="F86" s="62">
        <v>-0.10457422845614006</v>
      </c>
      <c r="K86" s="61"/>
      <c r="L86" s="62"/>
      <c r="M86" s="62"/>
      <c r="N86" s="62"/>
      <c r="O86" s="62"/>
    </row>
    <row r="87" spans="2:17" x14ac:dyDescent="0.2">
      <c r="B87" s="68">
        <v>38898</v>
      </c>
      <c r="C87" s="62">
        <v>-4.8403012667731504E-3</v>
      </c>
      <c r="D87" s="62">
        <v>-1.9273541886137835E-2</v>
      </c>
      <c r="E87" s="62">
        <v>-2.6726971994004423E-2</v>
      </c>
      <c r="F87" s="62">
        <v>-0.10187289427717072</v>
      </c>
      <c r="K87" s="61"/>
      <c r="L87" s="62"/>
      <c r="M87" s="62"/>
      <c r="N87" s="62"/>
      <c r="O87" s="62"/>
    </row>
    <row r="88" spans="2:17" x14ac:dyDescent="0.2">
      <c r="B88" s="93">
        <v>38929</v>
      </c>
      <c r="C88" s="62">
        <v>-4.3741452361311106E-3</v>
      </c>
      <c r="D88" s="62">
        <v>-1.8297318019034781E-2</v>
      </c>
      <c r="E88" s="62">
        <v>-2.4535188841549926E-2</v>
      </c>
      <c r="F88" s="62">
        <v>-9.8298300815212403E-2</v>
      </c>
      <c r="K88" s="67"/>
      <c r="L88" s="62"/>
      <c r="M88" s="62"/>
      <c r="N88" s="62"/>
      <c r="O88" s="62"/>
    </row>
    <row r="89" spans="2:17" x14ac:dyDescent="0.2">
      <c r="B89" s="68">
        <v>38960</v>
      </c>
      <c r="C89" s="62">
        <v>6.9304414696169658E-4</v>
      </c>
      <c r="D89" s="62">
        <v>-1.3213011309038181E-2</v>
      </c>
      <c r="E89" s="62">
        <v>3.9915687660647681E-3</v>
      </c>
      <c r="F89" s="62">
        <v>-7.2548754782877811E-2</v>
      </c>
      <c r="K89" s="61"/>
      <c r="L89" s="62"/>
      <c r="M89" s="62"/>
      <c r="N89" s="62"/>
      <c r="O89" s="62"/>
    </row>
    <row r="90" spans="2:17" x14ac:dyDescent="0.2">
      <c r="B90" s="93">
        <v>38990</v>
      </c>
      <c r="C90" s="62">
        <v>5.45304819675696E-3</v>
      </c>
      <c r="D90" s="62">
        <v>-9.3213483735131719E-3</v>
      </c>
      <c r="E90" s="62">
        <v>3.2231571212107513E-2</v>
      </c>
      <c r="F90" s="62">
        <v>-5.1995407084950984E-2</v>
      </c>
      <c r="K90" s="67"/>
      <c r="L90" s="62"/>
      <c r="M90" s="62"/>
      <c r="N90" s="62"/>
      <c r="O90" s="62"/>
    </row>
    <row r="91" spans="2:17" x14ac:dyDescent="0.2">
      <c r="B91" s="93">
        <v>39021</v>
      </c>
      <c r="C91" s="62">
        <v>9.6585518189129527E-3</v>
      </c>
      <c r="D91" s="62">
        <v>-4.9851276550716417E-3</v>
      </c>
      <c r="E91" s="62">
        <v>5.8520543949904802E-2</v>
      </c>
      <c r="F91" s="62">
        <v>-2.7953483777956367E-2</v>
      </c>
      <c r="K91" s="67"/>
      <c r="L91" s="62"/>
      <c r="M91" s="62"/>
      <c r="N91" s="62"/>
      <c r="O91" s="62"/>
    </row>
    <row r="92" spans="2:17" x14ac:dyDescent="0.2">
      <c r="B92" s="93">
        <v>39051</v>
      </c>
      <c r="C92" s="62">
        <v>8.4141557924484189E-3</v>
      </c>
      <c r="D92" s="62">
        <v>-6.2182206623906389E-3</v>
      </c>
      <c r="E92" s="62">
        <v>5.1558894569992075E-2</v>
      </c>
      <c r="F92" s="62">
        <v>-3.5560096346273329E-2</v>
      </c>
      <c r="K92" s="67"/>
      <c r="L92" s="62"/>
      <c r="M92" s="62"/>
      <c r="N92" s="62"/>
      <c r="O92" s="62"/>
    </row>
    <row r="93" spans="2:17" x14ac:dyDescent="0.2">
      <c r="B93" s="68">
        <v>39082</v>
      </c>
      <c r="C93" s="62">
        <v>1.500756008888593E-2</v>
      </c>
      <c r="D93" s="62">
        <v>4.8259698982211496E-4</v>
      </c>
      <c r="E93" s="62">
        <v>9.4850367645782585E-2</v>
      </c>
      <c r="F93" s="62">
        <v>4.1447878383795711E-3</v>
      </c>
      <c r="K93" s="61"/>
      <c r="L93" s="62"/>
      <c r="M93" s="62"/>
      <c r="N93" s="62"/>
      <c r="O93" s="62"/>
    </row>
    <row r="94" spans="2:17" x14ac:dyDescent="0.2">
      <c r="B94" s="68">
        <v>39113</v>
      </c>
      <c r="C94" s="62">
        <v>1.8518194889937556E-2</v>
      </c>
      <c r="D94" s="62">
        <v>4.9619284156534604E-3</v>
      </c>
      <c r="E94" s="62">
        <v>0.11980107996956058</v>
      </c>
      <c r="F94" s="62">
        <v>3.2145341244179226E-2</v>
      </c>
      <c r="K94" s="61"/>
      <c r="L94" s="62"/>
      <c r="M94" s="62"/>
      <c r="N94" s="62"/>
      <c r="O94" s="62"/>
    </row>
    <row r="95" spans="2:17" x14ac:dyDescent="0.2">
      <c r="B95" s="68">
        <v>39141</v>
      </c>
      <c r="C95" s="62">
        <v>1.7444917265784232E-2</v>
      </c>
      <c r="D95" s="62">
        <v>3.264471702695726E-3</v>
      </c>
      <c r="E95" s="62">
        <v>0.11414872101073859</v>
      </c>
      <c r="F95" s="62">
        <v>2.177297611981488E-2</v>
      </c>
      <c r="K95" s="61"/>
      <c r="L95" s="62"/>
      <c r="M95" s="62"/>
      <c r="N95" s="62"/>
      <c r="O95" s="62"/>
    </row>
    <row r="96" spans="2:17" x14ac:dyDescent="0.2">
      <c r="B96" s="68">
        <v>39172</v>
      </c>
      <c r="C96" s="62">
        <v>2.224375243149157E-2</v>
      </c>
      <c r="D96" s="62">
        <v>7.1303960019744039E-3</v>
      </c>
      <c r="E96" s="62">
        <v>0.14950697704275284</v>
      </c>
      <c r="F96" s="62">
        <v>4.7325921233070556E-2</v>
      </c>
      <c r="G96" s="90"/>
      <c r="H96" s="90"/>
      <c r="I96" s="90"/>
      <c r="K96" s="61"/>
      <c r="L96" s="62"/>
      <c r="M96" s="62"/>
      <c r="N96" s="62"/>
      <c r="O96" s="62"/>
      <c r="P96" s="90"/>
      <c r="Q96" s="90"/>
    </row>
    <row r="97" spans="2:17" x14ac:dyDescent="0.2">
      <c r="B97" s="68">
        <v>39202</v>
      </c>
      <c r="C97" s="62">
        <v>2.5673479879851469E-2</v>
      </c>
      <c r="D97" s="63">
        <v>9.9017579650937382E-3</v>
      </c>
      <c r="E97" s="62">
        <v>0.17663535705172673</v>
      </c>
      <c r="F97" s="62">
        <v>6.6641734695774613E-2</v>
      </c>
      <c r="G97" s="90"/>
      <c r="H97" s="90"/>
      <c r="I97" s="90"/>
      <c r="K97" s="61"/>
      <c r="L97" s="62"/>
      <c r="M97" s="63"/>
      <c r="N97" s="62"/>
      <c r="O97" s="62"/>
      <c r="P97" s="90"/>
      <c r="Q97" s="90"/>
    </row>
    <row r="98" spans="2:17" x14ac:dyDescent="0.2">
      <c r="B98" s="93">
        <v>39233</v>
      </c>
      <c r="C98" s="62">
        <v>2.9137083472588143E-2</v>
      </c>
      <c r="D98" s="63">
        <v>1.3685123987246861E-2</v>
      </c>
      <c r="E98" s="62">
        <v>0.20524677975003369</v>
      </c>
      <c r="F98" s="62">
        <v>9.3748545807426531E-2</v>
      </c>
      <c r="G98" s="90"/>
      <c r="H98" s="90"/>
      <c r="I98" s="90"/>
      <c r="K98" s="93"/>
      <c r="L98" s="62"/>
      <c r="M98" s="63"/>
      <c r="N98" s="62"/>
      <c r="O98" s="62"/>
      <c r="P98" s="90"/>
      <c r="Q98" s="90"/>
    </row>
    <row r="99" spans="2:17" x14ac:dyDescent="0.2">
      <c r="B99" s="93">
        <v>39263</v>
      </c>
      <c r="C99" s="62">
        <v>2.951440349286516E-2</v>
      </c>
      <c r="D99" s="62">
        <v>1.4000369215551034E-2</v>
      </c>
      <c r="E99" s="62">
        <v>0.21105391484399494</v>
      </c>
      <c r="F99" s="62">
        <v>9.7236983719666936E-2</v>
      </c>
      <c r="G99" s="90"/>
      <c r="H99" s="90"/>
      <c r="I99" s="90"/>
      <c r="K99" s="93"/>
      <c r="L99" s="62"/>
      <c r="M99" s="62"/>
      <c r="N99" s="62"/>
      <c r="O99" s="62"/>
      <c r="P99" s="90"/>
      <c r="Q99" s="90"/>
    </row>
    <row r="100" spans="2:17" x14ac:dyDescent="0.2">
      <c r="B100" s="93">
        <v>39294</v>
      </c>
      <c r="C100" s="62">
        <v>2.7093726215310143E-2</v>
      </c>
      <c r="D100" s="62">
        <v>1.205467685719297E-2</v>
      </c>
      <c r="E100" s="62">
        <v>0.19508971689613053</v>
      </c>
      <c r="F100" s="62">
        <v>8.4493656529115002E-2</v>
      </c>
      <c r="K100" s="93"/>
      <c r="L100" s="62"/>
      <c r="M100" s="62"/>
      <c r="N100" s="62"/>
      <c r="O100" s="62"/>
    </row>
    <row r="101" spans="2:17" x14ac:dyDescent="0.2">
      <c r="B101" s="68">
        <v>39325</v>
      </c>
      <c r="C101" s="62">
        <v>2.5893685550976597E-2</v>
      </c>
      <c r="D101" s="62">
        <v>1.1100529078291732E-2</v>
      </c>
      <c r="E101" s="62">
        <v>0.18834052508861676</v>
      </c>
      <c r="F101" s="62">
        <v>7.8667136383606673E-2</v>
      </c>
      <c r="K101" s="68"/>
      <c r="L101" s="62"/>
      <c r="M101" s="62"/>
      <c r="N101" s="62"/>
      <c r="O101" s="62"/>
    </row>
    <row r="102" spans="2:17" x14ac:dyDescent="0.2">
      <c r="B102" s="68">
        <v>39353</v>
      </c>
      <c r="C102" s="62">
        <v>2.6105589192325196E-2</v>
      </c>
      <c r="D102" s="62">
        <v>1.0002874668263884E-2</v>
      </c>
      <c r="E102" s="62">
        <v>0.19255668247413049</v>
      </c>
      <c r="F102" s="62">
        <v>7.1791448805863967E-2</v>
      </c>
      <c r="K102" s="61"/>
      <c r="L102" s="62"/>
      <c r="M102" s="62"/>
      <c r="N102" s="62"/>
      <c r="O102" s="62"/>
    </row>
    <row r="103" spans="2:17" x14ac:dyDescent="0.2">
      <c r="B103" s="68">
        <v>39386</v>
      </c>
      <c r="C103" s="62">
        <v>2.8177334679883703E-2</v>
      </c>
      <c r="D103" s="62">
        <v>1.1454212754854032E-2</v>
      </c>
      <c r="E103" s="62">
        <v>0.21191040166843123</v>
      </c>
      <c r="F103" s="62">
        <v>8.3440063019557087E-2</v>
      </c>
      <c r="K103" s="61"/>
      <c r="L103" s="62"/>
      <c r="M103" s="62"/>
      <c r="N103" s="62"/>
      <c r="O103" s="62"/>
    </row>
    <row r="104" spans="2:17" x14ac:dyDescent="0.2">
      <c r="B104" s="68">
        <v>39416</v>
      </c>
      <c r="C104" s="62">
        <v>2.1492005082166754E-2</v>
      </c>
      <c r="D104" s="62">
        <v>4.1400638306066107E-3</v>
      </c>
      <c r="E104" s="62">
        <v>0.16049908722911277</v>
      </c>
      <c r="F104" s="62">
        <v>3.0813559476205787E-2</v>
      </c>
      <c r="K104" s="61"/>
      <c r="L104" s="62"/>
      <c r="M104" s="62"/>
      <c r="N104" s="62"/>
      <c r="O104" s="62"/>
    </row>
    <row r="105" spans="2:17" x14ac:dyDescent="0.2">
      <c r="B105" s="68">
        <v>39447</v>
      </c>
      <c r="C105" s="62">
        <v>2.0783679984143433E-2</v>
      </c>
      <c r="D105" s="62">
        <v>3.3724263430032764E-3</v>
      </c>
      <c r="E105" s="62">
        <v>0.15685919509504065</v>
      </c>
      <c r="F105" s="62">
        <v>2.560377480921705E-2</v>
      </c>
      <c r="K105" s="61"/>
      <c r="L105" s="62"/>
      <c r="M105" s="62"/>
      <c r="N105" s="62"/>
      <c r="O105" s="62"/>
    </row>
    <row r="106" spans="2:17" x14ac:dyDescent="0.2">
      <c r="B106" s="68">
        <v>39478</v>
      </c>
      <c r="C106" s="62">
        <v>4.0790775493757536E-3</v>
      </c>
      <c r="D106" s="62">
        <v>-1.1808379696149451E-2</v>
      </c>
      <c r="E106" s="62">
        <v>2.9603655926605077E-2</v>
      </c>
      <c r="F106" s="62">
        <v>-8.0385963511766856E-2</v>
      </c>
      <c r="G106" s="62"/>
      <c r="H106" s="62"/>
      <c r="I106" s="62"/>
      <c r="K106" s="61"/>
      <c r="L106" s="62"/>
      <c r="M106" s="62"/>
      <c r="N106" s="62"/>
      <c r="O106" s="62"/>
      <c r="P106" s="62"/>
      <c r="Q106" s="62"/>
    </row>
    <row r="107" spans="2:17" x14ac:dyDescent="0.2">
      <c r="B107" s="68">
        <v>39507</v>
      </c>
      <c r="C107" s="62">
        <v>5.8644386324504527E-3</v>
      </c>
      <c r="D107" s="62">
        <v>-1.0439381179948248E-2</v>
      </c>
      <c r="E107" s="62">
        <v>4.3304412307429985E-2</v>
      </c>
      <c r="F107" s="62">
        <v>-7.1998140742324579E-2</v>
      </c>
      <c r="G107" s="62"/>
      <c r="H107" s="62"/>
      <c r="I107" s="62"/>
      <c r="K107" s="61"/>
      <c r="L107" s="62"/>
      <c r="M107" s="62"/>
      <c r="N107" s="62"/>
      <c r="O107" s="62"/>
      <c r="P107" s="62"/>
      <c r="Q107" s="62"/>
    </row>
    <row r="108" spans="2:17" x14ac:dyDescent="0.2">
      <c r="B108" s="68">
        <v>39538</v>
      </c>
      <c r="C108" s="62">
        <v>-5.1376771948852262E-4</v>
      </c>
      <c r="D108" s="62">
        <v>-1.7817743470440184E-2</v>
      </c>
      <c r="E108" s="62">
        <v>-3.7615058640585453E-3</v>
      </c>
      <c r="F108" s="62">
        <v>-0.12224358596219553</v>
      </c>
      <c r="G108" s="62"/>
      <c r="H108" s="62"/>
      <c r="I108" s="62"/>
      <c r="K108" s="61"/>
      <c r="L108" s="62"/>
      <c r="M108" s="62"/>
      <c r="N108" s="62"/>
      <c r="O108" s="62"/>
      <c r="P108" s="62"/>
      <c r="Q108" s="62"/>
    </row>
    <row r="109" spans="2:17" x14ac:dyDescent="0.2">
      <c r="B109" s="68">
        <v>39568</v>
      </c>
      <c r="C109" s="62">
        <v>6.2290021634821002E-3</v>
      </c>
      <c r="D109" s="62">
        <v>-1.1586518717328853E-2</v>
      </c>
      <c r="E109" s="62">
        <v>4.7132150716817645E-2</v>
      </c>
      <c r="F109" s="62">
        <v>-8.1438488017804955E-2</v>
      </c>
      <c r="G109" s="62"/>
      <c r="H109" s="62"/>
      <c r="I109" s="62"/>
      <c r="K109" s="61"/>
      <c r="L109" s="62"/>
      <c r="M109" s="62"/>
      <c r="N109" s="62"/>
      <c r="O109" s="62"/>
      <c r="P109" s="62"/>
      <c r="Q109" s="62"/>
    </row>
    <row r="110" spans="2:17" x14ac:dyDescent="0.2">
      <c r="B110" s="68">
        <v>39599</v>
      </c>
      <c r="C110" s="62">
        <v>9.0389136859068131E-3</v>
      </c>
      <c r="D110" s="62">
        <v>-9.1529094498647989E-3</v>
      </c>
      <c r="E110" s="62">
        <v>6.9816677234908697E-2</v>
      </c>
      <c r="F110" s="62">
        <v>-6.5222547448493207E-2</v>
      </c>
      <c r="G110" s="62"/>
      <c r="H110" s="62"/>
      <c r="I110" s="62"/>
      <c r="K110" s="61"/>
      <c r="L110" s="62"/>
      <c r="M110" s="62"/>
      <c r="N110" s="62"/>
      <c r="O110" s="62"/>
      <c r="P110" s="62"/>
      <c r="Q110" s="62"/>
    </row>
    <row r="111" spans="2:17" x14ac:dyDescent="0.2">
      <c r="B111" s="68">
        <v>39629</v>
      </c>
      <c r="C111" s="62">
        <v>-3.3928874419889565E-3</v>
      </c>
      <c r="D111" s="62">
        <v>-2.1781821903615661E-2</v>
      </c>
      <c r="E111" s="62">
        <v>-2.5443851449256316E-2</v>
      </c>
      <c r="F111" s="62">
        <v>-0.15248973707534308</v>
      </c>
      <c r="G111" s="62"/>
      <c r="H111" s="62"/>
      <c r="I111" s="62"/>
      <c r="K111" s="61"/>
      <c r="L111" s="62"/>
      <c r="M111" s="62"/>
      <c r="N111" s="62"/>
      <c r="O111" s="62"/>
      <c r="P111" s="62"/>
      <c r="Q111" s="62"/>
    </row>
    <row r="112" spans="2:17" x14ac:dyDescent="0.2">
      <c r="B112" s="68">
        <v>39660</v>
      </c>
      <c r="C112" s="62">
        <v>-4.8172133966993824E-3</v>
      </c>
      <c r="D112" s="62">
        <v>-2.2715193179157933E-2</v>
      </c>
      <c r="E112" s="62">
        <v>-3.6344304655599347E-2</v>
      </c>
      <c r="F112" s="62">
        <v>-0.16024563402450054</v>
      </c>
      <c r="G112" s="62"/>
      <c r="H112" s="62"/>
      <c r="I112" s="62"/>
      <c r="K112" s="61"/>
      <c r="L112" s="62"/>
      <c r="M112" s="62"/>
      <c r="N112" s="62"/>
      <c r="O112" s="62"/>
      <c r="P112" s="62"/>
      <c r="Q112" s="62"/>
    </row>
    <row r="113" spans="2:17" x14ac:dyDescent="0.2">
      <c r="B113" s="68">
        <v>39691</v>
      </c>
      <c r="C113" s="62">
        <v>-3.015438448475849E-3</v>
      </c>
      <c r="D113" s="62">
        <v>-2.0972779360206917E-2</v>
      </c>
      <c r="E113" s="62">
        <v>-2.3133182299815203E-2</v>
      </c>
      <c r="F113" s="62">
        <v>-0.15019897672084725</v>
      </c>
      <c r="G113" s="62"/>
      <c r="H113" s="62"/>
      <c r="I113" s="62"/>
      <c r="K113" s="61"/>
      <c r="L113" s="62"/>
      <c r="M113" s="62"/>
      <c r="N113" s="62"/>
      <c r="O113" s="62"/>
      <c r="P113" s="62"/>
      <c r="Q113" s="62"/>
    </row>
    <row r="114" spans="2:17" x14ac:dyDescent="0.2">
      <c r="B114" s="68">
        <v>39721</v>
      </c>
      <c r="C114" s="62">
        <v>-1.5328195456027816E-2</v>
      </c>
      <c r="D114" s="62">
        <v>-3.4148442908676913E-2</v>
      </c>
      <c r="E114" s="62">
        <v>-0.1139665830023523</v>
      </c>
      <c r="F114" s="62">
        <v>-0.23704936854175285</v>
      </c>
      <c r="G114" s="62"/>
      <c r="H114" s="62"/>
      <c r="I114" s="62"/>
      <c r="K114" s="61"/>
      <c r="L114" s="62"/>
      <c r="M114" s="62"/>
      <c r="N114" s="62"/>
      <c r="O114" s="62"/>
      <c r="P114" s="62"/>
      <c r="Q114" s="62"/>
    </row>
    <row r="115" spans="2:17" x14ac:dyDescent="0.2">
      <c r="B115" s="68">
        <v>39752</v>
      </c>
      <c r="C115" s="62">
        <v>-3.150249419696316E-2</v>
      </c>
      <c r="D115" s="62">
        <v>-5.0009224944316366E-2</v>
      </c>
      <c r="E115" s="62">
        <v>-0.22384848303838767</v>
      </c>
      <c r="F115" s="62">
        <v>-0.33271696718871724</v>
      </c>
      <c r="G115" s="62"/>
      <c r="H115" s="62"/>
      <c r="I115" s="62"/>
      <c r="K115" s="61"/>
      <c r="L115" s="62"/>
      <c r="M115" s="62"/>
      <c r="N115" s="62"/>
      <c r="O115" s="62"/>
      <c r="P115" s="62"/>
      <c r="Q115" s="62"/>
    </row>
    <row r="116" spans="2:17" x14ac:dyDescent="0.2">
      <c r="B116" s="68">
        <v>39782</v>
      </c>
      <c r="C116" s="62">
        <v>-3.4452148187868015E-2</v>
      </c>
      <c r="D116" s="62">
        <v>-5.1726608288675702E-2</v>
      </c>
      <c r="E116" s="62">
        <v>-0.24457663096656557</v>
      </c>
      <c r="F116" s="62">
        <v>-0.34518009950147421</v>
      </c>
      <c r="K116" s="67"/>
      <c r="L116" s="62"/>
      <c r="M116" s="62"/>
      <c r="N116" s="62"/>
      <c r="O116" s="62"/>
    </row>
    <row r="117" spans="2:17" x14ac:dyDescent="0.2">
      <c r="B117" s="68">
        <v>39813</v>
      </c>
      <c r="C117" s="62">
        <v>-3.3168568368584062E-2</v>
      </c>
      <c r="D117" s="62">
        <v>-4.8680964135333737E-2</v>
      </c>
      <c r="E117" s="62">
        <v>-0.23864830860065911</v>
      </c>
      <c r="F117" s="62">
        <v>-0.33105759613830954</v>
      </c>
      <c r="K117" s="67"/>
      <c r="L117" s="62"/>
      <c r="M117" s="62"/>
      <c r="N117" s="62"/>
      <c r="O117" s="62"/>
    </row>
    <row r="118" spans="2:17" x14ac:dyDescent="0.2">
      <c r="B118" s="68">
        <v>39844</v>
      </c>
      <c r="C118" s="62">
        <v>-3.5230663025813347E-2</v>
      </c>
      <c r="D118" s="62">
        <v>-5.0114693864390492E-2</v>
      </c>
      <c r="E118" s="62">
        <v>-0.25390891467117582</v>
      </c>
      <c r="F118" s="62">
        <v>-0.34202320358573213</v>
      </c>
      <c r="K118" s="67"/>
      <c r="L118" s="62"/>
      <c r="M118" s="62"/>
      <c r="N118" s="62"/>
      <c r="O118" s="62"/>
    </row>
    <row r="119" spans="2:17" x14ac:dyDescent="0.2">
      <c r="B119" s="68">
        <v>39872</v>
      </c>
      <c r="C119" s="62">
        <v>-3.5368453768149566E-2</v>
      </c>
      <c r="D119" s="62">
        <v>-5.0126997720250976E-2</v>
      </c>
      <c r="E119" s="62">
        <v>-0.25701157299710631</v>
      </c>
      <c r="F119" s="62">
        <v>-0.34491337548696033</v>
      </c>
      <c r="K119" s="67"/>
      <c r="L119" s="62"/>
      <c r="M119" s="62"/>
      <c r="N119" s="62"/>
      <c r="O119" s="62"/>
    </row>
    <row r="120" spans="2:17" x14ac:dyDescent="0.2">
      <c r="B120" s="68">
        <v>39903</v>
      </c>
      <c r="C120" s="62">
        <v>-3.5117277279205217E-2</v>
      </c>
      <c r="D120" s="62">
        <v>-5.0059759907933876E-2</v>
      </c>
      <c r="E120" s="62">
        <v>-0.2576288552075241</v>
      </c>
      <c r="F120" s="62">
        <v>-0.34731961266069811</v>
      </c>
      <c r="L120" s="62"/>
      <c r="M120" s="62"/>
      <c r="N120" s="62"/>
      <c r="O120" s="62"/>
    </row>
    <row r="121" spans="2:17" x14ac:dyDescent="0.2">
      <c r="B121" s="68">
        <v>39933</v>
      </c>
      <c r="C121" s="62">
        <v>-2.1242112837696281E-2</v>
      </c>
      <c r="D121" s="62">
        <v>-3.6426954167268266E-2</v>
      </c>
      <c r="E121" s="62">
        <v>-0.1653259798016975</v>
      </c>
      <c r="F121" s="62">
        <v>-0.26729644755031057</v>
      </c>
      <c r="L121" s="62"/>
      <c r="M121" s="62"/>
      <c r="N121" s="62"/>
      <c r="O121" s="62"/>
    </row>
    <row r="122" spans="2:17" x14ac:dyDescent="0.2">
      <c r="B122" s="68">
        <v>39964</v>
      </c>
      <c r="C122" s="62">
        <v>-1.6913601228283448E-2</v>
      </c>
      <c r="D122" s="62">
        <v>-3.2088745490252202E-2</v>
      </c>
      <c r="E122" s="62">
        <v>-0.13497363507801818</v>
      </c>
      <c r="F122" s="62">
        <v>-0.24113399210217179</v>
      </c>
      <c r="L122" s="62"/>
      <c r="M122" s="62"/>
      <c r="N122" s="62"/>
      <c r="O122" s="62"/>
    </row>
    <row r="123" spans="2:17" x14ac:dyDescent="0.2">
      <c r="B123" s="68">
        <v>39994</v>
      </c>
      <c r="C123" s="62">
        <v>-1.5144256937690503E-2</v>
      </c>
      <c r="D123" s="62">
        <v>-3.0472775711631206E-2</v>
      </c>
      <c r="E123" s="62">
        <v>-0.12276691325653688</v>
      </c>
      <c r="F123" s="62">
        <v>-0.23227127332009279</v>
      </c>
      <c r="L123" s="62"/>
      <c r="M123" s="62"/>
      <c r="N123" s="62"/>
      <c r="O123" s="62"/>
    </row>
    <row r="124" spans="2:17" x14ac:dyDescent="0.2">
      <c r="B124" s="68">
        <v>40025</v>
      </c>
      <c r="C124" s="62">
        <v>-1.0206632726496134E-2</v>
      </c>
      <c r="D124" s="62">
        <v>-2.5087464817492022E-2</v>
      </c>
      <c r="E124" s="62">
        <v>-8.5073921557098142E-2</v>
      </c>
      <c r="F124" s="62">
        <v>-0.19561217936094266</v>
      </c>
      <c r="L124" s="62"/>
      <c r="M124" s="62"/>
      <c r="N124" s="62"/>
      <c r="O124" s="62"/>
    </row>
    <row r="125" spans="2:17" x14ac:dyDescent="0.2">
      <c r="B125" s="68">
        <v>40056</v>
      </c>
      <c r="C125" s="62">
        <v>-8.1357184729335952E-3</v>
      </c>
      <c r="D125" s="62">
        <v>-2.3139925695490948E-2</v>
      </c>
      <c r="E125" s="62">
        <v>-6.898388992072102E-2</v>
      </c>
      <c r="F125" s="62">
        <v>-0.1831610042153945</v>
      </c>
      <c r="L125" s="62"/>
      <c r="M125" s="62"/>
      <c r="N125" s="62"/>
      <c r="O125" s="62"/>
    </row>
    <row r="126" spans="2:17" x14ac:dyDescent="0.2">
      <c r="B126" s="68">
        <v>40086</v>
      </c>
      <c r="C126" s="62">
        <v>-5.2679940769330136E-3</v>
      </c>
      <c r="D126" s="62">
        <v>-2.0522532130171967E-2</v>
      </c>
      <c r="E126" s="62">
        <v>-4.5585246709528682E-2</v>
      </c>
      <c r="F126" s="62">
        <v>-0.16522471886330359</v>
      </c>
      <c r="L126" s="62"/>
      <c r="M126" s="62"/>
      <c r="N126" s="62"/>
      <c r="O126" s="62"/>
    </row>
    <row r="127" spans="2:17" x14ac:dyDescent="0.2">
      <c r="B127" s="68">
        <v>40117</v>
      </c>
      <c r="C127" s="62">
        <v>-3.0206025293543215E-3</v>
      </c>
      <c r="D127" s="62">
        <v>-1.8448640866734478E-2</v>
      </c>
      <c r="E127" s="62">
        <v>-2.6613904350038076E-2</v>
      </c>
      <c r="F127" s="62">
        <v>-0.15078035492927833</v>
      </c>
      <c r="L127" s="62"/>
      <c r="M127" s="62"/>
      <c r="N127" s="62"/>
      <c r="O127" s="62"/>
    </row>
    <row r="128" spans="2:17" x14ac:dyDescent="0.2">
      <c r="B128" s="68">
        <v>40147</v>
      </c>
      <c r="C128" s="62">
        <v>-1.3160706544280698E-3</v>
      </c>
      <c r="D128" s="62">
        <v>-1.6596231475387579E-2</v>
      </c>
      <c r="E128" s="62">
        <v>-1.1782473478652467E-2</v>
      </c>
      <c r="F128" s="62">
        <v>-0.13761171904076663</v>
      </c>
      <c r="L128" s="62"/>
      <c r="M128" s="62"/>
      <c r="N128" s="62"/>
      <c r="O128" s="62"/>
    </row>
    <row r="129" spans="2:15" x14ac:dyDescent="0.2">
      <c r="B129" s="68">
        <v>40178</v>
      </c>
      <c r="C129" s="62">
        <v>2.7684935362404239E-3</v>
      </c>
      <c r="D129" s="62">
        <v>-1.267439772507517E-2</v>
      </c>
      <c r="E129" s="62">
        <v>2.543037639394119E-2</v>
      </c>
      <c r="F129" s="62">
        <v>-0.10709483284600629</v>
      </c>
      <c r="L129" s="62"/>
      <c r="M129" s="62"/>
      <c r="N129" s="62"/>
      <c r="O129" s="62"/>
    </row>
    <row r="130" spans="2:15" x14ac:dyDescent="0.2">
      <c r="B130" s="68">
        <v>40209</v>
      </c>
      <c r="C130" s="62">
        <v>1.9967911431406637E-3</v>
      </c>
      <c r="D130" s="62">
        <v>-1.2599544982237365E-2</v>
      </c>
      <c r="E130" s="62">
        <v>1.8453875080511217E-2</v>
      </c>
      <c r="F130" s="62">
        <v>-0.1075491744766327</v>
      </c>
      <c r="L130" s="62"/>
      <c r="M130" s="62"/>
      <c r="N130" s="62"/>
      <c r="O130" s="62"/>
    </row>
    <row r="131" spans="2:15" x14ac:dyDescent="0.2">
      <c r="B131" s="68">
        <v>40237</v>
      </c>
      <c r="C131" s="62">
        <v>-3.3425781767004725E-4</v>
      </c>
      <c r="D131" s="62">
        <v>-1.5413098802518621E-2</v>
      </c>
      <c r="E131" s="62">
        <v>-3.0876251228501017E-3</v>
      </c>
      <c r="F131" s="62">
        <v>-0.13163937504483814</v>
      </c>
      <c r="L131" s="62"/>
      <c r="M131" s="62"/>
      <c r="N131" s="62"/>
      <c r="O131" s="62"/>
    </row>
    <row r="132" spans="2:15" x14ac:dyDescent="0.2">
      <c r="B132" s="68">
        <v>40268</v>
      </c>
      <c r="C132" s="162">
        <v>7.2714774332358623E-3</v>
      </c>
      <c r="D132" s="162">
        <v>-8.0466500837836907E-3</v>
      </c>
      <c r="E132" s="162">
        <v>6.9960321678838921E-2</v>
      </c>
      <c r="F132" s="163">
        <v>-7.0261390232101872E-2</v>
      </c>
      <c r="L132" s="62"/>
      <c r="M132" s="62"/>
      <c r="N132" s="62"/>
      <c r="O132" s="62"/>
    </row>
    <row r="133" spans="2:15" x14ac:dyDescent="0.2">
      <c r="B133" s="68">
        <v>40298</v>
      </c>
      <c r="C133" s="162">
        <v>8.9710598371586237E-3</v>
      </c>
      <c r="D133" s="162">
        <v>-6.1150600541195477E-3</v>
      </c>
      <c r="E133" s="162">
        <v>8.7738537739706191E-2</v>
      </c>
      <c r="F133" s="163">
        <v>-5.4938107341510722E-2</v>
      </c>
      <c r="L133" s="62"/>
      <c r="M133" s="62"/>
      <c r="N133" s="62"/>
      <c r="O133" s="62"/>
    </row>
    <row r="134" spans="2:15" x14ac:dyDescent="0.2">
      <c r="B134" s="68">
        <v>40329</v>
      </c>
      <c r="C134" s="62">
        <v>4.9887427577515187E-3</v>
      </c>
      <c r="D134" s="62">
        <v>-1.0100380693534694E-2</v>
      </c>
      <c r="E134" s="62">
        <v>4.8410525516147551E-2</v>
      </c>
      <c r="F134" s="62">
        <v>-9.0791479423306676E-2</v>
      </c>
      <c r="L134" s="62"/>
      <c r="M134" s="62"/>
      <c r="N134" s="62"/>
      <c r="O134" s="62"/>
    </row>
    <row r="135" spans="2:15" x14ac:dyDescent="0.2">
      <c r="B135" s="68">
        <v>40359</v>
      </c>
      <c r="C135" s="62">
        <v>3.1368265438185272E-3</v>
      </c>
      <c r="D135" s="62">
        <v>-1.1810531389113699E-2</v>
      </c>
      <c r="E135" s="62">
        <v>3.0469170916279431E-2</v>
      </c>
      <c r="F135" s="62">
        <v>-0.10649816417563929</v>
      </c>
      <c r="L135" s="62"/>
      <c r="M135" s="62"/>
      <c r="N135" s="62"/>
      <c r="O135" s="62"/>
    </row>
    <row r="136" spans="2:15" x14ac:dyDescent="0.2">
      <c r="B136" s="68">
        <v>40390</v>
      </c>
      <c r="C136" s="62">
        <v>4.7018094765645113E-3</v>
      </c>
      <c r="D136" s="62">
        <v>-9.8220561885055124E-3</v>
      </c>
      <c r="E136" s="62">
        <v>4.6388077815640472E-2</v>
      </c>
      <c r="F136" s="62">
        <v>-8.9901509594197071E-2</v>
      </c>
      <c r="L136" s="62"/>
      <c r="M136" s="62"/>
      <c r="N136" s="62"/>
      <c r="O136" s="62"/>
    </row>
    <row r="137" spans="2:15" x14ac:dyDescent="0.2">
      <c r="B137" s="68">
        <v>40421</v>
      </c>
      <c r="C137" s="62">
        <v>2.652198892256763E-3</v>
      </c>
      <c r="D137" s="62">
        <v>-1.1724756686247506E-2</v>
      </c>
      <c r="E137" s="62">
        <v>2.6161055074352735E-2</v>
      </c>
      <c r="F137" s="62">
        <v>-0.10755310478702085</v>
      </c>
      <c r="L137" s="62"/>
      <c r="M137" s="62"/>
      <c r="N137" s="62"/>
      <c r="O137" s="62"/>
    </row>
    <row r="138" spans="2:15" x14ac:dyDescent="0.2">
      <c r="B138" s="68">
        <v>40451</v>
      </c>
      <c r="C138" s="62">
        <v>6.0150196652901666E-3</v>
      </c>
      <c r="D138" s="62">
        <v>-9.1391080674046998E-3</v>
      </c>
      <c r="E138" s="62">
        <v>6.0743965551832924E-2</v>
      </c>
      <c r="F138" s="62">
        <v>-8.516927199452895E-2</v>
      </c>
      <c r="L138" s="62"/>
      <c r="M138" s="62"/>
      <c r="N138" s="62"/>
      <c r="O138" s="62"/>
    </row>
    <row r="139" spans="2:15" x14ac:dyDescent="0.2">
      <c r="B139" s="68">
        <v>40482</v>
      </c>
      <c r="C139" s="62">
        <v>8.390460303901115E-3</v>
      </c>
      <c r="D139" s="62">
        <v>-6.9928123510089035E-3</v>
      </c>
      <c r="E139" s="62">
        <v>8.6387826673868018E-2</v>
      </c>
      <c r="F139" s="62">
        <v>-6.6027155587180975E-2</v>
      </c>
      <c r="L139" s="62"/>
      <c r="M139" s="62"/>
      <c r="N139" s="62"/>
      <c r="O139" s="62"/>
    </row>
    <row r="140" spans="2:15" x14ac:dyDescent="0.2">
      <c r="B140" s="68">
        <v>40512</v>
      </c>
      <c r="C140" s="62">
        <v>9.7873840817976898E-3</v>
      </c>
      <c r="D140" s="62">
        <v>-5.8196092007823941E-3</v>
      </c>
      <c r="E140" s="62">
        <v>0.10229897799027432</v>
      </c>
      <c r="F140" s="62">
        <v>-5.5470214893192371E-2</v>
      </c>
      <c r="J140" s="62"/>
      <c r="K140" s="62"/>
      <c r="L140" s="62"/>
      <c r="M140" s="62"/>
    </row>
    <row r="141" spans="2:15" x14ac:dyDescent="0.2">
      <c r="B141" s="68">
        <v>40543</v>
      </c>
      <c r="C141" s="62">
        <v>1.3958885208253058E-2</v>
      </c>
      <c r="D141" s="62">
        <v>-2.280479713513639E-3</v>
      </c>
      <c r="E141" s="62">
        <v>0.15001935030402835</v>
      </c>
      <c r="F141" s="62">
        <v>-2.1442414650768571E-2</v>
      </c>
      <c r="J141" s="62"/>
      <c r="L141" s="62"/>
    </row>
    <row r="142" spans="2:15" x14ac:dyDescent="0.2">
      <c r="B142" s="68">
        <v>40574</v>
      </c>
      <c r="C142" s="62">
        <v>1.1408050737646835E-2</v>
      </c>
      <c r="D142" s="62">
        <v>-3.8289314555191023E-3</v>
      </c>
      <c r="E142" s="62">
        <v>0.12223841378123068</v>
      </c>
      <c r="F142" s="62">
        <v>-3.7034031356102282E-2</v>
      </c>
    </row>
    <row r="143" spans="2:15" x14ac:dyDescent="0.2">
      <c r="B143" s="93">
        <v>40602</v>
      </c>
      <c r="C143" s="162">
        <v>1.1757971236948661E-2</v>
      </c>
      <c r="D143" s="162">
        <v>-3.3122408109134138E-3</v>
      </c>
      <c r="E143" s="162">
        <v>0.127289614049932</v>
      </c>
      <c r="F143" s="163">
        <v>-3.2225550291120619E-2</v>
      </c>
    </row>
    <row r="144" spans="2:15" x14ac:dyDescent="0.2">
      <c r="B144" s="93">
        <v>40633</v>
      </c>
      <c r="C144" s="162">
        <v>1.2311686217160611E-2</v>
      </c>
      <c r="D144" s="162">
        <v>-3.9424626729700485E-3</v>
      </c>
      <c r="E144" s="162">
        <v>0.13478587383121199</v>
      </c>
      <c r="F144" s="163">
        <v>-3.8701592804297302E-2</v>
      </c>
    </row>
    <row r="145" spans="2:6" x14ac:dyDescent="0.2">
      <c r="B145" s="93">
        <v>40663</v>
      </c>
      <c r="C145" s="62">
        <v>1.3095883137439257E-2</v>
      </c>
      <c r="D145" s="62">
        <v>-3.4535370714708913E-3</v>
      </c>
      <c r="E145" s="62">
        <v>0.14514347137673544</v>
      </c>
      <c r="F145" s="62">
        <v>-3.4070158198470257E-2</v>
      </c>
    </row>
    <row r="146" spans="2:6" x14ac:dyDescent="0.2">
      <c r="B146" s="93">
        <v>40694</v>
      </c>
      <c r="C146" s="62">
        <v>1.2597298463506323E-2</v>
      </c>
      <c r="D146" s="62">
        <v>-3.9906442982745594E-3</v>
      </c>
      <c r="E146" s="62">
        <v>0.14047567324230759</v>
      </c>
      <c r="F146" s="62">
        <v>-3.9795656173468918E-2</v>
      </c>
    </row>
    <row r="147" spans="2:6" x14ac:dyDescent="0.2">
      <c r="B147" s="93">
        <v>40724</v>
      </c>
      <c r="C147" s="62">
        <v>1.1685370203887935E-2</v>
      </c>
      <c r="D147" s="62">
        <v>-4.5320880057121427E-3</v>
      </c>
      <c r="E147" s="62">
        <v>0.13083147670429729</v>
      </c>
      <c r="F147" s="62">
        <v>-4.5652053038361173E-2</v>
      </c>
    </row>
    <row r="148" spans="2:6" x14ac:dyDescent="0.2">
      <c r="B148" s="67">
        <v>40755</v>
      </c>
      <c r="C148" s="62">
        <v>9.4601042789193013E-3</v>
      </c>
      <c r="D148" s="62">
        <v>-6.5500419435271517E-3</v>
      </c>
      <c r="E148" s="62">
        <v>0.10565007916458669</v>
      </c>
      <c r="F148" s="62">
        <v>-6.6453650253794461E-2</v>
      </c>
    </row>
    <row r="149" spans="2:6" x14ac:dyDescent="0.2">
      <c r="B149" s="67">
        <v>40786</v>
      </c>
      <c r="C149" s="62">
        <v>1.192315922280196E-3</v>
      </c>
      <c r="D149" s="62">
        <v>-1.4593316821186031E-2</v>
      </c>
      <c r="E149" s="62">
        <v>1.289215747942829E-2</v>
      </c>
      <c r="F149" s="62">
        <v>-0.1450478110405623</v>
      </c>
    </row>
    <row r="150" spans="2:6" x14ac:dyDescent="0.2">
      <c r="B150" s="67">
        <v>40816</v>
      </c>
      <c r="C150" s="228">
        <v>-3.2258906758955153E-3</v>
      </c>
      <c r="D150" s="228">
        <v>-1.9457870608243777E-2</v>
      </c>
      <c r="E150" s="228">
        <v>-3.4398096944852075E-2</v>
      </c>
      <c r="F150" s="228">
        <v>-0.19063329206921498</v>
      </c>
    </row>
    <row r="151" spans="2:6" x14ac:dyDescent="0.2">
      <c r="B151" s="67">
        <v>40847</v>
      </c>
      <c r="C151" s="228">
        <v>2.7862013168424848E-3</v>
      </c>
      <c r="D151" s="228">
        <v>-1.3421994319146924E-2</v>
      </c>
      <c r="E151" s="228">
        <v>3.0839724905906474E-2</v>
      </c>
      <c r="F151" s="228">
        <v>-0.13597857273696135</v>
      </c>
    </row>
    <row r="152" spans="2:6" x14ac:dyDescent="0.2">
      <c r="B152" s="67">
        <v>40877</v>
      </c>
      <c r="C152" s="62">
        <v>1.7778001215293937E-3</v>
      </c>
      <c r="D152" s="62">
        <v>-1.4504405073829774E-2</v>
      </c>
      <c r="E152" s="62">
        <v>1.9730563284597435E-2</v>
      </c>
      <c r="F152" s="62">
        <v>-0.14730322455161793</v>
      </c>
    </row>
    <row r="153" spans="2:6" x14ac:dyDescent="0.2">
      <c r="B153" s="67">
        <v>40908</v>
      </c>
      <c r="C153" s="62">
        <v>2.4176334743228889E-3</v>
      </c>
      <c r="D153" s="62">
        <v>-1.3929296295151938E-2</v>
      </c>
      <c r="E153" s="62">
        <v>2.7124447142439667E-2</v>
      </c>
      <c r="F153" s="62">
        <v>-0.14281214732727965</v>
      </c>
    </row>
    <row r="154" spans="2:6" x14ac:dyDescent="0.2">
      <c r="B154" s="67">
        <v>40939</v>
      </c>
      <c r="C154" s="62">
        <v>7.4768586609763599E-3</v>
      </c>
      <c r="D154" s="61"/>
      <c r="E154" s="62">
        <v>8.673849924675725E-2</v>
      </c>
      <c r="F154" s="224"/>
    </row>
    <row r="155" spans="2:6" x14ac:dyDescent="0.2">
      <c r="B155" s="67"/>
      <c r="C155" s="62"/>
      <c r="D155" s="62"/>
      <c r="E155" s="62"/>
      <c r="F155" s="62"/>
    </row>
    <row r="156" spans="2:6" x14ac:dyDescent="0.2">
      <c r="B156" s="67"/>
      <c r="C156" s="62"/>
      <c r="D156" s="62"/>
      <c r="E156" s="62"/>
      <c r="F156" s="62"/>
    </row>
    <row r="157" spans="2:6" x14ac:dyDescent="0.2">
      <c r="B157" s="67"/>
      <c r="C157" s="62"/>
      <c r="D157" s="62"/>
      <c r="E157" s="62"/>
      <c r="F157" s="62"/>
    </row>
    <row r="158" spans="2:6" x14ac:dyDescent="0.2">
      <c r="B158" s="67"/>
      <c r="C158" s="62"/>
      <c r="D158" s="50"/>
      <c r="E158" s="62"/>
      <c r="F158" s="50"/>
    </row>
    <row r="159" spans="2:6" x14ac:dyDescent="0.2">
      <c r="B159" s="93"/>
      <c r="C159" s="62"/>
      <c r="D159" s="62"/>
      <c r="E159" s="62"/>
      <c r="F159" s="62"/>
    </row>
    <row r="160" spans="2:6" x14ac:dyDescent="0.2">
      <c r="B160" s="93"/>
      <c r="C160" s="62"/>
      <c r="D160" s="62"/>
      <c r="E160" s="62"/>
      <c r="F160" s="62"/>
    </row>
    <row r="161" spans="2:6" x14ac:dyDescent="0.2">
      <c r="B161" s="93"/>
      <c r="C161" s="62"/>
      <c r="D161" s="62"/>
      <c r="E161" s="62"/>
      <c r="F161" s="62"/>
    </row>
    <row r="162" spans="2:6" x14ac:dyDescent="0.2">
      <c r="B162" s="93"/>
      <c r="C162" s="62"/>
      <c r="D162" s="62"/>
      <c r="E162" s="62"/>
      <c r="F162" s="62"/>
    </row>
    <row r="163" spans="2:6" x14ac:dyDescent="0.2">
      <c r="B163" s="93"/>
      <c r="C163" s="62"/>
      <c r="D163" s="62"/>
      <c r="E163" s="62"/>
      <c r="F163" s="62"/>
    </row>
    <row r="164" spans="2:6" x14ac:dyDescent="0.2">
      <c r="B164" s="93"/>
      <c r="C164" s="62"/>
      <c r="D164" s="62"/>
      <c r="E164" s="62"/>
      <c r="F164" s="62"/>
    </row>
    <row r="165" spans="2:6" x14ac:dyDescent="0.2">
      <c r="B165" s="93"/>
      <c r="C165" s="62"/>
      <c r="D165" s="62"/>
    </row>
    <row r="166" spans="2:6" x14ac:dyDescent="0.2">
      <c r="B166" s="93"/>
      <c r="C166" s="62"/>
      <c r="D166" s="62"/>
      <c r="E166" s="62"/>
      <c r="F166" s="62"/>
    </row>
    <row r="167" spans="2:6" x14ac:dyDescent="0.2">
      <c r="B167" s="93"/>
      <c r="C167" s="62"/>
      <c r="D167" s="62"/>
      <c r="E167" s="62"/>
      <c r="F167" s="62"/>
    </row>
    <row r="168" spans="2:6" x14ac:dyDescent="0.2">
      <c r="B168" s="93"/>
      <c r="C168" s="62"/>
      <c r="D168" s="62"/>
      <c r="E168" s="62"/>
      <c r="F168" s="62"/>
    </row>
    <row r="169" spans="2:6" x14ac:dyDescent="0.2">
      <c r="B169" s="93"/>
      <c r="C169" s="62"/>
      <c r="D169" s="62"/>
      <c r="E169" s="62"/>
      <c r="F169" s="62"/>
    </row>
    <row r="170" spans="2:6" x14ac:dyDescent="0.2">
      <c r="B170" s="93"/>
      <c r="C170" s="62"/>
      <c r="D170" s="62"/>
      <c r="E170" s="62"/>
      <c r="F170" s="62"/>
    </row>
    <row r="171" spans="2:6" x14ac:dyDescent="0.2">
      <c r="B171" s="93"/>
      <c r="C171" s="62"/>
      <c r="D171" s="62"/>
      <c r="E171" s="62"/>
      <c r="F171" s="62"/>
    </row>
    <row r="172" spans="2:6" x14ac:dyDescent="0.2">
      <c r="B172" s="93"/>
      <c r="C172" s="62"/>
      <c r="D172" s="62"/>
      <c r="E172" s="62"/>
      <c r="F172" s="62"/>
    </row>
    <row r="173" spans="2:6" x14ac:dyDescent="0.2">
      <c r="B173" s="93"/>
      <c r="C173" s="62"/>
      <c r="D173" s="62"/>
      <c r="E173" s="62"/>
      <c r="F173" s="62"/>
    </row>
    <row r="174" spans="2:6" x14ac:dyDescent="0.2">
      <c r="B174" s="93"/>
      <c r="C174" s="62"/>
      <c r="D174" s="62"/>
      <c r="E174" s="62"/>
      <c r="F174" s="62"/>
    </row>
    <row r="175" spans="2:6" x14ac:dyDescent="0.2">
      <c r="B175" s="93"/>
      <c r="C175" s="62"/>
      <c r="D175" s="62"/>
      <c r="E175" s="62"/>
      <c r="F175" s="62"/>
    </row>
    <row r="176" spans="2:6" x14ac:dyDescent="0.2">
      <c r="B176" s="93"/>
      <c r="C176" s="62"/>
      <c r="D176" s="62"/>
      <c r="E176" s="62"/>
      <c r="F176" s="62"/>
    </row>
    <row r="177" spans="2:6" x14ac:dyDescent="0.2">
      <c r="B177" s="93"/>
      <c r="C177" s="62"/>
      <c r="D177" s="62"/>
      <c r="E177" s="62"/>
      <c r="F177" s="62"/>
    </row>
    <row r="178" spans="2:6" x14ac:dyDescent="0.2">
      <c r="B178" s="93"/>
      <c r="C178" s="62"/>
      <c r="D178" s="62"/>
      <c r="E178" s="62"/>
      <c r="F178" s="62"/>
    </row>
    <row r="179" spans="2:6" x14ac:dyDescent="0.2">
      <c r="B179" s="93"/>
      <c r="C179" s="62"/>
      <c r="D179" s="62"/>
      <c r="E179" s="62"/>
      <c r="F179" s="62"/>
    </row>
    <row r="180" spans="2:6" x14ac:dyDescent="0.2">
      <c r="B180" s="93"/>
      <c r="C180" s="62"/>
      <c r="D180" s="62"/>
      <c r="E180" s="62"/>
      <c r="F180" s="62"/>
    </row>
    <row r="181" spans="2:6" x14ac:dyDescent="0.2">
      <c r="B181" s="93"/>
      <c r="C181" s="62"/>
      <c r="D181" s="62"/>
      <c r="E181" s="62"/>
      <c r="F181" s="62"/>
    </row>
    <row r="182" spans="2:6" x14ac:dyDescent="0.2">
      <c r="B182" s="93"/>
      <c r="C182" s="62"/>
      <c r="D182" s="62"/>
      <c r="E182" s="62"/>
      <c r="F182" s="62"/>
    </row>
    <row r="183" spans="2:6" x14ac:dyDescent="0.2">
      <c r="B183" s="93"/>
      <c r="C183" s="62"/>
      <c r="D183" s="62"/>
      <c r="E183" s="62"/>
      <c r="F183" s="62"/>
    </row>
    <row r="184" spans="2:6" x14ac:dyDescent="0.2">
      <c r="B184" s="93"/>
      <c r="C184" s="62"/>
      <c r="D184" s="62"/>
      <c r="E184" s="62"/>
      <c r="F184" s="62"/>
    </row>
    <row r="185" spans="2:6" x14ac:dyDescent="0.2">
      <c r="B185" s="93"/>
      <c r="C185" s="62"/>
      <c r="D185" s="62"/>
      <c r="E185" s="62"/>
      <c r="F185" s="62"/>
    </row>
    <row r="186" spans="2:6" x14ac:dyDescent="0.2">
      <c r="B186" s="93"/>
      <c r="C186" s="62"/>
      <c r="D186" s="62"/>
      <c r="E186" s="62"/>
      <c r="F186" s="62"/>
    </row>
    <row r="187" spans="2:6" x14ac:dyDescent="0.2">
      <c r="B187" s="93"/>
      <c r="C187" s="62"/>
      <c r="D187" s="62"/>
      <c r="E187" s="62"/>
      <c r="F187" s="62"/>
    </row>
    <row r="188" spans="2:6" x14ac:dyDescent="0.2">
      <c r="B188" s="93"/>
      <c r="C188" s="62"/>
      <c r="D188" s="62"/>
      <c r="E188" s="62"/>
      <c r="F188" s="62"/>
    </row>
    <row r="189" spans="2:6" x14ac:dyDescent="0.2">
      <c r="B189" s="93"/>
      <c r="C189" s="62"/>
      <c r="D189" s="62"/>
      <c r="E189" s="62"/>
      <c r="F189" s="62"/>
    </row>
    <row r="190" spans="2:6" x14ac:dyDescent="0.2">
      <c r="B190" s="93"/>
      <c r="C190" s="62"/>
      <c r="D190" s="62"/>
      <c r="E190" s="62"/>
      <c r="F190" s="62"/>
    </row>
    <row r="191" spans="2:6" x14ac:dyDescent="0.2">
      <c r="B191" s="93"/>
      <c r="C191" s="62"/>
      <c r="D191" s="62"/>
      <c r="E191" s="62"/>
      <c r="F191" s="62"/>
    </row>
    <row r="192" spans="2:6" x14ac:dyDescent="0.2">
      <c r="B192" s="93"/>
      <c r="C192" s="62"/>
      <c r="D192" s="62"/>
      <c r="E192" s="62"/>
      <c r="F192" s="62"/>
    </row>
    <row r="193" spans="2:6" x14ac:dyDescent="0.2">
      <c r="B193" s="93"/>
      <c r="C193" s="62"/>
      <c r="D193" s="62"/>
      <c r="E193" s="62"/>
      <c r="F193" s="62"/>
    </row>
    <row r="194" spans="2:6" x14ac:dyDescent="0.2">
      <c r="B194" s="93"/>
      <c r="C194" s="62"/>
      <c r="D194" s="62"/>
      <c r="E194" s="62"/>
      <c r="F194" s="62"/>
    </row>
    <row r="195" spans="2:6" x14ac:dyDescent="0.2">
      <c r="B195" s="93"/>
      <c r="C195" s="62"/>
      <c r="D195" s="62"/>
      <c r="E195" s="62"/>
      <c r="F195" s="62"/>
    </row>
    <row r="196" spans="2:6" x14ac:dyDescent="0.2">
      <c r="B196" s="93"/>
      <c r="C196" s="62"/>
      <c r="D196" s="62"/>
      <c r="E196" s="62"/>
      <c r="F196" s="62"/>
    </row>
    <row r="197" spans="2:6" x14ac:dyDescent="0.2">
      <c r="B197" s="93"/>
      <c r="C197" s="62"/>
      <c r="D197" s="62"/>
      <c r="E197" s="62"/>
      <c r="F197" s="62"/>
    </row>
    <row r="198" spans="2:6" x14ac:dyDescent="0.2">
      <c r="B198" s="93"/>
      <c r="C198" s="62"/>
      <c r="D198" s="62"/>
      <c r="E198" s="62"/>
      <c r="F198" s="62"/>
    </row>
    <row r="199" spans="2:6" x14ac:dyDescent="0.2">
      <c r="B199" s="93"/>
      <c r="C199" s="62"/>
      <c r="D199" s="62"/>
      <c r="E199" s="62"/>
      <c r="F199" s="62"/>
    </row>
    <row r="200" spans="2:6" x14ac:dyDescent="0.2">
      <c r="B200" s="93"/>
      <c r="C200" s="62"/>
      <c r="D200" s="62"/>
      <c r="E200" s="62"/>
      <c r="F200" s="62"/>
    </row>
    <row r="201" spans="2:6" x14ac:dyDescent="0.2">
      <c r="B201" s="93"/>
      <c r="C201" s="62"/>
      <c r="D201" s="62"/>
      <c r="E201" s="62"/>
      <c r="F201" s="62"/>
    </row>
    <row r="202" spans="2:6" x14ac:dyDescent="0.2">
      <c r="B202" s="93"/>
      <c r="C202" s="62"/>
      <c r="D202" s="62"/>
      <c r="E202" s="62"/>
      <c r="F202" s="62"/>
    </row>
    <row r="203" spans="2:6" x14ac:dyDescent="0.2">
      <c r="B203" s="93"/>
      <c r="C203" s="62"/>
      <c r="D203" s="62"/>
      <c r="E203" s="62"/>
      <c r="F203" s="62"/>
    </row>
    <row r="204" spans="2:6" x14ac:dyDescent="0.2">
      <c r="B204" s="93"/>
      <c r="C204" s="62"/>
      <c r="D204" s="62"/>
      <c r="E204" s="62"/>
      <c r="F204" s="62"/>
    </row>
    <row r="205" spans="2:6" x14ac:dyDescent="0.2">
      <c r="B205" s="93"/>
      <c r="C205" s="62"/>
      <c r="D205" s="62"/>
      <c r="E205" s="62"/>
      <c r="F205" s="62"/>
    </row>
    <row r="206" spans="2:6" x14ac:dyDescent="0.2">
      <c r="B206" s="93"/>
      <c r="C206" s="62"/>
      <c r="D206" s="62"/>
      <c r="E206" s="62"/>
      <c r="F206" s="62"/>
    </row>
    <row r="207" spans="2:6" x14ac:dyDescent="0.2">
      <c r="B207" s="93"/>
      <c r="C207" s="62"/>
      <c r="D207" s="62"/>
      <c r="E207" s="62"/>
      <c r="F207" s="62"/>
    </row>
    <row r="208" spans="2:6" x14ac:dyDescent="0.2">
      <c r="B208" s="93"/>
      <c r="C208" s="62"/>
      <c r="D208" s="62"/>
      <c r="E208" s="62"/>
      <c r="F208" s="62"/>
    </row>
    <row r="209" spans="2:6" x14ac:dyDescent="0.2">
      <c r="B209" s="93"/>
      <c r="C209" s="62"/>
      <c r="D209" s="62"/>
      <c r="E209" s="62"/>
      <c r="F209" s="62"/>
    </row>
    <row r="210" spans="2:6" x14ac:dyDescent="0.2">
      <c r="B210" s="93"/>
      <c r="C210" s="62"/>
      <c r="D210" s="62"/>
      <c r="E210" s="62"/>
      <c r="F210" s="62"/>
    </row>
    <row r="211" spans="2:6" x14ac:dyDescent="0.2">
      <c r="B211" s="93"/>
      <c r="C211" s="62"/>
      <c r="D211" s="62"/>
      <c r="E211" s="62"/>
      <c r="F211" s="62"/>
    </row>
    <row r="212" spans="2:6" x14ac:dyDescent="0.2">
      <c r="B212" s="93"/>
      <c r="C212" s="62"/>
      <c r="D212" s="62"/>
      <c r="E212" s="62"/>
      <c r="F212" s="62"/>
    </row>
    <row r="213" spans="2:6" x14ac:dyDescent="0.2">
      <c r="B213" s="93"/>
      <c r="C213" s="62"/>
      <c r="D213" s="62"/>
      <c r="E213" s="62"/>
      <c r="F213" s="62"/>
    </row>
    <row r="214" spans="2:6" x14ac:dyDescent="0.2">
      <c r="B214" s="93"/>
      <c r="C214" s="62"/>
      <c r="D214" s="62"/>
      <c r="E214" s="62"/>
      <c r="F214" s="62"/>
    </row>
    <row r="215" spans="2:6" x14ac:dyDescent="0.2">
      <c r="B215" s="93"/>
    </row>
    <row r="216" spans="2:6" x14ac:dyDescent="0.2">
      <c r="B216" s="93"/>
    </row>
    <row r="217" spans="2:6" x14ac:dyDescent="0.2">
      <c r="B217" s="93"/>
    </row>
    <row r="218" spans="2:6" x14ac:dyDescent="0.2">
      <c r="B218" s="93"/>
    </row>
    <row r="219" spans="2:6" x14ac:dyDescent="0.2">
      <c r="B219" s="93"/>
    </row>
    <row r="220" spans="2:6" x14ac:dyDescent="0.2">
      <c r="B220" s="93"/>
    </row>
    <row r="221" spans="2:6" x14ac:dyDescent="0.2">
      <c r="B221" s="93"/>
    </row>
    <row r="222" spans="2:6" x14ac:dyDescent="0.2">
      <c r="B222" s="93"/>
    </row>
    <row r="223" spans="2:6" x14ac:dyDescent="0.2">
      <c r="B223" s="93"/>
    </row>
    <row r="224" spans="2:6" x14ac:dyDescent="0.2">
      <c r="B224" s="93"/>
    </row>
    <row r="225" spans="2:2" x14ac:dyDescent="0.2">
      <c r="B225" s="93"/>
    </row>
    <row r="226" spans="2:2" x14ac:dyDescent="0.2">
      <c r="B226" s="93"/>
    </row>
    <row r="227" spans="2:2" x14ac:dyDescent="0.2">
      <c r="B227" s="93"/>
    </row>
  </sheetData>
  <mergeCells count="8">
    <mergeCell ref="N18:N19"/>
    <mergeCell ref="O18:O19"/>
    <mergeCell ref="C18:C19"/>
    <mergeCell ref="D18:D19"/>
    <mergeCell ref="E18:E19"/>
    <mergeCell ref="F18:F19"/>
    <mergeCell ref="L18:L19"/>
    <mergeCell ref="M18:M19"/>
  </mergeCells>
  <phoneticPr fontId="5" type="noConversion"/>
  <pageMargins left="0.41" right="0.35" top="1" bottom="1" header="0.5" footer="0.5"/>
  <pageSetup scale="85" orientation="landscape" r:id="rId1"/>
  <headerFooter alignWithMargins="0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3"/>
  <dimension ref="C1:P77"/>
  <sheetViews>
    <sheetView showGridLines="0" showRowColHeaders="0" workbookViewId="0"/>
  </sheetViews>
  <sheetFormatPr defaultRowHeight="12.75" x14ac:dyDescent="0.2"/>
  <cols>
    <col min="1" max="1" width="3" style="44" customWidth="1"/>
    <col min="2" max="16384" width="9.140625" style="44"/>
  </cols>
  <sheetData>
    <row r="1" spans="3:8" x14ac:dyDescent="0.2">
      <c r="E1" s="69"/>
    </row>
    <row r="2" spans="3:8" ht="18" x14ac:dyDescent="0.25">
      <c r="C2" s="46" t="s">
        <v>768</v>
      </c>
      <c r="E2" s="69"/>
    </row>
    <row r="5" spans="3:8" x14ac:dyDescent="0.2">
      <c r="C5" s="47" t="s">
        <v>987</v>
      </c>
    </row>
    <row r="6" spans="3:8" x14ac:dyDescent="0.2">
      <c r="C6" s="44" t="s">
        <v>996</v>
      </c>
    </row>
    <row r="7" spans="3:8" x14ac:dyDescent="0.2">
      <c r="C7" s="44" t="s">
        <v>530</v>
      </c>
      <c r="D7" s="47"/>
      <c r="E7" s="47"/>
    </row>
    <row r="9" spans="3:8" x14ac:dyDescent="0.2">
      <c r="C9" s="47" t="s">
        <v>988</v>
      </c>
      <c r="H9" s="44" t="s">
        <v>497</v>
      </c>
    </row>
    <row r="10" spans="3:8" x14ac:dyDescent="0.2">
      <c r="C10" s="44" t="s">
        <v>997</v>
      </c>
    </row>
    <row r="11" spans="3:8" x14ac:dyDescent="0.2">
      <c r="C11" s="44" t="s">
        <v>275</v>
      </c>
    </row>
    <row r="12" spans="3:8" x14ac:dyDescent="0.2">
      <c r="C12" s="75" t="s">
        <v>548</v>
      </c>
    </row>
    <row r="13" spans="3:8" x14ac:dyDescent="0.2">
      <c r="C13" s="75"/>
    </row>
    <row r="14" spans="3:8" x14ac:dyDescent="0.2">
      <c r="C14" s="21" t="s">
        <v>994</v>
      </c>
    </row>
    <row r="15" spans="3:8" x14ac:dyDescent="0.2">
      <c r="C15" t="s">
        <v>993</v>
      </c>
    </row>
    <row r="16" spans="3:8" x14ac:dyDescent="0.2">
      <c r="C16" s="75"/>
    </row>
    <row r="17" spans="3:4" x14ac:dyDescent="0.2">
      <c r="C17" s="47" t="s">
        <v>761</v>
      </c>
    </row>
    <row r="18" spans="3:4" x14ac:dyDescent="0.2">
      <c r="C18" s="44" t="s">
        <v>498</v>
      </c>
    </row>
    <row r="20" spans="3:4" x14ac:dyDescent="0.2">
      <c r="C20" s="47" t="s">
        <v>749</v>
      </c>
    </row>
    <row r="21" spans="3:4" x14ac:dyDescent="0.2">
      <c r="C21" s="44" t="s">
        <v>83</v>
      </c>
    </row>
    <row r="22" spans="3:4" x14ac:dyDescent="0.2">
      <c r="C22" s="44" t="s">
        <v>85</v>
      </c>
    </row>
    <row r="23" spans="3:4" x14ac:dyDescent="0.2">
      <c r="C23" s="44" t="s">
        <v>84</v>
      </c>
    </row>
    <row r="25" spans="3:4" x14ac:dyDescent="0.2">
      <c r="C25" s="47" t="s">
        <v>747</v>
      </c>
      <c r="D25" s="47"/>
    </row>
    <row r="26" spans="3:4" x14ac:dyDescent="0.2">
      <c r="C26" s="44" t="s">
        <v>769</v>
      </c>
    </row>
    <row r="27" spans="3:4" x14ac:dyDescent="0.2">
      <c r="C27" s="44" t="s">
        <v>770</v>
      </c>
    </row>
    <row r="29" spans="3:4" x14ac:dyDescent="0.2">
      <c r="C29" s="47" t="s">
        <v>762</v>
      </c>
    </row>
    <row r="30" spans="3:4" x14ac:dyDescent="0.2">
      <c r="C30" s="44" t="s">
        <v>499</v>
      </c>
    </row>
    <row r="31" spans="3:4" x14ac:dyDescent="0.2">
      <c r="C31" s="47"/>
    </row>
    <row r="32" spans="3:4" x14ac:dyDescent="0.2">
      <c r="C32" s="47" t="s">
        <v>763</v>
      </c>
    </row>
    <row r="33" spans="3:3" x14ac:dyDescent="0.2">
      <c r="C33" s="44" t="s">
        <v>81</v>
      </c>
    </row>
    <row r="34" spans="3:3" x14ac:dyDescent="0.2">
      <c r="C34" s="44" t="s">
        <v>80</v>
      </c>
    </row>
    <row r="36" spans="3:3" x14ac:dyDescent="0.2">
      <c r="C36" s="47" t="s">
        <v>764</v>
      </c>
    </row>
    <row r="37" spans="3:3" x14ac:dyDescent="0.2">
      <c r="C37" s="44" t="s">
        <v>86</v>
      </c>
    </row>
    <row r="39" spans="3:3" x14ac:dyDescent="0.2">
      <c r="C39" s="47" t="s">
        <v>765</v>
      </c>
    </row>
    <row r="40" spans="3:3" x14ac:dyDescent="0.2">
      <c r="C40" s="44" t="s">
        <v>767</v>
      </c>
    </row>
    <row r="42" spans="3:3" x14ac:dyDescent="0.2">
      <c r="C42" s="47" t="s">
        <v>500</v>
      </c>
    </row>
    <row r="43" spans="3:3" x14ac:dyDescent="0.2">
      <c r="C43" s="44" t="s">
        <v>995</v>
      </c>
    </row>
    <row r="44" spans="3:3" x14ac:dyDescent="0.2">
      <c r="C44" s="44" t="s">
        <v>82</v>
      </c>
    </row>
    <row r="45" spans="3:3" x14ac:dyDescent="0.2">
      <c r="C45" s="44" t="s">
        <v>87</v>
      </c>
    </row>
    <row r="46" spans="3:3" x14ac:dyDescent="0.2">
      <c r="C46" s="44" t="s">
        <v>88</v>
      </c>
    </row>
    <row r="47" spans="3:3" x14ac:dyDescent="0.2">
      <c r="C47" s="44" t="s">
        <v>89</v>
      </c>
    </row>
    <row r="48" spans="3:3" x14ac:dyDescent="0.2">
      <c r="C48" s="19" t="s">
        <v>1158</v>
      </c>
    </row>
    <row r="51" spans="3:16" x14ac:dyDescent="0.2">
      <c r="C51" s="47" t="s">
        <v>501</v>
      </c>
    </row>
    <row r="52" spans="3:16" x14ac:dyDescent="0.2">
      <c r="C52" s="44" t="s">
        <v>90</v>
      </c>
    </row>
    <row r="53" spans="3:16" x14ac:dyDescent="0.2">
      <c r="C53" s="19" t="s">
        <v>1159</v>
      </c>
    </row>
    <row r="54" spans="3:16" x14ac:dyDescent="0.2">
      <c r="D54" s="47"/>
      <c r="E54" s="47"/>
      <c r="F54" s="47"/>
      <c r="G54" s="47"/>
    </row>
    <row r="55" spans="3:16" x14ac:dyDescent="0.2">
      <c r="C55" s="47" t="s">
        <v>55</v>
      </c>
    </row>
    <row r="56" spans="3:16" x14ac:dyDescent="0.2">
      <c r="C56" s="44" t="s">
        <v>181</v>
      </c>
      <c r="D56" s="76"/>
      <c r="E56" s="50"/>
      <c r="F56" s="50"/>
      <c r="G56" s="50"/>
      <c r="H56" s="50"/>
    </row>
    <row r="57" spans="3:16" x14ac:dyDescent="0.2">
      <c r="D57" s="50"/>
      <c r="E57" s="50"/>
      <c r="F57" s="50"/>
      <c r="G57" s="50"/>
      <c r="H57" s="50"/>
    </row>
    <row r="58" spans="3:16" x14ac:dyDescent="0.2">
      <c r="C58" s="100" t="s">
        <v>771</v>
      </c>
      <c r="D58" s="50"/>
      <c r="E58" s="50"/>
      <c r="F58" s="50"/>
      <c r="G58" s="50"/>
      <c r="H58" s="50"/>
      <c r="I58" s="50"/>
      <c r="J58" s="50"/>
      <c r="K58" s="50"/>
      <c r="L58" s="72"/>
      <c r="M58" s="73"/>
      <c r="N58" s="73"/>
      <c r="O58" s="65"/>
      <c r="P58" s="64"/>
    </row>
    <row r="59" spans="3:16" x14ac:dyDescent="0.2">
      <c r="D59" s="50"/>
      <c r="E59" s="50"/>
      <c r="F59" s="50"/>
      <c r="G59" s="50"/>
      <c r="H59" s="50"/>
      <c r="I59" s="50"/>
      <c r="J59" s="50"/>
      <c r="K59" s="50"/>
      <c r="L59" s="72"/>
      <c r="M59" s="73"/>
      <c r="N59" s="73"/>
      <c r="O59" s="65"/>
      <c r="P59" s="64"/>
    </row>
    <row r="60" spans="3:16" x14ac:dyDescent="0.2">
      <c r="C60" s="100"/>
      <c r="D60" s="50"/>
      <c r="E60" s="50"/>
      <c r="F60" s="50"/>
      <c r="G60" s="50"/>
      <c r="H60" s="50"/>
      <c r="I60" s="50"/>
      <c r="J60" s="50"/>
      <c r="K60" s="50"/>
      <c r="L60" s="72"/>
      <c r="M60" s="73"/>
      <c r="N60" s="73"/>
      <c r="O60" s="65"/>
      <c r="P60" s="64"/>
    </row>
    <row r="61" spans="3:16" x14ac:dyDescent="0.2">
      <c r="D61" s="50"/>
      <c r="E61" s="50"/>
      <c r="F61" s="50"/>
      <c r="G61" s="50"/>
      <c r="H61" s="50"/>
      <c r="I61" s="50"/>
      <c r="J61" s="50"/>
      <c r="K61" s="50"/>
      <c r="L61" s="72"/>
      <c r="M61" s="73"/>
      <c r="N61" s="73"/>
      <c r="O61" s="65"/>
      <c r="P61" s="64"/>
    </row>
    <row r="62" spans="3:16" x14ac:dyDescent="0.2">
      <c r="D62" s="50"/>
      <c r="E62" s="50"/>
      <c r="F62" s="50"/>
      <c r="G62" s="50"/>
      <c r="H62" s="50"/>
      <c r="I62" s="50"/>
      <c r="J62" s="50"/>
      <c r="K62" s="50"/>
      <c r="L62" s="72"/>
      <c r="M62" s="73"/>
      <c r="N62" s="73"/>
      <c r="O62" s="65"/>
      <c r="P62" s="64"/>
    </row>
    <row r="63" spans="3:16" x14ac:dyDescent="0.2">
      <c r="D63" s="50"/>
      <c r="E63" s="50"/>
      <c r="F63" s="50"/>
      <c r="G63" s="50"/>
      <c r="H63" s="50"/>
      <c r="I63" s="50"/>
      <c r="J63" s="50"/>
      <c r="K63" s="50"/>
      <c r="L63" s="72"/>
      <c r="M63" s="73"/>
      <c r="N63" s="73"/>
      <c r="O63" s="65"/>
      <c r="P63" s="64"/>
    </row>
    <row r="64" spans="3:16" x14ac:dyDescent="0.2">
      <c r="C64" s="65"/>
      <c r="D64" s="50"/>
      <c r="E64" s="50"/>
      <c r="F64" s="50"/>
      <c r="G64" s="50"/>
      <c r="H64" s="50"/>
      <c r="I64" s="50"/>
      <c r="J64" s="50"/>
      <c r="K64" s="50"/>
      <c r="L64" s="72"/>
      <c r="M64" s="64"/>
      <c r="N64" s="64"/>
      <c r="O64" s="65"/>
      <c r="P64" s="64"/>
    </row>
    <row r="65" spans="3:16" x14ac:dyDescent="0.2">
      <c r="C65" s="65"/>
      <c r="D65" s="50"/>
      <c r="E65" s="50"/>
      <c r="F65" s="50"/>
      <c r="G65" s="50"/>
      <c r="H65" s="50"/>
      <c r="I65" s="50"/>
      <c r="J65" s="50"/>
      <c r="K65" s="50"/>
      <c r="L65" s="72"/>
      <c r="M65" s="64"/>
      <c r="N65" s="64"/>
      <c r="O65" s="65"/>
      <c r="P65" s="64"/>
    </row>
    <row r="66" spans="3:16" x14ac:dyDescent="0.2">
      <c r="C66" s="65"/>
      <c r="D66" s="50"/>
      <c r="E66" s="50"/>
      <c r="F66" s="50"/>
      <c r="G66" s="50"/>
      <c r="H66" s="50"/>
      <c r="I66" s="50"/>
      <c r="J66" s="50"/>
      <c r="K66" s="50"/>
      <c r="L66" s="72"/>
      <c r="M66" s="64"/>
      <c r="N66" s="64"/>
      <c r="O66" s="65"/>
      <c r="P66" s="64"/>
    </row>
    <row r="67" spans="3:16" x14ac:dyDescent="0.2">
      <c r="C67" s="50"/>
      <c r="D67" s="50"/>
      <c r="E67" s="50"/>
      <c r="F67" s="50"/>
      <c r="G67" s="50"/>
      <c r="H67" s="50"/>
      <c r="I67" s="50"/>
      <c r="J67" s="50"/>
      <c r="K67" s="50"/>
      <c r="L67" s="72"/>
      <c r="M67" s="64"/>
      <c r="N67" s="64"/>
      <c r="O67" s="65"/>
      <c r="P67" s="64"/>
    </row>
    <row r="68" spans="3:16" x14ac:dyDescent="0.2">
      <c r="C68" s="50"/>
      <c r="D68" s="50"/>
      <c r="E68" s="50"/>
      <c r="F68" s="50"/>
      <c r="G68" s="50"/>
      <c r="H68" s="50"/>
      <c r="I68" s="50"/>
      <c r="J68" s="50"/>
      <c r="K68" s="50"/>
      <c r="L68" s="72"/>
      <c r="M68" s="64"/>
      <c r="N68" s="64"/>
      <c r="O68" s="65"/>
      <c r="P68" s="64"/>
    </row>
    <row r="69" spans="3:16" x14ac:dyDescent="0.2">
      <c r="C69" s="50"/>
      <c r="D69" s="50"/>
      <c r="E69" s="50"/>
      <c r="F69" s="50"/>
      <c r="G69" s="50"/>
      <c r="H69" s="50"/>
      <c r="I69" s="50"/>
      <c r="J69" s="50"/>
      <c r="K69" s="50"/>
      <c r="L69" s="72"/>
      <c r="M69" s="64"/>
      <c r="N69" s="64"/>
      <c r="O69" s="65"/>
      <c r="P69" s="64"/>
    </row>
    <row r="70" spans="3:16" x14ac:dyDescent="0.2">
      <c r="C70" s="50"/>
      <c r="D70" s="50"/>
      <c r="E70" s="50"/>
      <c r="F70" s="50"/>
      <c r="G70" s="50"/>
      <c r="H70" s="50"/>
      <c r="I70" s="50"/>
      <c r="J70" s="50"/>
      <c r="K70" s="50"/>
      <c r="L70" s="72"/>
      <c r="M70" s="64"/>
      <c r="N70" s="64"/>
      <c r="O70" s="65"/>
      <c r="P70" s="64"/>
    </row>
    <row r="71" spans="3:16" x14ac:dyDescent="0.2">
      <c r="C71" s="50"/>
      <c r="D71" s="50"/>
      <c r="E71" s="50"/>
      <c r="F71" s="50"/>
      <c r="G71" s="50"/>
      <c r="H71" s="50"/>
      <c r="I71" s="50"/>
      <c r="J71" s="50"/>
      <c r="K71" s="50"/>
      <c r="L71" s="72"/>
      <c r="M71" s="64"/>
      <c r="N71" s="64"/>
      <c r="O71" s="65"/>
      <c r="P71" s="64"/>
    </row>
    <row r="72" spans="3:16" x14ac:dyDescent="0.2">
      <c r="C72" s="50"/>
      <c r="D72" s="50"/>
      <c r="E72" s="50"/>
      <c r="F72" s="50"/>
      <c r="G72" s="50"/>
      <c r="H72" s="50"/>
      <c r="I72" s="50"/>
      <c r="J72" s="50"/>
      <c r="K72" s="50"/>
      <c r="L72" s="72"/>
      <c r="M72" s="64"/>
      <c r="N72" s="64"/>
      <c r="O72" s="65"/>
      <c r="P72" s="64"/>
    </row>
    <row r="73" spans="3:16" x14ac:dyDescent="0.2">
      <c r="C73" s="65"/>
      <c r="I73" s="50"/>
      <c r="J73" s="50"/>
      <c r="K73" s="50"/>
      <c r="L73" s="72"/>
      <c r="M73" s="64"/>
      <c r="N73" s="64"/>
      <c r="O73" s="65"/>
      <c r="P73" s="64"/>
    </row>
    <row r="74" spans="3:16" x14ac:dyDescent="0.2">
      <c r="C74" s="65"/>
      <c r="I74" s="50"/>
      <c r="J74" s="50"/>
      <c r="K74" s="50"/>
      <c r="L74" s="72"/>
      <c r="M74" s="64"/>
      <c r="N74" s="64"/>
      <c r="O74" s="65"/>
      <c r="P74" s="64"/>
    </row>
    <row r="75" spans="3:16" x14ac:dyDescent="0.2">
      <c r="C75" s="65"/>
    </row>
    <row r="76" spans="3:16" x14ac:dyDescent="0.2">
      <c r="C76" s="65"/>
    </row>
    <row r="77" spans="3:16" x14ac:dyDescent="0.2">
      <c r="C77" s="65"/>
    </row>
  </sheetData>
  <phoneticPr fontId="5" type="noConversion"/>
  <pageMargins left="0.27" right="0.3" top="0.48" bottom="0.32" header="0.42" footer="0.26"/>
  <pageSetup paperSize="9" scale="85" orientation="landscape" r:id="rId1"/>
  <headerFooter alignWithMargins="0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23"/>
  <dimension ref="B1:Q75"/>
  <sheetViews>
    <sheetView showGridLines="0" showRowColHeaders="0" workbookViewId="0"/>
  </sheetViews>
  <sheetFormatPr defaultRowHeight="12.75" x14ac:dyDescent="0.2"/>
  <cols>
    <col min="1" max="1" width="3" style="44" customWidth="1"/>
    <col min="2" max="16384" width="9.140625" style="44"/>
  </cols>
  <sheetData>
    <row r="1" spans="3:17" x14ac:dyDescent="0.2">
      <c r="F1" s="69"/>
    </row>
    <row r="2" spans="3:17" ht="18" x14ac:dyDescent="0.25">
      <c r="C2" s="46" t="s">
        <v>462</v>
      </c>
      <c r="F2" s="69"/>
    </row>
    <row r="3" spans="3:17" x14ac:dyDescent="0.2">
      <c r="C3" s="70"/>
    </row>
    <row r="4" spans="3:17" x14ac:dyDescent="0.2">
      <c r="C4" s="70"/>
    </row>
    <row r="5" spans="3:17" x14ac:dyDescent="0.2">
      <c r="C5" s="70"/>
    </row>
    <row r="6" spans="3:17" x14ac:dyDescent="0.2">
      <c r="C6" s="70"/>
    </row>
    <row r="7" spans="3:17" x14ac:dyDescent="0.2">
      <c r="C7" s="71" t="s">
        <v>307</v>
      </c>
      <c r="D7" s="65"/>
      <c r="E7" s="50"/>
      <c r="F7" s="50"/>
      <c r="G7" s="50"/>
      <c r="H7" s="50"/>
      <c r="I7" s="50"/>
      <c r="J7" s="50"/>
      <c r="K7" s="50"/>
      <c r="L7" s="50"/>
      <c r="M7" s="72"/>
      <c r="N7" s="73"/>
      <c r="O7" s="73"/>
      <c r="P7" s="65"/>
      <c r="Q7" s="64"/>
    </row>
    <row r="8" spans="3:17" x14ac:dyDescent="0.2">
      <c r="C8" s="71"/>
      <c r="D8" s="65"/>
      <c r="E8" s="50"/>
      <c r="F8" s="50"/>
      <c r="G8" s="50"/>
      <c r="H8" s="50"/>
      <c r="I8" s="50"/>
      <c r="J8" s="50"/>
      <c r="K8" s="50"/>
      <c r="L8" s="50"/>
      <c r="M8" s="72"/>
      <c r="N8" s="73"/>
      <c r="O8" s="73"/>
      <c r="P8" s="65"/>
      <c r="Q8" s="64"/>
    </row>
    <row r="9" spans="3:17" x14ac:dyDescent="0.2">
      <c r="C9" s="71" t="s">
        <v>463</v>
      </c>
      <c r="D9" s="65"/>
      <c r="E9" s="50"/>
      <c r="F9" s="50"/>
      <c r="G9" s="50"/>
      <c r="H9" s="50"/>
      <c r="I9" s="50"/>
      <c r="J9" s="50"/>
      <c r="K9" s="50"/>
      <c r="L9" s="50"/>
      <c r="M9" s="72"/>
      <c r="N9" s="73"/>
      <c r="O9" s="73"/>
      <c r="P9" s="65"/>
      <c r="Q9" s="64"/>
    </row>
    <row r="10" spans="3:17" x14ac:dyDescent="0.2">
      <c r="C10" s="71"/>
      <c r="D10" s="65"/>
      <c r="E10" s="50"/>
      <c r="F10" s="50"/>
      <c r="G10" s="50"/>
      <c r="H10" s="50"/>
      <c r="I10" s="50"/>
      <c r="J10" s="50"/>
      <c r="K10" s="50"/>
      <c r="L10" s="50"/>
      <c r="M10" s="72"/>
      <c r="N10" s="73"/>
      <c r="O10" s="73"/>
      <c r="P10" s="65"/>
      <c r="Q10" s="64"/>
    </row>
    <row r="11" spans="3:17" x14ac:dyDescent="0.2">
      <c r="C11" s="70" t="s">
        <v>102</v>
      </c>
      <c r="D11" s="50"/>
      <c r="E11" s="50"/>
      <c r="F11" s="50"/>
      <c r="G11" s="50"/>
      <c r="H11" s="50"/>
      <c r="I11" s="50"/>
      <c r="J11" s="50"/>
      <c r="K11" s="50"/>
      <c r="L11" s="50"/>
      <c r="M11" s="72"/>
      <c r="N11" s="64"/>
      <c r="O11" s="64"/>
      <c r="P11" s="65"/>
      <c r="Q11" s="64"/>
    </row>
    <row r="12" spans="3:17" x14ac:dyDescent="0.2">
      <c r="C12" s="70"/>
      <c r="D12" s="50"/>
      <c r="E12" s="50"/>
      <c r="F12" s="50"/>
      <c r="G12" s="50"/>
      <c r="H12" s="50"/>
      <c r="I12" s="50"/>
      <c r="J12" s="50"/>
      <c r="K12" s="50"/>
      <c r="L12" s="50"/>
      <c r="M12" s="72"/>
      <c r="N12" s="64"/>
      <c r="O12" s="64"/>
      <c r="P12" s="65"/>
      <c r="Q12" s="64"/>
    </row>
    <row r="13" spans="3:17" x14ac:dyDescent="0.2">
      <c r="C13" s="70" t="s">
        <v>464</v>
      </c>
      <c r="D13" s="50"/>
      <c r="E13" s="50"/>
      <c r="F13" s="50"/>
      <c r="G13" s="50"/>
      <c r="H13" s="50"/>
      <c r="I13" s="50"/>
      <c r="J13" s="50"/>
      <c r="K13" s="50"/>
      <c r="L13" s="50"/>
      <c r="M13" s="72"/>
      <c r="N13" s="64"/>
      <c r="O13" s="64"/>
      <c r="P13" s="65"/>
      <c r="Q13" s="64"/>
    </row>
    <row r="14" spans="3:17" x14ac:dyDescent="0.2">
      <c r="C14" s="70"/>
      <c r="D14" s="50"/>
      <c r="E14" s="50"/>
      <c r="F14" s="50"/>
      <c r="G14" s="50"/>
      <c r="H14" s="50"/>
      <c r="I14" s="50"/>
      <c r="J14" s="50"/>
      <c r="K14" s="50"/>
      <c r="L14" s="50"/>
      <c r="M14" s="72"/>
      <c r="N14" s="64"/>
      <c r="O14" s="64"/>
      <c r="P14" s="65"/>
      <c r="Q14" s="64"/>
    </row>
    <row r="15" spans="3:17" x14ac:dyDescent="0.2">
      <c r="C15" s="70" t="s">
        <v>103</v>
      </c>
      <c r="D15" s="65"/>
      <c r="E15" s="50"/>
      <c r="F15" s="50"/>
      <c r="G15" s="50"/>
      <c r="H15" s="50"/>
      <c r="I15" s="50"/>
      <c r="J15" s="50"/>
      <c r="K15" s="50"/>
      <c r="L15" s="50"/>
      <c r="M15" s="72"/>
      <c r="N15" s="64"/>
      <c r="O15" s="64"/>
      <c r="P15" s="65"/>
      <c r="Q15" s="64"/>
    </row>
    <row r="16" spans="3:17" x14ac:dyDescent="0.2">
      <c r="C16" s="70" t="s">
        <v>465</v>
      </c>
      <c r="D16" s="65"/>
      <c r="E16" s="50"/>
      <c r="F16" s="50"/>
      <c r="G16" s="50"/>
      <c r="H16" s="50"/>
      <c r="I16" s="50"/>
      <c r="J16" s="50"/>
      <c r="K16" s="50"/>
      <c r="L16" s="50"/>
      <c r="M16" s="72"/>
      <c r="N16" s="64"/>
      <c r="O16" s="64"/>
      <c r="P16" s="65"/>
      <c r="Q16" s="64"/>
    </row>
    <row r="17" spans="3:17" x14ac:dyDescent="0.2">
      <c r="C17" s="70"/>
      <c r="D17" s="65"/>
      <c r="E17" s="50"/>
      <c r="F17" s="50"/>
      <c r="G17" s="50"/>
      <c r="H17" s="50"/>
      <c r="I17" s="50"/>
      <c r="J17" s="50"/>
      <c r="K17" s="50"/>
      <c r="L17" s="50"/>
      <c r="M17" s="72"/>
      <c r="N17" s="64"/>
      <c r="O17" s="64"/>
      <c r="P17" s="65"/>
      <c r="Q17" s="64"/>
    </row>
    <row r="18" spans="3:17" x14ac:dyDescent="0.2">
      <c r="C18" s="70" t="s">
        <v>477</v>
      </c>
      <c r="D18" s="65"/>
      <c r="E18" s="50"/>
      <c r="F18" s="50"/>
      <c r="G18" s="50"/>
      <c r="H18" s="50"/>
      <c r="I18" s="50"/>
      <c r="J18" s="50"/>
      <c r="K18" s="50"/>
      <c r="L18" s="50"/>
      <c r="M18" s="72"/>
      <c r="N18" s="64"/>
      <c r="O18" s="64"/>
      <c r="P18" s="65"/>
      <c r="Q18" s="64"/>
    </row>
    <row r="20" spans="3:17" x14ac:dyDescent="0.2">
      <c r="C20" s="47"/>
    </row>
    <row r="23" spans="3:17" x14ac:dyDescent="0.2">
      <c r="C23" s="47"/>
    </row>
    <row r="24" spans="3:17" x14ac:dyDescent="0.2">
      <c r="C24" s="74"/>
    </row>
    <row r="26" spans="3:17" x14ac:dyDescent="0.2">
      <c r="C26" s="47"/>
    </row>
    <row r="30" spans="3:17" x14ac:dyDescent="0.2">
      <c r="C30" s="47"/>
    </row>
    <row r="33" spans="2:5" x14ac:dyDescent="0.2">
      <c r="B33" s="47"/>
    </row>
    <row r="37" spans="2:5" x14ac:dyDescent="0.2">
      <c r="B37" s="47"/>
    </row>
    <row r="40" spans="2:5" x14ac:dyDescent="0.2">
      <c r="B40" s="47"/>
    </row>
    <row r="43" spans="2:5" x14ac:dyDescent="0.2">
      <c r="B43" s="47"/>
      <c r="C43" s="47"/>
      <c r="D43" s="47"/>
    </row>
    <row r="47" spans="2:5" x14ac:dyDescent="0.2">
      <c r="B47" s="47"/>
      <c r="C47" s="47"/>
      <c r="D47" s="47"/>
      <c r="E47" s="47"/>
    </row>
    <row r="51" spans="2:16" x14ac:dyDescent="0.2">
      <c r="B51" s="47"/>
      <c r="C51" s="47"/>
    </row>
    <row r="54" spans="2:16" x14ac:dyDescent="0.2">
      <c r="B54" s="47"/>
      <c r="C54" s="47"/>
      <c r="D54" s="47"/>
      <c r="E54" s="47"/>
      <c r="F54" s="47"/>
      <c r="G54" s="47"/>
    </row>
    <row r="56" spans="2:16" x14ac:dyDescent="0.2">
      <c r="B56" s="71"/>
      <c r="C56" s="65"/>
      <c r="D56" s="50"/>
      <c r="E56" s="50"/>
      <c r="F56" s="50"/>
      <c r="G56" s="50"/>
      <c r="H56" s="50"/>
      <c r="I56" s="50"/>
      <c r="J56" s="50"/>
      <c r="K56" s="50"/>
      <c r="L56" s="72"/>
      <c r="M56" s="73"/>
      <c r="N56" s="73"/>
      <c r="O56" s="65"/>
      <c r="P56" s="64"/>
    </row>
    <row r="57" spans="2:16" x14ac:dyDescent="0.2">
      <c r="B57" s="75"/>
      <c r="C57" s="65"/>
      <c r="D57" s="50"/>
      <c r="E57" s="50"/>
      <c r="F57" s="50"/>
      <c r="G57" s="50"/>
      <c r="H57" s="50"/>
      <c r="I57" s="50"/>
      <c r="J57" s="50"/>
      <c r="K57" s="50"/>
      <c r="L57" s="72"/>
      <c r="M57" s="73"/>
      <c r="N57" s="73"/>
      <c r="O57" s="65"/>
      <c r="P57" s="64"/>
    </row>
    <row r="58" spans="2:16" x14ac:dyDescent="0.2">
      <c r="B58" s="75"/>
      <c r="C58" s="65"/>
      <c r="D58" s="50"/>
      <c r="E58" s="50"/>
      <c r="F58" s="50"/>
      <c r="G58" s="50"/>
      <c r="H58" s="50"/>
      <c r="I58" s="50"/>
      <c r="J58" s="50"/>
      <c r="K58" s="50"/>
      <c r="L58" s="72"/>
      <c r="M58" s="73"/>
      <c r="N58" s="73"/>
      <c r="O58" s="65"/>
      <c r="P58" s="64"/>
    </row>
    <row r="59" spans="2:16" x14ac:dyDescent="0.2">
      <c r="B59" s="71"/>
      <c r="C59" s="65"/>
      <c r="D59" s="50"/>
      <c r="E59" s="50"/>
      <c r="F59" s="50"/>
      <c r="G59" s="50"/>
      <c r="H59" s="50"/>
      <c r="I59" s="50"/>
      <c r="J59" s="50"/>
      <c r="K59" s="50"/>
      <c r="L59" s="72"/>
      <c r="M59" s="73"/>
      <c r="N59" s="73"/>
      <c r="O59" s="65"/>
      <c r="P59" s="64"/>
    </row>
    <row r="60" spans="2:16" x14ac:dyDescent="0.2">
      <c r="B60" s="75"/>
      <c r="C60" s="65"/>
      <c r="D60" s="50"/>
      <c r="E60" s="50"/>
      <c r="F60" s="50"/>
      <c r="G60" s="50"/>
      <c r="H60" s="50"/>
      <c r="I60" s="50"/>
      <c r="J60" s="50"/>
      <c r="K60" s="50"/>
      <c r="L60" s="72"/>
      <c r="M60" s="73"/>
      <c r="N60" s="73"/>
      <c r="O60" s="65"/>
      <c r="P60" s="64"/>
    </row>
    <row r="61" spans="2:16" x14ac:dyDescent="0.2">
      <c r="B61" s="75"/>
      <c r="C61" s="65"/>
      <c r="D61" s="50"/>
      <c r="E61" s="50"/>
      <c r="F61" s="50"/>
      <c r="G61" s="50"/>
      <c r="H61" s="50"/>
      <c r="I61" s="50"/>
      <c r="J61" s="50"/>
      <c r="K61" s="50"/>
      <c r="L61" s="72"/>
      <c r="M61" s="73"/>
      <c r="N61" s="73"/>
      <c r="O61" s="65"/>
      <c r="P61" s="64"/>
    </row>
    <row r="62" spans="2:16" x14ac:dyDescent="0.2">
      <c r="B62" s="70"/>
      <c r="C62" s="50"/>
      <c r="D62" s="50"/>
      <c r="E62" s="50"/>
      <c r="F62" s="50"/>
      <c r="G62" s="50"/>
      <c r="H62" s="50"/>
      <c r="I62" s="50"/>
      <c r="J62" s="50"/>
      <c r="K62" s="50"/>
      <c r="L62" s="72"/>
      <c r="M62" s="64"/>
      <c r="N62" s="64"/>
      <c r="O62" s="65"/>
      <c r="P62" s="64"/>
    </row>
    <row r="63" spans="2:16" x14ac:dyDescent="0.2">
      <c r="B63" s="69"/>
      <c r="C63" s="50"/>
      <c r="D63" s="50"/>
      <c r="E63" s="50"/>
      <c r="F63" s="50"/>
      <c r="G63" s="50"/>
      <c r="H63" s="50"/>
      <c r="I63" s="50"/>
      <c r="J63" s="50"/>
      <c r="K63" s="50"/>
      <c r="L63" s="72"/>
      <c r="M63" s="64"/>
      <c r="N63" s="64"/>
      <c r="O63" s="65"/>
      <c r="P63" s="64"/>
    </row>
    <row r="64" spans="2:16" x14ac:dyDescent="0.2">
      <c r="B64" s="69"/>
      <c r="C64" s="50"/>
      <c r="D64" s="50"/>
      <c r="E64" s="50"/>
      <c r="F64" s="50"/>
      <c r="G64" s="50"/>
      <c r="H64" s="50"/>
      <c r="I64" s="50"/>
      <c r="J64" s="50"/>
      <c r="K64" s="50"/>
      <c r="L64" s="72"/>
      <c r="M64" s="64"/>
      <c r="N64" s="64"/>
      <c r="O64" s="65"/>
      <c r="P64" s="64"/>
    </row>
    <row r="65" spans="2:16" x14ac:dyDescent="0.2">
      <c r="B65" s="70"/>
      <c r="C65" s="50"/>
      <c r="D65" s="50"/>
      <c r="E65" s="50"/>
      <c r="F65" s="50"/>
      <c r="G65" s="50"/>
      <c r="H65" s="50"/>
      <c r="I65" s="50"/>
      <c r="J65" s="50"/>
      <c r="K65" s="50"/>
      <c r="L65" s="72"/>
      <c r="M65" s="64"/>
      <c r="N65" s="64"/>
      <c r="O65" s="65"/>
      <c r="P65" s="64"/>
    </row>
    <row r="66" spans="2:16" x14ac:dyDescent="0.2">
      <c r="B66" s="69"/>
      <c r="C66" s="50"/>
      <c r="D66" s="50"/>
      <c r="E66" s="50"/>
      <c r="F66" s="50"/>
      <c r="G66" s="50"/>
      <c r="H66" s="50"/>
      <c r="I66" s="50"/>
      <c r="J66" s="50"/>
      <c r="K66" s="50"/>
      <c r="L66" s="72"/>
      <c r="M66" s="64"/>
      <c r="N66" s="64"/>
      <c r="O66" s="65"/>
      <c r="P66" s="64"/>
    </row>
    <row r="67" spans="2:16" x14ac:dyDescent="0.2">
      <c r="B67" s="69"/>
      <c r="C67" s="50"/>
      <c r="D67" s="50"/>
      <c r="E67" s="50"/>
      <c r="F67" s="50"/>
      <c r="G67" s="50"/>
      <c r="H67" s="50"/>
      <c r="I67" s="50"/>
      <c r="J67" s="50"/>
      <c r="K67" s="50"/>
      <c r="L67" s="72"/>
      <c r="M67" s="64"/>
      <c r="N67" s="64"/>
      <c r="O67" s="65"/>
      <c r="P67" s="64"/>
    </row>
    <row r="68" spans="2:16" x14ac:dyDescent="0.2">
      <c r="B68" s="70"/>
      <c r="C68" s="65"/>
      <c r="D68" s="50"/>
      <c r="E68" s="50"/>
      <c r="F68" s="50"/>
      <c r="G68" s="50"/>
      <c r="H68" s="50"/>
      <c r="I68" s="50"/>
      <c r="J68" s="50"/>
      <c r="K68" s="50"/>
      <c r="L68" s="72"/>
      <c r="M68" s="64"/>
      <c r="N68" s="64"/>
      <c r="O68" s="65"/>
      <c r="P68" s="64"/>
    </row>
    <row r="69" spans="2:16" x14ac:dyDescent="0.2">
      <c r="B69" s="69"/>
      <c r="C69" s="65"/>
      <c r="D69" s="50"/>
      <c r="E69" s="50"/>
      <c r="F69" s="50"/>
      <c r="G69" s="50"/>
      <c r="H69" s="50"/>
      <c r="I69" s="50"/>
      <c r="J69" s="50"/>
      <c r="K69" s="50"/>
      <c r="L69" s="72"/>
      <c r="M69" s="64"/>
      <c r="N69" s="64"/>
      <c r="O69" s="65"/>
      <c r="P69" s="64"/>
    </row>
    <row r="70" spans="2:16" x14ac:dyDescent="0.2">
      <c r="B70" s="69"/>
      <c r="C70" s="65"/>
      <c r="D70" s="50"/>
      <c r="E70" s="50"/>
      <c r="F70" s="50"/>
      <c r="G70" s="50"/>
      <c r="H70" s="50"/>
      <c r="I70" s="50"/>
      <c r="J70" s="50"/>
      <c r="K70" s="50"/>
      <c r="L70" s="72"/>
      <c r="M70" s="64"/>
      <c r="N70" s="64"/>
      <c r="O70" s="65"/>
      <c r="P70" s="64"/>
    </row>
    <row r="71" spans="2:16" x14ac:dyDescent="0.2">
      <c r="B71" s="69"/>
      <c r="C71" s="65"/>
      <c r="D71" s="50"/>
      <c r="E71" s="50"/>
      <c r="F71" s="50"/>
      <c r="G71" s="50"/>
      <c r="H71" s="50"/>
      <c r="I71" s="50"/>
      <c r="J71" s="50"/>
      <c r="K71" s="50"/>
      <c r="L71" s="72"/>
      <c r="M71" s="64"/>
      <c r="N71" s="64"/>
      <c r="O71" s="65"/>
      <c r="P71" s="64"/>
    </row>
    <row r="72" spans="2:16" x14ac:dyDescent="0.2">
      <c r="B72" s="70"/>
      <c r="C72" s="65"/>
      <c r="D72" s="50"/>
      <c r="E72" s="50"/>
      <c r="F72" s="50"/>
      <c r="G72" s="50"/>
      <c r="H72" s="50"/>
      <c r="I72" s="50"/>
      <c r="J72" s="50"/>
      <c r="K72" s="50"/>
      <c r="L72" s="72"/>
      <c r="M72" s="64"/>
      <c r="N72" s="64"/>
      <c r="O72" s="65"/>
      <c r="P72" s="64"/>
    </row>
    <row r="75" spans="2:16" x14ac:dyDescent="0.2">
      <c r="B75" s="70"/>
    </row>
  </sheetData>
  <phoneticPr fontId="5" type="noConversion"/>
  <pageMargins left="0.75" right="0.75" top="1" bottom="1" header="0.5" footer="0.5"/>
  <pageSetup paperSize="9" scale="85" orientation="landscape" r:id="rId1"/>
  <headerFooter alignWithMargins="0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21"/>
  <dimension ref="B1:B44"/>
  <sheetViews>
    <sheetView showGridLines="0" showRowColHeaders="0" tabSelected="1" workbookViewId="0"/>
  </sheetViews>
  <sheetFormatPr defaultRowHeight="12.75" x14ac:dyDescent="0.2"/>
  <cols>
    <col min="1" max="1" width="3" style="5" customWidth="1"/>
    <col min="2" max="16384" width="9.140625" style="5"/>
  </cols>
  <sheetData>
    <row r="1" spans="2:2" x14ac:dyDescent="0.2">
      <c r="B1" s="7"/>
    </row>
    <row r="2" spans="2:2" x14ac:dyDescent="0.2">
      <c r="B2" s="7"/>
    </row>
    <row r="3" spans="2:2" x14ac:dyDescent="0.2">
      <c r="B3" s="5" t="s">
        <v>691</v>
      </c>
    </row>
    <row r="4" spans="2:2" x14ac:dyDescent="0.2">
      <c r="B4" s="5" t="s">
        <v>693</v>
      </c>
    </row>
    <row r="5" spans="2:2" x14ac:dyDescent="0.2">
      <c r="B5" s="5" t="s">
        <v>694</v>
      </c>
    </row>
    <row r="6" spans="2:2" x14ac:dyDescent="0.2">
      <c r="B6" s="5" t="s">
        <v>690</v>
      </c>
    </row>
    <row r="8" spans="2:2" x14ac:dyDescent="0.2">
      <c r="B8" s="9" t="s">
        <v>692</v>
      </c>
    </row>
    <row r="9" spans="2:2" x14ac:dyDescent="0.2">
      <c r="B9" s="9" t="s">
        <v>797</v>
      </c>
    </row>
    <row r="18" spans="2:2" x14ac:dyDescent="0.2">
      <c r="B18" s="8"/>
    </row>
    <row r="23" spans="2:2" x14ac:dyDescent="0.2">
      <c r="B23" s="5" t="s">
        <v>487</v>
      </c>
    </row>
    <row r="24" spans="2:2" x14ac:dyDescent="0.2">
      <c r="B24" s="5" t="s">
        <v>565</v>
      </c>
    </row>
    <row r="25" spans="2:2" x14ac:dyDescent="0.2">
      <c r="B25" s="5" t="s">
        <v>566</v>
      </c>
    </row>
    <row r="38" spans="2:2" x14ac:dyDescent="0.2">
      <c r="B38" s="6"/>
    </row>
    <row r="39" spans="2:2" x14ac:dyDescent="0.2">
      <c r="B39" s="6"/>
    </row>
    <row r="40" spans="2:2" x14ac:dyDescent="0.2">
      <c r="B40" s="7"/>
    </row>
    <row r="41" spans="2:2" x14ac:dyDescent="0.2">
      <c r="B41" s="7"/>
    </row>
    <row r="44" spans="2:2" x14ac:dyDescent="0.2">
      <c r="B44" s="7"/>
    </row>
  </sheetData>
  <phoneticPr fontId="5" type="noConversion"/>
  <pageMargins left="0.75" right="0.75" top="0.41" bottom="0.37" header="0.33" footer="0.3"/>
  <pageSetup paperSize="9" orientation="landscape" r:id="rId1"/>
  <headerFooter alignWithMargins="0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Kalkylblad</vt:lpstr>
      </vt:variant>
      <vt:variant>
        <vt:i4>17</vt:i4>
      </vt:variant>
      <vt:variant>
        <vt:lpstr>Namngivna områden</vt:lpstr>
      </vt:variant>
      <vt:variant>
        <vt:i4>18</vt:i4>
      </vt:variant>
    </vt:vector>
  </HeadingPairs>
  <TitlesOfParts>
    <vt:vector size="35" baseType="lpstr">
      <vt:lpstr>Innehåll</vt:lpstr>
      <vt:lpstr>Fondval &amp; marknadsvärde</vt:lpstr>
      <vt:lpstr>10 mest valda fonder</vt:lpstr>
      <vt:lpstr>Fondstatistik</vt:lpstr>
      <vt:lpstr>Värdeutveckling, konto</vt:lpstr>
      <vt:lpstr>Värdeutv. Premiepensionssystem</vt:lpstr>
      <vt:lpstr>Värdeutv. fondrörelse per år</vt:lpstr>
      <vt:lpstr>Marknadsv. &amp; tillfört kapital</vt:lpstr>
      <vt:lpstr>Värdeutveckling - fondrörelse</vt:lpstr>
      <vt:lpstr>Värdeutv fondrörelse genomsnitt</vt:lpstr>
      <vt:lpstr>Avkastning pp-systemet</vt:lpstr>
      <vt:lpstr>Index, fondrörelsen</vt:lpstr>
      <vt:lpstr>Marknadsv. och tillfört kapital</vt:lpstr>
      <vt:lpstr>Avkastning sedan 2000</vt:lpstr>
      <vt:lpstr>Ordlista</vt:lpstr>
      <vt:lpstr>Beskrivning av mått</vt:lpstr>
      <vt:lpstr>Info Makro</vt:lpstr>
      <vt:lpstr>Fondstatistik!Fråga_från_FIDB</vt:lpstr>
      <vt:lpstr>Innehållsfört</vt:lpstr>
      <vt:lpstr>'Fondval &amp; marknadsvärde'!MyTblStart</vt:lpstr>
      <vt:lpstr>MyTblStart</vt:lpstr>
      <vt:lpstr>'Beskrivning av mått'!N1000F</vt:lpstr>
      <vt:lpstr>'Beskrivning av mått'!N1001D</vt:lpstr>
      <vt:lpstr>'Info Makro'!N1001D</vt:lpstr>
      <vt:lpstr>'Beskrivning av mått'!N1004E</vt:lpstr>
      <vt:lpstr>'Info Makro'!N1004E</vt:lpstr>
      <vt:lpstr>'Info Makro'!N1006A</vt:lpstr>
      <vt:lpstr>RubrFondNamn</vt:lpstr>
      <vt:lpstr>RubrMArknV</vt:lpstr>
      <vt:lpstr>'Fondval &amp; marknadsvärde'!Utskriftsrubriker</vt:lpstr>
      <vt:lpstr>ViewMacroSort</vt:lpstr>
      <vt:lpstr>ViewMacroSortFondStat</vt:lpstr>
      <vt:lpstr>ViewManualSort</vt:lpstr>
      <vt:lpstr>ViewManualSortFondStat</vt:lpstr>
      <vt:lpstr>VärdeUtvKontoChartData</vt:lpstr>
    </vt:vector>
  </TitlesOfParts>
  <Company>PPM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bennor</dc:creator>
  <cp:lastModifiedBy>Annika Rydberg</cp:lastModifiedBy>
  <cp:lastPrinted>2009-12-22T13:58:06Z</cp:lastPrinted>
  <dcterms:created xsi:type="dcterms:W3CDTF">2005-10-26T08:57:39Z</dcterms:created>
  <dcterms:modified xsi:type="dcterms:W3CDTF">2012-02-15T15:11:46Z</dcterms:modified>
</cp:coreProperties>
</file>