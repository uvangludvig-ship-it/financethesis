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<sst xmlns="http://schemas.openxmlformats.org/spreadsheetml/2006/main" count="8914" uniqueCount="1164">
  <si>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</si>
  <si>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</si>
  <si>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</si>
  <si>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</si>
  <si>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</si>
  <si>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</si>
  <si>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</si>
  <si>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</si>
  <si>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</si>
  <si>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</si>
  <si>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</si>
  <si>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</si>
  <si>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>AP7 Såfa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</si>
  <si>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</si>
  <si>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</si>
  <si>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</si>
  <si>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</si>
  <si>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</si>
  <si>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</si>
  <si>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</si>
  <si>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</si>
  <si>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</si>
  <si>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</si>
  <si>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</si>
  <si>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</si>
  <si>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</si>
  <si>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</si>
  <si>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</si>
  <si>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</si>
  <si>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</si>
  <si>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</si>
  <si>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</si>
  <si>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</si>
  <si>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</si>
  <si>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</si>
  <si>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</si>
  <si>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</si>
  <si>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</si>
  <si>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</si>
  <si>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</si>
  <si>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</si>
  <si>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</si>
  <si>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</si>
  <si>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</si>
  <si>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</si>
  <si>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</si>
  <si>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</si>
  <si>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</si>
  <si>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</si>
  <si>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</si>
  <si>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</si>
  <si>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</si>
  <si>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</si>
  <si>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</si>
  <si>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</si>
  <si>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</si>
  <si>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</si>
  <si>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</si>
  <si>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</si>
  <si>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</si>
  <si>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</si>
  <si>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</si>
  <si>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</si>
  <si>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</si>
  <si>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</si>
  <si>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</si>
  <si>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</si>
  <si>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</si>
  <si>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</si>
  <si>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</si>
  <si>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</si>
  <si>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</si>
  <si>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</si>
  <si>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</si>
  <si>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</si>
  <si>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</si>
  <si>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</si>
  <si>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</si>
  <si>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</si>
  <si>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</si>
  <si>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</si>
  <si>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</si>
  <si>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</si>
  <si>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</si>
  <si>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</si>
  <si>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</si>
  <si>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</si>
  <si>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</si>
  <si>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</si>
  <si>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</si>
  <si>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</si>
  <si>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</si>
  <si>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</si>
  <si>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</si>
  <si>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</si>
  <si>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</si>
  <si>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</si>
  <si>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</si>
  <si>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</si>
  <si>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</si>
  <si>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</si>
  <si>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</si>
  <si>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</si>
  <si>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</si>
  <si>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</si>
  <si>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</si>
  <si>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</si>
  <si>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</si>
  <si>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</si>
  <si>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</si>
  <si>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</si>
  <si>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</si>
  <si>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</si>
  <si>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</si>
  <si>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</si>
  <si>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</si>
  <si>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</si>
  <si>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</si>
  <si>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</si>
  <si>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</si>
  <si>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</si>
  <si>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</si>
  <si>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</si>
  <si>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</si>
  <si>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</si>
  <si>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</si>
  <si>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</si>
  <si>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</si>
  <si>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</si>
  <si>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</si>
  <si>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</si>
  <si>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</si>
  <si>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</si>
  <si>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</si>
  <si>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</si>
  <si>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</si>
  <si>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</si>
  <si>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</si>
  <si>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</si>
  <si>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</si>
  <si>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</si>
  <si>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</si>
  <si>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</si>
  <si>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</si>
  <si>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</si>
  <si>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</si>
  <si>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</si>
  <si>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</si>
  <si>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</si>
  <si>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</si>
  <si>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</si>
  <si>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</si>
  <si>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</si>
  <si>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</si>
  <si>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</si>
  <si>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</si>
  <si>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</si>
  <si>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</si>
  <si>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</si>
  <si>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</si>
  <si>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</si>
  <si>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</si>
  <si>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</si>
  <si>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</si>
  <si>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</si>
  <si>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</si>
  <si>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</si>
  <si>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</si>
  <si>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</si>
  <si>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IKC Filippinerna Flexibel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</si>
  <si>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</si>
  <si>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</si>
  <si>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</si>
  <si>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</si>
  <si>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</si>
  <si>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</si>
  <si>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</si>
  <si>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</si>
  <si>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</si>
  <si>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</si>
  <si>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</si>
  <si>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</si>
  <si>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</si>
  <si>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</si>
  <si>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</si>
  <si>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</si>
  <si>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</si>
  <si>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</si>
  <si>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</si>
  <si>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</si>
  <si>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</si>
  <si>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</si>
  <si>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</si>
  <si>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</si>
  <si>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</si>
  <si>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</si>
  <si>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</si>
  <si>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</si>
  <si>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</si>
  <si>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</si>
  <si>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</si>
  <si>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</si>
  <si>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</si>
  <si>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</si>
  <si>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</si>
  <si>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</si>
  <si>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</si>
  <si>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</si>
  <si>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</si>
  <si>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</si>
  <si>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</si>
  <si>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</si>
  <si>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</si>
  <si>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</si>
  <si>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</si>
  <si>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</si>
  <si>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</si>
  <si>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</si>
  <si>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</si>
  <si>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</si>
  <si>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</si>
  <si>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</si>
  <si>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</si>
  <si>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</si>
  <si>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</si>
  <si>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</si>
  <si>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</si>
  <si>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</si>
  <si>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</si>
  <si>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</si>
  <si>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</si>
  <si>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</si>
  <si>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</si>
  <si>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</si>
  <si>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</si>
  <si>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</si>
  <si>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</si>
  <si>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Europa/Euroland index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</si>
  <si>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</si>
  <si>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</si>
  <si>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</si>
  <si>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</si>
  <si>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</si>
  <si>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</si>
  <si>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</si>
  <si>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</si>
  <si>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</si>
  <si>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</si>
  <si>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</si>
  <si>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</si>
  <si>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</si>
  <si>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</si>
  <si>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</si>
  <si>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</si>
  <si>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</si>
  <si>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</si>
  <si>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</si>
  <si>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</si>
  <si>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</si>
  <si>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</si>
  <si>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</si>
  <si>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</si>
  <si>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</si>
  <si>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</si>
  <si>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</si>
  <si>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</si>
  <si>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</si>
  <si>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</si>
  <si>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</si>
  <si>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</si>
  <si>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</si>
  <si>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</si>
  <si>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</si>
  <si>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</si>
  <si>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</si>
  <si>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</si>
  <si>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</si>
  <si>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</si>
  <si>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</si>
  <si>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</si>
  <si>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</si>
  <si>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</si>
  <si>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</si>
  <si>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</si>
  <si>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</si>
  <si>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</si>
  <si>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</si>
  <si>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</si>
  <si>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</si>
  <si>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</si>
  <si>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</si>
  <si>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Handelsbankens Europafond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</si>
  <si>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</si>
  <si>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</si>
  <si>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</si>
  <si>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</si>
  <si>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</si>
  <si>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</si>
  <si>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</si>
  <si>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</si>
  <si>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</si>
  <si>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</si>
  <si>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</si>
  <si>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</si>
  <si>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</si>
  <si>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</si>
  <si>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</si>
  <si>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</si>
  <si>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</si>
  <si>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</si>
  <si>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</si>
  <si>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</si>
  <si>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</si>
  <si>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</si>
  <si>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</si>
  <si>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</si>
  <si>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</si>
  <si>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</si>
  <si>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Swedbank Robur Ethica Sverige MEGA</t>
  </si>
  <si>
    <t>Länsförsäkringar Sverige Index</t>
  </si>
  <si>
    <t>Länsförsäkringar USA Index</t>
  </si>
  <si>
    <t>Nordea Generationsfond Senior</t>
  </si>
  <si>
    <t>Länsförsäkringar Aktiv Kreditfond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</si>
  <si>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</si>
  <si>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</si>
  <si>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</si>
  <si>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</si>
  <si>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</si>
  <si>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</si>
  <si>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</si>
  <si>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</si>
  <si>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</si>
  <si>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</si>
  <si>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</si>
  <si>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</si>
  <si>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</si>
  <si>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</si>
  <si>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</si>
  <si>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</si>
  <si>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</si>
  <si>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</si>
  <si>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</si>
  <si>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</si>
  <si>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</si>
  <si>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</si>
  <si>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</si>
  <si>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</si>
  <si>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</si>
  <si>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Handelsbankens IT-fond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</si>
  <si>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</si>
  <si>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</si>
  <si>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</si>
  <si>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</si>
  <si>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</si>
  <si>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</si>
  <si>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</si>
  <si>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</si>
  <si>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</si>
  <si>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</si>
  <si>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</si>
  <si>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</si>
  <si>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</si>
  <si>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</si>
  <si>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</si>
  <si>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</si>
  <si>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</si>
  <si>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</si>
  <si>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</si>
  <si>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</si>
  <si>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</si>
  <si>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</si>
  <si>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Sverige Lång Ränta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</si>
  <si>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</si>
  <si>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</si>
  <si>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</si>
  <si>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</si>
  <si>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</si>
  <si>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</si>
  <si>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</si>
  <si>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</si>
  <si>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</si>
  <si>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</si>
  <si>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</si>
  <si>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</si>
  <si>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IKC Sunrise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</si>
  <si>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</si>
  <si>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</si>
  <si>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</si>
  <si>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</si>
  <si>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</si>
  <si>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</si>
  <si>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</si>
  <si>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</si>
  <si>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</si>
  <si>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</si>
  <si>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</si>
  <si>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</si>
  <si>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</si>
  <si>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</si>
  <si>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</si>
  <si>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</si>
  <si>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</si>
  <si>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</si>
  <si>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</si>
  <si>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</si>
  <si>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</si>
  <si>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</si>
  <si>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</si>
  <si>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</si>
  <si>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</si>
  <si>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</si>
  <si>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</si>
  <si>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</si>
  <si>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</si>
  <si>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</si>
  <si>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</si>
  <si>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</si>
  <si>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</si>
  <si>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</si>
  <si>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</si>
  <si>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Ethica Sverige</t>
  </si>
  <si>
    <t>Swedbank Robur Exportfond</t>
  </si>
  <si>
    <t>Swedbank Robur Japanfond</t>
  </si>
  <si>
    <t>Swedbank Robur Kapitalinvest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</si>
  <si>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</si>
  <si>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</si>
  <si>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</si>
  <si>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</si>
  <si>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</si>
  <si>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</si>
  <si>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</si>
  <si>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</si>
  <si>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</si>
  <si>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</si>
  <si>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</si>
  <si>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</si>
  <si>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</si>
  <si>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</si>
  <si>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</si>
  <si>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</si>
  <si>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</si>
  <si>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</si>
  <si>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</si>
  <si>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Swedbank Robur Ny Teknik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</si>
  <si>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</si>
  <si>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</si>
  <si>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</si>
  <si>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</si>
  <si>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</si>
  <si>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</si>
  <si>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</si>
  <si>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</si>
  <si>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</si>
  <si>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</si>
  <si>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</si>
  <si>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</si>
  <si>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</si>
  <si>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</si>
  <si>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</si>
  <si>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</si>
  <si>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</si>
  <si>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</si>
  <si>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</si>
  <si>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</si>
  <si>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Erste Kapitalanlagegesellschaft M.B:H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</si>
  <si>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</si>
  <si>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</si>
  <si>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</si>
  <si>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</si>
  <si>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</si>
  <si>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</si>
  <si>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</si>
  <si>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</si>
  <si>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Handelsbankens Flermarknadsfond</t>
  </si>
  <si>
    <t>SEB Världenfond</t>
  </si>
  <si>
    <t>Öhman Företagsobligationsfond</t>
  </si>
  <si>
    <t>Evli Emerging Markets Credit</t>
  </si>
  <si>
    <t>Öhman Index Emerging Markets MSCI EM50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</si>
  <si>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</si>
  <si>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</si>
  <si>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</si>
  <si>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</si>
  <si>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</si>
  <si>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</si>
  <si>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</si>
  <si>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</si>
  <si>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</si>
  <si>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</si>
  <si>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</si>
  <si>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</si>
  <si>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</si>
  <si>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</si>
  <si>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</si>
  <si>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</si>
  <si>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</si>
  <si>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</si>
  <si>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</si>
  <si>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</si>
  <si>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</si>
  <si>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</si>
  <si>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</si>
  <si>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</si>
  <si>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</si>
  <si>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</si>
  <si>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</si>
  <si>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</si>
  <si>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</si>
  <si>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</si>
  <si>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</si>
  <si>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</si>
  <si>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</si>
  <si>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</si>
  <si>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</si>
  <si>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Handelsbanken Funds - Far East Shares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</si>
  <si>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</si>
  <si>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</si>
  <si>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</si>
  <si>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</si>
  <si>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</si>
  <si>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</si>
  <si>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</si>
  <si>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</si>
  <si>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</si>
  <si>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</si>
  <si>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</si>
  <si>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</si>
  <si>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</si>
  <si>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</si>
  <si>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</si>
  <si>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</si>
  <si>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</si>
  <si>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</si>
  <si>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</si>
  <si>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</si>
  <si>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</si>
  <si>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UBS AG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</si>
  <si>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</si>
  <si>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</si>
  <si>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</si>
  <si>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</si>
  <si>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</si>
  <si>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</si>
  <si>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</si>
  <si>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</si>
  <si>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</si>
  <si>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</si>
  <si>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</si>
  <si>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</si>
  <si>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</si>
  <si>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</si>
  <si>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</si>
  <si>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</si>
  <si>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</si>
  <si>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</si>
  <si>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</si>
  <si>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</si>
  <si>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</si>
  <si>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</si>
  <si>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</si>
  <si>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</si>
  <si>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</si>
  <si>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</si>
  <si>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</si>
  <si>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</si>
  <si>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</si>
  <si>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</si>
  <si>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Asia Fund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</si>
  <si>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</si>
  <si>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</si>
  <si>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</si>
  <si>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</si>
  <si>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</si>
  <si>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</si>
  <si>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</si>
  <si>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</si>
  <si>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</si>
  <si>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</si>
  <si>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</si>
  <si>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</si>
  <si>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Bond Fund</t>
  </si>
  <si>
    <t>Baring International Fund Managers (Ireland) Ltd</t>
  </si>
  <si>
    <t>Carnegie Fund - WorldWide Asia Sub-fund</t>
  </si>
  <si>
    <t>Handelsbanken Indienfond</t>
  </si>
  <si>
    <t>DNB Fund - Far East</t>
  </si>
  <si>
    <t>DNB Fund - Global SRI</t>
  </si>
  <si>
    <t>Finasta Emerging Europe Bond Subfund</t>
  </si>
  <si>
    <t>Finasta Asset Management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</si>
  <si>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</si>
  <si>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</si>
  <si>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</si>
  <si>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</si>
  <si>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</si>
  <si>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</si>
  <si>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</si>
  <si>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</si>
  <si>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</si>
  <si>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</si>
  <si>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</si>
  <si>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</si>
  <si>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</si>
  <si>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</si>
  <si>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</si>
  <si>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</si>
  <si>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</si>
  <si>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</si>
  <si>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</si>
  <si>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</si>
  <si>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</si>
  <si>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</si>
  <si>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</si>
  <si>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</si>
  <si>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</si>
  <si>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</si>
  <si>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</si>
  <si>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</si>
  <si>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</si>
  <si>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</si>
  <si>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</si>
  <si>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</si>
  <si>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</si>
  <si>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Espa Bond Corporate BB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</si>
  <si>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</si>
  <si>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</si>
  <si>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</si>
  <si>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</si>
  <si>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</si>
  <si>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</si>
  <si>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</si>
  <si>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</si>
  <si>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</si>
  <si>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</si>
  <si>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</si>
  <si>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</si>
  <si>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</si>
  <si>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</si>
  <si>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</si>
  <si>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Baring High Yield Bond Fund Euro Hedged (EUR)</t>
  </si>
  <si>
    <t>Baring High Yield Bond Fund US$ (USD)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</si>
  <si>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</si>
  <si>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</si>
  <si>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</si>
  <si>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</si>
  <si>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</si>
  <si>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</si>
  <si>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</si>
  <si>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</si>
  <si>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</si>
  <si>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</si>
  <si>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</si>
  <si>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</si>
  <si>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</si>
  <si>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</si>
  <si>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</si>
  <si>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</si>
  <si>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</si>
  <si>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</si>
  <si>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</si>
  <si>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</si>
  <si>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</si>
  <si>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</si>
  <si>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</si>
  <si>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</si>
  <si>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</si>
  <si>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</si>
  <si>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</si>
  <si>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</si>
  <si>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</si>
  <si>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</si>
  <si>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</si>
  <si>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</si>
  <si>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</si>
  <si>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</si>
  <si>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</si>
  <si>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</si>
  <si>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</si>
  <si>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</si>
  <si>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</si>
  <si>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</si>
  <si>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</si>
  <si>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</si>
  <si>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</si>
  <si>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</si>
  <si>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</si>
  <si>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</si>
  <si>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</si>
  <si>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</si>
  <si>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</si>
  <si>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</si>
  <si>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</si>
  <si>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</si>
  <si>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</si>
  <si>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</si>
  <si>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</si>
  <si>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</si>
  <si>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</si>
  <si>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</si>
  <si>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</si>
  <si>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</si>
  <si>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</si>
  <si>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</si>
  <si>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Öhman Nordisk Miljöfond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</si>
  <si>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</si>
  <si>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</si>
  <si>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</si>
  <si>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</si>
  <si>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</si>
  <si>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</si>
  <si>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</si>
  <si>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</si>
  <si>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</si>
  <si>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</si>
  <si>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</si>
  <si>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</si>
  <si>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</si>
  <si>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</si>
  <si>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Amundi Funds</t>
  </si>
  <si>
    <t>Monyx Strategi Nya Marknader</t>
  </si>
  <si>
    <t>Aberdeen Global - Select High Yield Bond Fund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</si>
  <si>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</si>
  <si>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</si>
  <si>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</si>
  <si>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</si>
  <si>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</si>
  <si>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</si>
  <si>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</si>
  <si>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</si>
  <si>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</si>
  <si>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</si>
  <si>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Öhman Varumärkesfond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</si>
  <si>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</si>
  <si>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</si>
  <si>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</si>
  <si>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</si>
  <si>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</si>
  <si>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</si>
  <si>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</si>
  <si>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</si>
  <si>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</si>
  <si>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</si>
  <si>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</si>
  <si>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</si>
  <si>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</si>
  <si>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</si>
  <si>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</si>
  <si>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</si>
  <si>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</si>
  <si>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</si>
  <si>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</si>
  <si>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</si>
  <si>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</si>
  <si>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</si>
  <si>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</si>
  <si>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</si>
  <si>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</si>
  <si>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</si>
  <si>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UBS (Lux) Equity Fund - Mid Caps USA (USD)</t>
  </si>
  <si>
    <t>ING (L) Renta Fund Emerging Markets Debt Hard Currency</t>
  </si>
  <si>
    <t>Credit Suisse Bond Fund (Lux) Inflation Linked (Euro)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</si>
  <si>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</si>
  <si>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</si>
  <si>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</si>
  <si>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</si>
  <si>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</si>
  <si>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</si>
  <si>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</si>
  <si>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</si>
  <si>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</si>
  <si>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</si>
  <si>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</si>
  <si>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</si>
  <si>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</si>
  <si>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</si>
  <si>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</si>
  <si>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</si>
  <si>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</si>
  <si>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</si>
  <si>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</si>
  <si>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</si>
  <si>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</si>
  <si>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</si>
  <si>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</si>
  <si>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</si>
  <si>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</si>
  <si>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</si>
  <si>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</si>
  <si>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</si>
  <si>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</si>
  <si>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</si>
  <si>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</si>
  <si>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</si>
  <si>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</si>
  <si>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</si>
  <si>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</si>
  <si>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</si>
  <si>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</si>
  <si>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</si>
  <si>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</si>
  <si>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</si>
  <si>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</si>
  <si>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Funds China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</si>
  <si>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</si>
  <si>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</si>
  <si>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</si>
  <si>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</si>
  <si>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</si>
  <si>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</si>
  <si>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</si>
  <si>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</si>
  <si>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</si>
  <si>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</si>
  <si>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</si>
  <si>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</si>
  <si>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</si>
  <si>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</si>
  <si>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</si>
  <si>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</si>
  <si>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</si>
  <si>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</si>
  <si>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</si>
  <si>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</si>
  <si>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</si>
  <si>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</si>
  <si>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</si>
  <si>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</si>
  <si>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</si>
  <si>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</si>
  <si>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</si>
  <si>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</si>
  <si>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ING (L) Invest Euro Equity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</si>
  <si>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</si>
  <si>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</si>
  <si>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</si>
  <si>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</si>
  <si>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</si>
  <si>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</si>
  <si>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</si>
  <si>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</si>
  <si>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</si>
  <si>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</si>
  <si>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</si>
  <si>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</si>
  <si>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</si>
  <si>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</si>
  <si>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Eiendom 1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</si>
  <si>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</si>
  <si>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</si>
  <si>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</si>
  <si>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</si>
  <si>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</si>
  <si>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</si>
  <si>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</si>
  <si>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</si>
  <si>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</si>
  <si>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</si>
  <si>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</si>
  <si>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</si>
  <si>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</si>
  <si>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</si>
  <si>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</si>
  <si>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</si>
  <si>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</si>
  <si>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</si>
  <si>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</si>
  <si>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</si>
  <si>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</si>
  <si>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</si>
  <si>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</si>
  <si>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</si>
  <si>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</si>
  <si>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</si>
  <si>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</si>
  <si>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</si>
  <si>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</si>
  <si>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</si>
  <si>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</si>
  <si>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</si>
  <si>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</si>
  <si>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</si>
  <si>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</si>
  <si>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</si>
  <si>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</si>
  <si>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</si>
  <si>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</si>
  <si>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</si>
  <si>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</si>
  <si>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</si>
  <si>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</si>
  <si>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</si>
  <si>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</si>
  <si>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Indecap fondguide 2</t>
  </si>
  <si>
    <t>FIM Europa små och medelstora bolag</t>
  </si>
  <si>
    <t>BlackRock Emerging Europe Fund</t>
  </si>
  <si>
    <t>BlackRock Latin American Fund</t>
  </si>
  <si>
    <t>BlackRock World Gold Fund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</si>
  <si>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</si>
  <si>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</si>
  <si>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</si>
  <si>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</si>
  <si>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</si>
  <si>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</si>
  <si>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</si>
  <si>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</si>
  <si>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</si>
  <si>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</si>
  <si>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</si>
  <si>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</si>
  <si>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</si>
  <si>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</si>
  <si>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</si>
  <si>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</si>
  <si>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</si>
  <si>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</si>
  <si>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</si>
  <si>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</si>
  <si>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</si>
  <si>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</si>
  <si>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</si>
  <si>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</si>
  <si>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</si>
  <si>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</si>
  <si>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</si>
  <si>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</si>
  <si>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Balans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</si>
  <si>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</si>
  <si>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</si>
  <si>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</si>
  <si>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</si>
  <si>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</si>
  <si>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</si>
  <si>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</si>
  <si>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</si>
  <si>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</si>
  <si>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</si>
  <si>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</si>
  <si>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</si>
  <si>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</si>
  <si>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</si>
  <si>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</si>
  <si>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</si>
  <si>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</si>
  <si>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</si>
  <si>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Taaleri Russia Equity Fund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</si>
  <si>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</si>
  <si>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</si>
  <si>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</si>
  <si>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</si>
  <si>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</si>
  <si>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</si>
  <si>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</si>
  <si>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</si>
  <si>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</si>
  <si>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</si>
  <si>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</si>
  <si>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</si>
  <si>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</si>
  <si>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</si>
  <si>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</si>
  <si>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</si>
  <si>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</si>
  <si>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</si>
  <si>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</si>
  <si>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Optimus High Yield</t>
  </si>
  <si>
    <t>Optimus Fonder AB</t>
  </si>
  <si>
    <t>East Capital Östeuropafonden</t>
  </si>
  <si>
    <t>Espa Stock Commodities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</si>
  <si>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</si>
  <si>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</si>
  <si>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</si>
  <si>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</si>
  <si>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</si>
  <si>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</si>
  <si>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</si>
  <si>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</si>
  <si>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Credit Suisse Equity Fund (Lux) USA Value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</si>
  <si>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</si>
  <si>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</si>
  <si>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</si>
  <si>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</si>
  <si>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</si>
  <si>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</si>
  <si>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</si>
  <si>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</si>
  <si>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Credit Suisse Equity Fund (Lux) Small and Mid Cap Europe</t>
  </si>
  <si>
    <t>Finasta Russia TOP20 Subfund</t>
  </si>
  <si>
    <t>Invesco Balanced Risk Allocation Fund</t>
  </si>
  <si>
    <t>Credit Suisse Equity Fund (Lux) European Property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</si>
  <si>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</si>
  <si>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</si>
  <si>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</si>
  <si>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</si>
  <si>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</si>
  <si>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</si>
  <si>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</si>
  <si>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Natixis Europe Smaller Companies Fund</t>
  </si>
  <si>
    <t>NGAM S.A</t>
  </si>
  <si>
    <t>FIM Russia Placeringsfond</t>
  </si>
  <si>
    <t>Enter Maximal</t>
  </si>
  <si>
    <t>FIM India Placeringsfond</t>
  </si>
  <si>
    <t>FIM China Placeringsfond</t>
  </si>
  <si>
    <t>FIM Emerging Markets Småbolag</t>
  </si>
  <si>
    <t>FIM Brazil Placeringsfond</t>
  </si>
  <si>
    <t>Trigon New Europe Fund</t>
  </si>
  <si>
    <t>AS Trigon Funds</t>
  </si>
  <si>
    <t>Invesco Emerging Market Corporate Bond Fund Euro</t>
  </si>
  <si>
    <t>Navigera Tillväxt</t>
  </si>
  <si>
    <t>Gustavia Ryssland</t>
  </si>
  <si>
    <t>IKC Asien Flexibel</t>
  </si>
  <si>
    <t>Sparinvest  - Equitas</t>
  </si>
  <si>
    <t>Aktiva Fonder SICAV - Global Stabil</t>
  </si>
  <si>
    <t>Fondbytesprogrammet 0-50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</si>
  <si>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</si>
  <si>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</si>
  <si>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</si>
  <si>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</si>
  <si>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</si>
  <si>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</si>
  <si>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</si>
  <si>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</si>
  <si>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</si>
  <si>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FBP Pension Variabel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</si>
  <si>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</si>
  <si>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</si>
  <si>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</si>
  <si>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</si>
  <si>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</si>
  <si>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</si>
  <si>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</si>
  <si>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FBP Opportunities Flexible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</si>
  <si>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</si>
  <si>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</si>
  <si>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</si>
  <si>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</si>
  <si>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</si>
  <si>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</si>
  <si>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</si>
  <si>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Cicero Emerging Markets</t>
  </si>
  <si>
    <t>Invesco Japanese Value Equity  Fund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</si>
  <si>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</si>
  <si>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</si>
  <si>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</si>
  <si>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</si>
  <si>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</si>
  <si>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</si>
  <si>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</si>
  <si>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</si>
  <si>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Pakistanfond</t>
  </si>
  <si>
    <t>Tundra Vietnam Fund</t>
  </si>
  <si>
    <t>Gustavia Balkan</t>
  </si>
  <si>
    <t>Franklin Templeton Global Allocation Fund</t>
  </si>
  <si>
    <t>Invesco Pan European Structured Equity Fund</t>
  </si>
  <si>
    <t>Trigon Baltic Fund</t>
  </si>
  <si>
    <t>Gustavia Energi och Råvaror</t>
  </si>
  <si>
    <t>Gustavia Global Tillväxt</t>
  </si>
  <si>
    <t>Zmart Balanserad</t>
  </si>
  <si>
    <t>Zmartic fonder AB</t>
  </si>
  <si>
    <t>Tundra QuAsia</t>
  </si>
  <si>
    <t>Pictet Digital Communication</t>
  </si>
  <si>
    <t>Pictet Water</t>
  </si>
  <si>
    <t>Invesco US Value Equity Fund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</si>
  <si>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</si>
  <si>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</si>
  <si>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</si>
  <si>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</si>
  <si>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</si>
  <si>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</si>
  <si>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</si>
  <si>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Invesco Global Equity Income Fund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</si>
  <si>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</si>
  <si>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</si>
  <si>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</si>
  <si>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</si>
  <si>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</si>
  <si>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</si>
  <si>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</si>
  <si>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</si>
  <si>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</si>
  <si>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</si>
  <si>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</si>
  <si>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</si>
  <si>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</si>
  <si>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</si>
  <si>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</si>
  <si>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</si>
  <si>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</si>
  <si>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</si>
  <si>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</si>
  <si>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</si>
  <si>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</si>
  <si>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</si>
  <si>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</si>
  <si>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</si>
  <si>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</si>
  <si>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</si>
  <si>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</si>
  <si>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</si>
  <si>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</si>
  <si>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Mobilis Aktiv</t>
  </si>
  <si>
    <t>Norron Sicav-Target</t>
  </si>
  <si>
    <t>Zmart Maximal</t>
  </si>
  <si>
    <t>Sparinvest Emerging Markets Value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</si>
  <si>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</si>
  <si>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</si>
  <si>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</si>
  <si>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</si>
  <si>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</si>
  <si>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</si>
  <si>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Granit Trend 50</t>
  </si>
  <si>
    <t>FIM Sahara</t>
  </si>
  <si>
    <t>Granit Trend 100</t>
  </si>
  <si>
    <t>Northern Star - Limestone New Europe Socially Responsible Fund</t>
  </si>
  <si>
    <t>Kredietrust Luxembourg S.A</t>
  </si>
  <si>
    <t>Eligo Asset Allocation</t>
  </si>
  <si>
    <t>Life High Yield Bonds</t>
  </si>
  <si>
    <t>Alpcot Russia</t>
  </si>
  <si>
    <t xml:space="preserve">Statens förvaltningsalternativ 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</si>
  <si>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</si>
  <si>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</si>
  <si>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</si>
  <si>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</si>
  <si>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</si>
  <si>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</si>
  <si>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</si>
  <si>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</si>
  <si>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SEB Dynamic Bond Fund</t>
  </si>
  <si>
    <t>Cicero Nordic Corporate Bond</t>
  </si>
  <si>
    <t>Handelsbankens Asienfond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</si>
  <si>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</si>
  <si>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</si>
  <si>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</si>
  <si>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</si>
  <si>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</si>
  <si>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</si>
  <si>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</si>
  <si>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</si>
  <si>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</si>
  <si>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</si>
  <si>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</si>
  <si>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</si>
  <si>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</si>
  <si>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Climate Opportunities A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</si>
  <si>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</si>
  <si>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</si>
  <si>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</si>
  <si>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</si>
  <si>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</si>
  <si>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</si>
  <si>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</si>
  <si>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</si>
  <si>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</si>
  <si>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</si>
  <si>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</si>
  <si>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</si>
  <si>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</si>
  <si>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Swedish Growth</t>
  </si>
  <si>
    <t>Alandsbanken SICAV - Nordic Growth</t>
  </si>
  <si>
    <t>Alandsbanken SICAV - Catamaran</t>
  </si>
  <si>
    <t>Alandsbanken SICAV - China</t>
  </si>
  <si>
    <t>Alandsbanken SICAV - Brig 6</t>
  </si>
  <si>
    <t>Fondstatistik per 2014-12-31</t>
  </si>
  <si>
    <t>Nästa uppdatering: 2015-02-09</t>
  </si>
  <si>
    <t>Antal fondval och marknadsvärde i fonderna 2014-12-31</t>
  </si>
  <si>
    <t>Öhman Global Sustainable Brands</t>
  </si>
  <si>
    <t>Nästa uppdatering: 2015-02-18</t>
  </si>
  <si>
    <t>Nästa uppdatering 2015-02-18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</si>
</sst>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9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70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4" fontId="2" fillId="0" borderId="0" xfId="4" applyNumberFormat="1" applyFon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56" fillId="2" borderId="0" xfId="2" applyNumberFormat="1" applyFont="1" applyFill="1" applyAlignment="1">
      <alignment horizontal="center"/>
    </xf>
    <xf numFmtId="168" fontId="56" fillId="2" borderId="0" xfId="0" applyNumberFormat="1" applyFont="1" applyFill="1" applyAlignment="1">
      <alignment horizontal="center"/>
    </xf>
    <xf numFmtId="168" fontId="56" fillId="2" borderId="34" xfId="2" applyNumberFormat="1" applyFont="1" applyFill="1" applyBorder="1" applyAlignment="1">
      <alignment horizontal="center"/>
    </xf>
    <xf numFmtId="168" fontId="56" fillId="2" borderId="34" xfId="0" applyNumberFormat="1" applyFont="1" applyFill="1" applyBorder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2" applyNumberFormat="1" applyFont="1" applyAlignment="1"/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4" applyNumberFormat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9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pp-systemet'!$B$27:$B$918</c:f>
              <c:numCache>
                <c:formatCode>m/d/yyyy</c:formatCode>
                <c:ptCount val="8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</c:numCache>
            </c:numRef>
          </c:cat>
          <c:val>
            <c:numRef>
              <c:f>'Avkastning pp-systemet'!$C$27:$C$918</c:f>
              <c:numCache>
                <c:formatCode>0.0%</c:formatCode>
                <c:ptCount val="892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pp-systemet'!$B$27:$B$918</c:f>
              <c:numCache>
                <c:formatCode>m/d/yyyy</c:formatCode>
                <c:ptCount val="8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</c:numCache>
            </c:numRef>
          </c:cat>
          <c:val>
            <c:numRef>
              <c:f>'Avkastning pp-systemet'!$D$27:$D$918</c:f>
              <c:numCache>
                <c:formatCode>0.0%</c:formatCode>
                <c:ptCount val="892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pp-systemet'!$B$27:$B$918</c:f>
              <c:numCache>
                <c:formatCode>m/d/yyyy</c:formatCode>
                <c:ptCount val="8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</c:numCache>
            </c:numRef>
          </c:cat>
          <c:val>
            <c:numRef>
              <c:f>'Avkastning pp-systemet'!$E$27:$E$900</c:f>
              <c:numCache>
                <c:formatCode>0.0%</c:formatCode>
                <c:ptCount val="874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pp-systemet'!$B$27:$B$918</c:f>
              <c:numCache>
                <c:formatCode>m/d/yyyy</c:formatCode>
                <c:ptCount val="8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</c:numCache>
            </c:numRef>
          </c:cat>
          <c:val>
            <c:numRef>
              <c:f>'Avkastning pp-systemet'!$F$27:$F$900</c:f>
              <c:numCache>
                <c:formatCode>0.0%</c:formatCode>
                <c:ptCount val="87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95584"/>
        <c:axId val="175397120"/>
      </c:lineChart>
      <c:dateAx>
        <c:axId val="175395584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539712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7539712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53955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42004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42004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6832768"/>
        <c:axId val="186834304"/>
      </c:barChart>
      <c:catAx>
        <c:axId val="18683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834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834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8327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42004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42004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86890880"/>
        <c:axId val="186913152"/>
      </c:barChart>
      <c:catAx>
        <c:axId val="18689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91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9131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8908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2000'!$B$24:$B$209</c:f>
              <c:numCache>
                <c:formatCode>yyyy/mm/dd;@</c:formatCode>
                <c:ptCount val="18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</c:numCache>
            </c:numRef>
          </c:cat>
          <c:val>
            <c:numRef>
              <c:f>'Avkastning sedan 2000'!$E$24:$E$209</c:f>
              <c:numCache>
                <c:formatCode>0.0%</c:formatCode>
                <c:ptCount val="18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2000'!$B$24:$B$209</c:f>
              <c:numCache>
                <c:formatCode>yyyy/mm/dd;@</c:formatCode>
                <c:ptCount val="18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</c:numCache>
            </c:numRef>
          </c:cat>
          <c:val>
            <c:numRef>
              <c:f>'Avkastning sedan 2000'!$F$24:$F$208</c:f>
              <c:numCache>
                <c:formatCode>0.0%</c:formatCode>
                <c:ptCount val="185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22208"/>
        <c:axId val="176223744"/>
      </c:lineChart>
      <c:dateAx>
        <c:axId val="176222208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2237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7622374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2222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2000'!$B$24:$B$260</c:f>
              <c:numCache>
                <c:formatCode>yyyy/mm/dd;@</c:formatCode>
                <c:ptCount val="23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</c:numCache>
            </c:numRef>
          </c:cat>
          <c:val>
            <c:numRef>
              <c:f>'Avkastning sedan 2000'!$C$24:$C$258</c:f>
              <c:numCache>
                <c:formatCode>0.0%</c:formatCode>
                <c:ptCount val="23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2000'!$B$24:$B$260</c:f>
              <c:numCache>
                <c:formatCode>yyyy/mm/dd;@</c:formatCode>
                <c:ptCount val="23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</c:numCache>
            </c:numRef>
          </c:cat>
          <c:val>
            <c:numRef>
              <c:f>'Avkastning sedan 2000'!$D$24:$D$258</c:f>
              <c:numCache>
                <c:formatCode>0.0%</c:formatCode>
                <c:ptCount val="235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8176"/>
        <c:axId val="49539712"/>
      </c:lineChart>
      <c:dateAx>
        <c:axId val="49538176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5397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953971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5381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17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95250</xdr:rowOff>
    </xdr:from>
    <xdr:to>
      <xdr:col>17</xdr:col>
      <xdr:colOff>114299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95250</xdr:rowOff>
    </xdr:from>
    <xdr:to>
      <xdr:col>2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247650</xdr:colOff>
      <xdr:row>1</xdr:row>
      <xdr:rowOff>85725</xdr:rowOff>
    </xdr:from>
    <xdr:to>
      <xdr:col>2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276225</xdr:colOff>
      <xdr:row>1</xdr:row>
      <xdr:rowOff>142875</xdr:rowOff>
    </xdr:from>
    <xdr:to>
      <xdr:col>2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151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103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48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116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45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134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46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47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122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118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70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44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31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90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1160</v>
      </c>
      <c r="B6" s="23"/>
      <c r="C6" s="24" t="s">
        <v>1159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114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105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152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51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55" t="s">
        <v>115</v>
      </c>
      <c r="D21" s="356"/>
      <c r="E21" s="357"/>
      <c r="F21" s="358" t="s">
        <v>75</v>
      </c>
      <c r="G21" s="359"/>
      <c r="H21" s="359"/>
      <c r="I21" s="45" t="s">
        <v>7</v>
      </c>
      <c r="J21" s="46"/>
      <c r="K21" s="47"/>
      <c r="L21" s="48"/>
    </row>
    <row r="22" spans="1:15" s="79" customFormat="1" x14ac:dyDescent="0.2">
      <c r="A22" s="71" t="s">
        <v>73</v>
      </c>
      <c r="B22" s="72" t="s">
        <v>72</v>
      </c>
      <c r="C22" s="73" t="s">
        <v>78</v>
      </c>
      <c r="D22" s="73" t="s">
        <v>79</v>
      </c>
      <c r="E22" s="73" t="s">
        <v>80</v>
      </c>
      <c r="F22" s="73" t="s">
        <v>78</v>
      </c>
      <c r="G22" s="73" t="s">
        <v>79</v>
      </c>
      <c r="H22" s="74" t="s">
        <v>80</v>
      </c>
      <c r="I22" s="75" t="s">
        <v>71</v>
      </c>
      <c r="J22" s="76" t="s">
        <v>81</v>
      </c>
      <c r="K22" s="77" t="s">
        <v>77</v>
      </c>
      <c r="L22" s="78" t="s">
        <v>76</v>
      </c>
      <c r="M22" s="88"/>
      <c r="N22" s="88"/>
      <c r="O22" s="89"/>
    </row>
    <row r="23" spans="1:15" x14ac:dyDescent="0.2">
      <c r="A23" s="91" t="s">
        <v>1114</v>
      </c>
      <c r="B23" s="91" t="s">
        <v>12</v>
      </c>
      <c r="C23" s="95">
        <v>1521482</v>
      </c>
      <c r="D23" s="95">
        <v>1636779</v>
      </c>
      <c r="E23" s="95">
        <v>3158261</v>
      </c>
      <c r="F23" s="95">
        <v>108552327794</v>
      </c>
      <c r="G23" s="95">
        <v>137127933777</v>
      </c>
      <c r="H23" s="95">
        <v>245680261571</v>
      </c>
      <c r="I23" s="91" t="s">
        <v>171</v>
      </c>
      <c r="J23" s="91" t="s">
        <v>1115</v>
      </c>
      <c r="K23" s="94">
        <v>1</v>
      </c>
      <c r="L23" s="91" t="s">
        <v>1116</v>
      </c>
      <c r="M23" s="2"/>
      <c r="N23" s="3"/>
      <c r="O23" s="4"/>
    </row>
    <row r="24" spans="1:15" x14ac:dyDescent="0.2">
      <c r="A24" s="91" t="s">
        <v>1114</v>
      </c>
      <c r="B24" s="91" t="s">
        <v>1117</v>
      </c>
      <c r="C24" s="95">
        <v>3488</v>
      </c>
      <c r="D24" s="95">
        <v>3655</v>
      </c>
      <c r="E24" s="95">
        <v>7143</v>
      </c>
      <c r="F24" s="95">
        <v>426329062</v>
      </c>
      <c r="G24" s="95">
        <v>522317253</v>
      </c>
      <c r="H24" s="95">
        <v>948646315</v>
      </c>
      <c r="I24" s="91" t="s">
        <v>171</v>
      </c>
      <c r="J24" s="91" t="s">
        <v>1118</v>
      </c>
      <c r="K24" s="94">
        <v>2</v>
      </c>
      <c r="L24" s="91" t="s">
        <v>1116</v>
      </c>
      <c r="M24" s="2"/>
      <c r="N24" s="3"/>
      <c r="O24" s="4"/>
    </row>
    <row r="25" spans="1:15" x14ac:dyDescent="0.2">
      <c r="A25" s="91" t="s">
        <v>1114</v>
      </c>
      <c r="B25" s="91" t="s">
        <v>1119</v>
      </c>
      <c r="C25" s="95">
        <v>5735</v>
      </c>
      <c r="D25" s="95">
        <v>6489</v>
      </c>
      <c r="E25" s="95">
        <v>12224</v>
      </c>
      <c r="F25" s="95">
        <v>801457101</v>
      </c>
      <c r="G25" s="95">
        <v>1013039016</v>
      </c>
      <c r="H25" s="95">
        <v>1814496117</v>
      </c>
      <c r="I25" s="91" t="s">
        <v>171</v>
      </c>
      <c r="J25" s="91" t="s">
        <v>1118</v>
      </c>
      <c r="K25" s="94">
        <v>3</v>
      </c>
      <c r="L25" s="91" t="s">
        <v>1116</v>
      </c>
      <c r="M25" s="2"/>
      <c r="N25" s="3"/>
      <c r="O25" s="4"/>
    </row>
    <row r="26" spans="1:15" x14ac:dyDescent="0.2">
      <c r="A26" s="91" t="s">
        <v>1114</v>
      </c>
      <c r="B26" s="91" t="s">
        <v>1120</v>
      </c>
      <c r="C26" s="95">
        <v>4594</v>
      </c>
      <c r="D26" s="95">
        <v>8502</v>
      </c>
      <c r="E26" s="95">
        <v>13096</v>
      </c>
      <c r="F26" s="95">
        <v>651224863</v>
      </c>
      <c r="G26" s="95">
        <v>1327693622</v>
      </c>
      <c r="H26" s="95">
        <v>1978918484</v>
      </c>
      <c r="I26" s="91" t="s">
        <v>171</v>
      </c>
      <c r="J26" s="91" t="s">
        <v>1118</v>
      </c>
      <c r="K26" s="94">
        <v>4</v>
      </c>
      <c r="L26" s="91" t="s">
        <v>1116</v>
      </c>
      <c r="M26" s="2"/>
      <c r="N26" s="3"/>
      <c r="O26" s="4"/>
    </row>
    <row r="27" spans="1:15" x14ac:dyDescent="0.2">
      <c r="A27" s="91" t="s">
        <v>260</v>
      </c>
      <c r="B27" s="91" t="s">
        <v>735</v>
      </c>
      <c r="C27" s="95">
        <v>1213</v>
      </c>
      <c r="D27" s="95">
        <v>1167</v>
      </c>
      <c r="E27" s="95">
        <v>2380</v>
      </c>
      <c r="F27" s="95">
        <v>16673931</v>
      </c>
      <c r="G27" s="95">
        <v>22358326</v>
      </c>
      <c r="H27" s="95">
        <v>39032257</v>
      </c>
      <c r="I27" s="91" t="s">
        <v>171</v>
      </c>
      <c r="J27" s="91" t="s">
        <v>1121</v>
      </c>
      <c r="K27" s="94">
        <v>102897</v>
      </c>
      <c r="L27" s="91" t="s">
        <v>736</v>
      </c>
      <c r="M27" s="2"/>
      <c r="N27" s="2"/>
      <c r="O27" s="4"/>
    </row>
    <row r="28" spans="1:15" x14ac:dyDescent="0.2">
      <c r="A28" s="91" t="s">
        <v>223</v>
      </c>
      <c r="B28" s="91" t="s">
        <v>626</v>
      </c>
      <c r="C28" s="95">
        <v>293</v>
      </c>
      <c r="D28" s="95">
        <v>393</v>
      </c>
      <c r="E28" s="95">
        <v>686</v>
      </c>
      <c r="F28" s="95">
        <v>8457034</v>
      </c>
      <c r="G28" s="95">
        <v>12345498</v>
      </c>
      <c r="H28" s="95">
        <v>20802532</v>
      </c>
      <c r="I28" s="91" t="s">
        <v>71</v>
      </c>
      <c r="J28" s="91" t="s">
        <v>1122</v>
      </c>
      <c r="K28" s="94">
        <v>103010</v>
      </c>
      <c r="L28" s="91" t="s">
        <v>616</v>
      </c>
      <c r="M28" s="2"/>
      <c r="N28" s="2"/>
      <c r="O28" s="4"/>
    </row>
    <row r="29" spans="1:15" x14ac:dyDescent="0.2">
      <c r="A29" s="91" t="s">
        <v>260</v>
      </c>
      <c r="B29" s="91" t="s">
        <v>871</v>
      </c>
      <c r="C29" s="95">
        <v>0</v>
      </c>
      <c r="D29" s="95">
        <v>1</v>
      </c>
      <c r="E29" s="95">
        <v>1</v>
      </c>
      <c r="F29" s="95">
        <v>0</v>
      </c>
      <c r="G29" s="95">
        <v>37758</v>
      </c>
      <c r="H29" s="95">
        <v>37758</v>
      </c>
      <c r="I29" s="91" t="s">
        <v>71</v>
      </c>
      <c r="J29" s="91" t="s">
        <v>1121</v>
      </c>
      <c r="K29" s="94">
        <v>103309</v>
      </c>
      <c r="L29" s="91" t="s">
        <v>715</v>
      </c>
      <c r="M29" s="2"/>
      <c r="N29" s="2"/>
      <c r="O29" s="4"/>
    </row>
    <row r="30" spans="1:15" x14ac:dyDescent="0.2">
      <c r="A30" s="91" t="s">
        <v>331</v>
      </c>
      <c r="B30" s="91" t="s">
        <v>597</v>
      </c>
      <c r="C30" s="95">
        <v>1372</v>
      </c>
      <c r="D30" s="95">
        <v>1820</v>
      </c>
      <c r="E30" s="95">
        <v>3192</v>
      </c>
      <c r="F30" s="95">
        <v>62189040</v>
      </c>
      <c r="G30" s="95">
        <v>98213675</v>
      </c>
      <c r="H30" s="95">
        <v>160402714</v>
      </c>
      <c r="I30" s="91" t="s">
        <v>171</v>
      </c>
      <c r="J30" s="91" t="s">
        <v>1121</v>
      </c>
      <c r="K30" s="94">
        <v>103606</v>
      </c>
      <c r="L30" s="91" t="s">
        <v>277</v>
      </c>
      <c r="M30" s="2"/>
      <c r="N30" s="2"/>
      <c r="O30" s="4"/>
    </row>
    <row r="31" spans="1:15" x14ac:dyDescent="0.2">
      <c r="A31" s="91" t="s">
        <v>310</v>
      </c>
      <c r="B31" s="91" t="s">
        <v>418</v>
      </c>
      <c r="C31" s="95">
        <v>12944</v>
      </c>
      <c r="D31" s="95">
        <v>15114</v>
      </c>
      <c r="E31" s="95">
        <v>28058</v>
      </c>
      <c r="F31" s="95">
        <v>334852459</v>
      </c>
      <c r="G31" s="95">
        <v>518949893</v>
      </c>
      <c r="H31" s="95">
        <v>853802352</v>
      </c>
      <c r="I31" s="91" t="s">
        <v>171</v>
      </c>
      <c r="J31" s="91" t="s">
        <v>1121</v>
      </c>
      <c r="K31" s="94">
        <v>104257</v>
      </c>
      <c r="L31" s="91" t="s">
        <v>200</v>
      </c>
      <c r="M31" s="2"/>
      <c r="N31" s="2"/>
      <c r="O31" s="4"/>
    </row>
    <row r="32" spans="1:15" x14ac:dyDescent="0.2">
      <c r="A32" s="91" t="s">
        <v>223</v>
      </c>
      <c r="B32" s="91" t="s">
        <v>475</v>
      </c>
      <c r="C32" s="95">
        <v>3405</v>
      </c>
      <c r="D32" s="95">
        <v>3910</v>
      </c>
      <c r="E32" s="95">
        <v>7315</v>
      </c>
      <c r="F32" s="95">
        <v>134755200</v>
      </c>
      <c r="G32" s="95">
        <v>190982479</v>
      </c>
      <c r="H32" s="95">
        <v>325737679</v>
      </c>
      <c r="I32" s="91" t="s">
        <v>171</v>
      </c>
      <c r="J32" s="91" t="s">
        <v>1122</v>
      </c>
      <c r="K32" s="94">
        <v>104786</v>
      </c>
      <c r="L32" s="91" t="s">
        <v>194</v>
      </c>
      <c r="M32" s="2"/>
      <c r="N32" s="2"/>
      <c r="O32" s="4"/>
    </row>
    <row r="33" spans="1:15" x14ac:dyDescent="0.2">
      <c r="A33" s="91" t="s">
        <v>212</v>
      </c>
      <c r="B33" s="91" t="s">
        <v>544</v>
      </c>
      <c r="C33" s="95">
        <v>373</v>
      </c>
      <c r="D33" s="95">
        <v>358</v>
      </c>
      <c r="E33" s="95">
        <v>731</v>
      </c>
      <c r="F33" s="95">
        <v>15441389</v>
      </c>
      <c r="G33" s="95">
        <v>17294039</v>
      </c>
      <c r="H33" s="95">
        <v>32735428</v>
      </c>
      <c r="I33" s="91" t="s">
        <v>71</v>
      </c>
      <c r="J33" s="91" t="s">
        <v>1121</v>
      </c>
      <c r="K33" s="94">
        <v>106492</v>
      </c>
      <c r="L33" s="91" t="s">
        <v>254</v>
      </c>
      <c r="M33" s="2"/>
      <c r="N33" s="2"/>
      <c r="O33" s="4"/>
    </row>
    <row r="34" spans="1:15" x14ac:dyDescent="0.2">
      <c r="A34" s="91" t="s">
        <v>245</v>
      </c>
      <c r="B34" s="91" t="s">
        <v>973</v>
      </c>
      <c r="C34" s="95">
        <v>325</v>
      </c>
      <c r="D34" s="95">
        <v>509</v>
      </c>
      <c r="E34" s="95">
        <v>834</v>
      </c>
      <c r="F34" s="95">
        <v>12295812</v>
      </c>
      <c r="G34" s="95">
        <v>24748375</v>
      </c>
      <c r="H34" s="95">
        <v>37044188</v>
      </c>
      <c r="I34" s="91" t="s">
        <v>71</v>
      </c>
      <c r="J34" s="91" t="s">
        <v>1121</v>
      </c>
      <c r="K34" s="94">
        <v>107201</v>
      </c>
      <c r="L34" s="91" t="s">
        <v>1133</v>
      </c>
      <c r="M34" s="2"/>
      <c r="N34" s="2"/>
      <c r="O34" s="4"/>
    </row>
    <row r="35" spans="1:15" x14ac:dyDescent="0.2">
      <c r="A35" s="91" t="s">
        <v>370</v>
      </c>
      <c r="B35" s="91" t="s">
        <v>369</v>
      </c>
      <c r="C35" s="95">
        <v>2360</v>
      </c>
      <c r="D35" s="95">
        <v>2797</v>
      </c>
      <c r="E35" s="95">
        <v>5157</v>
      </c>
      <c r="F35" s="95">
        <v>42052374</v>
      </c>
      <c r="G35" s="95">
        <v>68294452</v>
      </c>
      <c r="H35" s="95">
        <v>110346826</v>
      </c>
      <c r="I35" s="91" t="s">
        <v>171</v>
      </c>
      <c r="J35" s="91" t="s">
        <v>1121</v>
      </c>
      <c r="K35" s="94">
        <v>110098</v>
      </c>
      <c r="L35" s="91" t="s">
        <v>231</v>
      </c>
      <c r="M35" s="2"/>
      <c r="N35" s="2"/>
      <c r="O35" s="4"/>
    </row>
    <row r="36" spans="1:15" x14ac:dyDescent="0.2">
      <c r="A36" s="91" t="s">
        <v>223</v>
      </c>
      <c r="B36" s="91" t="s">
        <v>375</v>
      </c>
      <c r="C36" s="95">
        <v>2266</v>
      </c>
      <c r="D36" s="95">
        <v>2137</v>
      </c>
      <c r="E36" s="95">
        <v>4403</v>
      </c>
      <c r="F36" s="95">
        <v>64355955</v>
      </c>
      <c r="G36" s="95">
        <v>73537541</v>
      </c>
      <c r="H36" s="95">
        <v>137893496</v>
      </c>
      <c r="I36" s="91" t="s">
        <v>71</v>
      </c>
      <c r="J36" s="91" t="s">
        <v>1122</v>
      </c>
      <c r="K36" s="94">
        <v>111518</v>
      </c>
      <c r="L36" s="91" t="s">
        <v>377</v>
      </c>
      <c r="M36" s="2"/>
      <c r="N36" s="2"/>
      <c r="O36" s="4"/>
    </row>
    <row r="37" spans="1:15" x14ac:dyDescent="0.2">
      <c r="A37" s="91" t="s">
        <v>223</v>
      </c>
      <c r="B37" s="91" t="s">
        <v>426</v>
      </c>
      <c r="C37" s="95">
        <v>1713</v>
      </c>
      <c r="D37" s="95">
        <v>1854</v>
      </c>
      <c r="E37" s="95">
        <v>3567</v>
      </c>
      <c r="F37" s="95">
        <v>70318995</v>
      </c>
      <c r="G37" s="95">
        <v>101002763</v>
      </c>
      <c r="H37" s="95">
        <v>171321758</v>
      </c>
      <c r="I37" s="91" t="s">
        <v>171</v>
      </c>
      <c r="J37" s="91" t="s">
        <v>1122</v>
      </c>
      <c r="K37" s="94">
        <v>112755</v>
      </c>
      <c r="L37" s="91" t="s">
        <v>427</v>
      </c>
      <c r="M37" s="2"/>
      <c r="N37" s="2"/>
      <c r="O37" s="4"/>
    </row>
    <row r="38" spans="1:15" x14ac:dyDescent="0.2">
      <c r="A38" s="91" t="s">
        <v>379</v>
      </c>
      <c r="B38" s="91" t="s">
        <v>1081</v>
      </c>
      <c r="C38" s="95">
        <v>152</v>
      </c>
      <c r="D38" s="95">
        <v>327</v>
      </c>
      <c r="E38" s="95">
        <v>479</v>
      </c>
      <c r="F38" s="95">
        <v>4182925</v>
      </c>
      <c r="G38" s="95">
        <v>11006041</v>
      </c>
      <c r="H38" s="95">
        <v>15188966</v>
      </c>
      <c r="I38" s="91" t="s">
        <v>71</v>
      </c>
      <c r="J38" s="91" t="s">
        <v>1121</v>
      </c>
      <c r="K38" s="94">
        <v>114280</v>
      </c>
      <c r="L38" s="91" t="s">
        <v>763</v>
      </c>
      <c r="M38" s="2"/>
      <c r="N38" s="2"/>
      <c r="O38" s="4"/>
    </row>
    <row r="39" spans="1:15" x14ac:dyDescent="0.2">
      <c r="A39" s="91" t="s">
        <v>383</v>
      </c>
      <c r="B39" s="91" t="s">
        <v>569</v>
      </c>
      <c r="C39" s="95">
        <v>29</v>
      </c>
      <c r="D39" s="95">
        <v>52</v>
      </c>
      <c r="E39" s="95">
        <v>81</v>
      </c>
      <c r="F39" s="95">
        <v>786916</v>
      </c>
      <c r="G39" s="95">
        <v>1906572</v>
      </c>
      <c r="H39" s="95">
        <v>2693488</v>
      </c>
      <c r="I39" s="91" t="s">
        <v>71</v>
      </c>
      <c r="J39" s="91" t="s">
        <v>1121</v>
      </c>
      <c r="K39" s="94">
        <v>116111</v>
      </c>
      <c r="L39" s="91" t="s">
        <v>462</v>
      </c>
      <c r="M39" s="2"/>
      <c r="N39" s="2"/>
      <c r="O39" s="4"/>
    </row>
    <row r="40" spans="1:15" x14ac:dyDescent="0.2">
      <c r="A40" s="91" t="s">
        <v>408</v>
      </c>
      <c r="B40" s="91" t="s">
        <v>772</v>
      </c>
      <c r="C40" s="95">
        <v>217</v>
      </c>
      <c r="D40" s="95">
        <v>362</v>
      </c>
      <c r="E40" s="95">
        <v>579</v>
      </c>
      <c r="F40" s="95">
        <v>7964881</v>
      </c>
      <c r="G40" s="95">
        <v>15772893</v>
      </c>
      <c r="H40" s="95">
        <v>23737774</v>
      </c>
      <c r="I40" s="91" t="s">
        <v>71</v>
      </c>
      <c r="J40" s="91" t="s">
        <v>1121</v>
      </c>
      <c r="K40" s="94">
        <v>116293</v>
      </c>
      <c r="L40" s="91" t="s">
        <v>535</v>
      </c>
      <c r="M40" s="2"/>
      <c r="N40" s="2"/>
      <c r="O40" s="4"/>
    </row>
    <row r="41" spans="1:15" x14ac:dyDescent="0.2">
      <c r="A41" s="91" t="s">
        <v>507</v>
      </c>
      <c r="B41" s="91" t="s">
        <v>1141</v>
      </c>
      <c r="C41" s="95">
        <v>440</v>
      </c>
      <c r="D41" s="95">
        <v>703</v>
      </c>
      <c r="E41" s="95">
        <v>1143</v>
      </c>
      <c r="F41" s="95">
        <v>17093713</v>
      </c>
      <c r="G41" s="95">
        <v>34715625</v>
      </c>
      <c r="H41" s="95">
        <v>51809338</v>
      </c>
      <c r="I41" s="91" t="s">
        <v>71</v>
      </c>
      <c r="J41" s="91" t="s">
        <v>1121</v>
      </c>
      <c r="K41" s="94">
        <v>116822</v>
      </c>
      <c r="L41" s="91" t="s">
        <v>635</v>
      </c>
      <c r="M41" s="2"/>
      <c r="N41" s="2"/>
      <c r="O41" s="4"/>
    </row>
    <row r="42" spans="1:15" x14ac:dyDescent="0.2">
      <c r="A42" s="91" t="s">
        <v>266</v>
      </c>
      <c r="B42" s="91" t="s">
        <v>395</v>
      </c>
      <c r="C42" s="95">
        <v>10328</v>
      </c>
      <c r="D42" s="95">
        <v>4562</v>
      </c>
      <c r="E42" s="95">
        <v>14890</v>
      </c>
      <c r="F42" s="95">
        <v>585752848</v>
      </c>
      <c r="G42" s="95">
        <v>248053895</v>
      </c>
      <c r="H42" s="95">
        <v>833806743</v>
      </c>
      <c r="I42" s="91" t="s">
        <v>171</v>
      </c>
      <c r="J42" s="91" t="s">
        <v>1118</v>
      </c>
      <c r="K42" s="94">
        <v>117002</v>
      </c>
      <c r="L42" s="91" t="s">
        <v>361</v>
      </c>
      <c r="M42" s="2"/>
      <c r="N42" s="2"/>
      <c r="O42" s="4"/>
    </row>
    <row r="43" spans="1:15" x14ac:dyDescent="0.2">
      <c r="A43" s="91" t="s">
        <v>212</v>
      </c>
      <c r="B43" s="91" t="s">
        <v>614</v>
      </c>
      <c r="C43" s="95">
        <v>725</v>
      </c>
      <c r="D43" s="95">
        <v>2048</v>
      </c>
      <c r="E43" s="95">
        <v>2773</v>
      </c>
      <c r="F43" s="95">
        <v>15135512</v>
      </c>
      <c r="G43" s="95">
        <v>46635278</v>
      </c>
      <c r="H43" s="95">
        <v>61770789</v>
      </c>
      <c r="I43" s="91" t="s">
        <v>71</v>
      </c>
      <c r="J43" s="91" t="s">
        <v>1121</v>
      </c>
      <c r="K43" s="94">
        <v>118000</v>
      </c>
      <c r="L43" s="91" t="s">
        <v>431</v>
      </c>
      <c r="M43" s="2"/>
      <c r="N43" s="2"/>
      <c r="O43" s="4"/>
    </row>
    <row r="44" spans="1:15" x14ac:dyDescent="0.2">
      <c r="A44" s="91" t="s">
        <v>212</v>
      </c>
      <c r="B44" s="91" t="s">
        <v>806</v>
      </c>
      <c r="C44" s="95">
        <v>266</v>
      </c>
      <c r="D44" s="95">
        <v>285</v>
      </c>
      <c r="E44" s="95">
        <v>551</v>
      </c>
      <c r="F44" s="95">
        <v>8341076</v>
      </c>
      <c r="G44" s="95">
        <v>10677587</v>
      </c>
      <c r="H44" s="95">
        <v>19018663</v>
      </c>
      <c r="I44" s="91" t="s">
        <v>71</v>
      </c>
      <c r="J44" s="91" t="s">
        <v>1121</v>
      </c>
      <c r="K44" s="94">
        <v>118067</v>
      </c>
      <c r="L44" s="91" t="s">
        <v>535</v>
      </c>
      <c r="M44" s="2"/>
      <c r="N44" s="2"/>
      <c r="O44" s="4"/>
    </row>
    <row r="45" spans="1:15" x14ac:dyDescent="0.2">
      <c r="A45" s="91" t="s">
        <v>449</v>
      </c>
      <c r="B45" s="91" t="s">
        <v>998</v>
      </c>
      <c r="C45" s="95">
        <v>13</v>
      </c>
      <c r="D45" s="95">
        <v>27</v>
      </c>
      <c r="E45" s="95">
        <v>40</v>
      </c>
      <c r="F45" s="95">
        <v>460545</v>
      </c>
      <c r="G45" s="95">
        <v>741449</v>
      </c>
      <c r="H45" s="95">
        <v>1201994</v>
      </c>
      <c r="I45" s="91" t="s">
        <v>71</v>
      </c>
      <c r="J45" s="91" t="s">
        <v>1121</v>
      </c>
      <c r="K45" s="94">
        <v>118182</v>
      </c>
      <c r="L45" s="91" t="s">
        <v>770</v>
      </c>
      <c r="M45" s="2"/>
      <c r="N45" s="2"/>
      <c r="O45" s="4"/>
    </row>
    <row r="46" spans="1:15" x14ac:dyDescent="0.2">
      <c r="A46" s="91" t="s">
        <v>173</v>
      </c>
      <c r="B46" s="91" t="s">
        <v>555</v>
      </c>
      <c r="C46" s="95">
        <v>21391</v>
      </c>
      <c r="D46" s="95">
        <v>18489</v>
      </c>
      <c r="E46" s="95">
        <v>39880</v>
      </c>
      <c r="F46" s="95">
        <v>2706873417</v>
      </c>
      <c r="G46" s="95">
        <v>2751697772</v>
      </c>
      <c r="H46" s="95">
        <v>5458571189</v>
      </c>
      <c r="I46" s="91" t="s">
        <v>71</v>
      </c>
      <c r="J46" s="91" t="s">
        <v>1118</v>
      </c>
      <c r="K46" s="94">
        <v>119776</v>
      </c>
      <c r="L46" s="91" t="s">
        <v>368</v>
      </c>
      <c r="M46" s="2"/>
      <c r="N46" s="2"/>
      <c r="O46" s="4"/>
    </row>
    <row r="47" spans="1:15" x14ac:dyDescent="0.2">
      <c r="A47" s="91" t="s">
        <v>264</v>
      </c>
      <c r="B47" s="91" t="s">
        <v>738</v>
      </c>
      <c r="C47" s="95">
        <v>194</v>
      </c>
      <c r="D47" s="95">
        <v>269</v>
      </c>
      <c r="E47" s="95">
        <v>463</v>
      </c>
      <c r="F47" s="95">
        <v>6817053</v>
      </c>
      <c r="G47" s="95">
        <v>10243274</v>
      </c>
      <c r="H47" s="95">
        <v>17060327</v>
      </c>
      <c r="I47" s="91" t="s">
        <v>171</v>
      </c>
      <c r="J47" s="91" t="s">
        <v>1121</v>
      </c>
      <c r="K47" s="94">
        <v>119891</v>
      </c>
      <c r="L47" s="91" t="s">
        <v>191</v>
      </c>
      <c r="M47" s="2"/>
      <c r="N47" s="2"/>
      <c r="O47" s="4"/>
    </row>
    <row r="48" spans="1:15" x14ac:dyDescent="0.2">
      <c r="A48" s="91" t="s">
        <v>212</v>
      </c>
      <c r="B48" s="91" t="s">
        <v>465</v>
      </c>
      <c r="C48" s="95">
        <v>2222</v>
      </c>
      <c r="D48" s="95">
        <v>2873</v>
      </c>
      <c r="E48" s="95">
        <v>5095</v>
      </c>
      <c r="F48" s="95">
        <v>73049958</v>
      </c>
      <c r="G48" s="95">
        <v>113216534</v>
      </c>
      <c r="H48" s="95">
        <v>186266491</v>
      </c>
      <c r="I48" s="91" t="s">
        <v>71</v>
      </c>
      <c r="J48" s="91" t="s">
        <v>1121</v>
      </c>
      <c r="K48" s="94">
        <v>120014</v>
      </c>
      <c r="L48" s="91" t="s">
        <v>207</v>
      </c>
      <c r="M48" s="2"/>
      <c r="N48" s="2"/>
      <c r="O48" s="4"/>
    </row>
    <row r="49" spans="1:15" x14ac:dyDescent="0.2">
      <c r="A49" s="91" t="s">
        <v>223</v>
      </c>
      <c r="B49" s="91" t="s">
        <v>416</v>
      </c>
      <c r="C49" s="95">
        <v>0</v>
      </c>
      <c r="D49" s="95">
        <v>7</v>
      </c>
      <c r="E49" s="95">
        <v>7</v>
      </c>
      <c r="F49" s="95">
        <v>0</v>
      </c>
      <c r="G49" s="95">
        <v>651641</v>
      </c>
      <c r="H49" s="95">
        <v>651641</v>
      </c>
      <c r="I49" s="91" t="s">
        <v>171</v>
      </c>
      <c r="J49" s="91" t="s">
        <v>1122</v>
      </c>
      <c r="K49" s="94">
        <v>120303</v>
      </c>
      <c r="L49" s="91" t="s">
        <v>282</v>
      </c>
      <c r="M49" s="2"/>
      <c r="N49" s="2"/>
      <c r="O49" s="4"/>
    </row>
    <row r="50" spans="1:15" x14ac:dyDescent="0.2">
      <c r="A50" s="91" t="s">
        <v>383</v>
      </c>
      <c r="B50" s="91" t="s">
        <v>927</v>
      </c>
      <c r="C50" s="95">
        <v>243</v>
      </c>
      <c r="D50" s="95">
        <v>496</v>
      </c>
      <c r="E50" s="95">
        <v>739</v>
      </c>
      <c r="F50" s="95">
        <v>7378503</v>
      </c>
      <c r="G50" s="95">
        <v>16686476</v>
      </c>
      <c r="H50" s="95">
        <v>24064979</v>
      </c>
      <c r="I50" s="91" t="s">
        <v>71</v>
      </c>
      <c r="J50" s="91" t="s">
        <v>1121</v>
      </c>
      <c r="K50" s="94">
        <v>121608</v>
      </c>
      <c r="L50" s="91" t="s">
        <v>722</v>
      </c>
      <c r="M50" s="2"/>
      <c r="N50" s="2"/>
      <c r="O50" s="4"/>
    </row>
    <row r="51" spans="1:15" x14ac:dyDescent="0.2">
      <c r="A51" s="91" t="s">
        <v>260</v>
      </c>
      <c r="B51" s="91" t="s">
        <v>505</v>
      </c>
      <c r="C51" s="95">
        <v>7298</v>
      </c>
      <c r="D51" s="95">
        <v>6706</v>
      </c>
      <c r="E51" s="95">
        <v>14004</v>
      </c>
      <c r="F51" s="95">
        <v>192362640</v>
      </c>
      <c r="G51" s="95">
        <v>211814703</v>
      </c>
      <c r="H51" s="95">
        <v>404177343</v>
      </c>
      <c r="I51" s="91" t="s">
        <v>171</v>
      </c>
      <c r="J51" s="91" t="s">
        <v>1121</v>
      </c>
      <c r="K51" s="94">
        <v>122432</v>
      </c>
      <c r="L51" s="91" t="s">
        <v>249</v>
      </c>
      <c r="M51" s="2"/>
      <c r="N51" s="2"/>
      <c r="O51" s="4"/>
    </row>
    <row r="52" spans="1:15" x14ac:dyDescent="0.2">
      <c r="A52" s="91" t="s">
        <v>212</v>
      </c>
      <c r="B52" s="91" t="s">
        <v>531</v>
      </c>
      <c r="C52" s="95">
        <v>13553</v>
      </c>
      <c r="D52" s="95">
        <v>12850</v>
      </c>
      <c r="E52" s="95">
        <v>26403</v>
      </c>
      <c r="F52" s="95">
        <v>449582223</v>
      </c>
      <c r="G52" s="95">
        <v>494907479</v>
      </c>
      <c r="H52" s="95">
        <v>944489703</v>
      </c>
      <c r="I52" s="91" t="s">
        <v>171</v>
      </c>
      <c r="J52" s="91" t="s">
        <v>1121</v>
      </c>
      <c r="K52" s="94">
        <v>123679</v>
      </c>
      <c r="L52" s="91" t="s">
        <v>231</v>
      </c>
      <c r="M52" s="2"/>
      <c r="N52" s="2"/>
      <c r="O52" s="4"/>
    </row>
    <row r="53" spans="1:15" x14ac:dyDescent="0.2">
      <c r="A53" s="91" t="s">
        <v>173</v>
      </c>
      <c r="B53" s="91" t="s">
        <v>1098</v>
      </c>
      <c r="C53" s="95">
        <v>245</v>
      </c>
      <c r="D53" s="95">
        <v>840</v>
      </c>
      <c r="E53" s="95">
        <v>1085</v>
      </c>
      <c r="F53" s="95">
        <v>31672581</v>
      </c>
      <c r="G53" s="95">
        <v>130526233</v>
      </c>
      <c r="H53" s="95">
        <v>162198814</v>
      </c>
      <c r="I53" s="91" t="s">
        <v>171</v>
      </c>
      <c r="J53" s="91" t="s">
        <v>1118</v>
      </c>
      <c r="K53" s="94">
        <v>123968</v>
      </c>
      <c r="L53" s="91" t="s">
        <v>1054</v>
      </c>
      <c r="M53" s="2"/>
      <c r="N53" s="2"/>
      <c r="O53" s="4"/>
    </row>
    <row r="54" spans="1:15" x14ac:dyDescent="0.2">
      <c r="A54" s="91" t="s">
        <v>487</v>
      </c>
      <c r="B54" s="91" t="s">
        <v>983</v>
      </c>
      <c r="C54" s="95">
        <v>10</v>
      </c>
      <c r="D54" s="95">
        <v>25</v>
      </c>
      <c r="E54" s="95">
        <v>35</v>
      </c>
      <c r="F54" s="95">
        <v>181077</v>
      </c>
      <c r="G54" s="95">
        <v>531020</v>
      </c>
      <c r="H54" s="95">
        <v>712097</v>
      </c>
      <c r="I54" s="91" t="s">
        <v>71</v>
      </c>
      <c r="J54" s="91" t="s">
        <v>1121</v>
      </c>
      <c r="K54" s="94">
        <v>125799</v>
      </c>
      <c r="L54" s="91" t="s">
        <v>586</v>
      </c>
      <c r="M54" s="2"/>
      <c r="N54" s="2"/>
      <c r="O54" s="4"/>
    </row>
    <row r="55" spans="1:15" x14ac:dyDescent="0.2">
      <c r="A55" s="91" t="s">
        <v>697</v>
      </c>
      <c r="B55" s="91" t="s">
        <v>765</v>
      </c>
      <c r="C55" s="95">
        <v>772</v>
      </c>
      <c r="D55" s="95">
        <v>1310</v>
      </c>
      <c r="E55" s="95">
        <v>2082</v>
      </c>
      <c r="F55" s="95">
        <v>17555634</v>
      </c>
      <c r="G55" s="95">
        <v>37045019</v>
      </c>
      <c r="H55" s="95">
        <v>54600653</v>
      </c>
      <c r="I55" s="91" t="s">
        <v>71</v>
      </c>
      <c r="J55" s="91" t="s">
        <v>1121</v>
      </c>
      <c r="K55" s="94">
        <v>125856</v>
      </c>
      <c r="L55" s="91" t="s">
        <v>715</v>
      </c>
      <c r="M55" s="2"/>
      <c r="N55" s="2"/>
      <c r="O55" s="4"/>
    </row>
    <row r="56" spans="1:15" x14ac:dyDescent="0.2">
      <c r="A56" s="91" t="s">
        <v>383</v>
      </c>
      <c r="B56" s="91" t="s">
        <v>1037</v>
      </c>
      <c r="C56" s="95">
        <v>110</v>
      </c>
      <c r="D56" s="95">
        <v>230</v>
      </c>
      <c r="E56" s="95">
        <v>340</v>
      </c>
      <c r="F56" s="95">
        <v>3674135</v>
      </c>
      <c r="G56" s="95">
        <v>10693759</v>
      </c>
      <c r="H56" s="95">
        <v>14367894</v>
      </c>
      <c r="I56" s="91" t="s">
        <v>71</v>
      </c>
      <c r="J56" s="91" t="s">
        <v>1121</v>
      </c>
      <c r="K56" s="94">
        <v>127621</v>
      </c>
      <c r="L56" s="91" t="s">
        <v>1026</v>
      </c>
      <c r="M56" s="2"/>
      <c r="N56" s="2"/>
      <c r="O56" s="4"/>
    </row>
    <row r="57" spans="1:15" x14ac:dyDescent="0.2">
      <c r="A57" s="91" t="s">
        <v>173</v>
      </c>
      <c r="B57" s="91" t="s">
        <v>859</v>
      </c>
      <c r="C57" s="95">
        <v>25</v>
      </c>
      <c r="D57" s="95">
        <v>33</v>
      </c>
      <c r="E57" s="95">
        <v>58</v>
      </c>
      <c r="F57" s="95">
        <v>606606</v>
      </c>
      <c r="G57" s="95">
        <v>1325809</v>
      </c>
      <c r="H57" s="95">
        <v>1932414</v>
      </c>
      <c r="I57" s="91" t="s">
        <v>71</v>
      </c>
      <c r="J57" s="91" t="s">
        <v>1118</v>
      </c>
      <c r="K57" s="94">
        <v>131342</v>
      </c>
      <c r="L57" s="91" t="s">
        <v>415</v>
      </c>
      <c r="M57" s="2"/>
      <c r="N57" s="2"/>
      <c r="O57" s="4"/>
    </row>
    <row r="58" spans="1:15" x14ac:dyDescent="0.2">
      <c r="A58" s="91" t="s">
        <v>229</v>
      </c>
      <c r="B58" s="91" t="s">
        <v>287</v>
      </c>
      <c r="C58" s="95">
        <v>2359</v>
      </c>
      <c r="D58" s="95">
        <v>2150</v>
      </c>
      <c r="E58" s="95">
        <v>4509</v>
      </c>
      <c r="F58" s="95">
        <v>91384696</v>
      </c>
      <c r="G58" s="95">
        <v>98232232</v>
      </c>
      <c r="H58" s="95">
        <v>189616928</v>
      </c>
      <c r="I58" s="91" t="s">
        <v>71</v>
      </c>
      <c r="J58" s="91" t="s">
        <v>1122</v>
      </c>
      <c r="K58" s="94">
        <v>131409</v>
      </c>
      <c r="L58" s="91" t="s">
        <v>226</v>
      </c>
      <c r="M58" s="2"/>
      <c r="N58" s="2"/>
      <c r="O58" s="4"/>
    </row>
    <row r="59" spans="1:15" x14ac:dyDescent="0.2">
      <c r="A59" s="91" t="s">
        <v>266</v>
      </c>
      <c r="B59" s="91" t="s">
        <v>1097</v>
      </c>
      <c r="C59" s="95">
        <v>52</v>
      </c>
      <c r="D59" s="95">
        <v>114</v>
      </c>
      <c r="E59" s="95">
        <v>166</v>
      </c>
      <c r="F59" s="95">
        <v>2593571</v>
      </c>
      <c r="G59" s="95">
        <v>6387041</v>
      </c>
      <c r="H59" s="95">
        <v>8980612</v>
      </c>
      <c r="I59" s="91" t="s">
        <v>71</v>
      </c>
      <c r="J59" s="91" t="s">
        <v>1118</v>
      </c>
      <c r="K59" s="94">
        <v>133116</v>
      </c>
      <c r="L59" s="91" t="s">
        <v>368</v>
      </c>
      <c r="M59" s="2"/>
      <c r="N59" s="2"/>
      <c r="O59" s="4"/>
    </row>
    <row r="60" spans="1:15" x14ac:dyDescent="0.2">
      <c r="A60" s="91" t="s">
        <v>383</v>
      </c>
      <c r="B60" s="91" t="s">
        <v>382</v>
      </c>
      <c r="C60" s="95">
        <v>319</v>
      </c>
      <c r="D60" s="95">
        <v>352</v>
      </c>
      <c r="E60" s="95">
        <v>671</v>
      </c>
      <c r="F60" s="95">
        <v>10081642</v>
      </c>
      <c r="G60" s="95">
        <v>13143027</v>
      </c>
      <c r="H60" s="95">
        <v>23224670</v>
      </c>
      <c r="I60" s="91" t="s">
        <v>71</v>
      </c>
      <c r="J60" s="91" t="s">
        <v>1121</v>
      </c>
      <c r="K60" s="94">
        <v>133298</v>
      </c>
      <c r="L60" s="91" t="s">
        <v>242</v>
      </c>
      <c r="M60" s="2"/>
      <c r="N60" s="2"/>
      <c r="O60" s="4"/>
    </row>
    <row r="61" spans="1:15" x14ac:dyDescent="0.2">
      <c r="A61" s="91" t="s">
        <v>192</v>
      </c>
      <c r="B61" s="91" t="s">
        <v>292</v>
      </c>
      <c r="C61" s="95">
        <v>168</v>
      </c>
      <c r="D61" s="95">
        <v>167</v>
      </c>
      <c r="E61" s="95">
        <v>335</v>
      </c>
      <c r="F61" s="95">
        <v>6378494</v>
      </c>
      <c r="G61" s="95">
        <v>8008279</v>
      </c>
      <c r="H61" s="95">
        <v>14386773</v>
      </c>
      <c r="I61" s="91" t="s">
        <v>171</v>
      </c>
      <c r="J61" s="91" t="s">
        <v>1122</v>
      </c>
      <c r="K61" s="94">
        <v>134593</v>
      </c>
      <c r="L61" s="91" t="s">
        <v>293</v>
      </c>
      <c r="M61" s="2"/>
      <c r="N61" s="2"/>
      <c r="O61" s="4"/>
    </row>
    <row r="62" spans="1:15" x14ac:dyDescent="0.2">
      <c r="A62" s="91" t="s">
        <v>383</v>
      </c>
      <c r="B62" s="91" t="s">
        <v>1000</v>
      </c>
      <c r="C62" s="95">
        <v>2727</v>
      </c>
      <c r="D62" s="95">
        <v>3832</v>
      </c>
      <c r="E62" s="95">
        <v>6559</v>
      </c>
      <c r="F62" s="95">
        <v>45703487</v>
      </c>
      <c r="G62" s="95">
        <v>83694008</v>
      </c>
      <c r="H62" s="95">
        <v>129397495</v>
      </c>
      <c r="I62" s="91" t="s">
        <v>71</v>
      </c>
      <c r="J62" s="91" t="s">
        <v>1121</v>
      </c>
      <c r="K62" s="94">
        <v>135129</v>
      </c>
      <c r="L62" s="91" t="s">
        <v>770</v>
      </c>
      <c r="M62" s="2"/>
      <c r="N62" s="2"/>
      <c r="O62" s="4"/>
    </row>
    <row r="63" spans="1:15" x14ac:dyDescent="0.2">
      <c r="A63" s="91" t="s">
        <v>370</v>
      </c>
      <c r="B63" s="91" t="s">
        <v>670</v>
      </c>
      <c r="C63" s="95">
        <v>305</v>
      </c>
      <c r="D63" s="95">
        <v>376</v>
      </c>
      <c r="E63" s="95">
        <v>681</v>
      </c>
      <c r="F63" s="95">
        <v>8426712</v>
      </c>
      <c r="G63" s="95">
        <v>13883327</v>
      </c>
      <c r="H63" s="95">
        <v>22310039</v>
      </c>
      <c r="I63" s="91" t="s">
        <v>71</v>
      </c>
      <c r="J63" s="91" t="s">
        <v>1121</v>
      </c>
      <c r="K63" s="94">
        <v>136895</v>
      </c>
      <c r="L63" s="91" t="s">
        <v>616</v>
      </c>
      <c r="M63" s="2"/>
      <c r="N63" s="2"/>
      <c r="O63" s="4"/>
    </row>
    <row r="64" spans="1:15" x14ac:dyDescent="0.2">
      <c r="A64" s="91" t="s">
        <v>223</v>
      </c>
      <c r="B64" s="91" t="s">
        <v>654</v>
      </c>
      <c r="C64" s="95">
        <v>4</v>
      </c>
      <c r="D64" s="95">
        <v>14</v>
      </c>
      <c r="E64" s="95">
        <v>18</v>
      </c>
      <c r="F64" s="95">
        <v>135555</v>
      </c>
      <c r="G64" s="95">
        <v>406093</v>
      </c>
      <c r="H64" s="95">
        <v>541648</v>
      </c>
      <c r="I64" s="91" t="s">
        <v>71</v>
      </c>
      <c r="J64" s="91" t="s">
        <v>1122</v>
      </c>
      <c r="K64" s="94">
        <v>140434</v>
      </c>
      <c r="L64" s="91" t="s">
        <v>495</v>
      </c>
      <c r="M64" s="2"/>
      <c r="N64" s="2"/>
      <c r="O64" s="4"/>
    </row>
    <row r="65" spans="1:15" x14ac:dyDescent="0.2">
      <c r="A65" s="91" t="s">
        <v>410</v>
      </c>
      <c r="B65" s="91" t="s">
        <v>104</v>
      </c>
      <c r="C65" s="95">
        <v>17442</v>
      </c>
      <c r="D65" s="95">
        <v>24739</v>
      </c>
      <c r="E65" s="95">
        <v>42181</v>
      </c>
      <c r="F65" s="95">
        <v>892674637</v>
      </c>
      <c r="G65" s="95">
        <v>1460313598</v>
      </c>
      <c r="H65" s="95">
        <v>2352988234</v>
      </c>
      <c r="I65" s="91" t="s">
        <v>171</v>
      </c>
      <c r="J65" s="91" t="s">
        <v>1121</v>
      </c>
      <c r="K65" s="94">
        <v>140491</v>
      </c>
      <c r="L65" s="91" t="s">
        <v>445</v>
      </c>
      <c r="M65" s="2"/>
      <c r="N65" s="2"/>
      <c r="O65" s="4"/>
    </row>
    <row r="66" spans="1:15" x14ac:dyDescent="0.2">
      <c r="A66" s="91" t="s">
        <v>237</v>
      </c>
      <c r="B66" s="91" t="s">
        <v>236</v>
      </c>
      <c r="C66" s="95">
        <v>33446</v>
      </c>
      <c r="D66" s="95">
        <v>32573</v>
      </c>
      <c r="E66" s="95">
        <v>66019</v>
      </c>
      <c r="F66" s="95">
        <v>881590513</v>
      </c>
      <c r="G66" s="95">
        <v>1043862655</v>
      </c>
      <c r="H66" s="95">
        <v>1925453168</v>
      </c>
      <c r="I66" s="91" t="s">
        <v>171</v>
      </c>
      <c r="J66" s="91" t="s">
        <v>1121</v>
      </c>
      <c r="K66" s="94">
        <v>140673</v>
      </c>
      <c r="L66" s="91" t="s">
        <v>209</v>
      </c>
      <c r="M66" s="2"/>
      <c r="N66" s="2"/>
      <c r="O66" s="4"/>
    </row>
    <row r="67" spans="1:15" x14ac:dyDescent="0.2">
      <c r="A67" s="91" t="s">
        <v>260</v>
      </c>
      <c r="B67" s="91" t="s">
        <v>673</v>
      </c>
      <c r="C67" s="95">
        <v>616</v>
      </c>
      <c r="D67" s="95">
        <v>763</v>
      </c>
      <c r="E67" s="95">
        <v>1379</v>
      </c>
      <c r="F67" s="95">
        <v>19953717</v>
      </c>
      <c r="G67" s="95">
        <v>28930661</v>
      </c>
      <c r="H67" s="95">
        <v>48884378</v>
      </c>
      <c r="I67" s="91" t="s">
        <v>171</v>
      </c>
      <c r="J67" s="91" t="s">
        <v>1121</v>
      </c>
      <c r="K67" s="94">
        <v>144923</v>
      </c>
      <c r="L67" s="91" t="s">
        <v>247</v>
      </c>
      <c r="M67" s="2"/>
      <c r="N67" s="2"/>
      <c r="O67" s="4"/>
    </row>
    <row r="68" spans="1:15" x14ac:dyDescent="0.2">
      <c r="A68" s="91" t="s">
        <v>383</v>
      </c>
      <c r="B68" s="91" t="s">
        <v>692</v>
      </c>
      <c r="C68" s="95">
        <v>1344</v>
      </c>
      <c r="D68" s="95">
        <v>2015</v>
      </c>
      <c r="E68" s="95">
        <v>3359</v>
      </c>
      <c r="F68" s="95">
        <v>50513736</v>
      </c>
      <c r="G68" s="95">
        <v>96409089</v>
      </c>
      <c r="H68" s="95">
        <v>146922825</v>
      </c>
      <c r="I68" s="91" t="s">
        <v>71</v>
      </c>
      <c r="J68" s="91" t="s">
        <v>1121</v>
      </c>
      <c r="K68" s="94">
        <v>147348</v>
      </c>
      <c r="L68" s="91" t="s">
        <v>377</v>
      </c>
      <c r="M68" s="2"/>
      <c r="N68" s="2"/>
      <c r="O68" s="4"/>
    </row>
    <row r="69" spans="1:15" x14ac:dyDescent="0.2">
      <c r="A69" s="91" t="s">
        <v>310</v>
      </c>
      <c r="B69" s="91" t="s">
        <v>1078</v>
      </c>
      <c r="C69" s="95">
        <v>187</v>
      </c>
      <c r="D69" s="95">
        <v>405</v>
      </c>
      <c r="E69" s="95">
        <v>592</v>
      </c>
      <c r="F69" s="95">
        <v>5002264</v>
      </c>
      <c r="G69" s="95">
        <v>13600204</v>
      </c>
      <c r="H69" s="95">
        <v>18602468</v>
      </c>
      <c r="I69" s="91" t="s">
        <v>71</v>
      </c>
      <c r="J69" s="91" t="s">
        <v>1121</v>
      </c>
      <c r="K69" s="94">
        <v>150110</v>
      </c>
      <c r="L69" s="91" t="s">
        <v>763</v>
      </c>
      <c r="M69" s="2"/>
      <c r="N69" s="2"/>
      <c r="O69" s="4"/>
    </row>
    <row r="70" spans="1:15" x14ac:dyDescent="0.2">
      <c r="A70" s="91" t="s">
        <v>697</v>
      </c>
      <c r="B70" s="91" t="s">
        <v>696</v>
      </c>
      <c r="C70" s="95">
        <v>81</v>
      </c>
      <c r="D70" s="95">
        <v>117</v>
      </c>
      <c r="E70" s="95">
        <v>198</v>
      </c>
      <c r="F70" s="95">
        <v>2118906</v>
      </c>
      <c r="G70" s="95">
        <v>4475552</v>
      </c>
      <c r="H70" s="95">
        <v>6594458</v>
      </c>
      <c r="I70" s="91" t="s">
        <v>71</v>
      </c>
      <c r="J70" s="91" t="s">
        <v>1121</v>
      </c>
      <c r="K70" s="94">
        <v>151001</v>
      </c>
      <c r="L70" s="91" t="s">
        <v>682</v>
      </c>
      <c r="M70" s="2"/>
      <c r="N70" s="2"/>
      <c r="O70" s="4"/>
    </row>
    <row r="71" spans="1:15" x14ac:dyDescent="0.2">
      <c r="A71" s="91" t="s">
        <v>264</v>
      </c>
      <c r="B71" s="91" t="s">
        <v>711</v>
      </c>
      <c r="C71" s="95">
        <v>2142</v>
      </c>
      <c r="D71" s="95">
        <v>3250</v>
      </c>
      <c r="E71" s="95">
        <v>5392</v>
      </c>
      <c r="F71" s="95">
        <v>128673677</v>
      </c>
      <c r="G71" s="95">
        <v>215482080</v>
      </c>
      <c r="H71" s="95">
        <v>344155757</v>
      </c>
      <c r="I71" s="91" t="s">
        <v>171</v>
      </c>
      <c r="J71" s="91" t="s">
        <v>1121</v>
      </c>
      <c r="K71" s="94">
        <v>152181</v>
      </c>
      <c r="L71" s="91" t="s">
        <v>191</v>
      </c>
      <c r="M71" s="2"/>
      <c r="N71" s="2"/>
      <c r="O71" s="4"/>
    </row>
    <row r="72" spans="1:15" x14ac:dyDescent="0.2">
      <c r="A72" s="91" t="s">
        <v>408</v>
      </c>
      <c r="B72" s="91" t="s">
        <v>1137</v>
      </c>
      <c r="C72" s="95">
        <v>389</v>
      </c>
      <c r="D72" s="95">
        <v>656</v>
      </c>
      <c r="E72" s="95">
        <v>1045</v>
      </c>
      <c r="F72" s="95">
        <v>13395969</v>
      </c>
      <c r="G72" s="95">
        <v>29017555</v>
      </c>
      <c r="H72" s="95">
        <v>42413524</v>
      </c>
      <c r="I72" s="91" t="s">
        <v>71</v>
      </c>
      <c r="J72" s="91" t="s">
        <v>1121</v>
      </c>
      <c r="K72" s="94">
        <v>152652</v>
      </c>
      <c r="L72" s="91" t="s">
        <v>635</v>
      </c>
      <c r="M72" s="2"/>
      <c r="N72" s="2"/>
      <c r="O72" s="4"/>
    </row>
    <row r="73" spans="1:15" x14ac:dyDescent="0.2">
      <c r="A73" s="91" t="s">
        <v>265</v>
      </c>
      <c r="B73" s="91" t="s">
        <v>394</v>
      </c>
      <c r="C73" s="95">
        <v>10551</v>
      </c>
      <c r="D73" s="95">
        <v>4142</v>
      </c>
      <c r="E73" s="95">
        <v>14693</v>
      </c>
      <c r="F73" s="95">
        <v>743169889</v>
      </c>
      <c r="G73" s="95">
        <v>325985822</v>
      </c>
      <c r="H73" s="95">
        <v>1069155710</v>
      </c>
      <c r="I73" s="91" t="s">
        <v>171</v>
      </c>
      <c r="J73" s="91" t="s">
        <v>1121</v>
      </c>
      <c r="K73" s="94">
        <v>152835</v>
      </c>
      <c r="L73" s="91" t="s">
        <v>361</v>
      </c>
      <c r="M73" s="2"/>
      <c r="N73" s="2"/>
      <c r="O73" s="4"/>
    </row>
    <row r="74" spans="1:15" x14ac:dyDescent="0.2">
      <c r="A74" s="91" t="s">
        <v>379</v>
      </c>
      <c r="B74" s="91" t="s">
        <v>642</v>
      </c>
      <c r="C74" s="95">
        <v>1254</v>
      </c>
      <c r="D74" s="95">
        <v>2606</v>
      </c>
      <c r="E74" s="95">
        <v>3860</v>
      </c>
      <c r="F74" s="95">
        <v>38451785</v>
      </c>
      <c r="G74" s="95">
        <v>91464289</v>
      </c>
      <c r="H74" s="95">
        <v>129916074</v>
      </c>
      <c r="I74" s="91" t="s">
        <v>71</v>
      </c>
      <c r="J74" s="91" t="s">
        <v>1121</v>
      </c>
      <c r="K74" s="94">
        <v>153833</v>
      </c>
      <c r="L74" s="91" t="s">
        <v>431</v>
      </c>
      <c r="M74" s="2"/>
      <c r="N74" s="2"/>
      <c r="O74" s="4"/>
    </row>
    <row r="75" spans="1:15" x14ac:dyDescent="0.2">
      <c r="A75" s="91" t="s">
        <v>383</v>
      </c>
      <c r="B75" s="91" t="s">
        <v>779</v>
      </c>
      <c r="C75" s="95">
        <v>179</v>
      </c>
      <c r="D75" s="95">
        <v>344</v>
      </c>
      <c r="E75" s="95">
        <v>523</v>
      </c>
      <c r="F75" s="95">
        <v>3240339</v>
      </c>
      <c r="G75" s="95">
        <v>9234439</v>
      </c>
      <c r="H75" s="95">
        <v>12474778</v>
      </c>
      <c r="I75" s="91" t="s">
        <v>171</v>
      </c>
      <c r="J75" s="91" t="s">
        <v>1121</v>
      </c>
      <c r="K75" s="94">
        <v>154369</v>
      </c>
      <c r="L75" s="91" t="s">
        <v>538</v>
      </c>
      <c r="M75" s="2"/>
      <c r="N75" s="2"/>
      <c r="O75" s="4"/>
    </row>
    <row r="76" spans="1:15" x14ac:dyDescent="0.2">
      <c r="A76" s="91" t="s">
        <v>260</v>
      </c>
      <c r="B76" s="91" t="s">
        <v>783</v>
      </c>
      <c r="C76" s="95">
        <v>394</v>
      </c>
      <c r="D76" s="95">
        <v>495</v>
      </c>
      <c r="E76" s="95">
        <v>889</v>
      </c>
      <c r="F76" s="95">
        <v>10934762</v>
      </c>
      <c r="G76" s="95">
        <v>16213659</v>
      </c>
      <c r="H76" s="95">
        <v>27148421</v>
      </c>
      <c r="I76" s="91" t="s">
        <v>71</v>
      </c>
      <c r="J76" s="91" t="s">
        <v>1121</v>
      </c>
      <c r="K76" s="94">
        <v>155259</v>
      </c>
      <c r="L76" s="91" t="s">
        <v>580</v>
      </c>
      <c r="M76" s="2"/>
      <c r="N76" s="2"/>
      <c r="O76" s="4"/>
    </row>
    <row r="77" spans="1:15" x14ac:dyDescent="0.2">
      <c r="A77" s="91" t="s">
        <v>173</v>
      </c>
      <c r="B77" s="91" t="s">
        <v>501</v>
      </c>
      <c r="C77" s="95">
        <v>4874</v>
      </c>
      <c r="D77" s="95">
        <v>3538</v>
      </c>
      <c r="E77" s="95">
        <v>8412</v>
      </c>
      <c r="F77" s="95">
        <v>520517944</v>
      </c>
      <c r="G77" s="95">
        <v>436749123</v>
      </c>
      <c r="H77" s="95">
        <v>957267068</v>
      </c>
      <c r="I77" s="91" t="s">
        <v>71</v>
      </c>
      <c r="J77" s="91" t="s">
        <v>1118</v>
      </c>
      <c r="K77" s="94">
        <v>155606</v>
      </c>
      <c r="L77" s="91" t="s">
        <v>368</v>
      </c>
      <c r="M77" s="2"/>
      <c r="N77" s="2"/>
      <c r="O77" s="4"/>
    </row>
    <row r="78" spans="1:15" x14ac:dyDescent="0.2">
      <c r="A78" s="91" t="s">
        <v>260</v>
      </c>
      <c r="B78" s="91" t="s">
        <v>709</v>
      </c>
      <c r="C78" s="95">
        <v>202</v>
      </c>
      <c r="D78" s="95">
        <v>276</v>
      </c>
      <c r="E78" s="95">
        <v>478</v>
      </c>
      <c r="F78" s="95">
        <v>5727392</v>
      </c>
      <c r="G78" s="95">
        <v>9494054</v>
      </c>
      <c r="H78" s="95">
        <v>15221446</v>
      </c>
      <c r="I78" s="91" t="s">
        <v>71</v>
      </c>
      <c r="J78" s="91" t="s">
        <v>1121</v>
      </c>
      <c r="K78" s="94">
        <v>155788</v>
      </c>
      <c r="L78" s="91" t="s">
        <v>616</v>
      </c>
      <c r="M78" s="2"/>
      <c r="N78" s="2"/>
      <c r="O78" s="4"/>
    </row>
    <row r="79" spans="1:15" x14ac:dyDescent="0.2">
      <c r="A79" s="91" t="s">
        <v>173</v>
      </c>
      <c r="B79" s="91" t="s">
        <v>1040</v>
      </c>
      <c r="C79" s="95">
        <v>1197</v>
      </c>
      <c r="D79" s="95">
        <v>1548</v>
      </c>
      <c r="E79" s="95">
        <v>2745</v>
      </c>
      <c r="F79" s="95">
        <v>106390140</v>
      </c>
      <c r="G79" s="95">
        <v>141093703</v>
      </c>
      <c r="H79" s="95">
        <v>247483843</v>
      </c>
      <c r="I79" s="91" t="s">
        <v>171</v>
      </c>
      <c r="J79" s="91" t="s">
        <v>1118</v>
      </c>
      <c r="K79" s="94">
        <v>156315</v>
      </c>
      <c r="L79" s="91" t="s">
        <v>661</v>
      </c>
      <c r="M79" s="2"/>
      <c r="N79" s="2"/>
      <c r="O79" s="4"/>
    </row>
    <row r="80" spans="1:15" x14ac:dyDescent="0.2">
      <c r="A80" s="91" t="s">
        <v>383</v>
      </c>
      <c r="B80" s="91" t="s">
        <v>721</v>
      </c>
      <c r="C80" s="95">
        <v>46</v>
      </c>
      <c r="D80" s="95">
        <v>51</v>
      </c>
      <c r="E80" s="95">
        <v>97</v>
      </c>
      <c r="F80" s="95">
        <v>1599901</v>
      </c>
      <c r="G80" s="95">
        <v>1802509</v>
      </c>
      <c r="H80" s="95">
        <v>3402410</v>
      </c>
      <c r="I80" s="91" t="s">
        <v>71</v>
      </c>
      <c r="J80" s="91" t="s">
        <v>1121</v>
      </c>
      <c r="K80" s="94">
        <v>157438</v>
      </c>
      <c r="L80" s="91" t="s">
        <v>722</v>
      </c>
      <c r="M80" s="2"/>
      <c r="N80" s="2"/>
      <c r="O80" s="4"/>
    </row>
    <row r="81" spans="1:15" x14ac:dyDescent="0.2">
      <c r="A81" s="91" t="s">
        <v>264</v>
      </c>
      <c r="B81" s="91" t="s">
        <v>479</v>
      </c>
      <c r="C81" s="95">
        <v>7976</v>
      </c>
      <c r="D81" s="95">
        <v>7854</v>
      </c>
      <c r="E81" s="95">
        <v>15830</v>
      </c>
      <c r="F81" s="95">
        <v>386301978</v>
      </c>
      <c r="G81" s="95">
        <v>473157271</v>
      </c>
      <c r="H81" s="95">
        <v>859459249</v>
      </c>
      <c r="I81" s="91" t="s">
        <v>171</v>
      </c>
      <c r="J81" s="91" t="s">
        <v>1121</v>
      </c>
      <c r="K81" s="94">
        <v>158261</v>
      </c>
      <c r="L81" s="91" t="s">
        <v>249</v>
      </c>
      <c r="M81" s="2"/>
      <c r="N81" s="2"/>
      <c r="O81" s="4"/>
    </row>
    <row r="82" spans="1:15" x14ac:dyDescent="0.2">
      <c r="A82" s="91" t="s">
        <v>239</v>
      </c>
      <c r="B82" s="91" t="s">
        <v>812</v>
      </c>
      <c r="C82" s="95">
        <v>523</v>
      </c>
      <c r="D82" s="95">
        <v>748</v>
      </c>
      <c r="E82" s="95">
        <v>1271</v>
      </c>
      <c r="F82" s="95">
        <v>15777557</v>
      </c>
      <c r="G82" s="95">
        <v>30207780</v>
      </c>
      <c r="H82" s="95">
        <v>45985337</v>
      </c>
      <c r="I82" s="91" t="s">
        <v>71</v>
      </c>
      <c r="J82" s="91" t="s">
        <v>1121</v>
      </c>
      <c r="K82" s="94">
        <v>159442</v>
      </c>
      <c r="L82" s="91" t="s">
        <v>768</v>
      </c>
      <c r="M82" s="2"/>
      <c r="N82" s="2"/>
      <c r="O82" s="4"/>
    </row>
    <row r="83" spans="1:15" x14ac:dyDescent="0.2">
      <c r="A83" s="91" t="s">
        <v>173</v>
      </c>
      <c r="B83" s="91" t="s">
        <v>1085</v>
      </c>
      <c r="C83" s="95">
        <v>846</v>
      </c>
      <c r="D83" s="95">
        <v>1570</v>
      </c>
      <c r="E83" s="95">
        <v>2416</v>
      </c>
      <c r="F83" s="95">
        <v>104353235</v>
      </c>
      <c r="G83" s="95">
        <v>228226265</v>
      </c>
      <c r="H83" s="95">
        <v>332579500</v>
      </c>
      <c r="I83" s="91" t="s">
        <v>171</v>
      </c>
      <c r="J83" s="91" t="s">
        <v>1118</v>
      </c>
      <c r="K83" s="94">
        <v>159798</v>
      </c>
      <c r="L83" s="91" t="s">
        <v>1054</v>
      </c>
      <c r="M83" s="2"/>
      <c r="N83" s="2"/>
      <c r="O83" s="4"/>
    </row>
    <row r="84" spans="1:15" x14ac:dyDescent="0.2">
      <c r="A84" s="91" t="s">
        <v>413</v>
      </c>
      <c r="B84" s="91" t="s">
        <v>856</v>
      </c>
      <c r="C84" s="95">
        <v>10</v>
      </c>
      <c r="D84" s="95">
        <v>16</v>
      </c>
      <c r="E84" s="95">
        <v>26</v>
      </c>
      <c r="F84" s="95">
        <v>335894</v>
      </c>
      <c r="G84" s="95">
        <v>784229</v>
      </c>
      <c r="H84" s="95">
        <v>1120124</v>
      </c>
      <c r="I84" s="91" t="s">
        <v>71</v>
      </c>
      <c r="J84" s="91" t="s">
        <v>1121</v>
      </c>
      <c r="K84" s="94">
        <v>161620</v>
      </c>
      <c r="L84" s="91" t="s">
        <v>586</v>
      </c>
      <c r="M84" s="2"/>
      <c r="N84" s="2"/>
      <c r="O84" s="4"/>
    </row>
    <row r="85" spans="1:15" x14ac:dyDescent="0.2">
      <c r="A85" s="91" t="s">
        <v>379</v>
      </c>
      <c r="B85" s="91" t="s">
        <v>976</v>
      </c>
      <c r="C85" s="95">
        <v>14</v>
      </c>
      <c r="D85" s="95">
        <v>37</v>
      </c>
      <c r="E85" s="95">
        <v>51</v>
      </c>
      <c r="F85" s="95">
        <v>410603</v>
      </c>
      <c r="G85" s="95">
        <v>1037176</v>
      </c>
      <c r="H85" s="95">
        <v>1447779</v>
      </c>
      <c r="I85" s="91" t="s">
        <v>71</v>
      </c>
      <c r="J85" s="91" t="s">
        <v>1121</v>
      </c>
      <c r="K85" s="94">
        <v>161687</v>
      </c>
      <c r="L85" s="91" t="s">
        <v>715</v>
      </c>
      <c r="M85" s="2"/>
      <c r="N85" s="2"/>
      <c r="O85" s="4"/>
    </row>
    <row r="86" spans="1:15" x14ac:dyDescent="0.2">
      <c r="A86" s="91" t="s">
        <v>310</v>
      </c>
      <c r="B86" s="91" t="s">
        <v>971</v>
      </c>
      <c r="C86" s="95">
        <v>174</v>
      </c>
      <c r="D86" s="95">
        <v>288</v>
      </c>
      <c r="E86" s="95">
        <v>462</v>
      </c>
      <c r="F86" s="95">
        <v>5152125</v>
      </c>
      <c r="G86" s="95">
        <v>10910762</v>
      </c>
      <c r="H86" s="95">
        <v>16062887</v>
      </c>
      <c r="I86" s="91" t="s">
        <v>71</v>
      </c>
      <c r="J86" s="91" t="s">
        <v>1121</v>
      </c>
      <c r="K86" s="94">
        <v>166173</v>
      </c>
      <c r="L86" s="91" t="s">
        <v>715</v>
      </c>
      <c r="M86" s="2"/>
      <c r="N86" s="2"/>
      <c r="O86" s="4"/>
    </row>
    <row r="87" spans="1:15" x14ac:dyDescent="0.2">
      <c r="A87" s="91" t="s">
        <v>179</v>
      </c>
      <c r="B87" s="91" t="s">
        <v>177</v>
      </c>
      <c r="C87" s="95">
        <v>1455</v>
      </c>
      <c r="D87" s="95">
        <v>1006</v>
      </c>
      <c r="E87" s="95">
        <v>2461</v>
      </c>
      <c r="F87" s="95">
        <v>111992626</v>
      </c>
      <c r="G87" s="95">
        <v>85776023</v>
      </c>
      <c r="H87" s="95">
        <v>197768649</v>
      </c>
      <c r="I87" s="91" t="s">
        <v>71</v>
      </c>
      <c r="J87" s="91" t="s">
        <v>1115</v>
      </c>
      <c r="K87" s="94">
        <v>167114</v>
      </c>
      <c r="L87" s="91" t="s">
        <v>178</v>
      </c>
      <c r="M87" s="2"/>
      <c r="N87" s="2"/>
      <c r="O87" s="4"/>
    </row>
    <row r="88" spans="1:15" x14ac:dyDescent="0.2">
      <c r="A88" s="91" t="s">
        <v>383</v>
      </c>
      <c r="B88" s="91" t="s">
        <v>703</v>
      </c>
      <c r="C88" s="95">
        <v>35</v>
      </c>
      <c r="D88" s="95">
        <v>36</v>
      </c>
      <c r="E88" s="95">
        <v>71</v>
      </c>
      <c r="F88" s="95">
        <v>1466695</v>
      </c>
      <c r="G88" s="95">
        <v>1356071</v>
      </c>
      <c r="H88" s="95">
        <v>2822766</v>
      </c>
      <c r="I88" s="91" t="s">
        <v>71</v>
      </c>
      <c r="J88" s="91" t="s">
        <v>1121</v>
      </c>
      <c r="K88" s="94">
        <v>167171</v>
      </c>
      <c r="L88" s="91" t="s">
        <v>415</v>
      </c>
      <c r="M88" s="2"/>
      <c r="N88" s="2"/>
      <c r="O88" s="4"/>
    </row>
    <row r="89" spans="1:15" x14ac:dyDescent="0.2">
      <c r="A89" s="91" t="s">
        <v>379</v>
      </c>
      <c r="B89" s="91" t="s">
        <v>485</v>
      </c>
      <c r="C89" s="95">
        <v>3047</v>
      </c>
      <c r="D89" s="95">
        <v>4229</v>
      </c>
      <c r="E89" s="95">
        <v>7276</v>
      </c>
      <c r="F89" s="95">
        <v>68937927</v>
      </c>
      <c r="G89" s="95">
        <v>122577541</v>
      </c>
      <c r="H89" s="95">
        <v>191515468</v>
      </c>
      <c r="I89" s="91" t="s">
        <v>71</v>
      </c>
      <c r="J89" s="91" t="s">
        <v>1121</v>
      </c>
      <c r="K89" s="94">
        <v>167239</v>
      </c>
      <c r="L89" s="91" t="s">
        <v>226</v>
      </c>
      <c r="M89" s="2"/>
      <c r="N89" s="2"/>
      <c r="O89" s="4"/>
    </row>
    <row r="90" spans="1:15" x14ac:dyDescent="0.2">
      <c r="A90" s="91" t="s">
        <v>310</v>
      </c>
      <c r="B90" s="91" t="s">
        <v>955</v>
      </c>
      <c r="C90" s="95">
        <v>513</v>
      </c>
      <c r="D90" s="95">
        <v>758</v>
      </c>
      <c r="E90" s="95">
        <v>1271</v>
      </c>
      <c r="F90" s="95">
        <v>14603944</v>
      </c>
      <c r="G90" s="95">
        <v>29128887</v>
      </c>
      <c r="H90" s="95">
        <v>43732830</v>
      </c>
      <c r="I90" s="91" t="s">
        <v>71</v>
      </c>
      <c r="J90" s="91" t="s">
        <v>1121</v>
      </c>
      <c r="K90" s="94">
        <v>169060</v>
      </c>
      <c r="L90" s="91" t="s">
        <v>715</v>
      </c>
      <c r="M90" s="2"/>
      <c r="N90" s="2"/>
      <c r="O90" s="4"/>
    </row>
    <row r="91" spans="1:15" x14ac:dyDescent="0.2">
      <c r="A91" s="91" t="s">
        <v>264</v>
      </c>
      <c r="B91" s="91" t="s">
        <v>833</v>
      </c>
      <c r="C91" s="95">
        <v>837</v>
      </c>
      <c r="D91" s="95">
        <v>1056</v>
      </c>
      <c r="E91" s="95">
        <v>1893</v>
      </c>
      <c r="F91" s="95">
        <v>34308227</v>
      </c>
      <c r="G91" s="95">
        <v>52107810</v>
      </c>
      <c r="H91" s="95">
        <v>86416037</v>
      </c>
      <c r="I91" s="91" t="s">
        <v>171</v>
      </c>
      <c r="J91" s="91" t="s">
        <v>1121</v>
      </c>
      <c r="K91" s="94">
        <v>170423</v>
      </c>
      <c r="L91" s="91" t="s">
        <v>293</v>
      </c>
      <c r="M91" s="2"/>
      <c r="N91" s="2"/>
      <c r="O91" s="4"/>
    </row>
    <row r="92" spans="1:15" x14ac:dyDescent="0.2">
      <c r="A92" s="91" t="s">
        <v>383</v>
      </c>
      <c r="B92" s="91" t="s">
        <v>900</v>
      </c>
      <c r="C92" s="95">
        <v>1602</v>
      </c>
      <c r="D92" s="95">
        <v>2782</v>
      </c>
      <c r="E92" s="95">
        <v>4384</v>
      </c>
      <c r="F92" s="95">
        <v>54583724</v>
      </c>
      <c r="G92" s="95">
        <v>121696378</v>
      </c>
      <c r="H92" s="95">
        <v>176280102</v>
      </c>
      <c r="I92" s="91" t="s">
        <v>71</v>
      </c>
      <c r="J92" s="91" t="s">
        <v>1121</v>
      </c>
      <c r="K92" s="94">
        <v>170894</v>
      </c>
      <c r="L92" s="91" t="s">
        <v>746</v>
      </c>
      <c r="M92" s="2"/>
      <c r="N92" s="2"/>
      <c r="O92" s="4"/>
    </row>
    <row r="93" spans="1:15" x14ac:dyDescent="0.2">
      <c r="A93" s="91" t="s">
        <v>410</v>
      </c>
      <c r="B93" s="91" t="s">
        <v>1154</v>
      </c>
      <c r="C93" s="95">
        <v>282</v>
      </c>
      <c r="D93" s="95">
        <v>310</v>
      </c>
      <c r="E93" s="95">
        <v>592</v>
      </c>
      <c r="F93" s="95">
        <v>6855960</v>
      </c>
      <c r="G93" s="95">
        <v>10183385</v>
      </c>
      <c r="H93" s="95">
        <v>17039345</v>
      </c>
      <c r="I93" s="91" t="s">
        <v>71</v>
      </c>
      <c r="J93" s="91" t="s">
        <v>1121</v>
      </c>
      <c r="K93" s="94">
        <v>170951</v>
      </c>
      <c r="L93" s="91" t="s">
        <v>362</v>
      </c>
      <c r="M93" s="2"/>
      <c r="N93" s="2"/>
      <c r="O93" s="4"/>
    </row>
    <row r="94" spans="1:15" x14ac:dyDescent="0.2">
      <c r="A94" s="91" t="s">
        <v>173</v>
      </c>
      <c r="B94" s="91" t="s">
        <v>905</v>
      </c>
      <c r="C94" s="95">
        <v>585</v>
      </c>
      <c r="D94" s="95">
        <v>896</v>
      </c>
      <c r="E94" s="95">
        <v>1481</v>
      </c>
      <c r="F94" s="95">
        <v>103221649</v>
      </c>
      <c r="G94" s="95">
        <v>173926592</v>
      </c>
      <c r="H94" s="95">
        <v>277148241</v>
      </c>
      <c r="I94" s="91" t="s">
        <v>171</v>
      </c>
      <c r="J94" s="91" t="s">
        <v>1118</v>
      </c>
      <c r="K94" s="94">
        <v>172601</v>
      </c>
      <c r="L94" s="91" t="s">
        <v>906</v>
      </c>
      <c r="M94" s="2"/>
      <c r="N94" s="2"/>
      <c r="O94" s="4"/>
    </row>
    <row r="95" spans="1:15" x14ac:dyDescent="0.2">
      <c r="A95" s="91" t="s">
        <v>223</v>
      </c>
      <c r="B95" s="91" t="s">
        <v>854</v>
      </c>
      <c r="C95" s="95">
        <v>451</v>
      </c>
      <c r="D95" s="95">
        <v>576</v>
      </c>
      <c r="E95" s="95">
        <v>1027</v>
      </c>
      <c r="F95" s="95">
        <v>12154197</v>
      </c>
      <c r="G95" s="95">
        <v>23277427</v>
      </c>
      <c r="H95" s="95">
        <v>35431624</v>
      </c>
      <c r="I95" s="91" t="s">
        <v>71</v>
      </c>
      <c r="J95" s="91" t="s">
        <v>1122</v>
      </c>
      <c r="K95" s="94">
        <v>173435</v>
      </c>
      <c r="L95" s="91" t="s">
        <v>454</v>
      </c>
      <c r="M95" s="2"/>
      <c r="N95" s="2"/>
      <c r="O95" s="4"/>
    </row>
    <row r="96" spans="1:15" x14ac:dyDescent="0.2">
      <c r="A96" s="91" t="s">
        <v>245</v>
      </c>
      <c r="B96" s="91" t="s">
        <v>665</v>
      </c>
      <c r="C96" s="95">
        <v>2200</v>
      </c>
      <c r="D96" s="95">
        <v>3176</v>
      </c>
      <c r="E96" s="95">
        <v>5376</v>
      </c>
      <c r="F96" s="95">
        <v>83549808</v>
      </c>
      <c r="G96" s="95">
        <v>145388056</v>
      </c>
      <c r="H96" s="95">
        <v>228937864</v>
      </c>
      <c r="I96" s="91" t="s">
        <v>71</v>
      </c>
      <c r="J96" s="91" t="s">
        <v>1121</v>
      </c>
      <c r="K96" s="94">
        <v>174086</v>
      </c>
      <c r="L96" s="91" t="s">
        <v>616</v>
      </c>
      <c r="M96" s="2"/>
      <c r="N96" s="2"/>
      <c r="O96" s="4"/>
    </row>
    <row r="97" spans="1:15" x14ac:dyDescent="0.2">
      <c r="A97" s="91" t="s">
        <v>487</v>
      </c>
      <c r="B97" s="91" t="s">
        <v>1113</v>
      </c>
      <c r="C97" s="95">
        <v>21</v>
      </c>
      <c r="D97" s="95">
        <v>40</v>
      </c>
      <c r="E97" s="95">
        <v>61</v>
      </c>
      <c r="F97" s="95">
        <v>617815</v>
      </c>
      <c r="G97" s="95">
        <v>1103889</v>
      </c>
      <c r="H97" s="95">
        <v>1721705</v>
      </c>
      <c r="I97" s="91" t="s">
        <v>71</v>
      </c>
      <c r="J97" s="91" t="s">
        <v>1121</v>
      </c>
      <c r="K97" s="94">
        <v>174433</v>
      </c>
      <c r="L97" s="91" t="s">
        <v>1110</v>
      </c>
      <c r="M97" s="2"/>
      <c r="N97" s="2"/>
      <c r="O97" s="4"/>
    </row>
    <row r="98" spans="1:15" x14ac:dyDescent="0.2">
      <c r="A98" s="91" t="s">
        <v>239</v>
      </c>
      <c r="B98" s="91" t="s">
        <v>872</v>
      </c>
      <c r="C98" s="95">
        <v>2981</v>
      </c>
      <c r="D98" s="95">
        <v>3879</v>
      </c>
      <c r="E98" s="95">
        <v>6860</v>
      </c>
      <c r="F98" s="95">
        <v>48115385</v>
      </c>
      <c r="G98" s="95">
        <v>81625186</v>
      </c>
      <c r="H98" s="95">
        <v>129740571</v>
      </c>
      <c r="I98" s="91" t="s">
        <v>71</v>
      </c>
      <c r="J98" s="91" t="s">
        <v>1121</v>
      </c>
      <c r="K98" s="94">
        <v>174490</v>
      </c>
      <c r="L98" s="91" t="s">
        <v>715</v>
      </c>
      <c r="M98" s="2"/>
      <c r="N98" s="2"/>
      <c r="O98" s="4"/>
    </row>
    <row r="99" spans="1:15" x14ac:dyDescent="0.2">
      <c r="A99" s="91" t="s">
        <v>471</v>
      </c>
      <c r="B99" s="91" t="s">
        <v>685</v>
      </c>
      <c r="C99" s="95">
        <v>362</v>
      </c>
      <c r="D99" s="95">
        <v>503</v>
      </c>
      <c r="E99" s="95">
        <v>865</v>
      </c>
      <c r="F99" s="95">
        <v>8004237</v>
      </c>
      <c r="G99" s="95">
        <v>14111106</v>
      </c>
      <c r="H99" s="95">
        <v>22115343</v>
      </c>
      <c r="I99" s="91" t="s">
        <v>71</v>
      </c>
      <c r="J99" s="91" t="s">
        <v>1121</v>
      </c>
      <c r="K99" s="94">
        <v>174672</v>
      </c>
      <c r="L99" s="91" t="s">
        <v>616</v>
      </c>
      <c r="M99" s="2"/>
      <c r="N99" s="2"/>
      <c r="O99" s="4"/>
    </row>
    <row r="100" spans="1:15" x14ac:dyDescent="0.2">
      <c r="A100" s="91" t="s">
        <v>212</v>
      </c>
      <c r="B100" s="91" t="s">
        <v>857</v>
      </c>
      <c r="C100" s="95">
        <v>147</v>
      </c>
      <c r="D100" s="95">
        <v>180</v>
      </c>
      <c r="E100" s="95">
        <v>327</v>
      </c>
      <c r="F100" s="95">
        <v>4805561</v>
      </c>
      <c r="G100" s="95">
        <v>6729872</v>
      </c>
      <c r="H100" s="95">
        <v>11535433</v>
      </c>
      <c r="I100" s="91" t="s">
        <v>71</v>
      </c>
      <c r="J100" s="91" t="s">
        <v>1121</v>
      </c>
      <c r="K100" s="94">
        <v>175265</v>
      </c>
      <c r="L100" s="91" t="s">
        <v>777</v>
      </c>
      <c r="M100" s="2"/>
      <c r="N100" s="2"/>
      <c r="O100" s="4"/>
    </row>
    <row r="101" spans="1:15" x14ac:dyDescent="0.2">
      <c r="A101" s="91" t="s">
        <v>265</v>
      </c>
      <c r="B101" s="91" t="s">
        <v>423</v>
      </c>
      <c r="C101" s="95">
        <v>12883</v>
      </c>
      <c r="D101" s="95">
        <v>11600</v>
      </c>
      <c r="E101" s="95">
        <v>24483</v>
      </c>
      <c r="F101" s="95">
        <v>499079815</v>
      </c>
      <c r="G101" s="95">
        <v>549537113</v>
      </c>
      <c r="H101" s="95">
        <v>1048616927</v>
      </c>
      <c r="I101" s="91" t="s">
        <v>171</v>
      </c>
      <c r="J101" s="91" t="s">
        <v>1121</v>
      </c>
      <c r="K101" s="94">
        <v>175919</v>
      </c>
      <c r="L101" s="91" t="s">
        <v>200</v>
      </c>
      <c r="M101" s="2"/>
      <c r="N101" s="2"/>
      <c r="O101" s="4"/>
    </row>
    <row r="102" spans="1:15" x14ac:dyDescent="0.2">
      <c r="A102" s="91" t="s">
        <v>239</v>
      </c>
      <c r="B102" s="91" t="s">
        <v>238</v>
      </c>
      <c r="C102" s="95">
        <v>6937</v>
      </c>
      <c r="D102" s="95">
        <v>9914</v>
      </c>
      <c r="E102" s="95">
        <v>16851</v>
      </c>
      <c r="F102" s="95">
        <v>133139504</v>
      </c>
      <c r="G102" s="95">
        <v>238443966</v>
      </c>
      <c r="H102" s="95">
        <v>371583470</v>
      </c>
      <c r="I102" s="91" t="s">
        <v>171</v>
      </c>
      <c r="J102" s="91" t="s">
        <v>1121</v>
      </c>
      <c r="K102" s="94">
        <v>176503</v>
      </c>
      <c r="L102" s="91" t="s">
        <v>209</v>
      </c>
      <c r="M102" s="2"/>
      <c r="N102" s="2"/>
      <c r="O102" s="4"/>
    </row>
    <row r="103" spans="1:15" x14ac:dyDescent="0.2">
      <c r="A103" s="91" t="s">
        <v>188</v>
      </c>
      <c r="B103" s="91" t="s">
        <v>227</v>
      </c>
      <c r="C103" s="95">
        <v>1421</v>
      </c>
      <c r="D103" s="95">
        <v>1437</v>
      </c>
      <c r="E103" s="95">
        <v>2858</v>
      </c>
      <c r="F103" s="95">
        <v>43162704</v>
      </c>
      <c r="G103" s="95">
        <v>55546901</v>
      </c>
      <c r="H103" s="95">
        <v>98709605</v>
      </c>
      <c r="I103" s="91" t="s">
        <v>171</v>
      </c>
      <c r="J103" s="91" t="s">
        <v>1122</v>
      </c>
      <c r="K103" s="94">
        <v>178335</v>
      </c>
      <c r="L103" s="91" t="s">
        <v>221</v>
      </c>
      <c r="M103" s="2"/>
      <c r="N103" s="2"/>
      <c r="O103" s="4"/>
    </row>
    <row r="104" spans="1:15" x14ac:dyDescent="0.2">
      <c r="A104" s="91" t="s">
        <v>310</v>
      </c>
      <c r="B104" s="91" t="s">
        <v>879</v>
      </c>
      <c r="C104" s="95">
        <v>1161</v>
      </c>
      <c r="D104" s="95">
        <v>1845</v>
      </c>
      <c r="E104" s="95">
        <v>3006</v>
      </c>
      <c r="F104" s="95">
        <v>38855528</v>
      </c>
      <c r="G104" s="95">
        <v>74968678</v>
      </c>
      <c r="H104" s="95">
        <v>113824206</v>
      </c>
      <c r="I104" s="91" t="s">
        <v>71</v>
      </c>
      <c r="J104" s="91" t="s">
        <v>1121</v>
      </c>
      <c r="K104" s="94">
        <v>178624</v>
      </c>
      <c r="L104" s="91" t="s">
        <v>880</v>
      </c>
      <c r="M104" s="2"/>
      <c r="N104" s="2"/>
      <c r="O104" s="4"/>
    </row>
    <row r="105" spans="1:15" x14ac:dyDescent="0.2">
      <c r="A105" s="91" t="s">
        <v>245</v>
      </c>
      <c r="B105" s="91" t="s">
        <v>388</v>
      </c>
      <c r="C105" s="95">
        <v>6034</v>
      </c>
      <c r="D105" s="95">
        <v>7132</v>
      </c>
      <c r="E105" s="95">
        <v>13166</v>
      </c>
      <c r="F105" s="95">
        <v>247141190</v>
      </c>
      <c r="G105" s="95">
        <v>359491529</v>
      </c>
      <c r="H105" s="95">
        <v>606632720</v>
      </c>
      <c r="I105" s="91" t="s">
        <v>71</v>
      </c>
      <c r="J105" s="91" t="s">
        <v>1121</v>
      </c>
      <c r="K105" s="94">
        <v>182287</v>
      </c>
      <c r="L105" s="91" t="s">
        <v>226</v>
      </c>
      <c r="M105" s="2"/>
      <c r="N105" s="2"/>
      <c r="O105" s="4"/>
    </row>
    <row r="106" spans="1:15" x14ac:dyDescent="0.2">
      <c r="A106" s="91" t="s">
        <v>383</v>
      </c>
      <c r="B106" s="91" t="s">
        <v>868</v>
      </c>
      <c r="C106" s="95">
        <v>1287</v>
      </c>
      <c r="D106" s="95">
        <v>1471</v>
      </c>
      <c r="E106" s="95">
        <v>2758</v>
      </c>
      <c r="F106" s="95">
        <v>50882804</v>
      </c>
      <c r="G106" s="95">
        <v>67515154</v>
      </c>
      <c r="H106" s="95">
        <v>118397958</v>
      </c>
      <c r="I106" s="91" t="s">
        <v>71</v>
      </c>
      <c r="J106" s="91" t="s">
        <v>1121</v>
      </c>
      <c r="K106" s="94">
        <v>182584</v>
      </c>
      <c r="L106" s="91" t="s">
        <v>869</v>
      </c>
      <c r="M106" s="2"/>
      <c r="N106" s="2"/>
      <c r="O106" s="4"/>
    </row>
    <row r="107" spans="1:15" x14ac:dyDescent="0.2">
      <c r="A107" s="91" t="s">
        <v>383</v>
      </c>
      <c r="B107" s="91" t="s">
        <v>603</v>
      </c>
      <c r="C107" s="95">
        <v>3465</v>
      </c>
      <c r="D107" s="95">
        <v>4171</v>
      </c>
      <c r="E107" s="95">
        <v>7636</v>
      </c>
      <c r="F107" s="95">
        <v>133056750</v>
      </c>
      <c r="G107" s="95">
        <v>193085540</v>
      </c>
      <c r="H107" s="95">
        <v>326142289</v>
      </c>
      <c r="I107" s="91" t="s">
        <v>71</v>
      </c>
      <c r="J107" s="91" t="s">
        <v>1121</v>
      </c>
      <c r="K107" s="94">
        <v>183178</v>
      </c>
      <c r="L107" s="91" t="s">
        <v>377</v>
      </c>
      <c r="M107" s="2"/>
      <c r="N107" s="2"/>
      <c r="O107" s="4"/>
    </row>
    <row r="108" spans="1:15" x14ac:dyDescent="0.2">
      <c r="A108" s="91" t="s">
        <v>212</v>
      </c>
      <c r="B108" s="91" t="s">
        <v>351</v>
      </c>
      <c r="C108" s="95">
        <v>297</v>
      </c>
      <c r="D108" s="95">
        <v>394</v>
      </c>
      <c r="E108" s="95">
        <v>691</v>
      </c>
      <c r="F108" s="95">
        <v>12461992</v>
      </c>
      <c r="G108" s="95">
        <v>19964815</v>
      </c>
      <c r="H108" s="95">
        <v>32426807</v>
      </c>
      <c r="I108" s="91" t="s">
        <v>171</v>
      </c>
      <c r="J108" s="91" t="s">
        <v>1121</v>
      </c>
      <c r="K108" s="94">
        <v>184119</v>
      </c>
      <c r="L108" s="91" t="s">
        <v>209</v>
      </c>
      <c r="M108" s="2"/>
      <c r="N108" s="2"/>
      <c r="O108" s="4"/>
    </row>
    <row r="109" spans="1:15" x14ac:dyDescent="0.2">
      <c r="A109" s="91" t="s">
        <v>379</v>
      </c>
      <c r="B109" s="91" t="s">
        <v>712</v>
      </c>
      <c r="C109" s="95">
        <v>2112</v>
      </c>
      <c r="D109" s="95">
        <v>4681</v>
      </c>
      <c r="E109" s="95">
        <v>6793</v>
      </c>
      <c r="F109" s="95">
        <v>56482887</v>
      </c>
      <c r="G109" s="95">
        <v>165037090</v>
      </c>
      <c r="H109" s="95">
        <v>221519977</v>
      </c>
      <c r="I109" s="91" t="s">
        <v>171</v>
      </c>
      <c r="J109" s="91" t="s">
        <v>1121</v>
      </c>
      <c r="K109" s="94">
        <v>184291</v>
      </c>
      <c r="L109" s="91" t="s">
        <v>221</v>
      </c>
      <c r="M109" s="2"/>
      <c r="N109" s="2"/>
      <c r="O109" s="4"/>
    </row>
    <row r="110" spans="1:15" x14ac:dyDescent="0.2">
      <c r="A110" s="91" t="s">
        <v>331</v>
      </c>
      <c r="B110" s="91" t="s">
        <v>676</v>
      </c>
      <c r="C110" s="95">
        <v>1446</v>
      </c>
      <c r="D110" s="95">
        <v>1459</v>
      </c>
      <c r="E110" s="95">
        <v>2905</v>
      </c>
      <c r="F110" s="95">
        <v>65643892</v>
      </c>
      <c r="G110" s="95">
        <v>83458406</v>
      </c>
      <c r="H110" s="95">
        <v>149102298</v>
      </c>
      <c r="I110" s="91" t="s">
        <v>171</v>
      </c>
      <c r="J110" s="91" t="s">
        <v>1121</v>
      </c>
      <c r="K110" s="94">
        <v>184416</v>
      </c>
      <c r="L110" s="91" t="s">
        <v>427</v>
      </c>
      <c r="M110" s="2"/>
      <c r="N110" s="2"/>
      <c r="O110" s="4"/>
    </row>
    <row r="111" spans="1:15" x14ac:dyDescent="0.2">
      <c r="A111" s="91" t="s">
        <v>173</v>
      </c>
      <c r="B111" s="91" t="s">
        <v>959</v>
      </c>
      <c r="C111" s="95">
        <v>157</v>
      </c>
      <c r="D111" s="95">
        <v>119</v>
      </c>
      <c r="E111" s="95">
        <v>276</v>
      </c>
      <c r="F111" s="95">
        <v>16737308</v>
      </c>
      <c r="G111" s="95">
        <v>13724782</v>
      </c>
      <c r="H111" s="95">
        <v>30462091</v>
      </c>
      <c r="I111" s="91" t="s">
        <v>171</v>
      </c>
      <c r="J111" s="91" t="s">
        <v>1118</v>
      </c>
      <c r="K111" s="94">
        <v>187898</v>
      </c>
      <c r="L111" s="91" t="s">
        <v>365</v>
      </c>
      <c r="M111" s="2"/>
      <c r="N111" s="2"/>
      <c r="O111" s="4"/>
    </row>
    <row r="112" spans="1:15" x14ac:dyDescent="0.2">
      <c r="A112" s="91" t="s">
        <v>260</v>
      </c>
      <c r="B112" s="91" t="s">
        <v>1134</v>
      </c>
      <c r="C112" s="95">
        <v>25</v>
      </c>
      <c r="D112" s="95">
        <v>35</v>
      </c>
      <c r="E112" s="95">
        <v>60</v>
      </c>
      <c r="F112" s="95">
        <v>923375</v>
      </c>
      <c r="G112" s="95">
        <v>1496886</v>
      </c>
      <c r="H112" s="95">
        <v>2420261</v>
      </c>
      <c r="I112" s="91" t="s">
        <v>71</v>
      </c>
      <c r="J112" s="91" t="s">
        <v>1121</v>
      </c>
      <c r="K112" s="94">
        <v>188482</v>
      </c>
      <c r="L112" s="91" t="s">
        <v>635</v>
      </c>
      <c r="M112" s="2"/>
      <c r="N112" s="2"/>
      <c r="O112" s="4"/>
    </row>
    <row r="113" spans="1:15" x14ac:dyDescent="0.2">
      <c r="A113" s="91" t="s">
        <v>192</v>
      </c>
      <c r="B113" s="91" t="s">
        <v>218</v>
      </c>
      <c r="C113" s="95">
        <v>4300</v>
      </c>
      <c r="D113" s="95">
        <v>1902</v>
      </c>
      <c r="E113" s="95">
        <v>6202</v>
      </c>
      <c r="F113" s="95">
        <v>116327880</v>
      </c>
      <c r="G113" s="95">
        <v>70764044</v>
      </c>
      <c r="H113" s="95">
        <v>187091924</v>
      </c>
      <c r="I113" s="91" t="s">
        <v>171</v>
      </c>
      <c r="J113" s="91" t="s">
        <v>1122</v>
      </c>
      <c r="K113" s="94">
        <v>188664</v>
      </c>
      <c r="L113" s="91" t="s">
        <v>200</v>
      </c>
      <c r="M113" s="2"/>
      <c r="N113" s="2"/>
      <c r="O113" s="4"/>
    </row>
    <row r="114" spans="1:15" x14ac:dyDescent="0.2">
      <c r="A114" s="91" t="s">
        <v>370</v>
      </c>
      <c r="B114" s="91" t="s">
        <v>1057</v>
      </c>
      <c r="C114" s="95">
        <v>604</v>
      </c>
      <c r="D114" s="95">
        <v>690</v>
      </c>
      <c r="E114" s="95">
        <v>1294</v>
      </c>
      <c r="F114" s="95">
        <v>17607497</v>
      </c>
      <c r="G114" s="95">
        <v>24574935</v>
      </c>
      <c r="H114" s="95">
        <v>42182432</v>
      </c>
      <c r="I114" s="91" t="s">
        <v>71</v>
      </c>
      <c r="J114" s="91" t="s">
        <v>1121</v>
      </c>
      <c r="K114" s="94">
        <v>189258</v>
      </c>
      <c r="L114" s="91" t="s">
        <v>454</v>
      </c>
      <c r="M114" s="2"/>
      <c r="N114" s="2"/>
      <c r="O114" s="4"/>
    </row>
    <row r="115" spans="1:15" x14ac:dyDescent="0.2">
      <c r="A115" s="91" t="s">
        <v>229</v>
      </c>
      <c r="B115" s="91" t="s">
        <v>400</v>
      </c>
      <c r="C115" s="95">
        <v>315</v>
      </c>
      <c r="D115" s="95">
        <v>338</v>
      </c>
      <c r="E115" s="95">
        <v>653</v>
      </c>
      <c r="F115" s="95">
        <v>10765277</v>
      </c>
      <c r="G115" s="95">
        <v>15078729</v>
      </c>
      <c r="H115" s="95">
        <v>25844006</v>
      </c>
      <c r="I115" s="91" t="s">
        <v>171</v>
      </c>
      <c r="J115" s="91" t="s">
        <v>1122</v>
      </c>
      <c r="K115" s="94">
        <v>189662</v>
      </c>
      <c r="L115" s="91" t="s">
        <v>361</v>
      </c>
      <c r="M115" s="2"/>
      <c r="N115" s="2"/>
      <c r="O115" s="4"/>
    </row>
    <row r="116" spans="1:15" x14ac:dyDescent="0.2">
      <c r="A116" s="91" t="s">
        <v>379</v>
      </c>
      <c r="B116" s="91" t="s">
        <v>842</v>
      </c>
      <c r="C116" s="95">
        <v>7050</v>
      </c>
      <c r="D116" s="95">
        <v>6986</v>
      </c>
      <c r="E116" s="95">
        <v>14036</v>
      </c>
      <c r="F116" s="95">
        <v>115461255</v>
      </c>
      <c r="G116" s="95">
        <v>155769224</v>
      </c>
      <c r="H116" s="95">
        <v>271230479</v>
      </c>
      <c r="I116" s="91" t="s">
        <v>71</v>
      </c>
      <c r="J116" s="91" t="s">
        <v>1121</v>
      </c>
      <c r="K116" s="94">
        <v>191080</v>
      </c>
      <c r="L116" s="91" t="s">
        <v>580</v>
      </c>
      <c r="M116" s="2"/>
      <c r="N116" s="2"/>
      <c r="O116" s="4"/>
    </row>
    <row r="117" spans="1:15" x14ac:dyDescent="0.2">
      <c r="A117" s="91" t="s">
        <v>223</v>
      </c>
      <c r="B117" s="91" t="s">
        <v>367</v>
      </c>
      <c r="C117" s="95">
        <v>6916</v>
      </c>
      <c r="D117" s="95">
        <v>5609</v>
      </c>
      <c r="E117" s="95">
        <v>12525</v>
      </c>
      <c r="F117" s="95">
        <v>197624556</v>
      </c>
      <c r="G117" s="95">
        <v>195450063</v>
      </c>
      <c r="H117" s="95">
        <v>393074619</v>
      </c>
      <c r="I117" s="91" t="s">
        <v>71</v>
      </c>
      <c r="J117" s="91" t="s">
        <v>1122</v>
      </c>
      <c r="K117" s="94">
        <v>191437</v>
      </c>
      <c r="L117" s="91" t="s">
        <v>368</v>
      </c>
      <c r="M117" s="2"/>
      <c r="N117" s="2"/>
      <c r="O117" s="4"/>
    </row>
    <row r="118" spans="1:15" x14ac:dyDescent="0.2">
      <c r="A118" s="91" t="s">
        <v>315</v>
      </c>
      <c r="B118" s="91" t="s">
        <v>624</v>
      </c>
      <c r="C118" s="95">
        <v>3831</v>
      </c>
      <c r="D118" s="95">
        <v>5981</v>
      </c>
      <c r="E118" s="95">
        <v>9812</v>
      </c>
      <c r="F118" s="95">
        <v>171394580</v>
      </c>
      <c r="G118" s="95">
        <v>309091330</v>
      </c>
      <c r="H118" s="95">
        <v>480485910</v>
      </c>
      <c r="I118" s="91" t="s">
        <v>71</v>
      </c>
      <c r="J118" s="91" t="s">
        <v>1121</v>
      </c>
      <c r="K118" s="94">
        <v>191676</v>
      </c>
      <c r="L118" s="91" t="s">
        <v>625</v>
      </c>
      <c r="M118" s="2"/>
      <c r="N118" s="2"/>
      <c r="O118" s="4"/>
    </row>
    <row r="119" spans="1:15" x14ac:dyDescent="0.2">
      <c r="A119" s="91" t="s">
        <v>239</v>
      </c>
      <c r="B119" s="91" t="s">
        <v>794</v>
      </c>
      <c r="C119" s="95">
        <v>690</v>
      </c>
      <c r="D119" s="95">
        <v>1338</v>
      </c>
      <c r="E119" s="95">
        <v>2028</v>
      </c>
      <c r="F119" s="95">
        <v>25655214</v>
      </c>
      <c r="G119" s="95">
        <v>58957722</v>
      </c>
      <c r="H119" s="95">
        <v>84612936</v>
      </c>
      <c r="I119" s="91" t="s">
        <v>71</v>
      </c>
      <c r="J119" s="91" t="s">
        <v>1121</v>
      </c>
      <c r="K119" s="94">
        <v>192146</v>
      </c>
      <c r="L119" s="91" t="s">
        <v>553</v>
      </c>
      <c r="M119" s="2"/>
      <c r="N119" s="2"/>
      <c r="O119" s="4"/>
    </row>
    <row r="120" spans="1:15" x14ac:dyDescent="0.2">
      <c r="A120" s="91" t="s">
        <v>315</v>
      </c>
      <c r="B120" s="91" t="s">
        <v>536</v>
      </c>
      <c r="C120" s="95">
        <v>17760</v>
      </c>
      <c r="D120" s="95">
        <v>20119</v>
      </c>
      <c r="E120" s="95">
        <v>37879</v>
      </c>
      <c r="F120" s="95">
        <v>634446195</v>
      </c>
      <c r="G120" s="95">
        <v>924685220</v>
      </c>
      <c r="H120" s="95">
        <v>1559131415</v>
      </c>
      <c r="I120" s="91" t="s">
        <v>171</v>
      </c>
      <c r="J120" s="91" t="s">
        <v>1121</v>
      </c>
      <c r="K120" s="94">
        <v>194092</v>
      </c>
      <c r="L120" s="91" t="s">
        <v>249</v>
      </c>
      <c r="M120" s="2"/>
      <c r="N120" s="2"/>
      <c r="O120" s="4"/>
    </row>
    <row r="121" spans="1:15" x14ac:dyDescent="0.2">
      <c r="A121" s="91" t="s">
        <v>212</v>
      </c>
      <c r="B121" s="91" t="s">
        <v>800</v>
      </c>
      <c r="C121" s="95">
        <v>436</v>
      </c>
      <c r="D121" s="95">
        <v>558</v>
      </c>
      <c r="E121" s="95">
        <v>994</v>
      </c>
      <c r="F121" s="95">
        <v>13633092</v>
      </c>
      <c r="G121" s="95">
        <v>21545123</v>
      </c>
      <c r="H121" s="95">
        <v>35178215</v>
      </c>
      <c r="I121" s="91" t="s">
        <v>71</v>
      </c>
      <c r="J121" s="91" t="s">
        <v>1121</v>
      </c>
      <c r="K121" s="94">
        <v>195271</v>
      </c>
      <c r="L121" s="91" t="s">
        <v>768</v>
      </c>
      <c r="M121" s="2"/>
      <c r="N121" s="2"/>
      <c r="O121" s="4"/>
    </row>
    <row r="122" spans="1:15" x14ac:dyDescent="0.2">
      <c r="A122" s="91" t="s">
        <v>173</v>
      </c>
      <c r="B122" s="91" t="s">
        <v>1053</v>
      </c>
      <c r="C122" s="95">
        <v>2191</v>
      </c>
      <c r="D122" s="95">
        <v>3163</v>
      </c>
      <c r="E122" s="95">
        <v>5354</v>
      </c>
      <c r="F122" s="95">
        <v>240480412</v>
      </c>
      <c r="G122" s="95">
        <v>402024929</v>
      </c>
      <c r="H122" s="95">
        <v>642505341</v>
      </c>
      <c r="I122" s="91" t="s">
        <v>171</v>
      </c>
      <c r="J122" s="91" t="s">
        <v>1118</v>
      </c>
      <c r="K122" s="94">
        <v>195628</v>
      </c>
      <c r="L122" s="91" t="s">
        <v>1054</v>
      </c>
      <c r="M122" s="2"/>
      <c r="N122" s="2"/>
      <c r="O122" s="4"/>
    </row>
    <row r="123" spans="1:15" x14ac:dyDescent="0.2">
      <c r="A123" s="91" t="s">
        <v>245</v>
      </c>
      <c r="B123" s="91" t="s">
        <v>917</v>
      </c>
      <c r="C123" s="95">
        <v>785</v>
      </c>
      <c r="D123" s="95">
        <v>764</v>
      </c>
      <c r="E123" s="95">
        <v>1549</v>
      </c>
      <c r="F123" s="95">
        <v>34740778</v>
      </c>
      <c r="G123" s="95">
        <v>41632578</v>
      </c>
      <c r="H123" s="95">
        <v>76373356</v>
      </c>
      <c r="I123" s="91" t="s">
        <v>71</v>
      </c>
      <c r="J123" s="91" t="s">
        <v>1121</v>
      </c>
      <c r="K123" s="94">
        <v>197517</v>
      </c>
      <c r="L123" s="91" t="s">
        <v>715</v>
      </c>
      <c r="M123" s="2"/>
      <c r="N123" s="2"/>
      <c r="O123" s="4"/>
    </row>
    <row r="124" spans="1:15" x14ac:dyDescent="0.2">
      <c r="A124" s="91" t="s">
        <v>449</v>
      </c>
      <c r="B124" s="91" t="s">
        <v>957</v>
      </c>
      <c r="C124" s="95">
        <v>787</v>
      </c>
      <c r="D124" s="95">
        <v>1466</v>
      </c>
      <c r="E124" s="95">
        <v>2253</v>
      </c>
      <c r="F124" s="95">
        <v>27347035</v>
      </c>
      <c r="G124" s="95">
        <v>63496517</v>
      </c>
      <c r="H124" s="95">
        <v>90843552</v>
      </c>
      <c r="I124" s="91" t="s">
        <v>71</v>
      </c>
      <c r="J124" s="91" t="s">
        <v>1121</v>
      </c>
      <c r="K124" s="94">
        <v>197632</v>
      </c>
      <c r="L124" s="91" t="s">
        <v>715</v>
      </c>
      <c r="M124" s="2"/>
      <c r="N124" s="2"/>
      <c r="O124" s="4"/>
    </row>
    <row r="125" spans="1:15" x14ac:dyDescent="0.2">
      <c r="A125" s="91" t="s">
        <v>212</v>
      </c>
      <c r="B125" s="91" t="s">
        <v>939</v>
      </c>
      <c r="C125" s="95">
        <v>17</v>
      </c>
      <c r="D125" s="95">
        <v>16</v>
      </c>
      <c r="E125" s="95">
        <v>33</v>
      </c>
      <c r="F125" s="95">
        <v>396721</v>
      </c>
      <c r="G125" s="95">
        <v>417261</v>
      </c>
      <c r="H125" s="95">
        <v>813982</v>
      </c>
      <c r="I125" s="91" t="s">
        <v>71</v>
      </c>
      <c r="J125" s="91" t="s">
        <v>1121</v>
      </c>
      <c r="K125" s="94">
        <v>199406</v>
      </c>
      <c r="L125" s="91" t="s">
        <v>497</v>
      </c>
      <c r="M125" s="2"/>
      <c r="N125" s="2"/>
      <c r="O125" s="4"/>
    </row>
    <row r="126" spans="1:15" x14ac:dyDescent="0.2">
      <c r="A126" s="91" t="s">
        <v>265</v>
      </c>
      <c r="B126" s="91" t="s">
        <v>363</v>
      </c>
      <c r="C126" s="95">
        <v>119</v>
      </c>
      <c r="D126" s="95">
        <v>121</v>
      </c>
      <c r="E126" s="95">
        <v>240</v>
      </c>
      <c r="F126" s="95">
        <v>5329443</v>
      </c>
      <c r="G126" s="95">
        <v>6974692</v>
      </c>
      <c r="H126" s="95">
        <v>12304135</v>
      </c>
      <c r="I126" s="91" t="s">
        <v>171</v>
      </c>
      <c r="J126" s="91" t="s">
        <v>1121</v>
      </c>
      <c r="K126" s="94">
        <v>201111</v>
      </c>
      <c r="L126" s="91" t="s">
        <v>209</v>
      </c>
      <c r="M126" s="2"/>
      <c r="N126" s="2"/>
      <c r="O126" s="4"/>
    </row>
    <row r="127" spans="1:15" x14ac:dyDescent="0.2">
      <c r="A127" s="91" t="s">
        <v>370</v>
      </c>
      <c r="B127" s="91" t="s">
        <v>929</v>
      </c>
      <c r="C127" s="95">
        <v>111</v>
      </c>
      <c r="D127" s="95">
        <v>124</v>
      </c>
      <c r="E127" s="95">
        <v>235</v>
      </c>
      <c r="F127" s="95">
        <v>3321435</v>
      </c>
      <c r="G127" s="95">
        <v>4065477</v>
      </c>
      <c r="H127" s="95">
        <v>7386913</v>
      </c>
      <c r="I127" s="91" t="s">
        <v>71</v>
      </c>
      <c r="J127" s="91" t="s">
        <v>1121</v>
      </c>
      <c r="K127" s="94">
        <v>202002</v>
      </c>
      <c r="L127" s="91" t="s">
        <v>930</v>
      </c>
      <c r="M127" s="2"/>
      <c r="N127" s="2"/>
      <c r="O127" s="4"/>
    </row>
    <row r="128" spans="1:15" x14ac:dyDescent="0.2">
      <c r="A128" s="91" t="s">
        <v>243</v>
      </c>
      <c r="B128" s="91" t="s">
        <v>414</v>
      </c>
      <c r="C128" s="95">
        <v>81</v>
      </c>
      <c r="D128" s="95">
        <v>93</v>
      </c>
      <c r="E128" s="95">
        <v>174</v>
      </c>
      <c r="F128" s="95">
        <v>3508428</v>
      </c>
      <c r="G128" s="95">
        <v>5281399</v>
      </c>
      <c r="H128" s="95">
        <v>8789827</v>
      </c>
      <c r="I128" s="91" t="s">
        <v>71</v>
      </c>
      <c r="J128" s="91" t="s">
        <v>1122</v>
      </c>
      <c r="K128" s="94">
        <v>203000</v>
      </c>
      <c r="L128" s="91" t="s">
        <v>415</v>
      </c>
      <c r="M128" s="2"/>
      <c r="N128" s="2"/>
      <c r="O128" s="4"/>
    </row>
    <row r="129" spans="1:15" x14ac:dyDescent="0.2">
      <c r="A129" s="91" t="s">
        <v>264</v>
      </c>
      <c r="B129" s="91" t="s">
        <v>452</v>
      </c>
      <c r="C129" s="95">
        <v>13296</v>
      </c>
      <c r="D129" s="95">
        <v>12743</v>
      </c>
      <c r="E129" s="95">
        <v>26039</v>
      </c>
      <c r="F129" s="95">
        <v>466062517</v>
      </c>
      <c r="G129" s="95">
        <v>541802125</v>
      </c>
      <c r="H129" s="95">
        <v>1007864643</v>
      </c>
      <c r="I129" s="91" t="s">
        <v>171</v>
      </c>
      <c r="J129" s="91" t="s">
        <v>1121</v>
      </c>
      <c r="K129" s="94">
        <v>203067</v>
      </c>
      <c r="L129" s="91" t="s">
        <v>226</v>
      </c>
      <c r="M129" s="2"/>
      <c r="N129" s="2"/>
      <c r="O129" s="4"/>
    </row>
    <row r="130" spans="1:15" x14ac:dyDescent="0.2">
      <c r="A130" s="91" t="s">
        <v>239</v>
      </c>
      <c r="B130" s="91" t="s">
        <v>521</v>
      </c>
      <c r="C130" s="95">
        <v>434</v>
      </c>
      <c r="D130" s="95">
        <v>603</v>
      </c>
      <c r="E130" s="95">
        <v>1037</v>
      </c>
      <c r="F130" s="95">
        <v>11763683</v>
      </c>
      <c r="G130" s="95">
        <v>21320846</v>
      </c>
      <c r="H130" s="95">
        <v>33084528</v>
      </c>
      <c r="I130" s="91" t="s">
        <v>171</v>
      </c>
      <c r="J130" s="91" t="s">
        <v>1121</v>
      </c>
      <c r="K130" s="94">
        <v>203182</v>
      </c>
      <c r="L130" s="91" t="s">
        <v>231</v>
      </c>
      <c r="M130" s="2"/>
      <c r="N130" s="2"/>
      <c r="O130" s="4"/>
    </row>
    <row r="131" spans="1:15" x14ac:dyDescent="0.2">
      <c r="A131" s="91" t="s">
        <v>471</v>
      </c>
      <c r="B131" s="91" t="s">
        <v>965</v>
      </c>
      <c r="C131" s="95">
        <v>984</v>
      </c>
      <c r="D131" s="95">
        <v>1554</v>
      </c>
      <c r="E131" s="95">
        <v>2538</v>
      </c>
      <c r="F131" s="95">
        <v>19689199</v>
      </c>
      <c r="G131" s="95">
        <v>37271914</v>
      </c>
      <c r="H131" s="95">
        <v>56961113</v>
      </c>
      <c r="I131" s="91" t="s">
        <v>71</v>
      </c>
      <c r="J131" s="91" t="s">
        <v>1121</v>
      </c>
      <c r="K131" s="94">
        <v>204891</v>
      </c>
      <c r="L131" s="91" t="s">
        <v>715</v>
      </c>
      <c r="M131" s="2"/>
      <c r="N131" s="2"/>
      <c r="O131" s="4"/>
    </row>
    <row r="132" spans="1:15" x14ac:dyDescent="0.2">
      <c r="A132" s="91" t="s">
        <v>379</v>
      </c>
      <c r="B132" s="91" t="s">
        <v>554</v>
      </c>
      <c r="C132" s="95">
        <v>968</v>
      </c>
      <c r="D132" s="95">
        <v>1255</v>
      </c>
      <c r="E132" s="95">
        <v>2223</v>
      </c>
      <c r="F132" s="95">
        <v>27416860</v>
      </c>
      <c r="G132" s="95">
        <v>43277544</v>
      </c>
      <c r="H132" s="95">
        <v>70694404</v>
      </c>
      <c r="I132" s="91" t="s">
        <v>171</v>
      </c>
      <c r="J132" s="91" t="s">
        <v>1121</v>
      </c>
      <c r="K132" s="94">
        <v>206250</v>
      </c>
      <c r="L132" s="91" t="s">
        <v>203</v>
      </c>
      <c r="M132" s="2"/>
      <c r="N132" s="2"/>
      <c r="O132" s="4"/>
    </row>
    <row r="133" spans="1:15" x14ac:dyDescent="0.2">
      <c r="A133" s="91" t="s">
        <v>212</v>
      </c>
      <c r="B133" s="91" t="s">
        <v>921</v>
      </c>
      <c r="C133" s="95">
        <v>1132</v>
      </c>
      <c r="D133" s="95">
        <v>1510</v>
      </c>
      <c r="E133" s="95">
        <v>2642</v>
      </c>
      <c r="F133" s="95">
        <v>80018702</v>
      </c>
      <c r="G133" s="95">
        <v>127036673</v>
      </c>
      <c r="H133" s="95">
        <v>207055374</v>
      </c>
      <c r="I133" s="91" t="s">
        <v>171</v>
      </c>
      <c r="J133" s="91" t="s">
        <v>1121</v>
      </c>
      <c r="K133" s="94">
        <v>208439</v>
      </c>
      <c r="L133" s="91" t="s">
        <v>172</v>
      </c>
      <c r="M133" s="2"/>
      <c r="N133" s="2"/>
      <c r="O133" s="4"/>
    </row>
    <row r="134" spans="1:15" x14ac:dyDescent="0.2">
      <c r="A134" s="91" t="s">
        <v>239</v>
      </c>
      <c r="B134" s="91" t="s">
        <v>422</v>
      </c>
      <c r="C134" s="95">
        <v>4471</v>
      </c>
      <c r="D134" s="95">
        <v>5958</v>
      </c>
      <c r="E134" s="95">
        <v>10429</v>
      </c>
      <c r="F134" s="95">
        <v>89105624</v>
      </c>
      <c r="G134" s="95">
        <v>153638098</v>
      </c>
      <c r="H134" s="95">
        <v>242743721</v>
      </c>
      <c r="I134" s="91" t="s">
        <v>171</v>
      </c>
      <c r="J134" s="91" t="s">
        <v>1121</v>
      </c>
      <c r="K134" s="94">
        <v>211748</v>
      </c>
      <c r="L134" s="91" t="s">
        <v>200</v>
      </c>
      <c r="M134" s="2"/>
      <c r="N134" s="2"/>
      <c r="O134" s="4"/>
    </row>
    <row r="135" spans="1:15" x14ac:dyDescent="0.2">
      <c r="A135" s="91" t="s">
        <v>176</v>
      </c>
      <c r="B135" s="91" t="s">
        <v>250</v>
      </c>
      <c r="C135" s="95">
        <v>45104</v>
      </c>
      <c r="D135" s="95">
        <v>48423</v>
      </c>
      <c r="E135" s="95">
        <v>93527</v>
      </c>
      <c r="F135" s="95">
        <v>2162046514</v>
      </c>
      <c r="G135" s="95">
        <v>2874418811</v>
      </c>
      <c r="H135" s="95">
        <v>5036465325</v>
      </c>
      <c r="I135" s="91" t="s">
        <v>171</v>
      </c>
      <c r="J135" s="91" t="s">
        <v>1121</v>
      </c>
      <c r="K135" s="94">
        <v>212332</v>
      </c>
      <c r="L135" s="91" t="s">
        <v>209</v>
      </c>
      <c r="M135" s="2"/>
      <c r="N135" s="2"/>
      <c r="O135" s="4"/>
    </row>
    <row r="136" spans="1:15" x14ac:dyDescent="0.2">
      <c r="A136" s="91" t="s">
        <v>223</v>
      </c>
      <c r="B136" s="91" t="s">
        <v>322</v>
      </c>
      <c r="C136" s="95">
        <v>6</v>
      </c>
      <c r="D136" s="95">
        <v>11</v>
      </c>
      <c r="E136" s="95">
        <v>17</v>
      </c>
      <c r="F136" s="95">
        <v>156457</v>
      </c>
      <c r="G136" s="95">
        <v>470719</v>
      </c>
      <c r="H136" s="95">
        <v>627176</v>
      </c>
      <c r="I136" s="91" t="s">
        <v>171</v>
      </c>
      <c r="J136" s="91" t="s">
        <v>1122</v>
      </c>
      <c r="K136" s="94">
        <v>212621</v>
      </c>
      <c r="L136" s="91" t="s">
        <v>203</v>
      </c>
      <c r="M136" s="2"/>
      <c r="N136" s="2"/>
      <c r="O136" s="4"/>
    </row>
    <row r="137" spans="1:15" x14ac:dyDescent="0.2">
      <c r="A137" s="91" t="s">
        <v>192</v>
      </c>
      <c r="B137" s="91" t="s">
        <v>220</v>
      </c>
      <c r="C137" s="95">
        <v>897</v>
      </c>
      <c r="D137" s="95">
        <v>989</v>
      </c>
      <c r="E137" s="95">
        <v>1886</v>
      </c>
      <c r="F137" s="95">
        <v>40974149</v>
      </c>
      <c r="G137" s="95">
        <v>63222261</v>
      </c>
      <c r="H137" s="95">
        <v>104196410</v>
      </c>
      <c r="I137" s="91" t="s">
        <v>171</v>
      </c>
      <c r="J137" s="91" t="s">
        <v>1122</v>
      </c>
      <c r="K137" s="94">
        <v>214163</v>
      </c>
      <c r="L137" s="91" t="s">
        <v>221</v>
      </c>
      <c r="M137" s="2"/>
      <c r="N137" s="2"/>
      <c r="O137" s="4"/>
    </row>
    <row r="138" spans="1:15" x14ac:dyDescent="0.2">
      <c r="A138" s="91" t="s">
        <v>383</v>
      </c>
      <c r="B138" s="91" t="s">
        <v>1138</v>
      </c>
      <c r="C138" s="95">
        <v>6</v>
      </c>
      <c r="D138" s="95">
        <v>10</v>
      </c>
      <c r="E138" s="95">
        <v>16</v>
      </c>
      <c r="F138" s="95">
        <v>245630</v>
      </c>
      <c r="G138" s="95">
        <v>553192</v>
      </c>
      <c r="H138" s="95">
        <v>798823</v>
      </c>
      <c r="I138" s="91" t="s">
        <v>71</v>
      </c>
      <c r="J138" s="91" t="s">
        <v>1121</v>
      </c>
      <c r="K138" s="94">
        <v>215046</v>
      </c>
      <c r="L138" s="91" t="s">
        <v>1152</v>
      </c>
      <c r="M138" s="2"/>
      <c r="N138" s="2"/>
      <c r="O138" s="4"/>
    </row>
    <row r="139" spans="1:15" x14ac:dyDescent="0.2">
      <c r="A139" s="91" t="s">
        <v>182</v>
      </c>
      <c r="B139" s="91" t="s">
        <v>307</v>
      </c>
      <c r="C139" s="95">
        <v>24789</v>
      </c>
      <c r="D139" s="95">
        <v>22420</v>
      </c>
      <c r="E139" s="95">
        <v>47209</v>
      </c>
      <c r="F139" s="95">
        <v>1416038963</v>
      </c>
      <c r="G139" s="95">
        <v>1561617555</v>
      </c>
      <c r="H139" s="95">
        <v>2977656518</v>
      </c>
      <c r="I139" s="91" t="s">
        <v>171</v>
      </c>
      <c r="J139" s="91" t="s">
        <v>1115</v>
      </c>
      <c r="K139" s="94">
        <v>215996</v>
      </c>
      <c r="L139" s="91" t="s">
        <v>226</v>
      </c>
      <c r="M139" s="2"/>
      <c r="N139" s="2"/>
      <c r="O139" s="4"/>
    </row>
    <row r="140" spans="1:15" x14ac:dyDescent="0.2">
      <c r="A140" s="91" t="s">
        <v>212</v>
      </c>
      <c r="B140" s="91" t="s">
        <v>1095</v>
      </c>
      <c r="C140" s="95">
        <v>9</v>
      </c>
      <c r="D140" s="95">
        <v>5</v>
      </c>
      <c r="E140" s="95">
        <v>14</v>
      </c>
      <c r="F140" s="95">
        <v>429857</v>
      </c>
      <c r="G140" s="95">
        <v>196915</v>
      </c>
      <c r="H140" s="95">
        <v>626772</v>
      </c>
      <c r="I140" s="91" t="s">
        <v>71</v>
      </c>
      <c r="J140" s="91" t="s">
        <v>1121</v>
      </c>
      <c r="K140" s="94">
        <v>216408</v>
      </c>
      <c r="L140" s="91" t="s">
        <v>431</v>
      </c>
      <c r="M140" s="2"/>
      <c r="N140" s="2"/>
      <c r="O140" s="4"/>
    </row>
    <row r="141" spans="1:15" x14ac:dyDescent="0.2">
      <c r="A141" s="91" t="s">
        <v>239</v>
      </c>
      <c r="B141" s="91" t="s">
        <v>381</v>
      </c>
      <c r="C141" s="95">
        <v>1007</v>
      </c>
      <c r="D141" s="95">
        <v>1250</v>
      </c>
      <c r="E141" s="95">
        <v>2257</v>
      </c>
      <c r="F141" s="95">
        <v>18670982</v>
      </c>
      <c r="G141" s="95">
        <v>30736307</v>
      </c>
      <c r="H141" s="95">
        <v>49407289</v>
      </c>
      <c r="I141" s="91" t="s">
        <v>71</v>
      </c>
      <c r="J141" s="91" t="s">
        <v>1121</v>
      </c>
      <c r="K141" s="94">
        <v>218115</v>
      </c>
      <c r="L141" s="91" t="s">
        <v>226</v>
      </c>
      <c r="M141" s="2"/>
      <c r="N141" s="2"/>
      <c r="O141" s="4"/>
    </row>
    <row r="142" spans="1:15" x14ac:dyDescent="0.2">
      <c r="A142" s="91" t="s">
        <v>410</v>
      </c>
      <c r="B142" s="91" t="s">
        <v>693</v>
      </c>
      <c r="C142" s="95">
        <v>513</v>
      </c>
      <c r="D142" s="95">
        <v>650</v>
      </c>
      <c r="E142" s="95">
        <v>1163</v>
      </c>
      <c r="F142" s="95">
        <v>17398074</v>
      </c>
      <c r="G142" s="95">
        <v>28208967</v>
      </c>
      <c r="H142" s="95">
        <v>45607042</v>
      </c>
      <c r="I142" s="91" t="s">
        <v>71</v>
      </c>
      <c r="J142" s="91" t="s">
        <v>1121</v>
      </c>
      <c r="K142" s="94">
        <v>219006</v>
      </c>
      <c r="L142" s="91" t="s">
        <v>377</v>
      </c>
      <c r="M142" s="2"/>
      <c r="N142" s="2"/>
      <c r="O142" s="4"/>
    </row>
    <row r="143" spans="1:15" x14ac:dyDescent="0.2">
      <c r="A143" s="91" t="s">
        <v>383</v>
      </c>
      <c r="B143" s="91" t="s">
        <v>997</v>
      </c>
      <c r="C143" s="95">
        <v>1065</v>
      </c>
      <c r="D143" s="95">
        <v>1658</v>
      </c>
      <c r="E143" s="95">
        <v>2723</v>
      </c>
      <c r="F143" s="95">
        <v>38278842</v>
      </c>
      <c r="G143" s="95">
        <v>75194111</v>
      </c>
      <c r="H143" s="95">
        <v>113472953</v>
      </c>
      <c r="I143" s="91" t="s">
        <v>71</v>
      </c>
      <c r="J143" s="91" t="s">
        <v>1121</v>
      </c>
      <c r="K143" s="94">
        <v>220186</v>
      </c>
      <c r="L143" s="91" t="s">
        <v>770</v>
      </c>
      <c r="M143" s="2"/>
      <c r="N143" s="2"/>
      <c r="O143" s="4"/>
    </row>
    <row r="144" spans="1:15" x14ac:dyDescent="0.2">
      <c r="A144" s="91" t="s">
        <v>264</v>
      </c>
      <c r="B144" s="91" t="s">
        <v>675</v>
      </c>
      <c r="C144" s="95">
        <v>10287</v>
      </c>
      <c r="D144" s="95">
        <v>11268</v>
      </c>
      <c r="E144" s="95">
        <v>21555</v>
      </c>
      <c r="F144" s="95">
        <v>513305182</v>
      </c>
      <c r="G144" s="95">
        <v>682911664</v>
      </c>
      <c r="H144" s="95">
        <v>1196216846</v>
      </c>
      <c r="I144" s="91" t="s">
        <v>171</v>
      </c>
      <c r="J144" s="91" t="s">
        <v>1121</v>
      </c>
      <c r="K144" s="94">
        <v>220244</v>
      </c>
      <c r="L144" s="91" t="s">
        <v>427</v>
      </c>
      <c r="M144" s="2"/>
      <c r="N144" s="2"/>
      <c r="O144" s="4"/>
    </row>
    <row r="145" spans="1:15" x14ac:dyDescent="0.2">
      <c r="A145" s="91" t="s">
        <v>260</v>
      </c>
      <c r="B145" s="91" t="s">
        <v>809</v>
      </c>
      <c r="C145" s="95">
        <v>99</v>
      </c>
      <c r="D145" s="95">
        <v>140</v>
      </c>
      <c r="E145" s="95">
        <v>239</v>
      </c>
      <c r="F145" s="95">
        <v>2535820</v>
      </c>
      <c r="G145" s="95">
        <v>4434975</v>
      </c>
      <c r="H145" s="95">
        <v>6970795</v>
      </c>
      <c r="I145" s="91" t="s">
        <v>71</v>
      </c>
      <c r="J145" s="91" t="s">
        <v>1121</v>
      </c>
      <c r="K145" s="94">
        <v>222661</v>
      </c>
      <c r="L145" s="91" t="s">
        <v>682</v>
      </c>
      <c r="M145" s="2"/>
      <c r="N145" s="2"/>
      <c r="O145" s="4"/>
    </row>
    <row r="146" spans="1:15" x14ac:dyDescent="0.2">
      <c r="A146" s="91" t="s">
        <v>212</v>
      </c>
      <c r="B146" s="91" t="s">
        <v>881</v>
      </c>
      <c r="C146" s="95">
        <v>26</v>
      </c>
      <c r="D146" s="95">
        <v>29</v>
      </c>
      <c r="E146" s="95">
        <v>55</v>
      </c>
      <c r="F146" s="95">
        <v>1020620</v>
      </c>
      <c r="G146" s="95">
        <v>863397</v>
      </c>
      <c r="H146" s="95">
        <v>1884017</v>
      </c>
      <c r="I146" s="91" t="s">
        <v>71</v>
      </c>
      <c r="J146" s="91" t="s">
        <v>1121</v>
      </c>
      <c r="K146" s="94">
        <v>224311</v>
      </c>
      <c r="L146" s="91" t="s">
        <v>635</v>
      </c>
      <c r="M146" s="2"/>
      <c r="N146" s="2"/>
      <c r="O146" s="4"/>
    </row>
    <row r="147" spans="1:15" x14ac:dyDescent="0.2">
      <c r="A147" s="91" t="s">
        <v>266</v>
      </c>
      <c r="B147" s="91" t="s">
        <v>271</v>
      </c>
      <c r="C147" s="95">
        <v>12294</v>
      </c>
      <c r="D147" s="95">
        <v>4919</v>
      </c>
      <c r="E147" s="95">
        <v>17213</v>
      </c>
      <c r="F147" s="95">
        <v>493677256</v>
      </c>
      <c r="G147" s="95">
        <v>220966643</v>
      </c>
      <c r="H147" s="95">
        <v>714643899</v>
      </c>
      <c r="I147" s="91" t="s">
        <v>171</v>
      </c>
      <c r="J147" s="91" t="s">
        <v>1118</v>
      </c>
      <c r="K147" s="94">
        <v>224493</v>
      </c>
      <c r="L147" s="91" t="s">
        <v>200</v>
      </c>
      <c r="M147" s="2"/>
      <c r="N147" s="2"/>
      <c r="O147" s="4"/>
    </row>
    <row r="148" spans="1:15" x14ac:dyDescent="0.2">
      <c r="A148" s="91" t="s">
        <v>370</v>
      </c>
      <c r="B148" s="91" t="s">
        <v>652</v>
      </c>
      <c r="C148" s="95">
        <v>301</v>
      </c>
      <c r="D148" s="95">
        <v>476</v>
      </c>
      <c r="E148" s="95">
        <v>777</v>
      </c>
      <c r="F148" s="95">
        <v>6190684</v>
      </c>
      <c r="G148" s="95">
        <v>12137910</v>
      </c>
      <c r="H148" s="95">
        <v>18328594</v>
      </c>
      <c r="I148" s="91" t="s">
        <v>71</v>
      </c>
      <c r="J148" s="91" t="s">
        <v>1121</v>
      </c>
      <c r="K148" s="94">
        <v>225490</v>
      </c>
      <c r="L148" s="91" t="s">
        <v>275</v>
      </c>
      <c r="M148" s="2"/>
      <c r="N148" s="2"/>
      <c r="O148" s="4"/>
    </row>
    <row r="149" spans="1:15" x14ac:dyDescent="0.2">
      <c r="A149" s="91" t="s">
        <v>507</v>
      </c>
      <c r="B149" s="91" t="s">
        <v>938</v>
      </c>
      <c r="C149" s="95">
        <v>118</v>
      </c>
      <c r="D149" s="95">
        <v>250</v>
      </c>
      <c r="E149" s="95">
        <v>368</v>
      </c>
      <c r="F149" s="95">
        <v>3679797</v>
      </c>
      <c r="G149" s="95">
        <v>11213309</v>
      </c>
      <c r="H149" s="95">
        <v>14893106</v>
      </c>
      <c r="I149" s="91" t="s">
        <v>171</v>
      </c>
      <c r="J149" s="91" t="s">
        <v>1121</v>
      </c>
      <c r="K149" s="94">
        <v>226027</v>
      </c>
      <c r="L149" s="91" t="s">
        <v>538</v>
      </c>
      <c r="M149" s="2"/>
      <c r="N149" s="2"/>
      <c r="O149" s="4"/>
    </row>
    <row r="150" spans="1:15" x14ac:dyDescent="0.2">
      <c r="A150" s="91" t="s">
        <v>223</v>
      </c>
      <c r="B150" s="91" t="s">
        <v>476</v>
      </c>
      <c r="C150" s="95">
        <v>119</v>
      </c>
      <c r="D150" s="95">
        <v>142</v>
      </c>
      <c r="E150" s="95">
        <v>261</v>
      </c>
      <c r="F150" s="95">
        <v>3338241</v>
      </c>
      <c r="G150" s="95">
        <v>4937095</v>
      </c>
      <c r="H150" s="95">
        <v>8275336</v>
      </c>
      <c r="I150" s="91" t="s">
        <v>71</v>
      </c>
      <c r="J150" s="91" t="s">
        <v>1122</v>
      </c>
      <c r="K150" s="94">
        <v>229625</v>
      </c>
      <c r="L150" s="91" t="s">
        <v>235</v>
      </c>
      <c r="M150" s="2"/>
      <c r="N150" s="2"/>
      <c r="O150" s="4"/>
    </row>
    <row r="151" spans="1:15" x14ac:dyDescent="0.2">
      <c r="A151" s="91" t="s">
        <v>212</v>
      </c>
      <c r="B151" s="91" t="s">
        <v>262</v>
      </c>
      <c r="C151" s="95">
        <v>1031</v>
      </c>
      <c r="D151" s="95">
        <v>1293</v>
      </c>
      <c r="E151" s="95">
        <v>2324</v>
      </c>
      <c r="F151" s="95">
        <v>42824087</v>
      </c>
      <c r="G151" s="95">
        <v>69485116</v>
      </c>
      <c r="H151" s="95">
        <v>112309203</v>
      </c>
      <c r="I151" s="91" t="s">
        <v>171</v>
      </c>
      <c r="J151" s="91" t="s">
        <v>1121</v>
      </c>
      <c r="K151" s="94">
        <v>229682</v>
      </c>
      <c r="L151" s="91" t="s">
        <v>196</v>
      </c>
      <c r="M151" s="2"/>
      <c r="N151" s="2"/>
      <c r="O151" s="4"/>
    </row>
    <row r="152" spans="1:15" x14ac:dyDescent="0.2">
      <c r="A152" s="91" t="s">
        <v>404</v>
      </c>
      <c r="B152" s="91" t="s">
        <v>20</v>
      </c>
      <c r="C152" s="95">
        <v>39589</v>
      </c>
      <c r="D152" s="95">
        <v>40078</v>
      </c>
      <c r="E152" s="95">
        <v>79667</v>
      </c>
      <c r="F152" s="95">
        <v>1727419214</v>
      </c>
      <c r="G152" s="95">
        <v>2162835823</v>
      </c>
      <c r="H152" s="95">
        <v>3890255037</v>
      </c>
      <c r="I152" s="91" t="s">
        <v>171</v>
      </c>
      <c r="J152" s="91" t="s">
        <v>1121</v>
      </c>
      <c r="K152" s="94">
        <v>229922</v>
      </c>
      <c r="L152" s="91" t="s">
        <v>249</v>
      </c>
      <c r="M152" s="2"/>
      <c r="N152" s="2"/>
      <c r="O152" s="4"/>
    </row>
    <row r="153" spans="1:15" x14ac:dyDescent="0.2">
      <c r="A153" s="91" t="s">
        <v>379</v>
      </c>
      <c r="B153" s="91" t="s">
        <v>817</v>
      </c>
      <c r="C153" s="95">
        <v>348</v>
      </c>
      <c r="D153" s="95">
        <v>512</v>
      </c>
      <c r="E153" s="95">
        <v>860</v>
      </c>
      <c r="F153" s="95">
        <v>8749623</v>
      </c>
      <c r="G153" s="95">
        <v>16557885</v>
      </c>
      <c r="H153" s="95">
        <v>25307508</v>
      </c>
      <c r="I153" s="91" t="s">
        <v>71</v>
      </c>
      <c r="J153" s="91" t="s">
        <v>1121</v>
      </c>
      <c r="K153" s="94">
        <v>231100</v>
      </c>
      <c r="L153" s="91" t="s">
        <v>768</v>
      </c>
      <c r="M153" s="2"/>
      <c r="N153" s="2"/>
      <c r="O153" s="4"/>
    </row>
    <row r="154" spans="1:15" x14ac:dyDescent="0.2">
      <c r="A154" s="91" t="s">
        <v>379</v>
      </c>
      <c r="B154" s="91" t="s">
        <v>805</v>
      </c>
      <c r="C154" s="95">
        <v>1001</v>
      </c>
      <c r="D154" s="95">
        <v>1601</v>
      </c>
      <c r="E154" s="95">
        <v>2602</v>
      </c>
      <c r="F154" s="95">
        <v>24976629</v>
      </c>
      <c r="G154" s="95">
        <v>47092866</v>
      </c>
      <c r="H154" s="95">
        <v>72069495</v>
      </c>
      <c r="I154" s="91" t="s">
        <v>71</v>
      </c>
      <c r="J154" s="91" t="s">
        <v>1121</v>
      </c>
      <c r="K154" s="94">
        <v>232991</v>
      </c>
      <c r="L154" s="91" t="s">
        <v>489</v>
      </c>
      <c r="M154" s="2"/>
      <c r="N154" s="2"/>
      <c r="O154" s="4"/>
    </row>
    <row r="155" spans="1:15" x14ac:dyDescent="0.2">
      <c r="A155" s="91" t="s">
        <v>370</v>
      </c>
      <c r="B155" s="91" t="s">
        <v>956</v>
      </c>
      <c r="C155" s="95">
        <v>106</v>
      </c>
      <c r="D155" s="95">
        <v>201</v>
      </c>
      <c r="E155" s="95">
        <v>307</v>
      </c>
      <c r="F155" s="95">
        <v>4690677</v>
      </c>
      <c r="G155" s="95">
        <v>9827339</v>
      </c>
      <c r="H155" s="95">
        <v>14518016</v>
      </c>
      <c r="I155" s="91" t="s">
        <v>71</v>
      </c>
      <c r="J155" s="91" t="s">
        <v>1121</v>
      </c>
      <c r="K155" s="94">
        <v>233346</v>
      </c>
      <c r="L155" s="91" t="s">
        <v>715</v>
      </c>
      <c r="M155" s="2"/>
      <c r="N155" s="2"/>
      <c r="O155" s="4"/>
    </row>
    <row r="156" spans="1:15" x14ac:dyDescent="0.2">
      <c r="A156" s="91" t="s">
        <v>383</v>
      </c>
      <c r="B156" s="91" t="s">
        <v>958</v>
      </c>
      <c r="C156" s="95">
        <v>681</v>
      </c>
      <c r="D156" s="95">
        <v>1209</v>
      </c>
      <c r="E156" s="95">
        <v>1890</v>
      </c>
      <c r="F156" s="95">
        <v>25369933</v>
      </c>
      <c r="G156" s="95">
        <v>56491582</v>
      </c>
      <c r="H156" s="95">
        <v>81861514</v>
      </c>
      <c r="I156" s="91" t="s">
        <v>71</v>
      </c>
      <c r="J156" s="91" t="s">
        <v>1121</v>
      </c>
      <c r="K156" s="94">
        <v>233460</v>
      </c>
      <c r="L156" s="91" t="s">
        <v>715</v>
      </c>
      <c r="M156" s="2"/>
      <c r="N156" s="2"/>
      <c r="O156" s="4"/>
    </row>
    <row r="157" spans="1:15" x14ac:dyDescent="0.2">
      <c r="A157" s="91" t="s">
        <v>449</v>
      </c>
      <c r="B157" s="91" t="s">
        <v>897</v>
      </c>
      <c r="C157" s="95">
        <v>3911</v>
      </c>
      <c r="D157" s="95">
        <v>5932</v>
      </c>
      <c r="E157" s="95">
        <v>9843</v>
      </c>
      <c r="F157" s="95">
        <v>141363601</v>
      </c>
      <c r="G157" s="95">
        <v>274374758</v>
      </c>
      <c r="H157" s="95">
        <v>415738359</v>
      </c>
      <c r="I157" s="91" t="s">
        <v>71</v>
      </c>
      <c r="J157" s="91" t="s">
        <v>1121</v>
      </c>
      <c r="K157" s="94">
        <v>233585</v>
      </c>
      <c r="L157" s="91" t="s">
        <v>811</v>
      </c>
      <c r="M157" s="2"/>
      <c r="N157" s="2"/>
      <c r="O157" s="4"/>
    </row>
    <row r="158" spans="1:15" x14ac:dyDescent="0.2">
      <c r="A158" s="91" t="s">
        <v>173</v>
      </c>
      <c r="B158" s="91" t="s">
        <v>832</v>
      </c>
      <c r="C158" s="95">
        <v>26</v>
      </c>
      <c r="D158" s="95">
        <v>26</v>
      </c>
      <c r="E158" s="95">
        <v>52</v>
      </c>
      <c r="F158" s="95">
        <v>1135591</v>
      </c>
      <c r="G158" s="95">
        <v>1355778</v>
      </c>
      <c r="H158" s="95">
        <v>2491370</v>
      </c>
      <c r="I158" s="91" t="s">
        <v>71</v>
      </c>
      <c r="J158" s="91" t="s">
        <v>1118</v>
      </c>
      <c r="K158" s="94">
        <v>235234</v>
      </c>
      <c r="L158" s="91" t="s">
        <v>497</v>
      </c>
      <c r="M158" s="2"/>
      <c r="N158" s="2"/>
      <c r="O158" s="4"/>
    </row>
    <row r="159" spans="1:15" x14ac:dyDescent="0.2">
      <c r="A159" s="91" t="s">
        <v>471</v>
      </c>
      <c r="B159" s="91" t="s">
        <v>816</v>
      </c>
      <c r="C159" s="95">
        <v>1348</v>
      </c>
      <c r="D159" s="95">
        <v>1892</v>
      </c>
      <c r="E159" s="95">
        <v>3240</v>
      </c>
      <c r="F159" s="95">
        <v>28458190</v>
      </c>
      <c r="G159" s="95">
        <v>50245273</v>
      </c>
      <c r="H159" s="95">
        <v>78703463</v>
      </c>
      <c r="I159" s="91" t="s">
        <v>71</v>
      </c>
      <c r="J159" s="91" t="s">
        <v>1121</v>
      </c>
      <c r="K159" s="94">
        <v>235291</v>
      </c>
      <c r="L159" s="91" t="s">
        <v>580</v>
      </c>
      <c r="M159" s="2"/>
      <c r="N159" s="2"/>
      <c r="O159" s="4"/>
    </row>
    <row r="160" spans="1:15" x14ac:dyDescent="0.2">
      <c r="A160" s="91" t="s">
        <v>212</v>
      </c>
      <c r="B160" s="91" t="s">
        <v>1023</v>
      </c>
      <c r="C160" s="95">
        <v>1874</v>
      </c>
      <c r="D160" s="95">
        <v>2391</v>
      </c>
      <c r="E160" s="95">
        <v>4265</v>
      </c>
      <c r="F160" s="95">
        <v>192572519</v>
      </c>
      <c r="G160" s="95">
        <v>287724994</v>
      </c>
      <c r="H160" s="95">
        <v>480297513</v>
      </c>
      <c r="I160" s="91" t="s">
        <v>71</v>
      </c>
      <c r="J160" s="91" t="s">
        <v>1121</v>
      </c>
      <c r="K160" s="94">
        <v>237008</v>
      </c>
      <c r="L160" s="91" t="s">
        <v>362</v>
      </c>
      <c r="M160" s="2"/>
      <c r="N160" s="2"/>
      <c r="O160" s="4"/>
    </row>
    <row r="161" spans="1:15" x14ac:dyDescent="0.2">
      <c r="A161" s="91" t="s">
        <v>410</v>
      </c>
      <c r="B161" s="91" t="s">
        <v>935</v>
      </c>
      <c r="C161" s="95">
        <v>511</v>
      </c>
      <c r="D161" s="95">
        <v>639</v>
      </c>
      <c r="E161" s="95">
        <v>1150</v>
      </c>
      <c r="F161" s="95">
        <v>18056096</v>
      </c>
      <c r="G161" s="95">
        <v>27882358</v>
      </c>
      <c r="H161" s="95">
        <v>45938454</v>
      </c>
      <c r="I161" s="91" t="s">
        <v>71</v>
      </c>
      <c r="J161" s="91" t="s">
        <v>1121</v>
      </c>
      <c r="K161" s="94">
        <v>237834</v>
      </c>
      <c r="L161" s="91" t="s">
        <v>930</v>
      </c>
      <c r="M161" s="2"/>
      <c r="N161" s="2"/>
      <c r="O161" s="4"/>
    </row>
    <row r="162" spans="1:15" x14ac:dyDescent="0.2">
      <c r="A162" s="91" t="s">
        <v>260</v>
      </c>
      <c r="B162" s="91" t="s">
        <v>741</v>
      </c>
      <c r="C162" s="95">
        <v>39</v>
      </c>
      <c r="D162" s="95">
        <v>48</v>
      </c>
      <c r="E162" s="95">
        <v>87</v>
      </c>
      <c r="F162" s="95">
        <v>1176456</v>
      </c>
      <c r="G162" s="95">
        <v>1680040</v>
      </c>
      <c r="H162" s="95">
        <v>2856496</v>
      </c>
      <c r="I162" s="91" t="s">
        <v>71</v>
      </c>
      <c r="J162" s="91" t="s">
        <v>1121</v>
      </c>
      <c r="K162" s="94">
        <v>238832</v>
      </c>
      <c r="L162" s="91" t="s">
        <v>415</v>
      </c>
      <c r="M162" s="2"/>
      <c r="N162" s="2"/>
      <c r="O162" s="4"/>
    </row>
    <row r="163" spans="1:15" x14ac:dyDescent="0.2">
      <c r="A163" s="91" t="s">
        <v>173</v>
      </c>
      <c r="B163" s="91" t="s">
        <v>1028</v>
      </c>
      <c r="C163" s="95">
        <v>1263</v>
      </c>
      <c r="D163" s="95">
        <v>1245</v>
      </c>
      <c r="E163" s="95">
        <v>2508</v>
      </c>
      <c r="F163" s="95">
        <v>36209388</v>
      </c>
      <c r="G163" s="95">
        <v>45619854</v>
      </c>
      <c r="H163" s="95">
        <v>81829242</v>
      </c>
      <c r="I163" s="91" t="s">
        <v>71</v>
      </c>
      <c r="J163" s="91" t="s">
        <v>1118</v>
      </c>
      <c r="K163" s="94">
        <v>240663</v>
      </c>
      <c r="L163" s="91" t="s">
        <v>991</v>
      </c>
      <c r="M163" s="2"/>
      <c r="N163" s="2"/>
      <c r="O163" s="4"/>
    </row>
    <row r="164" spans="1:15" x14ac:dyDescent="0.2">
      <c r="A164" s="91" t="s">
        <v>260</v>
      </c>
      <c r="B164" s="91" t="s">
        <v>542</v>
      </c>
      <c r="C164" s="95">
        <v>1668</v>
      </c>
      <c r="D164" s="95">
        <v>1869</v>
      </c>
      <c r="E164" s="95">
        <v>3537</v>
      </c>
      <c r="F164" s="95">
        <v>47772191</v>
      </c>
      <c r="G164" s="95">
        <v>63128340</v>
      </c>
      <c r="H164" s="95">
        <v>110900531</v>
      </c>
      <c r="I164" s="91" t="s">
        <v>71</v>
      </c>
      <c r="J164" s="91" t="s">
        <v>1121</v>
      </c>
      <c r="K164" s="94">
        <v>241497</v>
      </c>
      <c r="L164" s="91" t="s">
        <v>254</v>
      </c>
      <c r="M164" s="2"/>
      <c r="N164" s="2"/>
      <c r="O164" s="4"/>
    </row>
    <row r="165" spans="1:15" x14ac:dyDescent="0.2">
      <c r="A165" s="91" t="s">
        <v>188</v>
      </c>
      <c r="B165" s="91" t="s">
        <v>252</v>
      </c>
      <c r="C165" s="95">
        <v>2919</v>
      </c>
      <c r="D165" s="95">
        <v>2503</v>
      </c>
      <c r="E165" s="95">
        <v>5422</v>
      </c>
      <c r="F165" s="95">
        <v>96755309</v>
      </c>
      <c r="G165" s="95">
        <v>109119789</v>
      </c>
      <c r="H165" s="95">
        <v>205875098</v>
      </c>
      <c r="I165" s="91" t="s">
        <v>171</v>
      </c>
      <c r="J165" s="91" t="s">
        <v>1122</v>
      </c>
      <c r="K165" s="94">
        <v>242081</v>
      </c>
      <c r="L165" s="91" t="s">
        <v>203</v>
      </c>
      <c r="M165" s="2"/>
      <c r="N165" s="2"/>
      <c r="O165" s="4"/>
    </row>
    <row r="166" spans="1:15" x14ac:dyDescent="0.2">
      <c r="A166" s="91" t="s">
        <v>410</v>
      </c>
      <c r="B166" s="91" t="s">
        <v>602</v>
      </c>
      <c r="C166" s="95">
        <v>360</v>
      </c>
      <c r="D166" s="95">
        <v>520</v>
      </c>
      <c r="E166" s="95">
        <v>880</v>
      </c>
      <c r="F166" s="95">
        <v>12806555</v>
      </c>
      <c r="G166" s="95">
        <v>20452650</v>
      </c>
      <c r="H166" s="95">
        <v>33259205</v>
      </c>
      <c r="I166" s="91" t="s">
        <v>71</v>
      </c>
      <c r="J166" s="91" t="s">
        <v>1121</v>
      </c>
      <c r="K166" s="94">
        <v>242495</v>
      </c>
      <c r="L166" s="91" t="s">
        <v>275</v>
      </c>
      <c r="M166" s="2"/>
      <c r="N166" s="2"/>
      <c r="O166" s="4"/>
    </row>
    <row r="167" spans="1:15" x14ac:dyDescent="0.2">
      <c r="A167" s="91" t="s">
        <v>182</v>
      </c>
      <c r="B167" s="91" t="s">
        <v>181</v>
      </c>
      <c r="C167" s="95">
        <v>2888</v>
      </c>
      <c r="D167" s="95">
        <v>2811</v>
      </c>
      <c r="E167" s="95">
        <v>5699</v>
      </c>
      <c r="F167" s="95">
        <v>164509510</v>
      </c>
      <c r="G167" s="95">
        <v>185918931</v>
      </c>
      <c r="H167" s="95">
        <v>350428441</v>
      </c>
      <c r="I167" s="91" t="s">
        <v>71</v>
      </c>
      <c r="J167" s="91" t="s">
        <v>1115</v>
      </c>
      <c r="K167" s="94">
        <v>243022</v>
      </c>
      <c r="L167" s="91" t="s">
        <v>178</v>
      </c>
      <c r="M167" s="2"/>
      <c r="N167" s="2"/>
      <c r="O167" s="4"/>
    </row>
    <row r="168" spans="1:15" x14ac:dyDescent="0.2">
      <c r="A168" s="91" t="s">
        <v>449</v>
      </c>
      <c r="B168" s="91" t="s">
        <v>1031</v>
      </c>
      <c r="C168" s="95">
        <v>176</v>
      </c>
      <c r="D168" s="95">
        <v>275</v>
      </c>
      <c r="E168" s="95">
        <v>451</v>
      </c>
      <c r="F168" s="95">
        <v>5199772</v>
      </c>
      <c r="G168" s="95">
        <v>10773737</v>
      </c>
      <c r="H168" s="95">
        <v>15973510</v>
      </c>
      <c r="I168" s="91" t="s">
        <v>71</v>
      </c>
      <c r="J168" s="91" t="s">
        <v>1121</v>
      </c>
      <c r="K168" s="94">
        <v>246868</v>
      </c>
      <c r="L168" s="91" t="s">
        <v>489</v>
      </c>
      <c r="M168" s="2"/>
      <c r="N168" s="2"/>
      <c r="O168" s="4"/>
    </row>
    <row r="169" spans="1:15" x14ac:dyDescent="0.2">
      <c r="A169" s="91" t="s">
        <v>245</v>
      </c>
      <c r="B169" s="91" t="s">
        <v>244</v>
      </c>
      <c r="C169" s="95">
        <v>23724</v>
      </c>
      <c r="D169" s="95">
        <v>30245</v>
      </c>
      <c r="E169" s="95">
        <v>53969</v>
      </c>
      <c r="F169" s="95">
        <v>925233913</v>
      </c>
      <c r="G169" s="95">
        <v>1429763537</v>
      </c>
      <c r="H169" s="95">
        <v>2354997450</v>
      </c>
      <c r="I169" s="91" t="s">
        <v>171</v>
      </c>
      <c r="J169" s="91" t="s">
        <v>1121</v>
      </c>
      <c r="K169" s="94">
        <v>248161</v>
      </c>
      <c r="L169" s="91" t="s">
        <v>209</v>
      </c>
      <c r="M169" s="2"/>
      <c r="N169" s="2"/>
      <c r="O169" s="4"/>
    </row>
    <row r="170" spans="1:15" x14ac:dyDescent="0.2">
      <c r="A170" s="91" t="s">
        <v>487</v>
      </c>
      <c r="B170" s="91" t="s">
        <v>686</v>
      </c>
      <c r="C170" s="95">
        <v>20115</v>
      </c>
      <c r="D170" s="95">
        <v>30710</v>
      </c>
      <c r="E170" s="95">
        <v>50825</v>
      </c>
      <c r="F170" s="95">
        <v>578864017</v>
      </c>
      <c r="G170" s="95">
        <v>1170608611</v>
      </c>
      <c r="H170" s="95">
        <v>1749472628</v>
      </c>
      <c r="I170" s="91" t="s">
        <v>171</v>
      </c>
      <c r="J170" s="91" t="s">
        <v>1121</v>
      </c>
      <c r="K170" s="94">
        <v>249995</v>
      </c>
      <c r="L170" s="91" t="s">
        <v>221</v>
      </c>
      <c r="M170" s="2"/>
      <c r="N170" s="2"/>
      <c r="O170" s="4"/>
    </row>
    <row r="171" spans="1:15" x14ac:dyDescent="0.2">
      <c r="A171" s="91" t="s">
        <v>173</v>
      </c>
      <c r="B171" s="91" t="s">
        <v>877</v>
      </c>
      <c r="C171" s="95">
        <v>3257</v>
      </c>
      <c r="D171" s="95">
        <v>5773</v>
      </c>
      <c r="E171" s="95">
        <v>9030</v>
      </c>
      <c r="F171" s="95">
        <v>353227188</v>
      </c>
      <c r="G171" s="95">
        <v>715854764</v>
      </c>
      <c r="H171" s="95">
        <v>1069081952</v>
      </c>
      <c r="I171" s="91" t="s">
        <v>171</v>
      </c>
      <c r="J171" s="91" t="s">
        <v>1118</v>
      </c>
      <c r="K171" s="94">
        <v>250340</v>
      </c>
      <c r="L171" s="91" t="s">
        <v>749</v>
      </c>
      <c r="M171" s="2"/>
      <c r="N171" s="2"/>
      <c r="O171" s="4"/>
    </row>
    <row r="172" spans="1:15" x14ac:dyDescent="0.2">
      <c r="A172" s="91" t="s">
        <v>310</v>
      </c>
      <c r="B172" s="91" t="s">
        <v>1143</v>
      </c>
      <c r="C172" s="95">
        <v>3</v>
      </c>
      <c r="D172" s="95">
        <v>17</v>
      </c>
      <c r="E172" s="95">
        <v>20</v>
      </c>
      <c r="F172" s="95">
        <v>92319</v>
      </c>
      <c r="G172" s="95">
        <v>994457</v>
      </c>
      <c r="H172" s="95">
        <v>1086776</v>
      </c>
      <c r="I172" s="91" t="s">
        <v>71</v>
      </c>
      <c r="J172" s="91" t="s">
        <v>1121</v>
      </c>
      <c r="K172" s="94">
        <v>250878</v>
      </c>
      <c r="L172" s="91" t="s">
        <v>1152</v>
      </c>
      <c r="M172" s="2"/>
      <c r="N172" s="2"/>
      <c r="O172" s="4"/>
    </row>
    <row r="173" spans="1:15" x14ac:dyDescent="0.2">
      <c r="A173" s="91" t="s">
        <v>223</v>
      </c>
      <c r="B173" s="91" t="s">
        <v>386</v>
      </c>
      <c r="C173" s="95">
        <v>1456</v>
      </c>
      <c r="D173" s="95">
        <v>1590</v>
      </c>
      <c r="E173" s="95">
        <v>3046</v>
      </c>
      <c r="F173" s="95">
        <v>49611888</v>
      </c>
      <c r="G173" s="95">
        <v>68378484</v>
      </c>
      <c r="H173" s="95">
        <v>117990372</v>
      </c>
      <c r="I173" s="91" t="s">
        <v>71</v>
      </c>
      <c r="J173" s="91" t="s">
        <v>1122</v>
      </c>
      <c r="K173" s="94">
        <v>252296</v>
      </c>
      <c r="L173" s="91" t="s">
        <v>207</v>
      </c>
      <c r="M173" s="2"/>
      <c r="N173" s="2"/>
      <c r="O173" s="4"/>
    </row>
    <row r="174" spans="1:15" x14ac:dyDescent="0.2">
      <c r="A174" s="91" t="s">
        <v>370</v>
      </c>
      <c r="B174" s="91" t="s">
        <v>970</v>
      </c>
      <c r="C174" s="95">
        <v>130</v>
      </c>
      <c r="D174" s="95">
        <v>171</v>
      </c>
      <c r="E174" s="95">
        <v>301</v>
      </c>
      <c r="F174" s="95">
        <v>3984663</v>
      </c>
      <c r="G174" s="95">
        <v>6769362</v>
      </c>
      <c r="H174" s="95">
        <v>10754024</v>
      </c>
      <c r="I174" s="91" t="s">
        <v>71</v>
      </c>
      <c r="J174" s="91" t="s">
        <v>1121</v>
      </c>
      <c r="K174" s="94">
        <v>252353</v>
      </c>
      <c r="L174" s="91" t="s">
        <v>695</v>
      </c>
      <c r="M174" s="2"/>
      <c r="N174" s="2"/>
      <c r="O174" s="4"/>
    </row>
    <row r="175" spans="1:15" x14ac:dyDescent="0.2">
      <c r="A175" s="91" t="s">
        <v>212</v>
      </c>
      <c r="B175" s="91" t="s">
        <v>373</v>
      </c>
      <c r="C175" s="95">
        <v>6062</v>
      </c>
      <c r="D175" s="95">
        <v>7893</v>
      </c>
      <c r="E175" s="95">
        <v>13955</v>
      </c>
      <c r="F175" s="95">
        <v>279745508</v>
      </c>
      <c r="G175" s="95">
        <v>425934192</v>
      </c>
      <c r="H175" s="95">
        <v>705679700</v>
      </c>
      <c r="I175" s="91" t="s">
        <v>171</v>
      </c>
      <c r="J175" s="91" t="s">
        <v>1121</v>
      </c>
      <c r="K175" s="94">
        <v>252411</v>
      </c>
      <c r="L175" s="91" t="s">
        <v>247</v>
      </c>
      <c r="M175" s="2"/>
      <c r="N175" s="2"/>
      <c r="O175" s="4"/>
    </row>
    <row r="176" spans="1:15" x14ac:dyDescent="0.2">
      <c r="A176" s="91" t="s">
        <v>173</v>
      </c>
      <c r="B176" s="91" t="s">
        <v>1111</v>
      </c>
      <c r="C176" s="95">
        <v>0</v>
      </c>
      <c r="D176" s="95">
        <v>3</v>
      </c>
      <c r="E176" s="95">
        <v>3</v>
      </c>
      <c r="F176" s="95">
        <v>0</v>
      </c>
      <c r="G176" s="95">
        <v>105238</v>
      </c>
      <c r="H176" s="95">
        <v>105238</v>
      </c>
      <c r="I176" s="91" t="s">
        <v>71</v>
      </c>
      <c r="J176" s="91" t="s">
        <v>1118</v>
      </c>
      <c r="K176" s="94">
        <v>254060</v>
      </c>
      <c r="L176" s="91" t="s">
        <v>368</v>
      </c>
      <c r="M176" s="2"/>
      <c r="N176" s="2"/>
      <c r="O176" s="4"/>
    </row>
    <row r="177" spans="1:15" x14ac:dyDescent="0.2">
      <c r="A177" s="91" t="s">
        <v>245</v>
      </c>
      <c r="B177" s="91" t="s">
        <v>338</v>
      </c>
      <c r="C177" s="95">
        <v>61</v>
      </c>
      <c r="D177" s="95">
        <v>123</v>
      </c>
      <c r="E177" s="95">
        <v>184</v>
      </c>
      <c r="F177" s="95">
        <v>3079767</v>
      </c>
      <c r="G177" s="95">
        <v>6885371</v>
      </c>
      <c r="H177" s="95">
        <v>9965138</v>
      </c>
      <c r="I177" s="91" t="s">
        <v>171</v>
      </c>
      <c r="J177" s="91" t="s">
        <v>1121</v>
      </c>
      <c r="K177" s="94">
        <v>256362</v>
      </c>
      <c r="L177" s="91" t="s">
        <v>277</v>
      </c>
      <c r="M177" s="2"/>
      <c r="N177" s="2"/>
      <c r="O177" s="4"/>
    </row>
    <row r="178" spans="1:15" x14ac:dyDescent="0.2">
      <c r="A178" s="91" t="s">
        <v>223</v>
      </c>
      <c r="B178" s="91" t="s">
        <v>534</v>
      </c>
      <c r="C178" s="95">
        <v>474</v>
      </c>
      <c r="D178" s="95">
        <v>452</v>
      </c>
      <c r="E178" s="95">
        <v>926</v>
      </c>
      <c r="F178" s="95">
        <v>20203318</v>
      </c>
      <c r="G178" s="95">
        <v>19749020</v>
      </c>
      <c r="H178" s="95">
        <v>39952339</v>
      </c>
      <c r="I178" s="91" t="s">
        <v>71</v>
      </c>
      <c r="J178" s="91" t="s">
        <v>1122</v>
      </c>
      <c r="K178" s="94">
        <v>259499</v>
      </c>
      <c r="L178" s="91" t="s">
        <v>535</v>
      </c>
      <c r="M178" s="2"/>
      <c r="N178" s="2"/>
      <c r="O178" s="4"/>
    </row>
    <row r="179" spans="1:15" x14ac:dyDescent="0.2">
      <c r="A179" s="91" t="s">
        <v>266</v>
      </c>
      <c r="B179" s="91" t="s">
        <v>270</v>
      </c>
      <c r="C179" s="95">
        <v>10596</v>
      </c>
      <c r="D179" s="95">
        <v>4591</v>
      </c>
      <c r="E179" s="95">
        <v>15187</v>
      </c>
      <c r="F179" s="95">
        <v>435494458</v>
      </c>
      <c r="G179" s="95">
        <v>213383111</v>
      </c>
      <c r="H179" s="95">
        <v>648877568</v>
      </c>
      <c r="I179" s="91" t="s">
        <v>171</v>
      </c>
      <c r="J179" s="91" t="s">
        <v>1118</v>
      </c>
      <c r="K179" s="94">
        <v>260323</v>
      </c>
      <c r="L179" s="91" t="s">
        <v>200</v>
      </c>
      <c r="M179" s="2"/>
      <c r="N179" s="2"/>
      <c r="O179" s="4"/>
    </row>
    <row r="180" spans="1:15" x14ac:dyDescent="0.2">
      <c r="A180" s="91" t="s">
        <v>820</v>
      </c>
      <c r="B180" s="91" t="s">
        <v>1061</v>
      </c>
      <c r="C180" s="95">
        <v>7797</v>
      </c>
      <c r="D180" s="95">
        <v>10155</v>
      </c>
      <c r="E180" s="95">
        <v>17952</v>
      </c>
      <c r="F180" s="95">
        <v>369033021</v>
      </c>
      <c r="G180" s="95">
        <v>575527678</v>
      </c>
      <c r="H180" s="95">
        <v>944560700</v>
      </c>
      <c r="I180" s="91" t="s">
        <v>71</v>
      </c>
      <c r="J180" s="91" t="s">
        <v>1121</v>
      </c>
      <c r="K180" s="94">
        <v>260919</v>
      </c>
      <c r="L180" s="91" t="s">
        <v>454</v>
      </c>
      <c r="M180" s="2"/>
      <c r="N180" s="2"/>
      <c r="O180" s="4"/>
    </row>
    <row r="181" spans="1:15" x14ac:dyDescent="0.2">
      <c r="A181" s="91" t="s">
        <v>383</v>
      </c>
      <c r="B181" s="91" t="s">
        <v>780</v>
      </c>
      <c r="C181" s="95">
        <v>80</v>
      </c>
      <c r="D181" s="95">
        <v>130</v>
      </c>
      <c r="E181" s="95">
        <v>210</v>
      </c>
      <c r="F181" s="95">
        <v>3715350</v>
      </c>
      <c r="G181" s="95">
        <v>7652437</v>
      </c>
      <c r="H181" s="95">
        <v>11367787</v>
      </c>
      <c r="I181" s="91" t="s">
        <v>171</v>
      </c>
      <c r="J181" s="91" t="s">
        <v>1121</v>
      </c>
      <c r="K181" s="94">
        <v>261859</v>
      </c>
      <c r="L181" s="91" t="s">
        <v>538</v>
      </c>
      <c r="M181" s="2"/>
      <c r="N181" s="2"/>
      <c r="O181" s="4"/>
    </row>
    <row r="182" spans="1:15" x14ac:dyDescent="0.2">
      <c r="A182" s="91" t="s">
        <v>370</v>
      </c>
      <c r="B182" s="91" t="s">
        <v>834</v>
      </c>
      <c r="C182" s="95">
        <v>1420</v>
      </c>
      <c r="D182" s="95">
        <v>1980</v>
      </c>
      <c r="E182" s="95">
        <v>3400</v>
      </c>
      <c r="F182" s="95">
        <v>28358508</v>
      </c>
      <c r="G182" s="95">
        <v>48437000</v>
      </c>
      <c r="H182" s="95">
        <v>76795508</v>
      </c>
      <c r="I182" s="91" t="s">
        <v>71</v>
      </c>
      <c r="J182" s="91" t="s">
        <v>1121</v>
      </c>
      <c r="K182" s="94">
        <v>262741</v>
      </c>
      <c r="L182" s="91" t="s">
        <v>580</v>
      </c>
      <c r="M182" s="2"/>
      <c r="N182" s="2"/>
      <c r="O182" s="4"/>
    </row>
    <row r="183" spans="1:15" x14ac:dyDescent="0.2">
      <c r="A183" s="91" t="s">
        <v>188</v>
      </c>
      <c r="B183" s="91" t="s">
        <v>213</v>
      </c>
      <c r="C183" s="95">
        <v>757</v>
      </c>
      <c r="D183" s="95">
        <v>1111</v>
      </c>
      <c r="E183" s="95">
        <v>1868</v>
      </c>
      <c r="F183" s="95">
        <v>48949952</v>
      </c>
      <c r="G183" s="95">
        <v>94181019</v>
      </c>
      <c r="H183" s="95">
        <v>143130971</v>
      </c>
      <c r="I183" s="91" t="s">
        <v>171</v>
      </c>
      <c r="J183" s="91" t="s">
        <v>1122</v>
      </c>
      <c r="K183" s="94">
        <v>265512</v>
      </c>
      <c r="L183" s="91" t="s">
        <v>196</v>
      </c>
      <c r="M183" s="2"/>
      <c r="N183" s="2"/>
      <c r="O183" s="4"/>
    </row>
    <row r="184" spans="1:15" x14ac:dyDescent="0.2">
      <c r="A184" s="91" t="s">
        <v>331</v>
      </c>
      <c r="B184" s="91" t="s">
        <v>330</v>
      </c>
      <c r="C184" s="95">
        <v>15919</v>
      </c>
      <c r="D184" s="95">
        <v>20118</v>
      </c>
      <c r="E184" s="95">
        <v>36037</v>
      </c>
      <c r="F184" s="95">
        <v>735190028</v>
      </c>
      <c r="G184" s="95">
        <v>1161529113</v>
      </c>
      <c r="H184" s="95">
        <v>1896719141</v>
      </c>
      <c r="I184" s="91" t="s">
        <v>171</v>
      </c>
      <c r="J184" s="91" t="s">
        <v>1121</v>
      </c>
      <c r="K184" s="94">
        <v>269357</v>
      </c>
      <c r="L184" s="91" t="s">
        <v>196</v>
      </c>
      <c r="M184" s="2"/>
      <c r="N184" s="2"/>
      <c r="O184" s="4"/>
    </row>
    <row r="185" spans="1:15" x14ac:dyDescent="0.2">
      <c r="A185" s="91" t="s">
        <v>173</v>
      </c>
      <c r="B185" s="91" t="s">
        <v>561</v>
      </c>
      <c r="C185" s="95">
        <v>1</v>
      </c>
      <c r="D185" s="95">
        <v>1</v>
      </c>
      <c r="E185" s="95">
        <v>2</v>
      </c>
      <c r="F185" s="95">
        <v>2419</v>
      </c>
      <c r="G185" s="95">
        <v>110849</v>
      </c>
      <c r="H185" s="95">
        <v>113268</v>
      </c>
      <c r="I185" s="91" t="s">
        <v>171</v>
      </c>
      <c r="J185" s="91" t="s">
        <v>1118</v>
      </c>
      <c r="K185" s="94">
        <v>269704</v>
      </c>
      <c r="L185" s="91" t="s">
        <v>562</v>
      </c>
      <c r="M185" s="2"/>
      <c r="N185" s="2"/>
      <c r="O185" s="4"/>
    </row>
    <row r="186" spans="1:15" x14ac:dyDescent="0.2">
      <c r="A186" s="91" t="s">
        <v>173</v>
      </c>
      <c r="B186" s="91" t="s">
        <v>674</v>
      </c>
      <c r="C186" s="95">
        <v>14</v>
      </c>
      <c r="D186" s="95">
        <v>18</v>
      </c>
      <c r="E186" s="95">
        <v>32</v>
      </c>
      <c r="F186" s="95">
        <v>451754</v>
      </c>
      <c r="G186" s="95">
        <v>575851</v>
      </c>
      <c r="H186" s="95">
        <v>1027605</v>
      </c>
      <c r="I186" s="91" t="s">
        <v>71</v>
      </c>
      <c r="J186" s="91" t="s">
        <v>1118</v>
      </c>
      <c r="K186" s="94">
        <v>271064</v>
      </c>
      <c r="L186" s="91" t="s">
        <v>497</v>
      </c>
      <c r="M186" s="2"/>
      <c r="N186" s="2"/>
      <c r="O186" s="4"/>
    </row>
    <row r="187" spans="1:15" x14ac:dyDescent="0.2">
      <c r="A187" s="91" t="s">
        <v>212</v>
      </c>
      <c r="B187" s="91" t="s">
        <v>1008</v>
      </c>
      <c r="C187" s="95">
        <v>480</v>
      </c>
      <c r="D187" s="95">
        <v>405</v>
      </c>
      <c r="E187" s="95">
        <v>885</v>
      </c>
      <c r="F187" s="95">
        <v>45506923</v>
      </c>
      <c r="G187" s="95">
        <v>43261055</v>
      </c>
      <c r="H187" s="95">
        <v>88767978</v>
      </c>
      <c r="I187" s="91" t="s">
        <v>71</v>
      </c>
      <c r="J187" s="91" t="s">
        <v>1121</v>
      </c>
      <c r="K187" s="94">
        <v>272831</v>
      </c>
      <c r="L187" s="91" t="s">
        <v>362</v>
      </c>
      <c r="M187" s="2"/>
      <c r="N187" s="2"/>
      <c r="O187" s="4"/>
    </row>
    <row r="188" spans="1:15" x14ac:dyDescent="0.2">
      <c r="A188" s="91" t="s">
        <v>264</v>
      </c>
      <c r="B188" s="91" t="s">
        <v>718</v>
      </c>
      <c r="C188" s="95">
        <v>1356</v>
      </c>
      <c r="D188" s="95">
        <v>1929</v>
      </c>
      <c r="E188" s="95">
        <v>3285</v>
      </c>
      <c r="F188" s="95">
        <v>56952744</v>
      </c>
      <c r="G188" s="95">
        <v>96831957</v>
      </c>
      <c r="H188" s="95">
        <v>153784701</v>
      </c>
      <c r="I188" s="91" t="s">
        <v>171</v>
      </c>
      <c r="J188" s="91" t="s">
        <v>1121</v>
      </c>
      <c r="K188" s="94">
        <v>272898</v>
      </c>
      <c r="L188" s="91" t="s">
        <v>191</v>
      </c>
      <c r="M188" s="2"/>
      <c r="N188" s="2"/>
      <c r="O188" s="4"/>
    </row>
    <row r="189" spans="1:15" x14ac:dyDescent="0.2">
      <c r="A189" s="91" t="s">
        <v>260</v>
      </c>
      <c r="B189" s="91" t="s">
        <v>724</v>
      </c>
      <c r="C189" s="95">
        <v>679</v>
      </c>
      <c r="D189" s="95">
        <v>565</v>
      </c>
      <c r="E189" s="95">
        <v>1244</v>
      </c>
      <c r="F189" s="95">
        <v>20593550</v>
      </c>
      <c r="G189" s="95">
        <v>21437589</v>
      </c>
      <c r="H189" s="95">
        <v>42031139</v>
      </c>
      <c r="I189" s="91" t="s">
        <v>171</v>
      </c>
      <c r="J189" s="91" t="s">
        <v>1121</v>
      </c>
      <c r="K189" s="94">
        <v>273078</v>
      </c>
      <c r="L189" s="91" t="s">
        <v>403</v>
      </c>
      <c r="M189" s="2"/>
      <c r="N189" s="2"/>
      <c r="O189" s="4"/>
    </row>
    <row r="190" spans="1:15" x14ac:dyDescent="0.2">
      <c r="A190" s="91" t="s">
        <v>383</v>
      </c>
      <c r="B190" s="91" t="s">
        <v>931</v>
      </c>
      <c r="C190" s="95">
        <v>232</v>
      </c>
      <c r="D190" s="95">
        <v>324</v>
      </c>
      <c r="E190" s="95">
        <v>556</v>
      </c>
      <c r="F190" s="95">
        <v>7336907</v>
      </c>
      <c r="G190" s="95">
        <v>11158214</v>
      </c>
      <c r="H190" s="95">
        <v>18495121</v>
      </c>
      <c r="I190" s="91" t="s">
        <v>71</v>
      </c>
      <c r="J190" s="91" t="s">
        <v>1121</v>
      </c>
      <c r="K190" s="94">
        <v>273664</v>
      </c>
      <c r="L190" s="91" t="s">
        <v>930</v>
      </c>
      <c r="M190" s="2"/>
      <c r="N190" s="2"/>
      <c r="O190" s="4"/>
    </row>
    <row r="191" spans="1:15" x14ac:dyDescent="0.2">
      <c r="A191" s="91" t="s">
        <v>239</v>
      </c>
      <c r="B191" s="91" t="s">
        <v>899</v>
      </c>
      <c r="C191" s="95">
        <v>1634</v>
      </c>
      <c r="D191" s="95">
        <v>1894</v>
      </c>
      <c r="E191" s="95">
        <v>3528</v>
      </c>
      <c r="F191" s="95">
        <v>29511088</v>
      </c>
      <c r="G191" s="95">
        <v>43322008</v>
      </c>
      <c r="H191" s="95">
        <v>72833097</v>
      </c>
      <c r="I191" s="91" t="s">
        <v>71</v>
      </c>
      <c r="J191" s="91" t="s">
        <v>1121</v>
      </c>
      <c r="K191" s="94">
        <v>275495</v>
      </c>
      <c r="L191" s="91" t="s">
        <v>811</v>
      </c>
      <c r="M191" s="2"/>
      <c r="N191" s="2"/>
      <c r="O191" s="4"/>
    </row>
    <row r="192" spans="1:15" x14ac:dyDescent="0.2">
      <c r="A192" s="91" t="s">
        <v>173</v>
      </c>
      <c r="B192" s="91" t="s">
        <v>990</v>
      </c>
      <c r="C192" s="95">
        <v>3834</v>
      </c>
      <c r="D192" s="95">
        <v>3420</v>
      </c>
      <c r="E192" s="95">
        <v>7254</v>
      </c>
      <c r="F192" s="95">
        <v>163739056</v>
      </c>
      <c r="G192" s="95">
        <v>168718434</v>
      </c>
      <c r="H192" s="95">
        <v>332457491</v>
      </c>
      <c r="I192" s="91" t="s">
        <v>71</v>
      </c>
      <c r="J192" s="91" t="s">
        <v>1118</v>
      </c>
      <c r="K192" s="94">
        <v>276493</v>
      </c>
      <c r="L192" s="91" t="s">
        <v>991</v>
      </c>
      <c r="M192" s="2"/>
      <c r="N192" s="2"/>
      <c r="O192" s="4"/>
    </row>
    <row r="193" spans="1:15" x14ac:dyDescent="0.2">
      <c r="A193" s="91" t="s">
        <v>182</v>
      </c>
      <c r="B193" s="91" t="s">
        <v>183</v>
      </c>
      <c r="C193" s="95">
        <v>3987</v>
      </c>
      <c r="D193" s="95">
        <v>3842</v>
      </c>
      <c r="E193" s="95">
        <v>7829</v>
      </c>
      <c r="F193" s="95">
        <v>414111604</v>
      </c>
      <c r="G193" s="95">
        <v>438281031</v>
      </c>
      <c r="H193" s="95">
        <v>852392635</v>
      </c>
      <c r="I193" s="91" t="s">
        <v>71</v>
      </c>
      <c r="J193" s="91" t="s">
        <v>1115</v>
      </c>
      <c r="K193" s="94">
        <v>278853</v>
      </c>
      <c r="L193" s="91" t="s">
        <v>178</v>
      </c>
      <c r="M193" s="2"/>
      <c r="N193" s="2"/>
      <c r="O193" s="4"/>
    </row>
    <row r="194" spans="1:15" x14ac:dyDescent="0.2">
      <c r="A194" s="91" t="s">
        <v>260</v>
      </c>
      <c r="B194" s="91" t="s">
        <v>846</v>
      </c>
      <c r="C194" s="95">
        <v>2843</v>
      </c>
      <c r="D194" s="95">
        <v>3246</v>
      </c>
      <c r="E194" s="95">
        <v>6089</v>
      </c>
      <c r="F194" s="95">
        <v>105102314</v>
      </c>
      <c r="G194" s="95">
        <v>142026886</v>
      </c>
      <c r="H194" s="95">
        <v>247129200</v>
      </c>
      <c r="I194" s="91" t="s">
        <v>71</v>
      </c>
      <c r="J194" s="91" t="s">
        <v>1121</v>
      </c>
      <c r="K194" s="94">
        <v>280867</v>
      </c>
      <c r="L194" s="91" t="s">
        <v>844</v>
      </c>
      <c r="M194" s="2"/>
      <c r="N194" s="2"/>
      <c r="O194" s="4"/>
    </row>
    <row r="195" spans="1:15" x14ac:dyDescent="0.2">
      <c r="A195" s="91" t="s">
        <v>243</v>
      </c>
      <c r="B195" s="91" t="s">
        <v>598</v>
      </c>
      <c r="C195" s="95">
        <v>42</v>
      </c>
      <c r="D195" s="95">
        <v>51</v>
      </c>
      <c r="E195" s="95">
        <v>93</v>
      </c>
      <c r="F195" s="95">
        <v>1655178</v>
      </c>
      <c r="G195" s="95">
        <v>2360104</v>
      </c>
      <c r="H195" s="95">
        <v>4015281</v>
      </c>
      <c r="I195" s="91" t="s">
        <v>71</v>
      </c>
      <c r="J195" s="91" t="s">
        <v>1122</v>
      </c>
      <c r="K195" s="94">
        <v>280925</v>
      </c>
      <c r="L195" s="91" t="s">
        <v>454</v>
      </c>
      <c r="M195" s="2"/>
      <c r="N195" s="2"/>
      <c r="O195" s="4"/>
    </row>
    <row r="196" spans="1:15" x14ac:dyDescent="0.2">
      <c r="A196" s="91" t="s">
        <v>212</v>
      </c>
      <c r="B196" s="91" t="s">
        <v>380</v>
      </c>
      <c r="C196" s="95">
        <v>21679</v>
      </c>
      <c r="D196" s="95">
        <v>21241</v>
      </c>
      <c r="E196" s="95">
        <v>42920</v>
      </c>
      <c r="F196" s="95">
        <v>639266512</v>
      </c>
      <c r="G196" s="95">
        <v>757144101</v>
      </c>
      <c r="H196" s="95">
        <v>1396410614</v>
      </c>
      <c r="I196" s="91" t="s">
        <v>71</v>
      </c>
      <c r="J196" s="91" t="s">
        <v>1121</v>
      </c>
      <c r="K196" s="94">
        <v>282517</v>
      </c>
      <c r="L196" s="91" t="s">
        <v>226</v>
      </c>
      <c r="M196" s="2"/>
      <c r="N196" s="2"/>
      <c r="O196" s="4"/>
    </row>
    <row r="197" spans="1:15" x14ac:dyDescent="0.2">
      <c r="A197" s="91" t="s">
        <v>212</v>
      </c>
      <c r="B197" s="91" t="s">
        <v>573</v>
      </c>
      <c r="C197" s="95">
        <v>53</v>
      </c>
      <c r="D197" s="95">
        <v>89</v>
      </c>
      <c r="E197" s="95">
        <v>142</v>
      </c>
      <c r="F197" s="95">
        <v>2197123</v>
      </c>
      <c r="G197" s="95">
        <v>3621834</v>
      </c>
      <c r="H197" s="95">
        <v>5818957</v>
      </c>
      <c r="I197" s="91" t="s">
        <v>71</v>
      </c>
      <c r="J197" s="91" t="s">
        <v>1121</v>
      </c>
      <c r="K197" s="94">
        <v>282632</v>
      </c>
      <c r="L197" s="91" t="s">
        <v>462</v>
      </c>
      <c r="M197" s="2"/>
      <c r="N197" s="2"/>
      <c r="O197" s="4"/>
    </row>
    <row r="198" spans="1:15" x14ac:dyDescent="0.2">
      <c r="A198" s="91" t="s">
        <v>239</v>
      </c>
      <c r="B198" s="91" t="s">
        <v>1018</v>
      </c>
      <c r="C198" s="95">
        <v>48</v>
      </c>
      <c r="D198" s="95">
        <v>90</v>
      </c>
      <c r="E198" s="95">
        <v>138</v>
      </c>
      <c r="F198" s="95">
        <v>1125154</v>
      </c>
      <c r="G198" s="95">
        <v>2625907</v>
      </c>
      <c r="H198" s="95">
        <v>3751061</v>
      </c>
      <c r="I198" s="91" t="s">
        <v>71</v>
      </c>
      <c r="J198" s="91" t="s">
        <v>1121</v>
      </c>
      <c r="K198" s="94">
        <v>282699</v>
      </c>
      <c r="L198" s="91" t="s">
        <v>489</v>
      </c>
      <c r="M198" s="2"/>
      <c r="N198" s="2"/>
      <c r="O198" s="4"/>
    </row>
    <row r="199" spans="1:15" x14ac:dyDescent="0.2">
      <c r="A199" s="91" t="s">
        <v>315</v>
      </c>
      <c r="B199" s="91" t="s">
        <v>136</v>
      </c>
      <c r="C199" s="95">
        <v>124385</v>
      </c>
      <c r="D199" s="95">
        <v>129217</v>
      </c>
      <c r="E199" s="95">
        <v>253602</v>
      </c>
      <c r="F199" s="95">
        <v>4568087251</v>
      </c>
      <c r="G199" s="95">
        <v>6066069604</v>
      </c>
      <c r="H199" s="95">
        <v>10634156855</v>
      </c>
      <c r="I199" s="91" t="s">
        <v>171</v>
      </c>
      <c r="J199" s="91" t="s">
        <v>1121</v>
      </c>
      <c r="K199" s="94">
        <v>283408</v>
      </c>
      <c r="L199" s="91" t="s">
        <v>200</v>
      </c>
      <c r="M199" s="2"/>
      <c r="N199" s="2"/>
      <c r="O199" s="4"/>
    </row>
    <row r="200" spans="1:15" x14ac:dyDescent="0.2">
      <c r="A200" s="91" t="s">
        <v>379</v>
      </c>
      <c r="B200" s="91" t="s">
        <v>557</v>
      </c>
      <c r="C200" s="95">
        <v>4692</v>
      </c>
      <c r="D200" s="95">
        <v>6281</v>
      </c>
      <c r="E200" s="95">
        <v>10973</v>
      </c>
      <c r="F200" s="95">
        <v>129398118</v>
      </c>
      <c r="G200" s="95">
        <v>213946516</v>
      </c>
      <c r="H200" s="95">
        <v>343344634</v>
      </c>
      <c r="I200" s="91" t="s">
        <v>171</v>
      </c>
      <c r="J200" s="91" t="s">
        <v>1121</v>
      </c>
      <c r="K200" s="94">
        <v>285825</v>
      </c>
      <c r="L200" s="91" t="s">
        <v>221</v>
      </c>
      <c r="M200" s="2"/>
      <c r="N200" s="2"/>
      <c r="O200" s="4"/>
    </row>
    <row r="201" spans="1:15" x14ac:dyDescent="0.2">
      <c r="A201" s="91" t="s">
        <v>173</v>
      </c>
      <c r="B201" s="91" t="s">
        <v>876</v>
      </c>
      <c r="C201" s="95">
        <v>31436</v>
      </c>
      <c r="D201" s="95">
        <v>31592</v>
      </c>
      <c r="E201" s="95">
        <v>63028</v>
      </c>
      <c r="F201" s="95">
        <v>3818877555</v>
      </c>
      <c r="G201" s="95">
        <v>4298652764</v>
      </c>
      <c r="H201" s="95">
        <v>8117530319</v>
      </c>
      <c r="I201" s="91" t="s">
        <v>171</v>
      </c>
      <c r="J201" s="91" t="s">
        <v>1118</v>
      </c>
      <c r="K201" s="94">
        <v>286179</v>
      </c>
      <c r="L201" s="91" t="s">
        <v>749</v>
      </c>
      <c r="M201" s="2"/>
      <c r="N201" s="2"/>
      <c r="O201" s="4"/>
    </row>
    <row r="202" spans="1:15" x14ac:dyDescent="0.2">
      <c r="A202" s="91" t="s">
        <v>410</v>
      </c>
      <c r="B202" s="91" t="s">
        <v>457</v>
      </c>
      <c r="C202" s="95">
        <v>19749</v>
      </c>
      <c r="D202" s="95">
        <v>20476</v>
      </c>
      <c r="E202" s="95">
        <v>40225</v>
      </c>
      <c r="F202" s="95">
        <v>719927266</v>
      </c>
      <c r="G202" s="95">
        <v>913652453</v>
      </c>
      <c r="H202" s="95">
        <v>1633579720</v>
      </c>
      <c r="I202" s="91" t="s">
        <v>71</v>
      </c>
      <c r="J202" s="91" t="s">
        <v>1121</v>
      </c>
      <c r="K202" s="94">
        <v>286294</v>
      </c>
      <c r="L202" s="91" t="s">
        <v>226</v>
      </c>
      <c r="M202" s="2"/>
      <c r="N202" s="2"/>
      <c r="O202" s="4"/>
    </row>
    <row r="203" spans="1:15" x14ac:dyDescent="0.2">
      <c r="A203" s="91" t="s">
        <v>413</v>
      </c>
      <c r="B203" s="91" t="s">
        <v>948</v>
      </c>
      <c r="C203" s="95">
        <v>693</v>
      </c>
      <c r="D203" s="95">
        <v>822</v>
      </c>
      <c r="E203" s="95">
        <v>1515</v>
      </c>
      <c r="F203" s="95">
        <v>14350812</v>
      </c>
      <c r="G203" s="95">
        <v>21022135</v>
      </c>
      <c r="H203" s="95">
        <v>35372947</v>
      </c>
      <c r="I203" s="91" t="s">
        <v>171</v>
      </c>
      <c r="J203" s="91" t="s">
        <v>1121</v>
      </c>
      <c r="K203" s="94">
        <v>286948</v>
      </c>
      <c r="L203" s="91" t="s">
        <v>216</v>
      </c>
      <c r="M203" s="2"/>
      <c r="N203" s="2"/>
      <c r="O203" s="4"/>
    </row>
    <row r="204" spans="1:15" x14ac:dyDescent="0.2">
      <c r="A204" s="91" t="s">
        <v>182</v>
      </c>
      <c r="B204" s="91" t="s">
        <v>306</v>
      </c>
      <c r="C204" s="95">
        <v>36627</v>
      </c>
      <c r="D204" s="95">
        <v>30385</v>
      </c>
      <c r="E204" s="95">
        <v>67012</v>
      </c>
      <c r="F204" s="95">
        <v>3654190499</v>
      </c>
      <c r="G204" s="95">
        <v>3607999367</v>
      </c>
      <c r="H204" s="95">
        <v>7262189866</v>
      </c>
      <c r="I204" s="91" t="s">
        <v>171</v>
      </c>
      <c r="J204" s="91" t="s">
        <v>1115</v>
      </c>
      <c r="K204" s="94">
        <v>287656</v>
      </c>
      <c r="L204" s="91" t="s">
        <v>226</v>
      </c>
      <c r="M204" s="2"/>
      <c r="N204" s="2"/>
      <c r="O204" s="4"/>
    </row>
    <row r="205" spans="1:15" x14ac:dyDescent="0.2">
      <c r="A205" s="91" t="s">
        <v>243</v>
      </c>
      <c r="B205" s="91" t="s">
        <v>494</v>
      </c>
      <c r="C205" s="95">
        <v>90</v>
      </c>
      <c r="D205" s="95">
        <v>130</v>
      </c>
      <c r="E205" s="95">
        <v>220</v>
      </c>
      <c r="F205" s="95">
        <v>1634299</v>
      </c>
      <c r="G205" s="95">
        <v>3225532</v>
      </c>
      <c r="H205" s="95">
        <v>4859831</v>
      </c>
      <c r="I205" s="91" t="s">
        <v>71</v>
      </c>
      <c r="J205" s="91" t="s">
        <v>1122</v>
      </c>
      <c r="K205" s="94">
        <v>288001</v>
      </c>
      <c r="L205" s="91" t="s">
        <v>495</v>
      </c>
      <c r="M205" s="2"/>
      <c r="N205" s="2"/>
      <c r="O205" s="4"/>
    </row>
    <row r="206" spans="1:15" x14ac:dyDescent="0.2">
      <c r="A206" s="91" t="s">
        <v>413</v>
      </c>
      <c r="B206" s="91" t="s">
        <v>1041</v>
      </c>
      <c r="C206" s="95">
        <v>611</v>
      </c>
      <c r="D206" s="95">
        <v>747</v>
      </c>
      <c r="E206" s="95">
        <v>1358</v>
      </c>
      <c r="F206" s="95">
        <v>13460478</v>
      </c>
      <c r="G206" s="95">
        <v>19251413</v>
      </c>
      <c r="H206" s="95">
        <v>32711891</v>
      </c>
      <c r="I206" s="91" t="s">
        <v>71</v>
      </c>
      <c r="J206" s="91" t="s">
        <v>1121</v>
      </c>
      <c r="K206" s="94">
        <v>288183</v>
      </c>
      <c r="L206" s="91" t="s">
        <v>695</v>
      </c>
      <c r="M206" s="2"/>
      <c r="N206" s="2"/>
      <c r="O206" s="4"/>
    </row>
    <row r="207" spans="1:15" x14ac:dyDescent="0.2">
      <c r="A207" s="91" t="s">
        <v>176</v>
      </c>
      <c r="B207" s="91" t="s">
        <v>300</v>
      </c>
      <c r="C207" s="95">
        <v>13665</v>
      </c>
      <c r="D207" s="95">
        <v>18443</v>
      </c>
      <c r="E207" s="95">
        <v>32108</v>
      </c>
      <c r="F207" s="95">
        <v>619928742</v>
      </c>
      <c r="G207" s="95">
        <v>1030394507</v>
      </c>
      <c r="H207" s="95">
        <v>1650323249</v>
      </c>
      <c r="I207" s="91" t="s">
        <v>171</v>
      </c>
      <c r="J207" s="91" t="s">
        <v>1121</v>
      </c>
      <c r="K207" s="94">
        <v>290072</v>
      </c>
      <c r="L207" s="91" t="s">
        <v>301</v>
      </c>
      <c r="M207" s="2"/>
      <c r="N207" s="2"/>
      <c r="O207" s="4"/>
    </row>
    <row r="208" spans="1:15" x14ac:dyDescent="0.2">
      <c r="A208" s="91" t="s">
        <v>212</v>
      </c>
      <c r="B208" s="91" t="s">
        <v>725</v>
      </c>
      <c r="C208" s="95">
        <v>359</v>
      </c>
      <c r="D208" s="95">
        <v>433</v>
      </c>
      <c r="E208" s="95">
        <v>792</v>
      </c>
      <c r="F208" s="95">
        <v>10923180</v>
      </c>
      <c r="G208" s="95">
        <v>15450448</v>
      </c>
      <c r="H208" s="95">
        <v>26373628</v>
      </c>
      <c r="I208" s="91" t="s">
        <v>71</v>
      </c>
      <c r="J208" s="91" t="s">
        <v>1121</v>
      </c>
      <c r="K208" s="94">
        <v>290668</v>
      </c>
      <c r="L208" s="91" t="s">
        <v>377</v>
      </c>
      <c r="M208" s="2"/>
      <c r="N208" s="2"/>
      <c r="O208" s="4"/>
    </row>
    <row r="209" spans="1:15" x14ac:dyDescent="0.2">
      <c r="A209" s="91" t="s">
        <v>264</v>
      </c>
      <c r="B209" s="91" t="s">
        <v>101</v>
      </c>
      <c r="C209" s="95">
        <v>114225</v>
      </c>
      <c r="D209" s="95">
        <v>124752</v>
      </c>
      <c r="E209" s="95">
        <v>238977</v>
      </c>
      <c r="F209" s="95">
        <v>7782640043</v>
      </c>
      <c r="G209" s="95">
        <v>10283149144</v>
      </c>
      <c r="H209" s="95">
        <v>18065789187</v>
      </c>
      <c r="I209" s="91" t="s">
        <v>171</v>
      </c>
      <c r="J209" s="91" t="s">
        <v>1121</v>
      </c>
      <c r="K209" s="94">
        <v>291906</v>
      </c>
      <c r="L209" s="91" t="s">
        <v>445</v>
      </c>
      <c r="M209" s="2"/>
      <c r="N209" s="2"/>
      <c r="O209" s="4"/>
    </row>
    <row r="210" spans="1:15" x14ac:dyDescent="0.2">
      <c r="A210" s="91" t="s">
        <v>176</v>
      </c>
      <c r="B210" s="91" t="s">
        <v>329</v>
      </c>
      <c r="C210" s="95">
        <v>26</v>
      </c>
      <c r="D210" s="95">
        <v>48</v>
      </c>
      <c r="E210" s="95">
        <v>74</v>
      </c>
      <c r="F210" s="95">
        <v>923710</v>
      </c>
      <c r="G210" s="95">
        <v>2511207</v>
      </c>
      <c r="H210" s="95">
        <v>3434917</v>
      </c>
      <c r="I210" s="91" t="s">
        <v>171</v>
      </c>
      <c r="J210" s="91" t="s">
        <v>1121</v>
      </c>
      <c r="K210" s="94">
        <v>292193</v>
      </c>
      <c r="L210" s="91" t="s">
        <v>277</v>
      </c>
      <c r="M210" s="2"/>
      <c r="N210" s="2"/>
      <c r="O210" s="4"/>
    </row>
    <row r="211" spans="1:15" x14ac:dyDescent="0.2">
      <c r="A211" s="91" t="s">
        <v>310</v>
      </c>
      <c r="B211" s="91" t="s">
        <v>1020</v>
      </c>
      <c r="C211" s="95">
        <v>706</v>
      </c>
      <c r="D211" s="95">
        <v>947</v>
      </c>
      <c r="E211" s="95">
        <v>1653</v>
      </c>
      <c r="F211" s="95">
        <v>6617229</v>
      </c>
      <c r="G211" s="95">
        <v>16661311</v>
      </c>
      <c r="H211" s="95">
        <v>23278540</v>
      </c>
      <c r="I211" s="91" t="s">
        <v>171</v>
      </c>
      <c r="J211" s="91" t="s">
        <v>1121</v>
      </c>
      <c r="K211" s="94">
        <v>293498</v>
      </c>
      <c r="L211" s="91" t="s">
        <v>749</v>
      </c>
      <c r="M211" s="2"/>
      <c r="N211" s="2"/>
      <c r="O211" s="4"/>
    </row>
    <row r="212" spans="1:15" x14ac:dyDescent="0.2">
      <c r="A212" s="91" t="s">
        <v>212</v>
      </c>
      <c r="B212" s="91" t="s">
        <v>726</v>
      </c>
      <c r="C212" s="95">
        <v>441</v>
      </c>
      <c r="D212" s="95">
        <v>462</v>
      </c>
      <c r="E212" s="95">
        <v>903</v>
      </c>
      <c r="F212" s="95">
        <v>12217122</v>
      </c>
      <c r="G212" s="95">
        <v>17109327</v>
      </c>
      <c r="H212" s="95">
        <v>29326449</v>
      </c>
      <c r="I212" s="91" t="s">
        <v>71</v>
      </c>
      <c r="J212" s="91" t="s">
        <v>1121</v>
      </c>
      <c r="K212" s="94">
        <v>294322</v>
      </c>
      <c r="L212" s="91" t="s">
        <v>682</v>
      </c>
      <c r="M212" s="2"/>
      <c r="N212" s="2"/>
      <c r="O212" s="4"/>
    </row>
    <row r="213" spans="1:15" x14ac:dyDescent="0.2">
      <c r="A213" s="91" t="s">
        <v>192</v>
      </c>
      <c r="B213" s="91" t="s">
        <v>193</v>
      </c>
      <c r="C213" s="95">
        <v>729</v>
      </c>
      <c r="D213" s="95">
        <v>1137</v>
      </c>
      <c r="E213" s="95">
        <v>1866</v>
      </c>
      <c r="F213" s="95">
        <v>34195906</v>
      </c>
      <c r="G213" s="95">
        <v>74312792</v>
      </c>
      <c r="H213" s="95">
        <v>108508698</v>
      </c>
      <c r="I213" s="91" t="s">
        <v>171</v>
      </c>
      <c r="J213" s="91" t="s">
        <v>1122</v>
      </c>
      <c r="K213" s="94">
        <v>294918</v>
      </c>
      <c r="L213" s="91" t="s">
        <v>194</v>
      </c>
      <c r="M213" s="2"/>
      <c r="N213" s="2"/>
      <c r="O213" s="4"/>
    </row>
    <row r="214" spans="1:15" x14ac:dyDescent="0.2">
      <c r="A214" s="91" t="s">
        <v>379</v>
      </c>
      <c r="B214" s="91" t="s">
        <v>477</v>
      </c>
      <c r="C214" s="95">
        <v>191</v>
      </c>
      <c r="D214" s="95">
        <v>359</v>
      </c>
      <c r="E214" s="95">
        <v>550</v>
      </c>
      <c r="F214" s="95">
        <v>4630041</v>
      </c>
      <c r="G214" s="95">
        <v>9676740</v>
      </c>
      <c r="H214" s="95">
        <v>14306781</v>
      </c>
      <c r="I214" s="91" t="s">
        <v>171</v>
      </c>
      <c r="J214" s="91" t="s">
        <v>1121</v>
      </c>
      <c r="K214" s="94">
        <v>295857</v>
      </c>
      <c r="L214" s="91" t="s">
        <v>194</v>
      </c>
      <c r="M214" s="2"/>
      <c r="N214" s="2"/>
      <c r="O214" s="4"/>
    </row>
    <row r="215" spans="1:15" x14ac:dyDescent="0.2">
      <c r="A215" s="91" t="s">
        <v>379</v>
      </c>
      <c r="B215" s="91" t="s">
        <v>1140</v>
      </c>
      <c r="C215" s="95">
        <v>7</v>
      </c>
      <c r="D215" s="95">
        <v>14</v>
      </c>
      <c r="E215" s="95">
        <v>21</v>
      </c>
      <c r="F215" s="95">
        <v>153137</v>
      </c>
      <c r="G215" s="95">
        <v>455741</v>
      </c>
      <c r="H215" s="95">
        <v>608878</v>
      </c>
      <c r="I215" s="91" t="s">
        <v>71</v>
      </c>
      <c r="J215" s="91" t="s">
        <v>1121</v>
      </c>
      <c r="K215" s="94">
        <v>295972</v>
      </c>
      <c r="L215" s="91" t="s">
        <v>635</v>
      </c>
      <c r="M215" s="2"/>
      <c r="N215" s="2"/>
      <c r="O215" s="4"/>
    </row>
    <row r="216" spans="1:15" x14ac:dyDescent="0.2">
      <c r="A216" s="91" t="s">
        <v>265</v>
      </c>
      <c r="B216" s="91" t="s">
        <v>269</v>
      </c>
      <c r="C216" s="95">
        <v>17722</v>
      </c>
      <c r="D216" s="95">
        <v>8133</v>
      </c>
      <c r="E216" s="95">
        <v>25855</v>
      </c>
      <c r="F216" s="95">
        <v>842211522</v>
      </c>
      <c r="G216" s="95">
        <v>449818832</v>
      </c>
      <c r="H216" s="95">
        <v>1292030354</v>
      </c>
      <c r="I216" s="91" t="s">
        <v>171</v>
      </c>
      <c r="J216" s="91" t="s">
        <v>1121</v>
      </c>
      <c r="K216" s="94">
        <v>296152</v>
      </c>
      <c r="L216" s="91" t="s">
        <v>200</v>
      </c>
      <c r="M216" s="2"/>
      <c r="N216" s="2"/>
      <c r="O216" s="4"/>
    </row>
    <row r="217" spans="1:15" x14ac:dyDescent="0.2">
      <c r="A217" s="91" t="s">
        <v>315</v>
      </c>
      <c r="B217" s="91" t="s">
        <v>1056</v>
      </c>
      <c r="C217" s="95">
        <v>285</v>
      </c>
      <c r="D217" s="95">
        <v>399</v>
      </c>
      <c r="E217" s="95">
        <v>684</v>
      </c>
      <c r="F217" s="95">
        <v>9379313</v>
      </c>
      <c r="G217" s="95">
        <v>16381322</v>
      </c>
      <c r="H217" s="95">
        <v>25760635</v>
      </c>
      <c r="I217" s="91" t="s">
        <v>71</v>
      </c>
      <c r="J217" s="91" t="s">
        <v>1121</v>
      </c>
      <c r="K217" s="94">
        <v>296749</v>
      </c>
      <c r="L217" s="91" t="s">
        <v>454</v>
      </c>
      <c r="M217" s="2"/>
      <c r="N217" s="2"/>
      <c r="O217" s="4"/>
    </row>
    <row r="218" spans="1:15" x14ac:dyDescent="0.2">
      <c r="A218" s="91" t="s">
        <v>245</v>
      </c>
      <c r="B218" s="91" t="s">
        <v>663</v>
      </c>
      <c r="C218" s="95">
        <v>161</v>
      </c>
      <c r="D218" s="95">
        <v>381</v>
      </c>
      <c r="E218" s="95">
        <v>542</v>
      </c>
      <c r="F218" s="95">
        <v>7423943</v>
      </c>
      <c r="G218" s="95">
        <v>18509760</v>
      </c>
      <c r="H218" s="95">
        <v>25933703</v>
      </c>
      <c r="I218" s="91" t="s">
        <v>171</v>
      </c>
      <c r="J218" s="91" t="s">
        <v>1121</v>
      </c>
      <c r="K218" s="94">
        <v>297689</v>
      </c>
      <c r="L218" s="91" t="s">
        <v>538</v>
      </c>
      <c r="M218" s="2"/>
      <c r="N218" s="2"/>
      <c r="O218" s="4"/>
    </row>
    <row r="219" spans="1:15" x14ac:dyDescent="0.2">
      <c r="A219" s="91" t="s">
        <v>223</v>
      </c>
      <c r="B219" s="91" t="s">
        <v>637</v>
      </c>
      <c r="C219" s="95">
        <v>599</v>
      </c>
      <c r="D219" s="95">
        <v>932</v>
      </c>
      <c r="E219" s="95">
        <v>1531</v>
      </c>
      <c r="F219" s="95">
        <v>19497494</v>
      </c>
      <c r="G219" s="95">
        <v>38220633</v>
      </c>
      <c r="H219" s="95">
        <v>57718127</v>
      </c>
      <c r="I219" s="91" t="s">
        <v>71</v>
      </c>
      <c r="J219" s="91" t="s">
        <v>1122</v>
      </c>
      <c r="K219" s="94">
        <v>298570</v>
      </c>
      <c r="L219" s="91" t="s">
        <v>580</v>
      </c>
      <c r="M219" s="2"/>
      <c r="N219" s="2"/>
      <c r="O219" s="4"/>
    </row>
    <row r="220" spans="1:15" x14ac:dyDescent="0.2">
      <c r="A220" s="91" t="s">
        <v>223</v>
      </c>
      <c r="B220" s="91" t="s">
        <v>647</v>
      </c>
      <c r="C220" s="95">
        <v>9</v>
      </c>
      <c r="D220" s="95">
        <v>19</v>
      </c>
      <c r="E220" s="95">
        <v>28</v>
      </c>
      <c r="F220" s="95">
        <v>337352</v>
      </c>
      <c r="G220" s="95">
        <v>996209</v>
      </c>
      <c r="H220" s="95">
        <v>1333561</v>
      </c>
      <c r="I220" s="91" t="s">
        <v>71</v>
      </c>
      <c r="J220" s="91" t="s">
        <v>1122</v>
      </c>
      <c r="K220" s="94">
        <v>299511</v>
      </c>
      <c r="L220" s="91" t="s">
        <v>618</v>
      </c>
      <c r="M220" s="2"/>
      <c r="N220" s="2"/>
      <c r="O220" s="4"/>
    </row>
    <row r="221" spans="1:15" x14ac:dyDescent="0.2">
      <c r="A221" s="91" t="s">
        <v>212</v>
      </c>
      <c r="B221" s="91" t="s">
        <v>1033</v>
      </c>
      <c r="C221" s="95">
        <v>49</v>
      </c>
      <c r="D221" s="95">
        <v>71</v>
      </c>
      <c r="E221" s="95">
        <v>120</v>
      </c>
      <c r="F221" s="95">
        <v>1700654</v>
      </c>
      <c r="G221" s="95">
        <v>3021056</v>
      </c>
      <c r="H221" s="95">
        <v>4721710</v>
      </c>
      <c r="I221" s="91" t="s">
        <v>71</v>
      </c>
      <c r="J221" s="91" t="s">
        <v>1121</v>
      </c>
      <c r="K221" s="94">
        <v>299636</v>
      </c>
      <c r="L221" s="91" t="s">
        <v>497</v>
      </c>
      <c r="M221" s="2"/>
      <c r="N221" s="2"/>
      <c r="O221" s="4"/>
    </row>
    <row r="222" spans="1:15" x14ac:dyDescent="0.2">
      <c r="A222" s="91" t="s">
        <v>239</v>
      </c>
      <c r="B222" s="91" t="s">
        <v>801</v>
      </c>
      <c r="C222" s="95">
        <v>108</v>
      </c>
      <c r="D222" s="95">
        <v>224</v>
      </c>
      <c r="E222" s="95">
        <v>332</v>
      </c>
      <c r="F222" s="95">
        <v>3225393</v>
      </c>
      <c r="G222" s="95">
        <v>9133526</v>
      </c>
      <c r="H222" s="95">
        <v>12358919</v>
      </c>
      <c r="I222" s="91" t="s">
        <v>71</v>
      </c>
      <c r="J222" s="91" t="s">
        <v>1121</v>
      </c>
      <c r="K222" s="94">
        <v>299693</v>
      </c>
      <c r="L222" s="91" t="s">
        <v>768</v>
      </c>
      <c r="M222" s="2"/>
      <c r="N222" s="2"/>
      <c r="O222" s="4"/>
    </row>
    <row r="223" spans="1:15" x14ac:dyDescent="0.2">
      <c r="A223" s="91" t="s">
        <v>245</v>
      </c>
      <c r="B223" s="91" t="s">
        <v>610</v>
      </c>
      <c r="C223" s="95">
        <v>2711</v>
      </c>
      <c r="D223" s="95">
        <v>3491</v>
      </c>
      <c r="E223" s="95">
        <v>6202</v>
      </c>
      <c r="F223" s="95">
        <v>103300572</v>
      </c>
      <c r="G223" s="95">
        <v>156678372</v>
      </c>
      <c r="H223" s="95">
        <v>259978944</v>
      </c>
      <c r="I223" s="91" t="s">
        <v>71</v>
      </c>
      <c r="J223" s="91" t="s">
        <v>1121</v>
      </c>
      <c r="K223" s="94">
        <v>300996</v>
      </c>
      <c r="L223" s="91" t="s">
        <v>431</v>
      </c>
      <c r="M223" s="2"/>
      <c r="N223" s="2"/>
      <c r="O223" s="4"/>
    </row>
    <row r="224" spans="1:15" x14ac:dyDescent="0.2">
      <c r="A224" s="91" t="s">
        <v>265</v>
      </c>
      <c r="B224" s="91" t="s">
        <v>504</v>
      </c>
      <c r="C224" s="95">
        <v>5103</v>
      </c>
      <c r="D224" s="95">
        <v>4920</v>
      </c>
      <c r="E224" s="95">
        <v>10023</v>
      </c>
      <c r="F224" s="95">
        <v>299596933</v>
      </c>
      <c r="G224" s="95">
        <v>340482704</v>
      </c>
      <c r="H224" s="95">
        <v>640079637</v>
      </c>
      <c r="I224" s="91" t="s">
        <v>171</v>
      </c>
      <c r="J224" s="91" t="s">
        <v>1121</v>
      </c>
      <c r="K224" s="94">
        <v>301580</v>
      </c>
      <c r="L224" s="91" t="s">
        <v>249</v>
      </c>
      <c r="M224" s="2"/>
      <c r="N224" s="2"/>
      <c r="O224" s="4"/>
    </row>
    <row r="225" spans="1:15" x14ac:dyDescent="0.2">
      <c r="A225" s="91" t="s">
        <v>173</v>
      </c>
      <c r="B225" s="91" t="s">
        <v>767</v>
      </c>
      <c r="C225" s="95">
        <v>1393</v>
      </c>
      <c r="D225" s="95">
        <v>1260</v>
      </c>
      <c r="E225" s="95">
        <v>2653</v>
      </c>
      <c r="F225" s="95">
        <v>39324640</v>
      </c>
      <c r="G225" s="95">
        <v>43195211</v>
      </c>
      <c r="H225" s="95">
        <v>82519852</v>
      </c>
      <c r="I225" s="91" t="s">
        <v>71</v>
      </c>
      <c r="J225" s="91" t="s">
        <v>1118</v>
      </c>
      <c r="K225" s="94">
        <v>302760</v>
      </c>
      <c r="L225" s="91" t="s">
        <v>768</v>
      </c>
      <c r="M225" s="2"/>
      <c r="N225" s="2"/>
      <c r="O225" s="4"/>
    </row>
    <row r="226" spans="1:15" x14ac:dyDescent="0.2">
      <c r="A226" s="91" t="s">
        <v>212</v>
      </c>
      <c r="B226" s="91" t="s">
        <v>714</v>
      </c>
      <c r="C226" s="95">
        <v>232</v>
      </c>
      <c r="D226" s="95">
        <v>356</v>
      </c>
      <c r="E226" s="95">
        <v>588</v>
      </c>
      <c r="F226" s="95">
        <v>6780356</v>
      </c>
      <c r="G226" s="95">
        <v>16566123</v>
      </c>
      <c r="H226" s="95">
        <v>23346479</v>
      </c>
      <c r="I226" s="91" t="s">
        <v>71</v>
      </c>
      <c r="J226" s="91" t="s">
        <v>1121</v>
      </c>
      <c r="K226" s="94">
        <v>303230</v>
      </c>
      <c r="L226" s="91" t="s">
        <v>715</v>
      </c>
      <c r="M226" s="2"/>
      <c r="N226" s="2"/>
      <c r="O226" s="4"/>
    </row>
    <row r="227" spans="1:15" x14ac:dyDescent="0.2">
      <c r="A227" s="91" t="s">
        <v>212</v>
      </c>
      <c r="B227" s="91" t="s">
        <v>831</v>
      </c>
      <c r="C227" s="95">
        <v>12993</v>
      </c>
      <c r="D227" s="95">
        <v>12682</v>
      </c>
      <c r="E227" s="95">
        <v>25675</v>
      </c>
      <c r="F227" s="95">
        <v>398176673</v>
      </c>
      <c r="G227" s="95">
        <v>437094147</v>
      </c>
      <c r="H227" s="95">
        <v>835270820</v>
      </c>
      <c r="I227" s="91" t="s">
        <v>71</v>
      </c>
      <c r="J227" s="91" t="s">
        <v>1121</v>
      </c>
      <c r="K227" s="94">
        <v>303412</v>
      </c>
      <c r="L227" s="91" t="s">
        <v>715</v>
      </c>
      <c r="M227" s="2"/>
      <c r="N227" s="2"/>
      <c r="O227" s="4"/>
    </row>
    <row r="228" spans="1:15" x14ac:dyDescent="0.2">
      <c r="A228" s="91" t="s">
        <v>509</v>
      </c>
      <c r="B228" s="91" t="s">
        <v>1145</v>
      </c>
      <c r="C228" s="95">
        <v>4</v>
      </c>
      <c r="D228" s="95">
        <v>12</v>
      </c>
      <c r="E228" s="95">
        <v>16</v>
      </c>
      <c r="F228" s="95">
        <v>169123</v>
      </c>
      <c r="G228" s="95">
        <v>1118350</v>
      </c>
      <c r="H228" s="95">
        <v>1287473</v>
      </c>
      <c r="I228" s="91" t="s">
        <v>171</v>
      </c>
      <c r="J228" s="91" t="s">
        <v>1118</v>
      </c>
      <c r="K228" s="94">
        <v>303701</v>
      </c>
      <c r="L228" s="91" t="s">
        <v>1146</v>
      </c>
      <c r="M228" s="2"/>
      <c r="N228" s="2"/>
      <c r="O228" s="4"/>
    </row>
    <row r="229" spans="1:15" x14ac:dyDescent="0.2">
      <c r="A229" s="91" t="s">
        <v>245</v>
      </c>
      <c r="B229" s="91" t="s">
        <v>677</v>
      </c>
      <c r="C229" s="95">
        <v>270</v>
      </c>
      <c r="D229" s="95">
        <v>437</v>
      </c>
      <c r="E229" s="95">
        <v>707</v>
      </c>
      <c r="F229" s="95">
        <v>9056459</v>
      </c>
      <c r="G229" s="95">
        <v>19149783</v>
      </c>
      <c r="H229" s="95">
        <v>28206242</v>
      </c>
      <c r="I229" s="91" t="s">
        <v>71</v>
      </c>
      <c r="J229" s="91" t="s">
        <v>1121</v>
      </c>
      <c r="K229" s="94">
        <v>304659</v>
      </c>
      <c r="L229" s="91" t="s">
        <v>489</v>
      </c>
      <c r="M229" s="2"/>
      <c r="N229" s="2"/>
      <c r="O229" s="4"/>
    </row>
    <row r="230" spans="1:15" x14ac:dyDescent="0.2">
      <c r="A230" s="91" t="s">
        <v>370</v>
      </c>
      <c r="B230" s="91" t="s">
        <v>992</v>
      </c>
      <c r="C230" s="95">
        <v>1633</v>
      </c>
      <c r="D230" s="95">
        <v>3000</v>
      </c>
      <c r="E230" s="95">
        <v>4633</v>
      </c>
      <c r="F230" s="95">
        <v>38616463</v>
      </c>
      <c r="G230" s="95">
        <v>106576611</v>
      </c>
      <c r="H230" s="95">
        <v>145193075</v>
      </c>
      <c r="I230" s="91" t="s">
        <v>71</v>
      </c>
      <c r="J230" s="91" t="s">
        <v>1121</v>
      </c>
      <c r="K230" s="94">
        <v>305003</v>
      </c>
      <c r="L230" s="91" t="s">
        <v>715</v>
      </c>
      <c r="M230" s="2"/>
      <c r="N230" s="2"/>
      <c r="O230" s="4"/>
    </row>
    <row r="231" spans="1:15" x14ac:dyDescent="0.2">
      <c r="A231" s="91" t="s">
        <v>192</v>
      </c>
      <c r="B231" s="91" t="s">
        <v>195</v>
      </c>
      <c r="C231" s="95">
        <v>14204</v>
      </c>
      <c r="D231" s="95">
        <v>15058</v>
      </c>
      <c r="E231" s="95">
        <v>29262</v>
      </c>
      <c r="F231" s="95">
        <v>767395199</v>
      </c>
      <c r="G231" s="95">
        <v>1086097341</v>
      </c>
      <c r="H231" s="95">
        <v>1853492540</v>
      </c>
      <c r="I231" s="91" t="s">
        <v>171</v>
      </c>
      <c r="J231" s="91" t="s">
        <v>1122</v>
      </c>
      <c r="K231" s="94">
        <v>305185</v>
      </c>
      <c r="L231" s="91" t="s">
        <v>196</v>
      </c>
      <c r="M231" s="2"/>
      <c r="N231" s="2"/>
      <c r="O231" s="4"/>
    </row>
    <row r="232" spans="1:15" x14ac:dyDescent="0.2">
      <c r="A232" s="91" t="s">
        <v>379</v>
      </c>
      <c r="B232" s="91" t="s">
        <v>898</v>
      </c>
      <c r="C232" s="95">
        <v>7180</v>
      </c>
      <c r="D232" s="95">
        <v>8060</v>
      </c>
      <c r="E232" s="95">
        <v>15240</v>
      </c>
      <c r="F232" s="95">
        <v>174069619</v>
      </c>
      <c r="G232" s="95">
        <v>252801827</v>
      </c>
      <c r="H232" s="95">
        <v>426871445</v>
      </c>
      <c r="I232" s="91" t="s">
        <v>71</v>
      </c>
      <c r="J232" s="91" t="s">
        <v>1121</v>
      </c>
      <c r="K232" s="94">
        <v>305243</v>
      </c>
      <c r="L232" s="91" t="s">
        <v>811</v>
      </c>
      <c r="M232" s="2"/>
      <c r="N232" s="2"/>
      <c r="O232" s="4"/>
    </row>
    <row r="233" spans="1:15" x14ac:dyDescent="0.2">
      <c r="A233" s="91" t="s">
        <v>173</v>
      </c>
      <c r="B233" s="91" t="s">
        <v>918</v>
      </c>
      <c r="C233" s="95">
        <v>1</v>
      </c>
      <c r="D233" s="95">
        <v>5</v>
      </c>
      <c r="E233" s="95">
        <v>6</v>
      </c>
      <c r="F233" s="95">
        <v>264</v>
      </c>
      <c r="G233" s="95">
        <v>226621</v>
      </c>
      <c r="H233" s="95">
        <v>226885</v>
      </c>
      <c r="I233" s="91" t="s">
        <v>171</v>
      </c>
      <c r="J233" s="91" t="s">
        <v>1118</v>
      </c>
      <c r="K233" s="94">
        <v>305532</v>
      </c>
      <c r="L233" s="91" t="s">
        <v>562</v>
      </c>
      <c r="M233" s="2"/>
      <c r="N233" s="2"/>
      <c r="O233" s="4"/>
    </row>
    <row r="234" spans="1:15" x14ac:dyDescent="0.2">
      <c r="A234" s="91" t="s">
        <v>212</v>
      </c>
      <c r="B234" s="91" t="s">
        <v>1007</v>
      </c>
      <c r="C234" s="95">
        <v>3</v>
      </c>
      <c r="D234" s="95">
        <v>4</v>
      </c>
      <c r="E234" s="95">
        <v>7</v>
      </c>
      <c r="F234" s="95">
        <v>67470</v>
      </c>
      <c r="G234" s="95">
        <v>117942</v>
      </c>
      <c r="H234" s="95">
        <v>185413</v>
      </c>
      <c r="I234" s="91" t="s">
        <v>71</v>
      </c>
      <c r="J234" s="91" t="s">
        <v>1121</v>
      </c>
      <c r="K234" s="94">
        <v>306894</v>
      </c>
      <c r="L234" s="91" t="s">
        <v>497</v>
      </c>
      <c r="M234" s="2"/>
      <c r="N234" s="2"/>
      <c r="O234" s="4"/>
    </row>
    <row r="235" spans="1:15" x14ac:dyDescent="0.2">
      <c r="A235" s="91" t="s">
        <v>192</v>
      </c>
      <c r="B235" s="91" t="s">
        <v>402</v>
      </c>
      <c r="C235" s="95">
        <v>1622</v>
      </c>
      <c r="D235" s="95">
        <v>1469</v>
      </c>
      <c r="E235" s="95">
        <v>3091</v>
      </c>
      <c r="F235" s="95">
        <v>46032664</v>
      </c>
      <c r="G235" s="95">
        <v>60453211</v>
      </c>
      <c r="H235" s="95">
        <v>106485875</v>
      </c>
      <c r="I235" s="91" t="s">
        <v>171</v>
      </c>
      <c r="J235" s="91" t="s">
        <v>1122</v>
      </c>
      <c r="K235" s="94">
        <v>308908</v>
      </c>
      <c r="L235" s="91" t="s">
        <v>403</v>
      </c>
      <c r="M235" s="2"/>
      <c r="N235" s="2"/>
      <c r="O235" s="4"/>
    </row>
    <row r="236" spans="1:15" x14ac:dyDescent="0.2">
      <c r="A236" s="91" t="s">
        <v>260</v>
      </c>
      <c r="B236" s="91" t="s">
        <v>1038</v>
      </c>
      <c r="C236" s="95">
        <v>94</v>
      </c>
      <c r="D236" s="95">
        <v>117</v>
      </c>
      <c r="E236" s="95">
        <v>211</v>
      </c>
      <c r="F236" s="95">
        <v>2934669</v>
      </c>
      <c r="G236" s="95">
        <v>4039460</v>
      </c>
      <c r="H236" s="95">
        <v>6974129</v>
      </c>
      <c r="I236" s="91" t="s">
        <v>71</v>
      </c>
      <c r="J236" s="91" t="s">
        <v>1121</v>
      </c>
      <c r="K236" s="94">
        <v>309492</v>
      </c>
      <c r="L236" s="91" t="s">
        <v>1039</v>
      </c>
      <c r="M236" s="2"/>
      <c r="N236" s="2"/>
      <c r="O236" s="4"/>
    </row>
    <row r="237" spans="1:15" x14ac:dyDescent="0.2">
      <c r="A237" s="91" t="s">
        <v>370</v>
      </c>
      <c r="B237" s="91" t="s">
        <v>578</v>
      </c>
      <c r="C237" s="95">
        <v>265</v>
      </c>
      <c r="D237" s="95">
        <v>475</v>
      </c>
      <c r="E237" s="95">
        <v>740</v>
      </c>
      <c r="F237" s="95">
        <v>8458497</v>
      </c>
      <c r="G237" s="95">
        <v>18524971</v>
      </c>
      <c r="H237" s="95">
        <v>26983468</v>
      </c>
      <c r="I237" s="91" t="s">
        <v>71</v>
      </c>
      <c r="J237" s="91" t="s">
        <v>1121</v>
      </c>
      <c r="K237" s="94">
        <v>311027</v>
      </c>
      <c r="L237" s="91" t="s">
        <v>207</v>
      </c>
      <c r="M237" s="2"/>
      <c r="N237" s="2"/>
      <c r="O237" s="4"/>
    </row>
    <row r="238" spans="1:15" x14ac:dyDescent="0.2">
      <c r="A238" s="91" t="s">
        <v>370</v>
      </c>
      <c r="B238" s="91" t="s">
        <v>1051</v>
      </c>
      <c r="C238" s="95">
        <v>206</v>
      </c>
      <c r="D238" s="95">
        <v>596</v>
      </c>
      <c r="E238" s="95">
        <v>802</v>
      </c>
      <c r="F238" s="95">
        <v>7979343</v>
      </c>
      <c r="G238" s="95">
        <v>28702067</v>
      </c>
      <c r="H238" s="95">
        <v>36681410</v>
      </c>
      <c r="I238" s="91" t="s">
        <v>171</v>
      </c>
      <c r="J238" s="91" t="s">
        <v>1121</v>
      </c>
      <c r="K238" s="94">
        <v>312850</v>
      </c>
      <c r="L238" s="91" t="s">
        <v>749</v>
      </c>
      <c r="M238" s="2"/>
      <c r="N238" s="2"/>
      <c r="O238" s="4"/>
    </row>
    <row r="239" spans="1:15" x14ac:dyDescent="0.2">
      <c r="A239" s="91" t="s">
        <v>404</v>
      </c>
      <c r="B239" s="91" t="s">
        <v>556</v>
      </c>
      <c r="C239" s="95">
        <v>48593</v>
      </c>
      <c r="D239" s="95">
        <v>45145</v>
      </c>
      <c r="E239" s="95">
        <v>93738</v>
      </c>
      <c r="F239" s="95">
        <v>2014095117</v>
      </c>
      <c r="G239" s="95">
        <v>2243990041</v>
      </c>
      <c r="H239" s="95">
        <v>4258085158</v>
      </c>
      <c r="I239" s="91" t="s">
        <v>71</v>
      </c>
      <c r="J239" s="91" t="s">
        <v>1121</v>
      </c>
      <c r="K239" s="94">
        <v>313155</v>
      </c>
      <c r="L239" s="91" t="s">
        <v>254</v>
      </c>
      <c r="M239" s="2"/>
      <c r="N239" s="2"/>
      <c r="O239" s="4"/>
    </row>
    <row r="240" spans="1:15" x14ac:dyDescent="0.2">
      <c r="A240" s="91" t="s">
        <v>370</v>
      </c>
      <c r="B240" s="91" t="s">
        <v>21</v>
      </c>
      <c r="C240" s="95">
        <v>22109</v>
      </c>
      <c r="D240" s="95">
        <v>27620</v>
      </c>
      <c r="E240" s="95">
        <v>49729</v>
      </c>
      <c r="F240" s="95">
        <v>1203326489</v>
      </c>
      <c r="G240" s="95">
        <v>1783818592</v>
      </c>
      <c r="H240" s="95">
        <v>2987145081</v>
      </c>
      <c r="I240" s="91" t="s">
        <v>171</v>
      </c>
      <c r="J240" s="91" t="s">
        <v>1121</v>
      </c>
      <c r="K240" s="94">
        <v>313742</v>
      </c>
      <c r="L240" s="91" t="s">
        <v>203</v>
      </c>
      <c r="M240" s="2"/>
      <c r="N240" s="2"/>
      <c r="O240" s="4"/>
    </row>
    <row r="241" spans="1:15" x14ac:dyDescent="0.2">
      <c r="A241" s="91" t="s">
        <v>179</v>
      </c>
      <c r="B241" s="91" t="s">
        <v>180</v>
      </c>
      <c r="C241" s="95">
        <v>3871</v>
      </c>
      <c r="D241" s="95">
        <v>2875</v>
      </c>
      <c r="E241" s="95">
        <v>6746</v>
      </c>
      <c r="F241" s="95">
        <v>430015800</v>
      </c>
      <c r="G241" s="95">
        <v>365885836</v>
      </c>
      <c r="H241" s="95">
        <v>795901635</v>
      </c>
      <c r="I241" s="91" t="s">
        <v>71</v>
      </c>
      <c r="J241" s="91" t="s">
        <v>1115</v>
      </c>
      <c r="K241" s="94">
        <v>314682</v>
      </c>
      <c r="L241" s="91" t="s">
        <v>178</v>
      </c>
      <c r="M241" s="2"/>
      <c r="N241" s="2"/>
      <c r="O241" s="4"/>
    </row>
    <row r="242" spans="1:15" x14ac:dyDescent="0.2">
      <c r="A242" s="91" t="s">
        <v>245</v>
      </c>
      <c r="B242" s="91" t="s">
        <v>344</v>
      </c>
      <c r="C242" s="95">
        <v>137</v>
      </c>
      <c r="D242" s="95">
        <v>299</v>
      </c>
      <c r="E242" s="95">
        <v>436</v>
      </c>
      <c r="F242" s="95">
        <v>4884001</v>
      </c>
      <c r="G242" s="95">
        <v>15559709</v>
      </c>
      <c r="H242" s="95">
        <v>20443711</v>
      </c>
      <c r="I242" s="91" t="s">
        <v>171</v>
      </c>
      <c r="J242" s="91" t="s">
        <v>1121</v>
      </c>
      <c r="K242" s="94">
        <v>316513</v>
      </c>
      <c r="L242" s="91" t="s">
        <v>194</v>
      </c>
      <c r="M242" s="2"/>
      <c r="N242" s="2"/>
      <c r="O242" s="4"/>
    </row>
    <row r="243" spans="1:15" x14ac:dyDescent="0.2">
      <c r="A243" s="91" t="s">
        <v>223</v>
      </c>
      <c r="B243" s="91" t="s">
        <v>453</v>
      </c>
      <c r="C243" s="95">
        <v>326</v>
      </c>
      <c r="D243" s="95">
        <v>353</v>
      </c>
      <c r="E243" s="95">
        <v>679</v>
      </c>
      <c r="F243" s="95">
        <v>9040661</v>
      </c>
      <c r="G243" s="95">
        <v>12011502</v>
      </c>
      <c r="H243" s="95">
        <v>21052163</v>
      </c>
      <c r="I243" s="91" t="s">
        <v>71</v>
      </c>
      <c r="J243" s="91" t="s">
        <v>1122</v>
      </c>
      <c r="K243" s="94">
        <v>316752</v>
      </c>
      <c r="L243" s="91" t="s">
        <v>454</v>
      </c>
      <c r="M243" s="2"/>
      <c r="N243" s="2"/>
      <c r="O243" s="4"/>
    </row>
    <row r="244" spans="1:15" x14ac:dyDescent="0.2">
      <c r="A244" s="91" t="s">
        <v>260</v>
      </c>
      <c r="B244" s="91" t="s">
        <v>664</v>
      </c>
      <c r="C244" s="95">
        <v>446</v>
      </c>
      <c r="D244" s="95">
        <v>423</v>
      </c>
      <c r="E244" s="95">
        <v>869</v>
      </c>
      <c r="F244" s="95">
        <v>11472628</v>
      </c>
      <c r="G244" s="95">
        <v>13354782</v>
      </c>
      <c r="H244" s="95">
        <v>24827410</v>
      </c>
      <c r="I244" s="91" t="s">
        <v>71</v>
      </c>
      <c r="J244" s="91" t="s">
        <v>1121</v>
      </c>
      <c r="K244" s="94">
        <v>317404</v>
      </c>
      <c r="L244" s="91" t="s">
        <v>616</v>
      </c>
      <c r="M244" s="2"/>
      <c r="N244" s="2"/>
      <c r="O244" s="4"/>
    </row>
    <row r="245" spans="1:15" x14ac:dyDescent="0.2">
      <c r="A245" s="91" t="s">
        <v>379</v>
      </c>
      <c r="B245" s="91" t="s">
        <v>683</v>
      </c>
      <c r="C245" s="95">
        <v>137</v>
      </c>
      <c r="D245" s="95">
        <v>201</v>
      </c>
      <c r="E245" s="95">
        <v>338</v>
      </c>
      <c r="F245" s="95">
        <v>3390073</v>
      </c>
      <c r="G245" s="95">
        <v>5991487</v>
      </c>
      <c r="H245" s="95">
        <v>9381560</v>
      </c>
      <c r="I245" s="91" t="s">
        <v>71</v>
      </c>
      <c r="J245" s="91" t="s">
        <v>1121</v>
      </c>
      <c r="K245" s="94">
        <v>317990</v>
      </c>
      <c r="L245" s="91" t="s">
        <v>616</v>
      </c>
      <c r="M245" s="2"/>
      <c r="N245" s="2"/>
      <c r="O245" s="4"/>
    </row>
    <row r="246" spans="1:15" x14ac:dyDescent="0.2">
      <c r="A246" s="91" t="s">
        <v>383</v>
      </c>
      <c r="B246" s="91" t="s">
        <v>751</v>
      </c>
      <c r="C246" s="95">
        <v>204</v>
      </c>
      <c r="D246" s="95">
        <v>278</v>
      </c>
      <c r="E246" s="95">
        <v>482</v>
      </c>
      <c r="F246" s="95">
        <v>4612937</v>
      </c>
      <c r="G246" s="95">
        <v>8886054</v>
      </c>
      <c r="H246" s="95">
        <v>13498991</v>
      </c>
      <c r="I246" s="91" t="s">
        <v>71</v>
      </c>
      <c r="J246" s="91" t="s">
        <v>1121</v>
      </c>
      <c r="K246" s="94">
        <v>318469</v>
      </c>
      <c r="L246" s="91" t="s">
        <v>462</v>
      </c>
      <c r="M246" s="2"/>
      <c r="N246" s="2"/>
      <c r="O246" s="4"/>
    </row>
    <row r="247" spans="1:15" x14ac:dyDescent="0.2">
      <c r="A247" s="91" t="s">
        <v>245</v>
      </c>
      <c r="B247" s="91" t="s">
        <v>417</v>
      </c>
      <c r="C247" s="95">
        <v>9743</v>
      </c>
      <c r="D247" s="95">
        <v>11918</v>
      </c>
      <c r="E247" s="95">
        <v>21661</v>
      </c>
      <c r="F247" s="95">
        <v>302814472</v>
      </c>
      <c r="G247" s="95">
        <v>472898836</v>
      </c>
      <c r="H247" s="95">
        <v>775713308</v>
      </c>
      <c r="I247" s="91" t="s">
        <v>171</v>
      </c>
      <c r="J247" s="91" t="s">
        <v>1121</v>
      </c>
      <c r="K247" s="94">
        <v>319236</v>
      </c>
      <c r="L247" s="91" t="s">
        <v>200</v>
      </c>
      <c r="M247" s="2"/>
      <c r="N247" s="2"/>
      <c r="O247" s="4"/>
    </row>
    <row r="248" spans="1:15" x14ac:dyDescent="0.2">
      <c r="A248" s="91" t="s">
        <v>370</v>
      </c>
      <c r="B248" s="91" t="s">
        <v>789</v>
      </c>
      <c r="C248" s="95">
        <v>813</v>
      </c>
      <c r="D248" s="95">
        <v>1289</v>
      </c>
      <c r="E248" s="95">
        <v>2102</v>
      </c>
      <c r="F248" s="95">
        <v>35398783</v>
      </c>
      <c r="G248" s="95">
        <v>64541718</v>
      </c>
      <c r="H248" s="95">
        <v>99940501</v>
      </c>
      <c r="I248" s="91" t="s">
        <v>171</v>
      </c>
      <c r="J248" s="91" t="s">
        <v>1121</v>
      </c>
      <c r="K248" s="94">
        <v>320176</v>
      </c>
      <c r="L248" s="91" t="s">
        <v>282</v>
      </c>
      <c r="M248" s="2"/>
      <c r="N248" s="2"/>
      <c r="O248" s="4"/>
    </row>
    <row r="249" spans="1:15" x14ac:dyDescent="0.2">
      <c r="A249" s="91" t="s">
        <v>212</v>
      </c>
      <c r="B249" s="91" t="s">
        <v>613</v>
      </c>
      <c r="C249" s="95">
        <v>1973</v>
      </c>
      <c r="D249" s="95">
        <v>2505</v>
      </c>
      <c r="E249" s="95">
        <v>4478</v>
      </c>
      <c r="F249" s="95">
        <v>82258771</v>
      </c>
      <c r="G249" s="95">
        <v>133708913</v>
      </c>
      <c r="H249" s="95">
        <v>215967684</v>
      </c>
      <c r="I249" s="91" t="s">
        <v>71</v>
      </c>
      <c r="J249" s="91" t="s">
        <v>1121</v>
      </c>
      <c r="K249" s="94">
        <v>320358</v>
      </c>
      <c r="L249" s="91" t="s">
        <v>431</v>
      </c>
      <c r="M249" s="2"/>
      <c r="N249" s="2"/>
      <c r="O249" s="4"/>
    </row>
    <row r="250" spans="1:15" x14ac:dyDescent="0.2">
      <c r="A250" s="91" t="s">
        <v>413</v>
      </c>
      <c r="B250" s="91" t="s">
        <v>1144</v>
      </c>
      <c r="C250" s="95">
        <v>0</v>
      </c>
      <c r="D250" s="95">
        <v>1</v>
      </c>
      <c r="E250" s="95">
        <v>1</v>
      </c>
      <c r="F250" s="95">
        <v>0</v>
      </c>
      <c r="G250" s="95">
        <v>32571</v>
      </c>
      <c r="H250" s="95">
        <v>32571</v>
      </c>
      <c r="I250" s="91" t="s">
        <v>71</v>
      </c>
      <c r="J250" s="91" t="s">
        <v>1121</v>
      </c>
      <c r="K250" s="94">
        <v>320705</v>
      </c>
      <c r="L250" s="91" t="s">
        <v>362</v>
      </c>
      <c r="M250" s="2"/>
      <c r="N250" s="2"/>
      <c r="O250" s="4"/>
    </row>
    <row r="251" spans="1:15" x14ac:dyDescent="0.2">
      <c r="A251" s="91" t="s">
        <v>182</v>
      </c>
      <c r="B251" s="91" t="s">
        <v>391</v>
      </c>
      <c r="C251" s="95">
        <v>493</v>
      </c>
      <c r="D251" s="95">
        <v>589</v>
      </c>
      <c r="E251" s="95">
        <v>1082</v>
      </c>
      <c r="F251" s="95">
        <v>36268046</v>
      </c>
      <c r="G251" s="95">
        <v>55310488</v>
      </c>
      <c r="H251" s="95">
        <v>91578534</v>
      </c>
      <c r="I251" s="91" t="s">
        <v>171</v>
      </c>
      <c r="J251" s="91" t="s">
        <v>1115</v>
      </c>
      <c r="K251" s="94">
        <v>320762</v>
      </c>
      <c r="L251" s="91" t="s">
        <v>200</v>
      </c>
      <c r="M251" s="2"/>
      <c r="N251" s="2"/>
      <c r="O251" s="4"/>
    </row>
    <row r="252" spans="1:15" x14ac:dyDescent="0.2">
      <c r="A252" s="91" t="s">
        <v>173</v>
      </c>
      <c r="B252" s="91" t="s">
        <v>875</v>
      </c>
      <c r="C252" s="95">
        <v>8879</v>
      </c>
      <c r="D252" s="95">
        <v>6925</v>
      </c>
      <c r="E252" s="95">
        <v>15804</v>
      </c>
      <c r="F252" s="95">
        <v>1037283346</v>
      </c>
      <c r="G252" s="95">
        <v>909612347</v>
      </c>
      <c r="H252" s="95">
        <v>1946895693</v>
      </c>
      <c r="I252" s="91" t="s">
        <v>171</v>
      </c>
      <c r="J252" s="91" t="s">
        <v>1118</v>
      </c>
      <c r="K252" s="94">
        <v>322008</v>
      </c>
      <c r="L252" s="91" t="s">
        <v>749</v>
      </c>
      <c r="M252" s="2"/>
      <c r="N252" s="2"/>
      <c r="O252" s="4"/>
    </row>
    <row r="253" spans="1:15" x14ac:dyDescent="0.2">
      <c r="A253" s="91" t="s">
        <v>223</v>
      </c>
      <c r="B253" s="91" t="s">
        <v>756</v>
      </c>
      <c r="C253" s="95">
        <v>19</v>
      </c>
      <c r="D253" s="95">
        <v>38</v>
      </c>
      <c r="E253" s="95">
        <v>57</v>
      </c>
      <c r="F253" s="95">
        <v>603265</v>
      </c>
      <c r="G253" s="95">
        <v>1333288</v>
      </c>
      <c r="H253" s="95">
        <v>1936553</v>
      </c>
      <c r="I253" s="91" t="s">
        <v>71</v>
      </c>
      <c r="J253" s="91" t="s">
        <v>1122</v>
      </c>
      <c r="K253" s="94">
        <v>323832</v>
      </c>
      <c r="L253" s="91" t="s">
        <v>495</v>
      </c>
      <c r="M253" s="2"/>
      <c r="N253" s="2"/>
      <c r="O253" s="4"/>
    </row>
    <row r="254" spans="1:15" x14ac:dyDescent="0.2">
      <c r="A254" s="91" t="s">
        <v>173</v>
      </c>
      <c r="B254" s="91" t="s">
        <v>1093</v>
      </c>
      <c r="C254" s="95">
        <v>15</v>
      </c>
      <c r="D254" s="95">
        <v>8</v>
      </c>
      <c r="E254" s="95">
        <v>23</v>
      </c>
      <c r="F254" s="95">
        <v>390325</v>
      </c>
      <c r="G254" s="95">
        <v>198314</v>
      </c>
      <c r="H254" s="95">
        <v>588639</v>
      </c>
      <c r="I254" s="91" t="s">
        <v>71</v>
      </c>
      <c r="J254" s="91" t="s">
        <v>1118</v>
      </c>
      <c r="K254" s="94">
        <v>323899</v>
      </c>
      <c r="L254" s="91" t="s">
        <v>431</v>
      </c>
      <c r="M254" s="2"/>
      <c r="N254" s="2"/>
      <c r="O254" s="4"/>
    </row>
    <row r="255" spans="1:15" x14ac:dyDescent="0.2">
      <c r="A255" s="91" t="s">
        <v>383</v>
      </c>
      <c r="B255" s="91" t="s">
        <v>782</v>
      </c>
      <c r="C255" s="95">
        <v>321</v>
      </c>
      <c r="D255" s="95">
        <v>384</v>
      </c>
      <c r="E255" s="95">
        <v>705</v>
      </c>
      <c r="F255" s="95">
        <v>10926973</v>
      </c>
      <c r="G255" s="95">
        <v>14760022</v>
      </c>
      <c r="H255" s="95">
        <v>25686995</v>
      </c>
      <c r="I255" s="91" t="s">
        <v>71</v>
      </c>
      <c r="J255" s="91" t="s">
        <v>1121</v>
      </c>
      <c r="K255" s="94">
        <v>324665</v>
      </c>
      <c r="L255" s="91" t="s">
        <v>770</v>
      </c>
      <c r="M255" s="2"/>
      <c r="N255" s="2"/>
      <c r="O255" s="4"/>
    </row>
    <row r="256" spans="1:15" x14ac:dyDescent="0.2">
      <c r="A256" s="91" t="s">
        <v>223</v>
      </c>
      <c r="B256" s="91" t="s">
        <v>438</v>
      </c>
      <c r="C256" s="95">
        <v>3388</v>
      </c>
      <c r="D256" s="95">
        <v>3097</v>
      </c>
      <c r="E256" s="95">
        <v>6485</v>
      </c>
      <c r="F256" s="95">
        <v>92101536</v>
      </c>
      <c r="G256" s="95">
        <v>100417876</v>
      </c>
      <c r="H256" s="95">
        <v>192519412</v>
      </c>
      <c r="I256" s="91" t="s">
        <v>171</v>
      </c>
      <c r="J256" s="91" t="s">
        <v>1122</v>
      </c>
      <c r="K256" s="94">
        <v>325902</v>
      </c>
      <c r="L256" s="91" t="s">
        <v>282</v>
      </c>
      <c r="M256" s="2"/>
      <c r="N256" s="2"/>
      <c r="O256" s="4"/>
    </row>
    <row r="257" spans="1:15" x14ac:dyDescent="0.2">
      <c r="A257" s="91" t="s">
        <v>264</v>
      </c>
      <c r="B257" s="91" t="s">
        <v>563</v>
      </c>
      <c r="C257" s="95">
        <v>1726</v>
      </c>
      <c r="D257" s="95">
        <v>2183</v>
      </c>
      <c r="E257" s="95">
        <v>3909</v>
      </c>
      <c r="F257" s="95">
        <v>45602484</v>
      </c>
      <c r="G257" s="95">
        <v>71647663</v>
      </c>
      <c r="H257" s="95">
        <v>117250147</v>
      </c>
      <c r="I257" s="91" t="s">
        <v>171</v>
      </c>
      <c r="J257" s="91" t="s">
        <v>1121</v>
      </c>
      <c r="K257" s="94">
        <v>328021</v>
      </c>
      <c r="L257" s="91" t="s">
        <v>564</v>
      </c>
      <c r="M257" s="2"/>
      <c r="N257" s="2"/>
      <c r="O257" s="4"/>
    </row>
    <row r="258" spans="1:15" x14ac:dyDescent="0.2">
      <c r="A258" s="91" t="s">
        <v>379</v>
      </c>
      <c r="B258" s="91" t="s">
        <v>1099</v>
      </c>
      <c r="C258" s="95">
        <v>0</v>
      </c>
      <c r="D258" s="95">
        <v>1</v>
      </c>
      <c r="E258" s="95">
        <v>1</v>
      </c>
      <c r="F258" s="95">
        <v>0</v>
      </c>
      <c r="G258" s="95">
        <v>31975</v>
      </c>
      <c r="H258" s="95">
        <v>31975</v>
      </c>
      <c r="I258" s="91" t="s">
        <v>71</v>
      </c>
      <c r="J258" s="91" t="s">
        <v>1121</v>
      </c>
      <c r="K258" s="94">
        <v>329854</v>
      </c>
      <c r="L258" s="91" t="s">
        <v>497</v>
      </c>
      <c r="M258" s="2"/>
      <c r="N258" s="2"/>
      <c r="O258" s="4"/>
    </row>
    <row r="259" spans="1:15" x14ac:dyDescent="0.2">
      <c r="A259" s="91" t="s">
        <v>188</v>
      </c>
      <c r="B259" s="91" t="s">
        <v>197</v>
      </c>
      <c r="C259" s="95">
        <v>801</v>
      </c>
      <c r="D259" s="95">
        <v>782</v>
      </c>
      <c r="E259" s="95">
        <v>1583</v>
      </c>
      <c r="F259" s="95">
        <v>25191456</v>
      </c>
      <c r="G259" s="95">
        <v>33298520</v>
      </c>
      <c r="H259" s="95">
        <v>58489976</v>
      </c>
      <c r="I259" s="91" t="s">
        <v>171</v>
      </c>
      <c r="J259" s="91" t="s">
        <v>1122</v>
      </c>
      <c r="K259" s="94">
        <v>330746</v>
      </c>
      <c r="L259" s="91" t="s">
        <v>194</v>
      </c>
      <c r="M259" s="2"/>
      <c r="N259" s="2"/>
      <c r="O259" s="4"/>
    </row>
    <row r="260" spans="1:15" x14ac:dyDescent="0.2">
      <c r="A260" s="91" t="s">
        <v>223</v>
      </c>
      <c r="B260" s="91" t="s">
        <v>222</v>
      </c>
      <c r="C260" s="95">
        <v>336</v>
      </c>
      <c r="D260" s="95">
        <v>467</v>
      </c>
      <c r="E260" s="95">
        <v>803</v>
      </c>
      <c r="F260" s="95">
        <v>18386672</v>
      </c>
      <c r="G260" s="95">
        <v>33442457</v>
      </c>
      <c r="H260" s="95">
        <v>51829129</v>
      </c>
      <c r="I260" s="91" t="s">
        <v>171</v>
      </c>
      <c r="J260" s="91" t="s">
        <v>1122</v>
      </c>
      <c r="K260" s="94">
        <v>331686</v>
      </c>
      <c r="L260" s="91" t="s">
        <v>209</v>
      </c>
      <c r="M260" s="2"/>
      <c r="N260" s="2"/>
      <c r="O260" s="4"/>
    </row>
    <row r="261" spans="1:15" x14ac:dyDescent="0.2">
      <c r="A261" s="91" t="s">
        <v>192</v>
      </c>
      <c r="B261" s="91" t="s">
        <v>276</v>
      </c>
      <c r="C261" s="95">
        <v>3180</v>
      </c>
      <c r="D261" s="95">
        <v>2225</v>
      </c>
      <c r="E261" s="95">
        <v>5405</v>
      </c>
      <c r="F261" s="95">
        <v>73671497</v>
      </c>
      <c r="G261" s="95">
        <v>69259736</v>
      </c>
      <c r="H261" s="95">
        <v>142931233</v>
      </c>
      <c r="I261" s="91" t="s">
        <v>171</v>
      </c>
      <c r="J261" s="91" t="s">
        <v>1122</v>
      </c>
      <c r="K261" s="94">
        <v>331983</v>
      </c>
      <c r="L261" s="91" t="s">
        <v>277</v>
      </c>
      <c r="M261" s="2"/>
      <c r="N261" s="2"/>
      <c r="O261" s="4"/>
    </row>
    <row r="262" spans="1:15" x14ac:dyDescent="0.2">
      <c r="A262" s="91" t="s">
        <v>173</v>
      </c>
      <c r="B262" s="91" t="s">
        <v>937</v>
      </c>
      <c r="C262" s="95">
        <v>1690</v>
      </c>
      <c r="D262" s="95">
        <v>1865</v>
      </c>
      <c r="E262" s="95">
        <v>3555</v>
      </c>
      <c r="F262" s="95">
        <v>212327260</v>
      </c>
      <c r="G262" s="95">
        <v>278486167</v>
      </c>
      <c r="H262" s="95">
        <v>490813427</v>
      </c>
      <c r="I262" s="91" t="s">
        <v>171</v>
      </c>
      <c r="J262" s="91" t="s">
        <v>1118</v>
      </c>
      <c r="K262" s="94">
        <v>333518</v>
      </c>
      <c r="L262" s="91" t="s">
        <v>538</v>
      </c>
      <c r="M262" s="2"/>
      <c r="N262" s="2"/>
      <c r="O262" s="4"/>
    </row>
    <row r="263" spans="1:15" x14ac:dyDescent="0.2">
      <c r="A263" s="91" t="s">
        <v>383</v>
      </c>
      <c r="B263" s="91" t="s">
        <v>1088</v>
      </c>
      <c r="C263" s="95">
        <v>405</v>
      </c>
      <c r="D263" s="95">
        <v>668</v>
      </c>
      <c r="E263" s="95">
        <v>1073</v>
      </c>
      <c r="F263" s="95">
        <v>12974698</v>
      </c>
      <c r="G263" s="95">
        <v>28347384</v>
      </c>
      <c r="H263" s="95">
        <v>41322082</v>
      </c>
      <c r="I263" s="91" t="s">
        <v>71</v>
      </c>
      <c r="J263" s="91" t="s">
        <v>1121</v>
      </c>
      <c r="K263" s="94">
        <v>333633</v>
      </c>
      <c r="L263" s="91" t="s">
        <v>811</v>
      </c>
      <c r="M263" s="2"/>
      <c r="N263" s="2"/>
      <c r="O263" s="4"/>
    </row>
    <row r="264" spans="1:15" x14ac:dyDescent="0.2">
      <c r="A264" s="91" t="s">
        <v>383</v>
      </c>
      <c r="B264" s="91" t="s">
        <v>949</v>
      </c>
      <c r="C264" s="95">
        <v>3833</v>
      </c>
      <c r="D264" s="95">
        <v>6388</v>
      </c>
      <c r="E264" s="95">
        <v>10221</v>
      </c>
      <c r="F264" s="95">
        <v>131198243</v>
      </c>
      <c r="G264" s="95">
        <v>299110303</v>
      </c>
      <c r="H264" s="95">
        <v>430308546</v>
      </c>
      <c r="I264" s="91" t="s">
        <v>171</v>
      </c>
      <c r="J264" s="91" t="s">
        <v>1121</v>
      </c>
      <c r="K264" s="94">
        <v>333690</v>
      </c>
      <c r="L264" s="91" t="s">
        <v>880</v>
      </c>
      <c r="M264" s="2"/>
      <c r="N264" s="2"/>
      <c r="O264" s="4"/>
    </row>
    <row r="265" spans="1:15" x14ac:dyDescent="0.2">
      <c r="A265" s="91" t="s">
        <v>449</v>
      </c>
      <c r="B265" s="91" t="s">
        <v>758</v>
      </c>
      <c r="C265" s="95">
        <v>16594</v>
      </c>
      <c r="D265" s="95">
        <v>24085</v>
      </c>
      <c r="E265" s="95">
        <v>40679</v>
      </c>
      <c r="F265" s="95">
        <v>641929024</v>
      </c>
      <c r="G265" s="95">
        <v>1174526105</v>
      </c>
      <c r="H265" s="95">
        <v>1816455129</v>
      </c>
      <c r="I265" s="91" t="s">
        <v>71</v>
      </c>
      <c r="J265" s="91" t="s">
        <v>1121</v>
      </c>
      <c r="K265" s="94">
        <v>334409</v>
      </c>
      <c r="L265" s="91" t="s">
        <v>580</v>
      </c>
      <c r="M265" s="2"/>
      <c r="N265" s="2"/>
      <c r="O265" s="4"/>
    </row>
    <row r="266" spans="1:15" x14ac:dyDescent="0.2">
      <c r="A266" s="91" t="s">
        <v>223</v>
      </c>
      <c r="B266" s="91" t="s">
        <v>549</v>
      </c>
      <c r="C266" s="95">
        <v>485</v>
      </c>
      <c r="D266" s="95">
        <v>544</v>
      </c>
      <c r="E266" s="95">
        <v>1029</v>
      </c>
      <c r="F266" s="95">
        <v>15632483</v>
      </c>
      <c r="G266" s="95">
        <v>23540035</v>
      </c>
      <c r="H266" s="95">
        <v>39172519</v>
      </c>
      <c r="I266" s="91" t="s">
        <v>71</v>
      </c>
      <c r="J266" s="91" t="s">
        <v>1122</v>
      </c>
      <c r="K266" s="94">
        <v>335463</v>
      </c>
      <c r="L266" s="91" t="s">
        <v>497</v>
      </c>
      <c r="M266" s="2"/>
      <c r="N266" s="2"/>
      <c r="O266" s="4"/>
    </row>
    <row r="267" spans="1:15" x14ac:dyDescent="0.2">
      <c r="A267" s="91" t="s">
        <v>223</v>
      </c>
      <c r="B267" s="91" t="s">
        <v>609</v>
      </c>
      <c r="C267" s="95">
        <v>311</v>
      </c>
      <c r="D267" s="95">
        <v>460</v>
      </c>
      <c r="E267" s="95">
        <v>771</v>
      </c>
      <c r="F267" s="95">
        <v>9481718</v>
      </c>
      <c r="G267" s="95">
        <v>17034115</v>
      </c>
      <c r="H267" s="95">
        <v>26515832</v>
      </c>
      <c r="I267" s="91" t="s">
        <v>71</v>
      </c>
      <c r="J267" s="91" t="s">
        <v>1122</v>
      </c>
      <c r="K267" s="94">
        <v>336115</v>
      </c>
      <c r="L267" s="91" t="s">
        <v>553</v>
      </c>
      <c r="M267" s="2"/>
      <c r="N267" s="2"/>
      <c r="O267" s="4"/>
    </row>
    <row r="268" spans="1:15" x14ac:dyDescent="0.2">
      <c r="A268" s="91" t="s">
        <v>260</v>
      </c>
      <c r="B268" s="91" t="s">
        <v>604</v>
      </c>
      <c r="C268" s="95">
        <v>5808</v>
      </c>
      <c r="D268" s="95">
        <v>6931</v>
      </c>
      <c r="E268" s="95">
        <v>12739</v>
      </c>
      <c r="F268" s="95">
        <v>193871685</v>
      </c>
      <c r="G268" s="95">
        <v>274293771</v>
      </c>
      <c r="H268" s="95">
        <v>468165456</v>
      </c>
      <c r="I268" s="91" t="s">
        <v>71</v>
      </c>
      <c r="J268" s="91" t="s">
        <v>1121</v>
      </c>
      <c r="K268" s="94">
        <v>336826</v>
      </c>
      <c r="L268" s="91" t="s">
        <v>431</v>
      </c>
      <c r="M268" s="2"/>
      <c r="N268" s="2"/>
      <c r="O268" s="4"/>
    </row>
    <row r="269" spans="1:15" x14ac:dyDescent="0.2">
      <c r="A269" s="91" t="s">
        <v>370</v>
      </c>
      <c r="B269" s="91" t="s">
        <v>893</v>
      </c>
      <c r="C269" s="95">
        <v>4970</v>
      </c>
      <c r="D269" s="95">
        <v>7389</v>
      </c>
      <c r="E269" s="95">
        <v>12359</v>
      </c>
      <c r="F269" s="95">
        <v>100754715</v>
      </c>
      <c r="G269" s="95">
        <v>225976364</v>
      </c>
      <c r="H269" s="95">
        <v>326731079</v>
      </c>
      <c r="I269" s="91" t="s">
        <v>71</v>
      </c>
      <c r="J269" s="91" t="s">
        <v>1121</v>
      </c>
      <c r="K269" s="94">
        <v>338590</v>
      </c>
      <c r="L269" s="91" t="s">
        <v>768</v>
      </c>
      <c r="M269" s="2"/>
      <c r="N269" s="2"/>
      <c r="O269" s="4"/>
    </row>
    <row r="270" spans="1:15" x14ac:dyDescent="0.2">
      <c r="A270" s="91" t="s">
        <v>212</v>
      </c>
      <c r="B270" s="91" t="s">
        <v>920</v>
      </c>
      <c r="C270" s="95">
        <v>1269</v>
      </c>
      <c r="D270" s="95">
        <v>2127</v>
      </c>
      <c r="E270" s="95">
        <v>3396</v>
      </c>
      <c r="F270" s="95">
        <v>262634023</v>
      </c>
      <c r="G270" s="95">
        <v>486034772</v>
      </c>
      <c r="H270" s="95">
        <v>748668795</v>
      </c>
      <c r="I270" s="91" t="s">
        <v>171</v>
      </c>
      <c r="J270" s="91" t="s">
        <v>1121</v>
      </c>
      <c r="K270" s="94">
        <v>339002</v>
      </c>
      <c r="L270" s="91" t="s">
        <v>906</v>
      </c>
      <c r="M270" s="2"/>
      <c r="N270" s="2"/>
      <c r="O270" s="4"/>
    </row>
    <row r="271" spans="1:15" x14ac:dyDescent="0.2">
      <c r="A271" s="91" t="s">
        <v>264</v>
      </c>
      <c r="B271" s="91" t="s">
        <v>710</v>
      </c>
      <c r="C271" s="95">
        <v>1966</v>
      </c>
      <c r="D271" s="95">
        <v>2758</v>
      </c>
      <c r="E271" s="95">
        <v>4724</v>
      </c>
      <c r="F271" s="95">
        <v>94504997</v>
      </c>
      <c r="G271" s="95">
        <v>154424124</v>
      </c>
      <c r="H271" s="95">
        <v>248929122</v>
      </c>
      <c r="I271" s="91" t="s">
        <v>171</v>
      </c>
      <c r="J271" s="91" t="s">
        <v>1121</v>
      </c>
      <c r="K271" s="94">
        <v>339184</v>
      </c>
      <c r="L271" s="91" t="s">
        <v>191</v>
      </c>
      <c r="M271" s="2"/>
      <c r="N271" s="2"/>
      <c r="O271" s="4"/>
    </row>
    <row r="272" spans="1:15" x14ac:dyDescent="0.2">
      <c r="A272" s="91" t="s">
        <v>212</v>
      </c>
      <c r="B272" s="91" t="s">
        <v>986</v>
      </c>
      <c r="C272" s="95">
        <v>13</v>
      </c>
      <c r="D272" s="95">
        <v>45</v>
      </c>
      <c r="E272" s="95">
        <v>58</v>
      </c>
      <c r="F272" s="95">
        <v>743578</v>
      </c>
      <c r="G272" s="95">
        <v>2939746</v>
      </c>
      <c r="H272" s="95">
        <v>3683324</v>
      </c>
      <c r="I272" s="91" t="s">
        <v>171</v>
      </c>
      <c r="J272" s="91" t="s">
        <v>1121</v>
      </c>
      <c r="K272" s="94">
        <v>341362</v>
      </c>
      <c r="L272" s="91" t="s">
        <v>987</v>
      </c>
      <c r="M272" s="2"/>
      <c r="N272" s="2"/>
      <c r="O272" s="4"/>
    </row>
    <row r="273" spans="1:15" x14ac:dyDescent="0.2">
      <c r="A273" s="91" t="s">
        <v>264</v>
      </c>
      <c r="B273" s="91" t="s">
        <v>704</v>
      </c>
      <c r="C273" s="95">
        <v>3879</v>
      </c>
      <c r="D273" s="95">
        <v>3386</v>
      </c>
      <c r="E273" s="95">
        <v>7265</v>
      </c>
      <c r="F273" s="95">
        <v>166724346</v>
      </c>
      <c r="G273" s="95">
        <v>171240925</v>
      </c>
      <c r="H273" s="95">
        <v>337965271</v>
      </c>
      <c r="I273" s="91" t="s">
        <v>171</v>
      </c>
      <c r="J273" s="91" t="s">
        <v>1121</v>
      </c>
      <c r="K273" s="94">
        <v>344739</v>
      </c>
      <c r="L273" s="91" t="s">
        <v>403</v>
      </c>
      <c r="M273" s="2"/>
      <c r="N273" s="2"/>
      <c r="O273" s="4"/>
    </row>
    <row r="274" spans="1:15" x14ac:dyDescent="0.2">
      <c r="A274" s="91" t="s">
        <v>449</v>
      </c>
      <c r="B274" s="91" t="s">
        <v>448</v>
      </c>
      <c r="C274" s="95">
        <v>9522</v>
      </c>
      <c r="D274" s="95">
        <v>12516</v>
      </c>
      <c r="E274" s="95">
        <v>22038</v>
      </c>
      <c r="F274" s="95">
        <v>271510487</v>
      </c>
      <c r="G274" s="95">
        <v>488870121</v>
      </c>
      <c r="H274" s="95">
        <v>760380608</v>
      </c>
      <c r="I274" s="91" t="s">
        <v>171</v>
      </c>
      <c r="J274" s="91" t="s">
        <v>1121</v>
      </c>
      <c r="K274" s="94">
        <v>348862</v>
      </c>
      <c r="L274" s="91" t="s">
        <v>200</v>
      </c>
      <c r="M274" s="2"/>
      <c r="N274" s="2"/>
      <c r="O274" s="4"/>
    </row>
    <row r="275" spans="1:15" x14ac:dyDescent="0.2">
      <c r="A275" s="91" t="s">
        <v>410</v>
      </c>
      <c r="B275" s="91" t="s">
        <v>543</v>
      </c>
      <c r="C275" s="95">
        <v>5575</v>
      </c>
      <c r="D275" s="95">
        <v>5515</v>
      </c>
      <c r="E275" s="95">
        <v>11090</v>
      </c>
      <c r="F275" s="95">
        <v>179302218</v>
      </c>
      <c r="G275" s="95">
        <v>210491475</v>
      </c>
      <c r="H275" s="95">
        <v>389793693</v>
      </c>
      <c r="I275" s="91" t="s">
        <v>71</v>
      </c>
      <c r="J275" s="91" t="s">
        <v>1121</v>
      </c>
      <c r="K275" s="94">
        <v>348987</v>
      </c>
      <c r="L275" s="91" t="s">
        <v>254</v>
      </c>
      <c r="M275" s="2"/>
      <c r="N275" s="2"/>
      <c r="O275" s="4"/>
    </row>
    <row r="276" spans="1:15" x14ac:dyDescent="0.2">
      <c r="A276" s="91" t="s">
        <v>185</v>
      </c>
      <c r="B276" s="91" t="s">
        <v>184</v>
      </c>
      <c r="C276" s="95">
        <v>4862</v>
      </c>
      <c r="D276" s="95">
        <v>4304</v>
      </c>
      <c r="E276" s="95">
        <v>9166</v>
      </c>
      <c r="F276" s="95">
        <v>569299751</v>
      </c>
      <c r="G276" s="95">
        <v>558056644</v>
      </c>
      <c r="H276" s="95">
        <v>1127356395</v>
      </c>
      <c r="I276" s="91" t="s">
        <v>71</v>
      </c>
      <c r="J276" s="91" t="s">
        <v>1115</v>
      </c>
      <c r="K276" s="94">
        <v>350512</v>
      </c>
      <c r="L276" s="91" t="s">
        <v>178</v>
      </c>
      <c r="M276" s="2"/>
      <c r="N276" s="2"/>
      <c r="O276" s="4"/>
    </row>
    <row r="277" spans="1:15" x14ac:dyDescent="0.2">
      <c r="A277" s="91" t="s">
        <v>212</v>
      </c>
      <c r="B277" s="91" t="s">
        <v>533</v>
      </c>
      <c r="C277" s="95">
        <v>742</v>
      </c>
      <c r="D277" s="95">
        <v>810</v>
      </c>
      <c r="E277" s="95">
        <v>1552</v>
      </c>
      <c r="F277" s="95">
        <v>26458723</v>
      </c>
      <c r="G277" s="95">
        <v>31883338</v>
      </c>
      <c r="H277" s="95">
        <v>58342060</v>
      </c>
      <c r="I277" s="91" t="s">
        <v>71</v>
      </c>
      <c r="J277" s="91" t="s">
        <v>1121</v>
      </c>
      <c r="K277" s="94">
        <v>352468</v>
      </c>
      <c r="L277" s="91" t="s">
        <v>518</v>
      </c>
      <c r="M277" s="2"/>
      <c r="N277" s="2"/>
      <c r="O277" s="4"/>
    </row>
    <row r="278" spans="1:15" x14ac:dyDescent="0.2">
      <c r="A278" s="91" t="s">
        <v>223</v>
      </c>
      <c r="B278" s="91" t="s">
        <v>666</v>
      </c>
      <c r="C278" s="95">
        <v>20</v>
      </c>
      <c r="D278" s="95">
        <v>38</v>
      </c>
      <c r="E278" s="95">
        <v>58</v>
      </c>
      <c r="F278" s="95">
        <v>416338</v>
      </c>
      <c r="G278" s="95">
        <v>1397126</v>
      </c>
      <c r="H278" s="95">
        <v>1813464</v>
      </c>
      <c r="I278" s="91" t="s">
        <v>71</v>
      </c>
      <c r="J278" s="91" t="s">
        <v>1122</v>
      </c>
      <c r="K278" s="94">
        <v>352583</v>
      </c>
      <c r="L278" s="91" t="s">
        <v>454</v>
      </c>
      <c r="M278" s="2"/>
      <c r="N278" s="2"/>
      <c r="O278" s="4"/>
    </row>
    <row r="279" spans="1:15" x14ac:dyDescent="0.2">
      <c r="A279" s="91" t="s">
        <v>370</v>
      </c>
      <c r="B279" s="91" t="s">
        <v>702</v>
      </c>
      <c r="C279" s="95">
        <v>526</v>
      </c>
      <c r="D279" s="95">
        <v>700</v>
      </c>
      <c r="E279" s="95">
        <v>1226</v>
      </c>
      <c r="F279" s="95">
        <v>15778831</v>
      </c>
      <c r="G279" s="95">
        <v>26905130</v>
      </c>
      <c r="H279" s="95">
        <v>42683961</v>
      </c>
      <c r="I279" s="91" t="s">
        <v>71</v>
      </c>
      <c r="J279" s="91" t="s">
        <v>1121</v>
      </c>
      <c r="K279" s="94">
        <v>353235</v>
      </c>
      <c r="L279" s="91" t="s">
        <v>616</v>
      </c>
      <c r="M279" s="2"/>
      <c r="N279" s="2"/>
      <c r="O279" s="4"/>
    </row>
    <row r="280" spans="1:15" x14ac:dyDescent="0.2">
      <c r="A280" s="91" t="s">
        <v>413</v>
      </c>
      <c r="B280" s="91" t="s">
        <v>713</v>
      </c>
      <c r="C280" s="95">
        <v>263</v>
      </c>
      <c r="D280" s="95">
        <v>442</v>
      </c>
      <c r="E280" s="95">
        <v>705</v>
      </c>
      <c r="F280" s="95">
        <v>5679154</v>
      </c>
      <c r="G280" s="95">
        <v>12301804</v>
      </c>
      <c r="H280" s="95">
        <v>17980958</v>
      </c>
      <c r="I280" s="91" t="s">
        <v>71</v>
      </c>
      <c r="J280" s="91" t="s">
        <v>1121</v>
      </c>
      <c r="K280" s="94">
        <v>353821</v>
      </c>
      <c r="L280" s="91" t="s">
        <v>616</v>
      </c>
      <c r="M280" s="2"/>
      <c r="N280" s="2"/>
      <c r="O280" s="4"/>
    </row>
    <row r="281" spans="1:15" x14ac:dyDescent="0.2">
      <c r="A281" s="91" t="s">
        <v>383</v>
      </c>
      <c r="B281" s="91" t="s">
        <v>582</v>
      </c>
      <c r="C281" s="95">
        <v>1598</v>
      </c>
      <c r="D281" s="95">
        <v>2716</v>
      </c>
      <c r="E281" s="95">
        <v>4314</v>
      </c>
      <c r="F281" s="95">
        <v>60697105</v>
      </c>
      <c r="G281" s="95">
        <v>132732404</v>
      </c>
      <c r="H281" s="95">
        <v>193429509</v>
      </c>
      <c r="I281" s="91" t="s">
        <v>71</v>
      </c>
      <c r="J281" s="91" t="s">
        <v>1121</v>
      </c>
      <c r="K281" s="94">
        <v>354233</v>
      </c>
      <c r="L281" s="91" t="s">
        <v>231</v>
      </c>
      <c r="M281" s="2"/>
      <c r="N281" s="2"/>
      <c r="O281" s="4"/>
    </row>
    <row r="282" spans="1:15" x14ac:dyDescent="0.2">
      <c r="A282" s="91" t="s">
        <v>410</v>
      </c>
      <c r="B282" s="91" t="s">
        <v>750</v>
      </c>
      <c r="C282" s="95">
        <v>334</v>
      </c>
      <c r="D282" s="95">
        <v>380</v>
      </c>
      <c r="E282" s="95">
        <v>714</v>
      </c>
      <c r="F282" s="95">
        <v>8867848</v>
      </c>
      <c r="G282" s="95">
        <v>12053426</v>
      </c>
      <c r="H282" s="95">
        <v>20921274</v>
      </c>
      <c r="I282" s="91" t="s">
        <v>71</v>
      </c>
      <c r="J282" s="91" t="s">
        <v>1121</v>
      </c>
      <c r="K282" s="94">
        <v>354290</v>
      </c>
      <c r="L282" s="91" t="s">
        <v>462</v>
      </c>
      <c r="M282" s="2"/>
      <c r="N282" s="2"/>
      <c r="O282" s="4"/>
    </row>
    <row r="283" spans="1:15" x14ac:dyDescent="0.2">
      <c r="A283" s="91" t="s">
        <v>173</v>
      </c>
      <c r="B283" s="91" t="s">
        <v>894</v>
      </c>
      <c r="C283" s="95">
        <v>30942</v>
      </c>
      <c r="D283" s="95">
        <v>33858</v>
      </c>
      <c r="E283" s="95">
        <v>64800</v>
      </c>
      <c r="F283" s="95">
        <v>1683104653</v>
      </c>
      <c r="G283" s="95">
        <v>2196571401</v>
      </c>
      <c r="H283" s="95">
        <v>3879676054</v>
      </c>
      <c r="I283" s="91" t="s">
        <v>71</v>
      </c>
      <c r="J283" s="91" t="s">
        <v>1118</v>
      </c>
      <c r="K283" s="94">
        <v>356006</v>
      </c>
      <c r="L283" s="91" t="s">
        <v>895</v>
      </c>
      <c r="M283" s="2"/>
      <c r="N283" s="2"/>
      <c r="O283" s="4"/>
    </row>
    <row r="284" spans="1:15" x14ac:dyDescent="0.2">
      <c r="A284" s="91" t="s">
        <v>408</v>
      </c>
      <c r="B284" s="91" t="s">
        <v>932</v>
      </c>
      <c r="C284" s="95">
        <v>259</v>
      </c>
      <c r="D284" s="95">
        <v>298</v>
      </c>
      <c r="E284" s="95">
        <v>557</v>
      </c>
      <c r="F284" s="95">
        <v>8771136</v>
      </c>
      <c r="G284" s="95">
        <v>12348861</v>
      </c>
      <c r="H284" s="95">
        <v>21119997</v>
      </c>
      <c r="I284" s="91" t="s">
        <v>71</v>
      </c>
      <c r="J284" s="91" t="s">
        <v>1121</v>
      </c>
      <c r="K284" s="94">
        <v>356063</v>
      </c>
      <c r="L284" s="91" t="s">
        <v>930</v>
      </c>
      <c r="M284" s="2"/>
      <c r="N284" s="2"/>
      <c r="O284" s="4"/>
    </row>
    <row r="285" spans="1:15" x14ac:dyDescent="0.2">
      <c r="A285" s="91" t="s">
        <v>212</v>
      </c>
      <c r="B285" s="91" t="s">
        <v>653</v>
      </c>
      <c r="C285" s="95">
        <v>801</v>
      </c>
      <c r="D285" s="95">
        <v>429</v>
      </c>
      <c r="E285" s="95">
        <v>1230</v>
      </c>
      <c r="F285" s="95">
        <v>128546485</v>
      </c>
      <c r="G285" s="95">
        <v>76374064</v>
      </c>
      <c r="H285" s="95">
        <v>204920549</v>
      </c>
      <c r="I285" s="91" t="s">
        <v>171</v>
      </c>
      <c r="J285" s="91" t="s">
        <v>1121</v>
      </c>
      <c r="K285" s="94">
        <v>356592</v>
      </c>
      <c r="L285" s="91" t="s">
        <v>305</v>
      </c>
      <c r="M285" s="2"/>
      <c r="N285" s="2"/>
      <c r="O285" s="4"/>
    </row>
    <row r="286" spans="1:15" x14ac:dyDescent="0.2">
      <c r="A286" s="91" t="s">
        <v>265</v>
      </c>
      <c r="B286" s="91" t="s">
        <v>498</v>
      </c>
      <c r="C286" s="95">
        <v>12384</v>
      </c>
      <c r="D286" s="95">
        <v>14494</v>
      </c>
      <c r="E286" s="95">
        <v>26878</v>
      </c>
      <c r="F286" s="95">
        <v>549562810</v>
      </c>
      <c r="G286" s="95">
        <v>784178001</v>
      </c>
      <c r="H286" s="95">
        <v>1333740811</v>
      </c>
      <c r="I286" s="91" t="s">
        <v>171</v>
      </c>
      <c r="J286" s="91" t="s">
        <v>1121</v>
      </c>
      <c r="K286" s="94">
        <v>357483</v>
      </c>
      <c r="L286" s="91" t="s">
        <v>221</v>
      </c>
      <c r="M286" s="2"/>
      <c r="N286" s="2"/>
      <c r="O286" s="4"/>
    </row>
    <row r="287" spans="1:15" x14ac:dyDescent="0.2">
      <c r="A287" s="91" t="s">
        <v>310</v>
      </c>
      <c r="B287" s="91" t="s">
        <v>754</v>
      </c>
      <c r="C287" s="95">
        <v>159</v>
      </c>
      <c r="D287" s="95">
        <v>192</v>
      </c>
      <c r="E287" s="95">
        <v>351</v>
      </c>
      <c r="F287" s="95">
        <v>6245237</v>
      </c>
      <c r="G287" s="95">
        <v>7832335</v>
      </c>
      <c r="H287" s="95">
        <v>14077573</v>
      </c>
      <c r="I287" s="91" t="s">
        <v>171</v>
      </c>
      <c r="J287" s="91" t="s">
        <v>1121</v>
      </c>
      <c r="K287" s="94">
        <v>357830</v>
      </c>
      <c r="L287" s="91" t="s">
        <v>538</v>
      </c>
      <c r="M287" s="2"/>
      <c r="N287" s="2"/>
      <c r="O287" s="4"/>
    </row>
    <row r="288" spans="1:15" x14ac:dyDescent="0.2">
      <c r="A288" s="91" t="s">
        <v>185</v>
      </c>
      <c r="B288" s="91" t="s">
        <v>140</v>
      </c>
      <c r="C288" s="95">
        <v>39182</v>
      </c>
      <c r="D288" s="95">
        <v>30853</v>
      </c>
      <c r="E288" s="95">
        <v>70035</v>
      </c>
      <c r="F288" s="95">
        <v>4686541928</v>
      </c>
      <c r="G288" s="95">
        <v>4347368007</v>
      </c>
      <c r="H288" s="95">
        <v>9033909935</v>
      </c>
      <c r="I288" s="91" t="s">
        <v>171</v>
      </c>
      <c r="J288" s="91" t="s">
        <v>1115</v>
      </c>
      <c r="K288" s="94">
        <v>359315</v>
      </c>
      <c r="L288" s="91" t="s">
        <v>226</v>
      </c>
      <c r="M288" s="2"/>
      <c r="N288" s="2"/>
      <c r="O288" s="4"/>
    </row>
    <row r="289" spans="1:15" x14ac:dyDescent="0.2">
      <c r="A289" s="91" t="s">
        <v>245</v>
      </c>
      <c r="B289" s="91" t="s">
        <v>886</v>
      </c>
      <c r="C289" s="95">
        <v>25</v>
      </c>
      <c r="D289" s="95">
        <v>54</v>
      </c>
      <c r="E289" s="95">
        <v>79</v>
      </c>
      <c r="F289" s="95">
        <v>1096932</v>
      </c>
      <c r="G289" s="95">
        <v>2249900</v>
      </c>
      <c r="H289" s="95">
        <v>3346832</v>
      </c>
      <c r="I289" s="91" t="s">
        <v>71</v>
      </c>
      <c r="J289" s="91" t="s">
        <v>1121</v>
      </c>
      <c r="K289" s="94">
        <v>359604</v>
      </c>
      <c r="L289" s="91" t="s">
        <v>1152</v>
      </c>
      <c r="M289" s="2"/>
      <c r="N289" s="2"/>
      <c r="O289" s="4"/>
    </row>
    <row r="290" spans="1:15" x14ac:dyDescent="0.2">
      <c r="A290" s="91" t="s">
        <v>245</v>
      </c>
      <c r="B290" s="91" t="s">
        <v>769</v>
      </c>
      <c r="C290" s="95">
        <v>75</v>
      </c>
      <c r="D290" s="95">
        <v>114</v>
      </c>
      <c r="E290" s="95">
        <v>189</v>
      </c>
      <c r="F290" s="95">
        <v>2865937</v>
      </c>
      <c r="G290" s="95">
        <v>5751626</v>
      </c>
      <c r="H290" s="95">
        <v>8617563</v>
      </c>
      <c r="I290" s="91" t="s">
        <v>71</v>
      </c>
      <c r="J290" s="91" t="s">
        <v>1121</v>
      </c>
      <c r="K290" s="94">
        <v>360495</v>
      </c>
      <c r="L290" s="91" t="s">
        <v>770</v>
      </c>
      <c r="M290" s="2"/>
      <c r="N290" s="2"/>
      <c r="O290" s="4"/>
    </row>
    <row r="291" spans="1:15" x14ac:dyDescent="0.2">
      <c r="A291" s="91" t="s">
        <v>192</v>
      </c>
      <c r="B291" s="91" t="s">
        <v>281</v>
      </c>
      <c r="C291" s="95">
        <v>1761</v>
      </c>
      <c r="D291" s="95">
        <v>1505</v>
      </c>
      <c r="E291" s="95">
        <v>3266</v>
      </c>
      <c r="F291" s="95">
        <v>44217614</v>
      </c>
      <c r="G291" s="95">
        <v>55594224</v>
      </c>
      <c r="H291" s="95">
        <v>99811838</v>
      </c>
      <c r="I291" s="91" t="s">
        <v>171</v>
      </c>
      <c r="J291" s="91" t="s">
        <v>1122</v>
      </c>
      <c r="K291" s="94">
        <v>361733</v>
      </c>
      <c r="L291" s="91" t="s">
        <v>282</v>
      </c>
      <c r="M291" s="2"/>
      <c r="N291" s="2"/>
      <c r="O291" s="4"/>
    </row>
    <row r="292" spans="1:15" x14ac:dyDescent="0.2">
      <c r="A292" s="91" t="s">
        <v>260</v>
      </c>
      <c r="B292" s="91" t="s">
        <v>530</v>
      </c>
      <c r="C292" s="95">
        <v>7977</v>
      </c>
      <c r="D292" s="95">
        <v>10007</v>
      </c>
      <c r="E292" s="95">
        <v>17984</v>
      </c>
      <c r="F292" s="95">
        <v>201445359</v>
      </c>
      <c r="G292" s="95">
        <v>319757677</v>
      </c>
      <c r="H292" s="95">
        <v>521203036</v>
      </c>
      <c r="I292" s="91" t="s">
        <v>171</v>
      </c>
      <c r="J292" s="91" t="s">
        <v>1121</v>
      </c>
      <c r="K292" s="94">
        <v>362020</v>
      </c>
      <c r="L292" s="91" t="s">
        <v>231</v>
      </c>
      <c r="M292" s="2"/>
      <c r="N292" s="2"/>
      <c r="O292" s="4"/>
    </row>
    <row r="293" spans="1:15" x14ac:dyDescent="0.2">
      <c r="A293" s="91" t="s">
        <v>310</v>
      </c>
      <c r="B293" s="91" t="s">
        <v>733</v>
      </c>
      <c r="C293" s="95">
        <v>7795</v>
      </c>
      <c r="D293" s="95">
        <v>10342</v>
      </c>
      <c r="E293" s="95">
        <v>18137</v>
      </c>
      <c r="F293" s="95">
        <v>254067086</v>
      </c>
      <c r="G293" s="95">
        <v>419408344</v>
      </c>
      <c r="H293" s="95">
        <v>673475429</v>
      </c>
      <c r="I293" s="91" t="s">
        <v>71</v>
      </c>
      <c r="J293" s="91" t="s">
        <v>1121</v>
      </c>
      <c r="K293" s="94">
        <v>362327</v>
      </c>
      <c r="L293" s="91" t="s">
        <v>275</v>
      </c>
      <c r="M293" s="2"/>
      <c r="N293" s="2"/>
      <c r="O293" s="4"/>
    </row>
    <row r="294" spans="1:15" x14ac:dyDescent="0.2">
      <c r="A294" s="91" t="s">
        <v>820</v>
      </c>
      <c r="B294" s="91" t="s">
        <v>144</v>
      </c>
      <c r="C294" s="95">
        <v>37969</v>
      </c>
      <c r="D294" s="95">
        <v>50335</v>
      </c>
      <c r="E294" s="95">
        <v>88304</v>
      </c>
      <c r="F294" s="95">
        <v>1672669535</v>
      </c>
      <c r="G294" s="95">
        <v>2907976440</v>
      </c>
      <c r="H294" s="95">
        <v>4580645975</v>
      </c>
      <c r="I294" s="91" t="s">
        <v>71</v>
      </c>
      <c r="J294" s="91" t="s">
        <v>1121</v>
      </c>
      <c r="K294" s="94">
        <v>364158</v>
      </c>
      <c r="L294" s="91" t="s">
        <v>535</v>
      </c>
      <c r="M294" s="2"/>
      <c r="N294" s="2"/>
      <c r="O294" s="4"/>
    </row>
    <row r="295" spans="1:15" x14ac:dyDescent="0.2">
      <c r="A295" s="91" t="s">
        <v>223</v>
      </c>
      <c r="B295" s="91" t="s">
        <v>496</v>
      </c>
      <c r="C295" s="95">
        <v>8</v>
      </c>
      <c r="D295" s="95">
        <v>43</v>
      </c>
      <c r="E295" s="95">
        <v>51</v>
      </c>
      <c r="F295" s="95">
        <v>244919</v>
      </c>
      <c r="G295" s="95">
        <v>1733410</v>
      </c>
      <c r="H295" s="95">
        <v>1978329</v>
      </c>
      <c r="I295" s="91" t="s">
        <v>71</v>
      </c>
      <c r="J295" s="91" t="s">
        <v>1122</v>
      </c>
      <c r="K295" s="94">
        <v>365684</v>
      </c>
      <c r="L295" s="91" t="s">
        <v>497</v>
      </c>
      <c r="M295" s="2"/>
      <c r="N295" s="2"/>
      <c r="O295" s="4"/>
    </row>
    <row r="296" spans="1:15" x14ac:dyDescent="0.2">
      <c r="A296" s="91" t="s">
        <v>239</v>
      </c>
      <c r="B296" s="91" t="s">
        <v>680</v>
      </c>
      <c r="C296" s="95">
        <v>84</v>
      </c>
      <c r="D296" s="95">
        <v>117</v>
      </c>
      <c r="E296" s="95">
        <v>201</v>
      </c>
      <c r="F296" s="95">
        <v>1965123</v>
      </c>
      <c r="G296" s="95">
        <v>3328428</v>
      </c>
      <c r="H296" s="95">
        <v>5293551</v>
      </c>
      <c r="I296" s="91" t="s">
        <v>71</v>
      </c>
      <c r="J296" s="91" t="s">
        <v>1121</v>
      </c>
      <c r="K296" s="94">
        <v>365981</v>
      </c>
      <c r="L296" s="91" t="s">
        <v>682</v>
      </c>
      <c r="M296" s="2"/>
      <c r="N296" s="2"/>
      <c r="O296" s="4"/>
    </row>
    <row r="297" spans="1:15" x14ac:dyDescent="0.2">
      <c r="A297" s="91" t="s">
        <v>379</v>
      </c>
      <c r="B297" s="91" t="s">
        <v>1035</v>
      </c>
      <c r="C297" s="95">
        <v>21</v>
      </c>
      <c r="D297" s="95">
        <v>50</v>
      </c>
      <c r="E297" s="95">
        <v>71</v>
      </c>
      <c r="F297" s="95">
        <v>2725220</v>
      </c>
      <c r="G297" s="95">
        <v>6816167</v>
      </c>
      <c r="H297" s="95">
        <v>9541387</v>
      </c>
      <c r="I297" s="91" t="s">
        <v>171</v>
      </c>
      <c r="J297" s="91" t="s">
        <v>1121</v>
      </c>
      <c r="K297" s="94">
        <v>367516</v>
      </c>
      <c r="L297" s="91" t="s">
        <v>365</v>
      </c>
      <c r="M297" s="2"/>
      <c r="N297" s="2"/>
      <c r="O297" s="4"/>
    </row>
    <row r="298" spans="1:15" x14ac:dyDescent="0.2">
      <c r="A298" s="91" t="s">
        <v>239</v>
      </c>
      <c r="B298" s="91" t="s">
        <v>1135</v>
      </c>
      <c r="C298" s="95">
        <v>6</v>
      </c>
      <c r="D298" s="95">
        <v>13</v>
      </c>
      <c r="E298" s="95">
        <v>19</v>
      </c>
      <c r="F298" s="95">
        <v>184051</v>
      </c>
      <c r="G298" s="95">
        <v>571142</v>
      </c>
      <c r="H298" s="95">
        <v>755193</v>
      </c>
      <c r="I298" s="91" t="s">
        <v>71</v>
      </c>
      <c r="J298" s="91" t="s">
        <v>1121</v>
      </c>
      <c r="K298" s="94">
        <v>367631</v>
      </c>
      <c r="L298" s="91" t="s">
        <v>635</v>
      </c>
      <c r="M298" s="2"/>
      <c r="N298" s="2"/>
      <c r="O298" s="4"/>
    </row>
    <row r="299" spans="1:15" x14ac:dyDescent="0.2">
      <c r="A299" s="91" t="s">
        <v>260</v>
      </c>
      <c r="B299" s="91" t="s">
        <v>792</v>
      </c>
      <c r="C299" s="95">
        <v>93</v>
      </c>
      <c r="D299" s="95">
        <v>167</v>
      </c>
      <c r="E299" s="95">
        <v>260</v>
      </c>
      <c r="F299" s="95">
        <v>2605396</v>
      </c>
      <c r="G299" s="95">
        <v>5893148</v>
      </c>
      <c r="H299" s="95">
        <v>8498544</v>
      </c>
      <c r="I299" s="91" t="s">
        <v>71</v>
      </c>
      <c r="J299" s="91" t="s">
        <v>1121</v>
      </c>
      <c r="K299" s="94">
        <v>367698</v>
      </c>
      <c r="L299" s="91" t="s">
        <v>553</v>
      </c>
      <c r="M299" s="2"/>
      <c r="N299" s="2"/>
      <c r="O299" s="4"/>
    </row>
    <row r="300" spans="1:15" x14ac:dyDescent="0.2">
      <c r="A300" s="91" t="s">
        <v>173</v>
      </c>
      <c r="B300" s="91" t="s">
        <v>589</v>
      </c>
      <c r="C300" s="95">
        <v>5517</v>
      </c>
      <c r="D300" s="95">
        <v>5349</v>
      </c>
      <c r="E300" s="95">
        <v>10866</v>
      </c>
      <c r="F300" s="95">
        <v>220445424</v>
      </c>
      <c r="G300" s="95">
        <v>265542289</v>
      </c>
      <c r="H300" s="95">
        <v>485987713</v>
      </c>
      <c r="I300" s="91" t="s">
        <v>171</v>
      </c>
      <c r="J300" s="91" t="s">
        <v>1118</v>
      </c>
      <c r="K300" s="94">
        <v>367813</v>
      </c>
      <c r="L300" s="91" t="s">
        <v>277</v>
      </c>
      <c r="M300" s="2"/>
      <c r="N300" s="2"/>
      <c r="O300" s="4"/>
    </row>
    <row r="301" spans="1:15" x14ac:dyDescent="0.2">
      <c r="A301" s="91" t="s">
        <v>413</v>
      </c>
      <c r="B301" s="91" t="s">
        <v>1092</v>
      </c>
      <c r="C301" s="95">
        <v>497</v>
      </c>
      <c r="D301" s="95">
        <v>673</v>
      </c>
      <c r="E301" s="95">
        <v>1170</v>
      </c>
      <c r="F301" s="95">
        <v>9937112</v>
      </c>
      <c r="G301" s="95">
        <v>15818632</v>
      </c>
      <c r="H301" s="95">
        <v>25755744</v>
      </c>
      <c r="I301" s="91" t="s">
        <v>71</v>
      </c>
      <c r="J301" s="91" t="s">
        <v>1121</v>
      </c>
      <c r="K301" s="94">
        <v>368407</v>
      </c>
      <c r="L301" s="91" t="s">
        <v>454</v>
      </c>
      <c r="M301" s="2"/>
      <c r="N301" s="2"/>
      <c r="O301" s="4"/>
    </row>
    <row r="302" spans="1:15" x14ac:dyDescent="0.2">
      <c r="A302" s="91" t="s">
        <v>471</v>
      </c>
      <c r="B302" s="91" t="s">
        <v>1089</v>
      </c>
      <c r="C302" s="95">
        <v>212</v>
      </c>
      <c r="D302" s="95">
        <v>278</v>
      </c>
      <c r="E302" s="95">
        <v>490</v>
      </c>
      <c r="F302" s="95">
        <v>4214815</v>
      </c>
      <c r="G302" s="95">
        <v>7981997</v>
      </c>
      <c r="H302" s="95">
        <v>12196813</v>
      </c>
      <c r="I302" s="91" t="s">
        <v>71</v>
      </c>
      <c r="J302" s="91" t="s">
        <v>1121</v>
      </c>
      <c r="K302" s="94">
        <v>369462</v>
      </c>
      <c r="L302" s="91" t="s">
        <v>811</v>
      </c>
      <c r="M302" s="2"/>
      <c r="N302" s="2"/>
      <c r="O302" s="4"/>
    </row>
    <row r="303" spans="1:15" x14ac:dyDescent="0.2">
      <c r="A303" s="91" t="s">
        <v>223</v>
      </c>
      <c r="B303" s="91" t="s">
        <v>579</v>
      </c>
      <c r="C303" s="95">
        <v>543</v>
      </c>
      <c r="D303" s="95">
        <v>489</v>
      </c>
      <c r="E303" s="95">
        <v>1032</v>
      </c>
      <c r="F303" s="95">
        <v>14419276</v>
      </c>
      <c r="G303" s="95">
        <v>15113545</v>
      </c>
      <c r="H303" s="95">
        <v>29532821</v>
      </c>
      <c r="I303" s="91" t="s">
        <v>71</v>
      </c>
      <c r="J303" s="91" t="s">
        <v>1122</v>
      </c>
      <c r="K303" s="94">
        <v>370239</v>
      </c>
      <c r="L303" s="91" t="s">
        <v>580</v>
      </c>
      <c r="M303" s="2"/>
      <c r="N303" s="2"/>
      <c r="O303" s="4"/>
    </row>
    <row r="304" spans="1:15" x14ac:dyDescent="0.2">
      <c r="A304" s="91" t="s">
        <v>260</v>
      </c>
      <c r="B304" s="91" t="s">
        <v>940</v>
      </c>
      <c r="C304" s="95">
        <v>84</v>
      </c>
      <c r="D304" s="95">
        <v>130</v>
      </c>
      <c r="E304" s="95">
        <v>214</v>
      </c>
      <c r="F304" s="95">
        <v>3187983</v>
      </c>
      <c r="G304" s="95">
        <v>4588429</v>
      </c>
      <c r="H304" s="95">
        <v>7776412</v>
      </c>
      <c r="I304" s="91" t="s">
        <v>71</v>
      </c>
      <c r="J304" s="91" t="s">
        <v>1121</v>
      </c>
      <c r="K304" s="94">
        <v>371294</v>
      </c>
      <c r="L304" s="91" t="s">
        <v>497</v>
      </c>
      <c r="M304" s="2"/>
      <c r="N304" s="2"/>
      <c r="O304" s="4"/>
    </row>
    <row r="305" spans="1:15" x14ac:dyDescent="0.2">
      <c r="A305" s="91" t="s">
        <v>449</v>
      </c>
      <c r="B305" s="91" t="s">
        <v>651</v>
      </c>
      <c r="C305" s="95">
        <v>107</v>
      </c>
      <c r="D305" s="95">
        <v>186</v>
      </c>
      <c r="E305" s="95">
        <v>293</v>
      </c>
      <c r="F305" s="95">
        <v>3426830</v>
      </c>
      <c r="G305" s="95">
        <v>7431401</v>
      </c>
      <c r="H305" s="95">
        <v>10858232</v>
      </c>
      <c r="I305" s="91" t="s">
        <v>71</v>
      </c>
      <c r="J305" s="91" t="s">
        <v>1121</v>
      </c>
      <c r="K305" s="94">
        <v>374181</v>
      </c>
      <c r="L305" s="91" t="s">
        <v>275</v>
      </c>
      <c r="M305" s="2"/>
      <c r="N305" s="2"/>
      <c r="O305" s="4"/>
    </row>
    <row r="306" spans="1:15" x14ac:dyDescent="0.2">
      <c r="A306" s="91" t="s">
        <v>404</v>
      </c>
      <c r="B306" s="91" t="s">
        <v>64</v>
      </c>
      <c r="C306" s="95">
        <v>1686</v>
      </c>
      <c r="D306" s="95">
        <v>2641</v>
      </c>
      <c r="E306" s="95">
        <v>4327</v>
      </c>
      <c r="F306" s="95">
        <v>80298292</v>
      </c>
      <c r="G306" s="95">
        <v>147566825</v>
      </c>
      <c r="H306" s="95">
        <v>227865117</v>
      </c>
      <c r="I306" s="91" t="s">
        <v>71</v>
      </c>
      <c r="J306" s="91" t="s">
        <v>1121</v>
      </c>
      <c r="K306" s="94">
        <v>374421</v>
      </c>
      <c r="L306" s="91" t="s">
        <v>768</v>
      </c>
      <c r="M306" s="2"/>
      <c r="N306" s="2"/>
      <c r="O306" s="4"/>
    </row>
    <row r="307" spans="1:15" x14ac:dyDescent="0.2">
      <c r="A307" s="91" t="s">
        <v>212</v>
      </c>
      <c r="B307" s="91" t="s">
        <v>1004</v>
      </c>
      <c r="C307" s="95">
        <v>1527</v>
      </c>
      <c r="D307" s="95">
        <v>3294</v>
      </c>
      <c r="E307" s="95">
        <v>4821</v>
      </c>
      <c r="F307" s="95">
        <v>279737667</v>
      </c>
      <c r="G307" s="95">
        <v>673635329</v>
      </c>
      <c r="H307" s="95">
        <v>953372996</v>
      </c>
      <c r="I307" s="91" t="s">
        <v>171</v>
      </c>
      <c r="J307" s="91" t="s">
        <v>1121</v>
      </c>
      <c r="K307" s="94">
        <v>374835</v>
      </c>
      <c r="L307" s="91" t="s">
        <v>906</v>
      </c>
      <c r="M307" s="2"/>
      <c r="N307" s="2"/>
      <c r="O307" s="4"/>
    </row>
    <row r="308" spans="1:15" x14ac:dyDescent="0.2">
      <c r="A308" s="91" t="s">
        <v>413</v>
      </c>
      <c r="B308" s="91" t="s">
        <v>729</v>
      </c>
      <c r="C308" s="95">
        <v>1542</v>
      </c>
      <c r="D308" s="95">
        <v>2516</v>
      </c>
      <c r="E308" s="95">
        <v>4058</v>
      </c>
      <c r="F308" s="95">
        <v>34165787</v>
      </c>
      <c r="G308" s="95">
        <v>70238598</v>
      </c>
      <c r="H308" s="95">
        <v>104404385</v>
      </c>
      <c r="I308" s="91" t="s">
        <v>71</v>
      </c>
      <c r="J308" s="91" t="s">
        <v>1121</v>
      </c>
      <c r="K308" s="94">
        <v>376319</v>
      </c>
      <c r="L308" s="91" t="s">
        <v>489</v>
      </c>
      <c r="M308" s="2"/>
      <c r="N308" s="2"/>
      <c r="O308" s="4"/>
    </row>
    <row r="309" spans="1:15" x14ac:dyDescent="0.2">
      <c r="A309" s="91" t="s">
        <v>379</v>
      </c>
      <c r="B309" s="91" t="s">
        <v>1107</v>
      </c>
      <c r="C309" s="95">
        <v>122</v>
      </c>
      <c r="D309" s="95">
        <v>278</v>
      </c>
      <c r="E309" s="95">
        <v>400</v>
      </c>
      <c r="F309" s="95">
        <v>3775026</v>
      </c>
      <c r="G309" s="95">
        <v>10105468</v>
      </c>
      <c r="H309" s="95">
        <v>13880494</v>
      </c>
      <c r="I309" s="91" t="s">
        <v>71</v>
      </c>
      <c r="J309" s="91" t="s">
        <v>1121</v>
      </c>
      <c r="K309" s="94">
        <v>377192</v>
      </c>
      <c r="L309" s="91" t="s">
        <v>770</v>
      </c>
      <c r="M309" s="2"/>
      <c r="N309" s="2"/>
      <c r="O309" s="4"/>
    </row>
    <row r="310" spans="1:15" x14ac:dyDescent="0.2">
      <c r="A310" s="91" t="s">
        <v>239</v>
      </c>
      <c r="B310" s="91" t="s">
        <v>550</v>
      </c>
      <c r="C310" s="95">
        <v>291</v>
      </c>
      <c r="D310" s="95">
        <v>437</v>
      </c>
      <c r="E310" s="95">
        <v>728</v>
      </c>
      <c r="F310" s="95">
        <v>6679715</v>
      </c>
      <c r="G310" s="95">
        <v>14839707</v>
      </c>
      <c r="H310" s="95">
        <v>21519422</v>
      </c>
      <c r="I310" s="91" t="s">
        <v>171</v>
      </c>
      <c r="J310" s="91" t="s">
        <v>1121</v>
      </c>
      <c r="K310" s="94">
        <v>377432</v>
      </c>
      <c r="L310" s="91" t="s">
        <v>249</v>
      </c>
      <c r="M310" s="2"/>
      <c r="N310" s="2"/>
      <c r="O310" s="4"/>
    </row>
    <row r="311" spans="1:15" x14ac:dyDescent="0.2">
      <c r="A311" s="91" t="s">
        <v>310</v>
      </c>
      <c r="B311" s="91" t="s">
        <v>581</v>
      </c>
      <c r="C311" s="95">
        <v>91</v>
      </c>
      <c r="D311" s="95">
        <v>193</v>
      </c>
      <c r="E311" s="95">
        <v>284</v>
      </c>
      <c r="F311" s="95">
        <v>3339910</v>
      </c>
      <c r="G311" s="95">
        <v>7749732</v>
      </c>
      <c r="H311" s="95">
        <v>11089642</v>
      </c>
      <c r="I311" s="91" t="s">
        <v>71</v>
      </c>
      <c r="J311" s="91" t="s">
        <v>1121</v>
      </c>
      <c r="K311" s="94">
        <v>379024</v>
      </c>
      <c r="L311" s="91" t="s">
        <v>254</v>
      </c>
      <c r="M311" s="2"/>
      <c r="N311" s="2"/>
      <c r="O311" s="4"/>
    </row>
    <row r="312" spans="1:15" x14ac:dyDescent="0.2">
      <c r="A312" s="91" t="s">
        <v>245</v>
      </c>
      <c r="B312" s="91" t="s">
        <v>867</v>
      </c>
      <c r="C312" s="95">
        <v>1706</v>
      </c>
      <c r="D312" s="95">
        <v>2054</v>
      </c>
      <c r="E312" s="95">
        <v>3760</v>
      </c>
      <c r="F312" s="95">
        <v>55196786</v>
      </c>
      <c r="G312" s="95">
        <v>81869421</v>
      </c>
      <c r="H312" s="95">
        <v>137066207</v>
      </c>
      <c r="I312" s="91" t="s">
        <v>71</v>
      </c>
      <c r="J312" s="91" t="s">
        <v>1121</v>
      </c>
      <c r="K312" s="94">
        <v>384107</v>
      </c>
      <c r="L312" s="91" t="s">
        <v>746</v>
      </c>
      <c r="M312" s="2"/>
      <c r="N312" s="2"/>
      <c r="O312" s="4"/>
    </row>
    <row r="313" spans="1:15" x14ac:dyDescent="0.2">
      <c r="A313" s="91" t="s">
        <v>260</v>
      </c>
      <c r="B313" s="91" t="s">
        <v>841</v>
      </c>
      <c r="C313" s="95">
        <v>115</v>
      </c>
      <c r="D313" s="95">
        <v>235</v>
      </c>
      <c r="E313" s="95">
        <v>350</v>
      </c>
      <c r="F313" s="95">
        <v>4425839</v>
      </c>
      <c r="G313" s="95">
        <v>11162436</v>
      </c>
      <c r="H313" s="95">
        <v>15588275</v>
      </c>
      <c r="I313" s="91" t="s">
        <v>71</v>
      </c>
      <c r="J313" s="91" t="s">
        <v>1121</v>
      </c>
      <c r="K313" s="94">
        <v>384511</v>
      </c>
      <c r="L313" s="91" t="s">
        <v>535</v>
      </c>
      <c r="M313" s="2"/>
      <c r="N313" s="2"/>
      <c r="O313" s="4"/>
    </row>
    <row r="314" spans="1:15" x14ac:dyDescent="0.2">
      <c r="A314" s="91" t="s">
        <v>188</v>
      </c>
      <c r="B314" s="91" t="s">
        <v>364</v>
      </c>
      <c r="C314" s="95">
        <v>491</v>
      </c>
      <c r="D314" s="95">
        <v>647</v>
      </c>
      <c r="E314" s="95">
        <v>1138</v>
      </c>
      <c r="F314" s="95">
        <v>22481313</v>
      </c>
      <c r="G314" s="95">
        <v>33937963</v>
      </c>
      <c r="H314" s="95">
        <v>56419276</v>
      </c>
      <c r="I314" s="91" t="s">
        <v>171</v>
      </c>
      <c r="J314" s="91" t="s">
        <v>1122</v>
      </c>
      <c r="K314" s="94">
        <v>384750</v>
      </c>
      <c r="L314" s="91" t="s">
        <v>365</v>
      </c>
      <c r="M314" s="2"/>
      <c r="N314" s="2"/>
      <c r="O314" s="4"/>
    </row>
    <row r="315" spans="1:15" x14ac:dyDescent="0.2">
      <c r="A315" s="91" t="s">
        <v>212</v>
      </c>
      <c r="B315" s="91" t="s">
        <v>545</v>
      </c>
      <c r="C315" s="95">
        <v>33189</v>
      </c>
      <c r="D315" s="95">
        <v>30652</v>
      </c>
      <c r="E315" s="95">
        <v>63841</v>
      </c>
      <c r="F315" s="95">
        <v>1356266041</v>
      </c>
      <c r="G315" s="95">
        <v>1447922619</v>
      </c>
      <c r="H315" s="95">
        <v>2804188660</v>
      </c>
      <c r="I315" s="91" t="s">
        <v>71</v>
      </c>
      <c r="J315" s="91" t="s">
        <v>1121</v>
      </c>
      <c r="K315" s="94">
        <v>384818</v>
      </c>
      <c r="L315" s="91" t="s">
        <v>254</v>
      </c>
      <c r="M315" s="2"/>
      <c r="N315" s="2"/>
      <c r="O315" s="4"/>
    </row>
    <row r="316" spans="1:15" x14ac:dyDescent="0.2">
      <c r="A316" s="91" t="s">
        <v>310</v>
      </c>
      <c r="B316" s="91" t="s">
        <v>528</v>
      </c>
      <c r="C316" s="95">
        <v>1078</v>
      </c>
      <c r="D316" s="95">
        <v>1378</v>
      </c>
      <c r="E316" s="95">
        <v>2456</v>
      </c>
      <c r="F316" s="95">
        <v>31534602</v>
      </c>
      <c r="G316" s="95">
        <v>50165030</v>
      </c>
      <c r="H316" s="95">
        <v>81699633</v>
      </c>
      <c r="I316" s="91" t="s">
        <v>171</v>
      </c>
      <c r="J316" s="91" t="s">
        <v>1121</v>
      </c>
      <c r="K316" s="94">
        <v>385401</v>
      </c>
      <c r="L316" s="91" t="s">
        <v>203</v>
      </c>
      <c r="M316" s="2"/>
      <c r="N316" s="2"/>
      <c r="O316" s="4"/>
    </row>
    <row r="317" spans="1:15" x14ac:dyDescent="0.2">
      <c r="A317" s="91" t="s">
        <v>410</v>
      </c>
      <c r="B317" s="91" t="s">
        <v>517</v>
      </c>
      <c r="C317" s="95">
        <v>1612</v>
      </c>
      <c r="D317" s="95">
        <v>1967</v>
      </c>
      <c r="E317" s="95">
        <v>3579</v>
      </c>
      <c r="F317" s="95">
        <v>71526401</v>
      </c>
      <c r="G317" s="95">
        <v>97171931</v>
      </c>
      <c r="H317" s="95">
        <v>168698332</v>
      </c>
      <c r="I317" s="91" t="s">
        <v>71</v>
      </c>
      <c r="J317" s="91" t="s">
        <v>1121</v>
      </c>
      <c r="K317" s="94">
        <v>388298</v>
      </c>
      <c r="L317" s="91" t="s">
        <v>518</v>
      </c>
      <c r="M317" s="2"/>
      <c r="N317" s="2"/>
      <c r="O317" s="4"/>
    </row>
    <row r="318" spans="1:15" x14ac:dyDescent="0.2">
      <c r="A318" s="91" t="s">
        <v>310</v>
      </c>
      <c r="B318" s="91" t="s">
        <v>742</v>
      </c>
      <c r="C318" s="95">
        <v>131</v>
      </c>
      <c r="D318" s="95">
        <v>204</v>
      </c>
      <c r="E318" s="95">
        <v>335</v>
      </c>
      <c r="F318" s="95">
        <v>3201784</v>
      </c>
      <c r="G318" s="95">
        <v>6893941</v>
      </c>
      <c r="H318" s="95">
        <v>10095725</v>
      </c>
      <c r="I318" s="91" t="s">
        <v>71</v>
      </c>
      <c r="J318" s="91" t="s">
        <v>1121</v>
      </c>
      <c r="K318" s="94">
        <v>389650</v>
      </c>
      <c r="L318" s="91" t="s">
        <v>616</v>
      </c>
      <c r="M318" s="2"/>
      <c r="N318" s="2"/>
      <c r="O318" s="4"/>
    </row>
    <row r="319" spans="1:15" x14ac:dyDescent="0.2">
      <c r="A319" s="91" t="s">
        <v>487</v>
      </c>
      <c r="B319" s="91" t="s">
        <v>650</v>
      </c>
      <c r="C319" s="95">
        <v>1192</v>
      </c>
      <c r="D319" s="95">
        <v>1803</v>
      </c>
      <c r="E319" s="95">
        <v>2995</v>
      </c>
      <c r="F319" s="95">
        <v>19604764</v>
      </c>
      <c r="G319" s="95">
        <v>42770906</v>
      </c>
      <c r="H319" s="95">
        <v>62375671</v>
      </c>
      <c r="I319" s="91" t="s">
        <v>71</v>
      </c>
      <c r="J319" s="91" t="s">
        <v>1121</v>
      </c>
      <c r="K319" s="94">
        <v>390062</v>
      </c>
      <c r="L319" s="91" t="s">
        <v>231</v>
      </c>
      <c r="M319" s="2"/>
      <c r="N319" s="2"/>
      <c r="O319" s="4"/>
    </row>
    <row r="320" spans="1:15" x14ac:dyDescent="0.2">
      <c r="A320" s="91" t="s">
        <v>410</v>
      </c>
      <c r="B320" s="91" t="s">
        <v>862</v>
      </c>
      <c r="C320" s="95">
        <v>316</v>
      </c>
      <c r="D320" s="95">
        <v>439</v>
      </c>
      <c r="E320" s="95">
        <v>755</v>
      </c>
      <c r="F320" s="95">
        <v>12036481</v>
      </c>
      <c r="G320" s="95">
        <v>20969982</v>
      </c>
      <c r="H320" s="95">
        <v>33006463</v>
      </c>
      <c r="I320" s="91" t="s">
        <v>71</v>
      </c>
      <c r="J320" s="91" t="s">
        <v>1121</v>
      </c>
      <c r="K320" s="94">
        <v>390187</v>
      </c>
      <c r="L320" s="91" t="s">
        <v>770</v>
      </c>
      <c r="M320" s="2"/>
      <c r="N320" s="2"/>
      <c r="O320" s="4"/>
    </row>
    <row r="321" spans="1:15" x14ac:dyDescent="0.2">
      <c r="A321" s="91" t="s">
        <v>243</v>
      </c>
      <c r="B321" s="91" t="s">
        <v>447</v>
      </c>
      <c r="C321" s="95">
        <v>492</v>
      </c>
      <c r="D321" s="95">
        <v>600</v>
      </c>
      <c r="E321" s="95">
        <v>1092</v>
      </c>
      <c r="F321" s="95">
        <v>16951939</v>
      </c>
      <c r="G321" s="95">
        <v>26166971</v>
      </c>
      <c r="H321" s="95">
        <v>43118910</v>
      </c>
      <c r="I321" s="91" t="s">
        <v>71</v>
      </c>
      <c r="J321" s="91" t="s">
        <v>1122</v>
      </c>
      <c r="K321" s="94">
        <v>390898</v>
      </c>
      <c r="L321" s="91" t="s">
        <v>235</v>
      </c>
      <c r="M321" s="2"/>
      <c r="N321" s="2"/>
      <c r="O321" s="4"/>
    </row>
    <row r="322" spans="1:15" x14ac:dyDescent="0.2">
      <c r="A322" s="91" t="s">
        <v>179</v>
      </c>
      <c r="B322" s="91" t="s">
        <v>295</v>
      </c>
      <c r="C322" s="95">
        <v>41063</v>
      </c>
      <c r="D322" s="95">
        <v>37852</v>
      </c>
      <c r="E322" s="95">
        <v>78915</v>
      </c>
      <c r="F322" s="95">
        <v>1400616259</v>
      </c>
      <c r="G322" s="95">
        <v>1632564108</v>
      </c>
      <c r="H322" s="95">
        <v>3033180368</v>
      </c>
      <c r="I322" s="91" t="s">
        <v>171</v>
      </c>
      <c r="J322" s="91" t="s">
        <v>1115</v>
      </c>
      <c r="K322" s="94">
        <v>391482</v>
      </c>
      <c r="L322" s="91" t="s">
        <v>209</v>
      </c>
      <c r="M322" s="2"/>
      <c r="N322" s="2"/>
      <c r="O322" s="4"/>
    </row>
    <row r="323" spans="1:15" x14ac:dyDescent="0.2">
      <c r="A323" s="91" t="s">
        <v>379</v>
      </c>
      <c r="B323" s="91" t="s">
        <v>954</v>
      </c>
      <c r="C323" s="95">
        <v>30815</v>
      </c>
      <c r="D323" s="95">
        <v>33686</v>
      </c>
      <c r="E323" s="95">
        <v>64501</v>
      </c>
      <c r="F323" s="95">
        <v>1534076686</v>
      </c>
      <c r="G323" s="95">
        <v>2089561885</v>
      </c>
      <c r="H323" s="95">
        <v>3623638571</v>
      </c>
      <c r="I323" s="91" t="s">
        <v>71</v>
      </c>
      <c r="J323" s="91" t="s">
        <v>1121</v>
      </c>
      <c r="K323" s="94">
        <v>391839</v>
      </c>
      <c r="L323" s="91" t="s">
        <v>895</v>
      </c>
      <c r="M323" s="2"/>
      <c r="N323" s="2"/>
      <c r="O323" s="4"/>
    </row>
    <row r="324" spans="1:15" x14ac:dyDescent="0.2">
      <c r="A324" s="91" t="s">
        <v>449</v>
      </c>
      <c r="B324" s="91" t="s">
        <v>799</v>
      </c>
      <c r="C324" s="95">
        <v>396</v>
      </c>
      <c r="D324" s="95">
        <v>777</v>
      </c>
      <c r="E324" s="95">
        <v>1173</v>
      </c>
      <c r="F324" s="95">
        <v>14457952</v>
      </c>
      <c r="G324" s="95">
        <v>34489886</v>
      </c>
      <c r="H324" s="95">
        <v>48947838</v>
      </c>
      <c r="I324" s="91" t="s">
        <v>71</v>
      </c>
      <c r="J324" s="91" t="s">
        <v>1121</v>
      </c>
      <c r="K324" s="94">
        <v>391896</v>
      </c>
      <c r="L324" s="91" t="s">
        <v>768</v>
      </c>
      <c r="M324" s="2"/>
      <c r="N324" s="2"/>
      <c r="O324" s="4"/>
    </row>
    <row r="325" spans="1:15" x14ac:dyDescent="0.2">
      <c r="A325" s="91" t="s">
        <v>212</v>
      </c>
      <c r="B325" s="91" t="s">
        <v>688</v>
      </c>
      <c r="C325" s="95">
        <v>4004</v>
      </c>
      <c r="D325" s="95">
        <v>5717</v>
      </c>
      <c r="E325" s="95">
        <v>9721</v>
      </c>
      <c r="F325" s="95">
        <v>689735028</v>
      </c>
      <c r="G325" s="95">
        <v>1199885026</v>
      </c>
      <c r="H325" s="95">
        <v>1889620054</v>
      </c>
      <c r="I325" s="91" t="s">
        <v>171</v>
      </c>
      <c r="J325" s="91" t="s">
        <v>1121</v>
      </c>
      <c r="K325" s="94">
        <v>392423</v>
      </c>
      <c r="L325" s="91" t="s">
        <v>305</v>
      </c>
      <c r="M325" s="2"/>
      <c r="N325" s="2"/>
      <c r="O325" s="4"/>
    </row>
    <row r="326" spans="1:15" x14ac:dyDescent="0.2">
      <c r="A326" s="91" t="s">
        <v>264</v>
      </c>
      <c r="B326" s="91" t="s">
        <v>478</v>
      </c>
      <c r="C326" s="95">
        <v>12088</v>
      </c>
      <c r="D326" s="95">
        <v>14672</v>
      </c>
      <c r="E326" s="95">
        <v>26760</v>
      </c>
      <c r="F326" s="95">
        <v>524313988</v>
      </c>
      <c r="G326" s="95">
        <v>768052248</v>
      </c>
      <c r="H326" s="95">
        <v>1292366236</v>
      </c>
      <c r="I326" s="91" t="s">
        <v>171</v>
      </c>
      <c r="J326" s="91" t="s">
        <v>1121</v>
      </c>
      <c r="K326" s="94">
        <v>393314</v>
      </c>
      <c r="L326" s="91" t="s">
        <v>221</v>
      </c>
      <c r="M326" s="2"/>
      <c r="N326" s="2"/>
      <c r="O326" s="4"/>
    </row>
    <row r="327" spans="1:15" x14ac:dyDescent="0.2">
      <c r="A327" s="91" t="s">
        <v>383</v>
      </c>
      <c r="B327" s="91" t="s">
        <v>142</v>
      </c>
      <c r="C327" s="95">
        <v>409</v>
      </c>
      <c r="D327" s="95">
        <v>981</v>
      </c>
      <c r="E327" s="95">
        <v>1390</v>
      </c>
      <c r="F327" s="95">
        <v>12669759</v>
      </c>
      <c r="G327" s="95">
        <v>40781914</v>
      </c>
      <c r="H327" s="95">
        <v>53451672</v>
      </c>
      <c r="I327" s="91" t="s">
        <v>71</v>
      </c>
      <c r="J327" s="91" t="s">
        <v>1121</v>
      </c>
      <c r="K327" s="94">
        <v>395434</v>
      </c>
      <c r="L327" s="91" t="s">
        <v>1152</v>
      </c>
      <c r="M327" s="2"/>
      <c r="N327" s="2"/>
      <c r="O327" s="4"/>
    </row>
    <row r="328" spans="1:15" x14ac:dyDescent="0.2">
      <c r="A328" s="91" t="s">
        <v>404</v>
      </c>
      <c r="B328" s="91" t="s">
        <v>148</v>
      </c>
      <c r="C328" s="95">
        <v>1604</v>
      </c>
      <c r="D328" s="95">
        <v>2030</v>
      </c>
      <c r="E328" s="95">
        <v>3634</v>
      </c>
      <c r="F328" s="95">
        <v>63698414</v>
      </c>
      <c r="G328" s="95">
        <v>107116253</v>
      </c>
      <c r="H328" s="95">
        <v>170814667</v>
      </c>
      <c r="I328" s="91" t="s">
        <v>171</v>
      </c>
      <c r="J328" s="91" t="s">
        <v>1121</v>
      </c>
      <c r="K328" s="94">
        <v>396028</v>
      </c>
      <c r="L328" s="91" t="s">
        <v>567</v>
      </c>
      <c r="M328" s="2"/>
      <c r="N328" s="2"/>
      <c r="O328" s="4"/>
    </row>
    <row r="329" spans="1:15" x14ac:dyDescent="0.2">
      <c r="A329" s="91" t="s">
        <v>487</v>
      </c>
      <c r="B329" s="91" t="s">
        <v>995</v>
      </c>
      <c r="C329" s="95">
        <v>1865</v>
      </c>
      <c r="D329" s="95">
        <v>2674</v>
      </c>
      <c r="E329" s="95">
        <v>4539</v>
      </c>
      <c r="F329" s="95">
        <v>27494166</v>
      </c>
      <c r="G329" s="95">
        <v>47128625</v>
      </c>
      <c r="H329" s="95">
        <v>74622790</v>
      </c>
      <c r="I329" s="91" t="s">
        <v>71</v>
      </c>
      <c r="J329" s="91" t="s">
        <v>1121</v>
      </c>
      <c r="K329" s="94">
        <v>396325</v>
      </c>
      <c r="L329" s="91" t="s">
        <v>770</v>
      </c>
      <c r="M329" s="2"/>
      <c r="N329" s="2"/>
      <c r="O329" s="4"/>
    </row>
    <row r="330" spans="1:15" x14ac:dyDescent="0.2">
      <c r="A330" s="91" t="s">
        <v>212</v>
      </c>
      <c r="B330" s="91" t="s">
        <v>317</v>
      </c>
      <c r="C330" s="95">
        <v>11647</v>
      </c>
      <c r="D330" s="95">
        <v>6370</v>
      </c>
      <c r="E330" s="95">
        <v>18017</v>
      </c>
      <c r="F330" s="95">
        <v>701311124</v>
      </c>
      <c r="G330" s="95">
        <v>477813223</v>
      </c>
      <c r="H330" s="95">
        <v>1179124346</v>
      </c>
      <c r="I330" s="91" t="s">
        <v>171</v>
      </c>
      <c r="J330" s="91" t="s">
        <v>1121</v>
      </c>
      <c r="K330" s="94">
        <v>399394</v>
      </c>
      <c r="L330" s="91" t="s">
        <v>200</v>
      </c>
      <c r="M330" s="2"/>
      <c r="N330" s="2"/>
      <c r="O330" s="4"/>
    </row>
    <row r="331" spans="1:15" x14ac:dyDescent="0.2">
      <c r="A331" s="91" t="s">
        <v>315</v>
      </c>
      <c r="B331" s="91" t="s">
        <v>348</v>
      </c>
      <c r="C331" s="95">
        <v>5411</v>
      </c>
      <c r="D331" s="95">
        <v>6672</v>
      </c>
      <c r="E331" s="95">
        <v>12083</v>
      </c>
      <c r="F331" s="95">
        <v>162375543</v>
      </c>
      <c r="G331" s="95">
        <v>249366498</v>
      </c>
      <c r="H331" s="95">
        <v>411742042</v>
      </c>
      <c r="I331" s="91" t="s">
        <v>171</v>
      </c>
      <c r="J331" s="91" t="s">
        <v>1121</v>
      </c>
      <c r="K331" s="94">
        <v>399865</v>
      </c>
      <c r="L331" s="91" t="s">
        <v>231</v>
      </c>
      <c r="M331" s="2"/>
      <c r="N331" s="2"/>
      <c r="O331" s="4"/>
    </row>
    <row r="332" spans="1:15" x14ac:dyDescent="0.2">
      <c r="A332" s="91" t="s">
        <v>379</v>
      </c>
      <c r="B332" s="91" t="s">
        <v>1034</v>
      </c>
      <c r="C332" s="95">
        <v>3</v>
      </c>
      <c r="D332" s="95">
        <v>3</v>
      </c>
      <c r="E332" s="95">
        <v>6</v>
      </c>
      <c r="F332" s="95">
        <v>59205</v>
      </c>
      <c r="G332" s="95">
        <v>123559</v>
      </c>
      <c r="H332" s="95">
        <v>182763</v>
      </c>
      <c r="I332" s="91" t="s">
        <v>71</v>
      </c>
      <c r="J332" s="91" t="s">
        <v>1121</v>
      </c>
      <c r="K332" s="94">
        <v>401513</v>
      </c>
      <c r="L332" s="91" t="s">
        <v>497</v>
      </c>
      <c r="M332" s="2"/>
      <c r="N332" s="2"/>
      <c r="O332" s="4"/>
    </row>
    <row r="333" spans="1:15" x14ac:dyDescent="0.2">
      <c r="A333" s="91" t="s">
        <v>315</v>
      </c>
      <c r="B333" s="91" t="s">
        <v>887</v>
      </c>
      <c r="C333" s="95">
        <v>477</v>
      </c>
      <c r="D333" s="95">
        <v>706</v>
      </c>
      <c r="E333" s="95">
        <v>1183</v>
      </c>
      <c r="F333" s="95">
        <v>14215040</v>
      </c>
      <c r="G333" s="95">
        <v>25841959</v>
      </c>
      <c r="H333" s="95">
        <v>40056999</v>
      </c>
      <c r="I333" s="91" t="s">
        <v>71</v>
      </c>
      <c r="J333" s="91" t="s">
        <v>1121</v>
      </c>
      <c r="K333" s="94">
        <v>401695</v>
      </c>
      <c r="L333" s="91" t="s">
        <v>495</v>
      </c>
      <c r="M333" s="2"/>
      <c r="N333" s="2"/>
      <c r="O333" s="4"/>
    </row>
    <row r="334" spans="1:15" x14ac:dyDescent="0.2">
      <c r="A334" s="91" t="s">
        <v>310</v>
      </c>
      <c r="B334" s="91" t="s">
        <v>727</v>
      </c>
      <c r="C334" s="95">
        <v>832</v>
      </c>
      <c r="D334" s="95">
        <v>1239</v>
      </c>
      <c r="E334" s="95">
        <v>2071</v>
      </c>
      <c r="F334" s="95">
        <v>28362469</v>
      </c>
      <c r="G334" s="95">
        <v>50753270</v>
      </c>
      <c r="H334" s="95">
        <v>79115739</v>
      </c>
      <c r="I334" s="91" t="s">
        <v>71</v>
      </c>
      <c r="J334" s="91" t="s">
        <v>1121</v>
      </c>
      <c r="K334" s="94">
        <v>401810</v>
      </c>
      <c r="L334" s="91" t="s">
        <v>682</v>
      </c>
      <c r="M334" s="2"/>
      <c r="N334" s="2"/>
      <c r="O334" s="4"/>
    </row>
    <row r="335" spans="1:15" x14ac:dyDescent="0.2">
      <c r="A335" s="91" t="s">
        <v>266</v>
      </c>
      <c r="B335" s="91" t="s">
        <v>458</v>
      </c>
      <c r="C335" s="95">
        <v>3564</v>
      </c>
      <c r="D335" s="95">
        <v>2395</v>
      </c>
      <c r="E335" s="95">
        <v>5959</v>
      </c>
      <c r="F335" s="95">
        <v>99364307</v>
      </c>
      <c r="G335" s="95">
        <v>80447953</v>
      </c>
      <c r="H335" s="95">
        <v>179812260</v>
      </c>
      <c r="I335" s="91" t="s">
        <v>171</v>
      </c>
      <c r="J335" s="91" t="s">
        <v>1118</v>
      </c>
      <c r="K335" s="94">
        <v>403642</v>
      </c>
      <c r="L335" s="91" t="s">
        <v>277</v>
      </c>
      <c r="M335" s="2"/>
      <c r="N335" s="2"/>
      <c r="O335" s="4"/>
    </row>
    <row r="336" spans="1:15" x14ac:dyDescent="0.2">
      <c r="A336" s="91" t="s">
        <v>379</v>
      </c>
      <c r="B336" s="91" t="s">
        <v>1087</v>
      </c>
      <c r="C336" s="95">
        <v>140</v>
      </c>
      <c r="D336" s="95">
        <v>174</v>
      </c>
      <c r="E336" s="95">
        <v>314</v>
      </c>
      <c r="F336" s="95">
        <v>3480206</v>
      </c>
      <c r="G336" s="95">
        <v>5029944</v>
      </c>
      <c r="H336" s="95">
        <v>8510150</v>
      </c>
      <c r="I336" s="91" t="s">
        <v>71</v>
      </c>
      <c r="J336" s="91" t="s">
        <v>1121</v>
      </c>
      <c r="K336" s="94">
        <v>404236</v>
      </c>
      <c r="L336" s="91" t="s">
        <v>454</v>
      </c>
      <c r="M336" s="2"/>
      <c r="N336" s="2"/>
      <c r="O336" s="4"/>
    </row>
    <row r="337" spans="1:15" x14ac:dyDescent="0.2">
      <c r="A337" s="91" t="s">
        <v>212</v>
      </c>
      <c r="B337" s="91" t="s">
        <v>1091</v>
      </c>
      <c r="C337" s="95">
        <v>19</v>
      </c>
      <c r="D337" s="95">
        <v>37</v>
      </c>
      <c r="E337" s="95">
        <v>56</v>
      </c>
      <c r="F337" s="95">
        <v>806021</v>
      </c>
      <c r="G337" s="95">
        <v>1703115</v>
      </c>
      <c r="H337" s="95">
        <v>2509136</v>
      </c>
      <c r="I337" s="91" t="s">
        <v>71</v>
      </c>
      <c r="J337" s="91" t="s">
        <v>1121</v>
      </c>
      <c r="K337" s="94">
        <v>405290</v>
      </c>
      <c r="L337" s="91" t="s">
        <v>811</v>
      </c>
      <c r="M337" s="2"/>
      <c r="N337" s="2"/>
      <c r="O337" s="4"/>
    </row>
    <row r="338" spans="1:15" x14ac:dyDescent="0.2">
      <c r="A338" s="91" t="s">
        <v>212</v>
      </c>
      <c r="B338" s="91" t="s">
        <v>256</v>
      </c>
      <c r="C338" s="95">
        <v>1146</v>
      </c>
      <c r="D338" s="95">
        <v>1590</v>
      </c>
      <c r="E338" s="95">
        <v>2736</v>
      </c>
      <c r="F338" s="95">
        <v>46203852</v>
      </c>
      <c r="G338" s="95">
        <v>73476401</v>
      </c>
      <c r="H338" s="95">
        <v>119680253</v>
      </c>
      <c r="I338" s="91" t="s">
        <v>171</v>
      </c>
      <c r="J338" s="91" t="s">
        <v>1121</v>
      </c>
      <c r="K338" s="94">
        <v>407064</v>
      </c>
      <c r="L338" s="91" t="s">
        <v>209</v>
      </c>
      <c r="M338" s="2"/>
      <c r="N338" s="2"/>
      <c r="O338" s="4"/>
    </row>
    <row r="339" spans="1:15" x14ac:dyDescent="0.2">
      <c r="A339" s="91" t="s">
        <v>245</v>
      </c>
      <c r="B339" s="91" t="s">
        <v>818</v>
      </c>
      <c r="C339" s="95">
        <v>11316</v>
      </c>
      <c r="D339" s="95">
        <v>10846</v>
      </c>
      <c r="E339" s="95">
        <v>22162</v>
      </c>
      <c r="F339" s="95">
        <v>271815755</v>
      </c>
      <c r="G339" s="95">
        <v>337372613</v>
      </c>
      <c r="H339" s="95">
        <v>609188367</v>
      </c>
      <c r="I339" s="91" t="s">
        <v>71</v>
      </c>
      <c r="J339" s="91" t="s">
        <v>1121</v>
      </c>
      <c r="K339" s="94">
        <v>407775</v>
      </c>
      <c r="L339" s="91" t="s">
        <v>553</v>
      </c>
      <c r="M339" s="2"/>
      <c r="N339" s="2"/>
      <c r="O339" s="4"/>
    </row>
    <row r="340" spans="1:15" x14ac:dyDescent="0.2">
      <c r="A340" s="91" t="s">
        <v>173</v>
      </c>
      <c r="B340" s="91" t="s">
        <v>612</v>
      </c>
      <c r="C340" s="95">
        <v>1995</v>
      </c>
      <c r="D340" s="95">
        <v>1829</v>
      </c>
      <c r="E340" s="95">
        <v>3824</v>
      </c>
      <c r="F340" s="95">
        <v>57511222</v>
      </c>
      <c r="G340" s="95">
        <v>62486864</v>
      </c>
      <c r="H340" s="95">
        <v>119998086</v>
      </c>
      <c r="I340" s="91" t="s">
        <v>71</v>
      </c>
      <c r="J340" s="91" t="s">
        <v>1118</v>
      </c>
      <c r="K340" s="94">
        <v>408484</v>
      </c>
      <c r="L340" s="91" t="s">
        <v>431</v>
      </c>
      <c r="M340" s="2"/>
      <c r="N340" s="2"/>
      <c r="O340" s="4"/>
    </row>
    <row r="341" spans="1:15" x14ac:dyDescent="0.2">
      <c r="A341" s="91" t="s">
        <v>223</v>
      </c>
      <c r="B341" s="91" t="s">
        <v>499</v>
      </c>
      <c r="C341" s="95">
        <v>700</v>
      </c>
      <c r="D341" s="95">
        <v>946</v>
      </c>
      <c r="E341" s="95">
        <v>1646</v>
      </c>
      <c r="F341" s="95">
        <v>29514246</v>
      </c>
      <c r="G341" s="95">
        <v>50745602</v>
      </c>
      <c r="H341" s="95">
        <v>80259848</v>
      </c>
      <c r="I341" s="91" t="s">
        <v>71</v>
      </c>
      <c r="J341" s="91" t="s">
        <v>1122</v>
      </c>
      <c r="K341" s="94">
        <v>408898</v>
      </c>
      <c r="L341" s="91" t="s">
        <v>500</v>
      </c>
      <c r="M341" s="2"/>
      <c r="N341" s="2"/>
      <c r="O341" s="4"/>
    </row>
    <row r="342" spans="1:15" x14ac:dyDescent="0.2">
      <c r="A342" s="91" t="s">
        <v>370</v>
      </c>
      <c r="B342" s="91" t="s">
        <v>773</v>
      </c>
      <c r="C342" s="95">
        <v>135</v>
      </c>
      <c r="D342" s="95">
        <v>241</v>
      </c>
      <c r="E342" s="95">
        <v>376</v>
      </c>
      <c r="F342" s="95">
        <v>3985553</v>
      </c>
      <c r="G342" s="95">
        <v>10000327</v>
      </c>
      <c r="H342" s="95">
        <v>13985880</v>
      </c>
      <c r="I342" s="91" t="s">
        <v>71</v>
      </c>
      <c r="J342" s="91" t="s">
        <v>1121</v>
      </c>
      <c r="K342" s="94">
        <v>410258</v>
      </c>
      <c r="L342" s="91" t="s">
        <v>768</v>
      </c>
      <c r="M342" s="2"/>
      <c r="N342" s="2"/>
      <c r="O342" s="4"/>
    </row>
    <row r="343" spans="1:15" x14ac:dyDescent="0.2">
      <c r="A343" s="91" t="s">
        <v>379</v>
      </c>
      <c r="B343" s="91" t="s">
        <v>911</v>
      </c>
      <c r="C343" s="95">
        <v>73</v>
      </c>
      <c r="D343" s="95">
        <v>221</v>
      </c>
      <c r="E343" s="95">
        <v>294</v>
      </c>
      <c r="F343" s="95">
        <v>1969736</v>
      </c>
      <c r="G343" s="95">
        <v>6292088</v>
      </c>
      <c r="H343" s="95">
        <v>8261824</v>
      </c>
      <c r="I343" s="91" t="s">
        <v>71</v>
      </c>
      <c r="J343" s="91" t="s">
        <v>1121</v>
      </c>
      <c r="K343" s="94">
        <v>413021</v>
      </c>
      <c r="L343" s="91" t="s">
        <v>770</v>
      </c>
      <c r="M343" s="2"/>
      <c r="N343" s="2"/>
      <c r="O343" s="4"/>
    </row>
    <row r="344" spans="1:15" x14ac:dyDescent="0.2">
      <c r="A344" s="91" t="s">
        <v>188</v>
      </c>
      <c r="B344" s="91" t="s">
        <v>280</v>
      </c>
      <c r="C344" s="95">
        <v>2281</v>
      </c>
      <c r="D344" s="95">
        <v>1475</v>
      </c>
      <c r="E344" s="95">
        <v>3756</v>
      </c>
      <c r="F344" s="95">
        <v>97852896</v>
      </c>
      <c r="G344" s="95">
        <v>73138586</v>
      </c>
      <c r="H344" s="95">
        <v>170991482</v>
      </c>
      <c r="I344" s="91" t="s">
        <v>171</v>
      </c>
      <c r="J344" s="91" t="s">
        <v>1122</v>
      </c>
      <c r="K344" s="94">
        <v>413260</v>
      </c>
      <c r="L344" s="91" t="s">
        <v>249</v>
      </c>
      <c r="M344" s="2"/>
      <c r="N344" s="2"/>
      <c r="O344" s="4"/>
    </row>
    <row r="345" spans="1:15" x14ac:dyDescent="0.2">
      <c r="A345" s="91" t="s">
        <v>331</v>
      </c>
      <c r="B345" s="91" t="s">
        <v>131</v>
      </c>
      <c r="C345" s="95">
        <v>2607</v>
      </c>
      <c r="D345" s="95">
        <v>3859</v>
      </c>
      <c r="E345" s="95">
        <v>6466</v>
      </c>
      <c r="F345" s="95">
        <v>115355377</v>
      </c>
      <c r="G345" s="95">
        <v>194947164</v>
      </c>
      <c r="H345" s="95">
        <v>310302542</v>
      </c>
      <c r="I345" s="91" t="s">
        <v>171</v>
      </c>
      <c r="J345" s="91" t="s">
        <v>1121</v>
      </c>
      <c r="K345" s="94">
        <v>416867</v>
      </c>
      <c r="L345" s="91" t="s">
        <v>361</v>
      </c>
      <c r="M345" s="2"/>
      <c r="N345" s="2"/>
      <c r="O345" s="4"/>
    </row>
    <row r="346" spans="1:15" x14ac:dyDescent="0.2">
      <c r="A346" s="91" t="s">
        <v>404</v>
      </c>
      <c r="B346" s="91" t="s">
        <v>19</v>
      </c>
      <c r="C346" s="95">
        <v>5430</v>
      </c>
      <c r="D346" s="95">
        <v>6999</v>
      </c>
      <c r="E346" s="95">
        <v>12429</v>
      </c>
      <c r="F346" s="95">
        <v>240644760</v>
      </c>
      <c r="G346" s="95">
        <v>369187016</v>
      </c>
      <c r="H346" s="95">
        <v>609831776</v>
      </c>
      <c r="I346" s="91" t="s">
        <v>71</v>
      </c>
      <c r="J346" s="91" t="s">
        <v>1121</v>
      </c>
      <c r="K346" s="94">
        <v>416982</v>
      </c>
      <c r="L346" s="91" t="s">
        <v>242</v>
      </c>
      <c r="M346" s="2"/>
      <c r="N346" s="2"/>
      <c r="O346" s="4"/>
    </row>
    <row r="347" spans="1:15" x14ac:dyDescent="0.2">
      <c r="A347" s="91" t="s">
        <v>188</v>
      </c>
      <c r="B347" s="91" t="s">
        <v>215</v>
      </c>
      <c r="C347" s="95">
        <v>1955</v>
      </c>
      <c r="D347" s="95">
        <v>1836</v>
      </c>
      <c r="E347" s="95">
        <v>3791</v>
      </c>
      <c r="F347" s="95">
        <v>91393711</v>
      </c>
      <c r="G347" s="95">
        <v>112004625</v>
      </c>
      <c r="H347" s="95">
        <v>203398335</v>
      </c>
      <c r="I347" s="91" t="s">
        <v>171</v>
      </c>
      <c r="J347" s="91" t="s">
        <v>1122</v>
      </c>
      <c r="K347" s="94">
        <v>418699</v>
      </c>
      <c r="L347" s="91" t="s">
        <v>216</v>
      </c>
      <c r="M347" s="2"/>
      <c r="N347" s="2"/>
      <c r="O347" s="4"/>
    </row>
    <row r="348" spans="1:15" x14ac:dyDescent="0.2">
      <c r="A348" s="91" t="s">
        <v>379</v>
      </c>
      <c r="B348" s="91" t="s">
        <v>845</v>
      </c>
      <c r="C348" s="95">
        <v>116</v>
      </c>
      <c r="D348" s="95">
        <v>210</v>
      </c>
      <c r="E348" s="95">
        <v>326</v>
      </c>
      <c r="F348" s="95">
        <v>2746628</v>
      </c>
      <c r="G348" s="95">
        <v>5238543</v>
      </c>
      <c r="H348" s="95">
        <v>7985170</v>
      </c>
      <c r="I348" s="91" t="s">
        <v>71</v>
      </c>
      <c r="J348" s="91" t="s">
        <v>1121</v>
      </c>
      <c r="K348" s="94">
        <v>419101</v>
      </c>
      <c r="L348" s="91" t="s">
        <v>844</v>
      </c>
      <c r="M348" s="2"/>
      <c r="N348" s="2"/>
      <c r="O348" s="4"/>
    </row>
    <row r="349" spans="1:15" x14ac:dyDescent="0.2">
      <c r="A349" s="91" t="s">
        <v>331</v>
      </c>
      <c r="B349" s="91" t="s">
        <v>139</v>
      </c>
      <c r="C349" s="95">
        <v>859</v>
      </c>
      <c r="D349" s="95">
        <v>1194</v>
      </c>
      <c r="E349" s="95">
        <v>2053</v>
      </c>
      <c r="F349" s="95">
        <v>37250910</v>
      </c>
      <c r="G349" s="95">
        <v>61240195</v>
      </c>
      <c r="H349" s="95">
        <v>98491104</v>
      </c>
      <c r="I349" s="91" t="s">
        <v>71</v>
      </c>
      <c r="J349" s="91" t="s">
        <v>1121</v>
      </c>
      <c r="K349" s="94">
        <v>420463</v>
      </c>
      <c r="L349" s="91" t="s">
        <v>235</v>
      </c>
      <c r="M349" s="2"/>
      <c r="N349" s="2"/>
      <c r="O349" s="4"/>
    </row>
    <row r="350" spans="1:15" x14ac:dyDescent="0.2">
      <c r="A350" s="91" t="s">
        <v>192</v>
      </c>
      <c r="B350" s="91" t="s">
        <v>202</v>
      </c>
      <c r="C350" s="95">
        <v>7897</v>
      </c>
      <c r="D350" s="95">
        <v>7308</v>
      </c>
      <c r="E350" s="95">
        <v>15205</v>
      </c>
      <c r="F350" s="95">
        <v>241810577</v>
      </c>
      <c r="G350" s="95">
        <v>289654855</v>
      </c>
      <c r="H350" s="95">
        <v>531465432</v>
      </c>
      <c r="I350" s="91" t="s">
        <v>171</v>
      </c>
      <c r="J350" s="91" t="s">
        <v>1122</v>
      </c>
      <c r="K350" s="94">
        <v>420646</v>
      </c>
      <c r="L350" s="91" t="s">
        <v>203</v>
      </c>
      <c r="M350" s="2"/>
      <c r="N350" s="2"/>
      <c r="O350" s="4"/>
    </row>
    <row r="351" spans="1:15" x14ac:dyDescent="0.2">
      <c r="A351" s="91" t="s">
        <v>223</v>
      </c>
      <c r="B351" s="91" t="s">
        <v>559</v>
      </c>
      <c r="C351" s="95">
        <v>1</v>
      </c>
      <c r="D351" s="95">
        <v>6</v>
      </c>
      <c r="E351" s="95">
        <v>7</v>
      </c>
      <c r="F351" s="95">
        <v>30624</v>
      </c>
      <c r="G351" s="95">
        <v>235828</v>
      </c>
      <c r="H351" s="95">
        <v>266451</v>
      </c>
      <c r="I351" s="91" t="s">
        <v>71</v>
      </c>
      <c r="J351" s="91" t="s">
        <v>1122</v>
      </c>
      <c r="K351" s="94">
        <v>420935</v>
      </c>
      <c r="L351" s="91" t="s">
        <v>464</v>
      </c>
      <c r="M351" s="2"/>
      <c r="N351" s="2"/>
      <c r="O351" s="4"/>
    </row>
    <row r="352" spans="1:15" x14ac:dyDescent="0.2">
      <c r="A352" s="91" t="s">
        <v>243</v>
      </c>
      <c r="B352" s="91" t="s">
        <v>385</v>
      </c>
      <c r="C352" s="95">
        <v>755</v>
      </c>
      <c r="D352" s="95">
        <v>752</v>
      </c>
      <c r="E352" s="95">
        <v>1507</v>
      </c>
      <c r="F352" s="95">
        <v>21081516</v>
      </c>
      <c r="G352" s="95">
        <v>25240623</v>
      </c>
      <c r="H352" s="95">
        <v>46322139</v>
      </c>
      <c r="I352" s="91" t="s">
        <v>71</v>
      </c>
      <c r="J352" s="91" t="s">
        <v>1122</v>
      </c>
      <c r="K352" s="94">
        <v>426726</v>
      </c>
      <c r="L352" s="91" t="s">
        <v>235</v>
      </c>
      <c r="M352" s="2"/>
      <c r="N352" s="2"/>
      <c r="O352" s="4"/>
    </row>
    <row r="353" spans="1:15" x14ac:dyDescent="0.2">
      <c r="A353" s="91" t="s">
        <v>179</v>
      </c>
      <c r="B353" s="91" t="s">
        <v>296</v>
      </c>
      <c r="C353" s="95">
        <v>46203</v>
      </c>
      <c r="D353" s="95">
        <v>41022</v>
      </c>
      <c r="E353" s="95">
        <v>87225</v>
      </c>
      <c r="F353" s="95">
        <v>3659126241</v>
      </c>
      <c r="G353" s="95">
        <v>3975208073</v>
      </c>
      <c r="H353" s="95">
        <v>7634334314</v>
      </c>
      <c r="I353" s="91" t="s">
        <v>171</v>
      </c>
      <c r="J353" s="91" t="s">
        <v>1115</v>
      </c>
      <c r="K353" s="94">
        <v>427310</v>
      </c>
      <c r="L353" s="91" t="s">
        <v>209</v>
      </c>
      <c r="M353" s="2"/>
      <c r="N353" s="2"/>
      <c r="O353" s="4"/>
    </row>
    <row r="354" spans="1:15" x14ac:dyDescent="0.2">
      <c r="A354" s="91" t="s">
        <v>212</v>
      </c>
      <c r="B354" s="91" t="s">
        <v>138</v>
      </c>
      <c r="C354" s="95">
        <v>27226</v>
      </c>
      <c r="D354" s="95">
        <v>29106</v>
      </c>
      <c r="E354" s="95">
        <v>56332</v>
      </c>
      <c r="F354" s="95">
        <v>4446983699</v>
      </c>
      <c r="G354" s="95">
        <v>5812087909</v>
      </c>
      <c r="H354" s="95">
        <v>10259071607</v>
      </c>
      <c r="I354" s="91" t="s">
        <v>171</v>
      </c>
      <c r="J354" s="91" t="s">
        <v>1121</v>
      </c>
      <c r="K354" s="94">
        <v>428250</v>
      </c>
      <c r="L354" s="91" t="s">
        <v>305</v>
      </c>
      <c r="M354" s="2"/>
      <c r="N354" s="2"/>
      <c r="O354" s="4"/>
    </row>
    <row r="355" spans="1:15" x14ac:dyDescent="0.2">
      <c r="A355" s="91" t="s">
        <v>179</v>
      </c>
      <c r="B355" s="91" t="s">
        <v>303</v>
      </c>
      <c r="C355" s="95">
        <v>38955</v>
      </c>
      <c r="D355" s="95">
        <v>28423</v>
      </c>
      <c r="E355" s="95">
        <v>67378</v>
      </c>
      <c r="F355" s="95">
        <v>4739526844</v>
      </c>
      <c r="G355" s="95">
        <v>3951964067</v>
      </c>
      <c r="H355" s="95">
        <v>8691490911</v>
      </c>
      <c r="I355" s="91" t="s">
        <v>171</v>
      </c>
      <c r="J355" s="91" t="s">
        <v>1115</v>
      </c>
      <c r="K355" s="94">
        <v>430975</v>
      </c>
      <c r="L355" s="91" t="s">
        <v>226</v>
      </c>
      <c r="M355" s="2"/>
      <c r="N355" s="2"/>
      <c r="O355" s="4"/>
    </row>
    <row r="356" spans="1:15" x14ac:dyDescent="0.2">
      <c r="A356" s="91" t="s">
        <v>310</v>
      </c>
      <c r="B356" s="91" t="s">
        <v>1017</v>
      </c>
      <c r="C356" s="95">
        <v>16</v>
      </c>
      <c r="D356" s="95">
        <v>31</v>
      </c>
      <c r="E356" s="95">
        <v>47</v>
      </c>
      <c r="F356" s="95">
        <v>432647</v>
      </c>
      <c r="G356" s="95">
        <v>1298162</v>
      </c>
      <c r="H356" s="95">
        <v>1730810</v>
      </c>
      <c r="I356" s="91" t="s">
        <v>71</v>
      </c>
      <c r="J356" s="91" t="s">
        <v>1121</v>
      </c>
      <c r="K356" s="94">
        <v>431262</v>
      </c>
      <c r="L356" s="91" t="s">
        <v>1152</v>
      </c>
      <c r="M356" s="2"/>
      <c r="N356" s="2"/>
      <c r="O356" s="4"/>
    </row>
    <row r="357" spans="1:15" x14ac:dyDescent="0.2">
      <c r="A357" s="91" t="s">
        <v>212</v>
      </c>
      <c r="B357" s="91" t="s">
        <v>761</v>
      </c>
      <c r="C357" s="95">
        <v>52</v>
      </c>
      <c r="D357" s="95">
        <v>75</v>
      </c>
      <c r="E357" s="95">
        <v>127</v>
      </c>
      <c r="F357" s="95">
        <v>1888424</v>
      </c>
      <c r="G357" s="95">
        <v>3148500</v>
      </c>
      <c r="H357" s="95">
        <v>5036924</v>
      </c>
      <c r="I357" s="91" t="s">
        <v>71</v>
      </c>
      <c r="J357" s="91" t="s">
        <v>1121</v>
      </c>
      <c r="K357" s="94">
        <v>432096</v>
      </c>
      <c r="L357" s="91" t="s">
        <v>500</v>
      </c>
      <c r="M357" s="2"/>
      <c r="N357" s="2"/>
      <c r="O357" s="4"/>
    </row>
    <row r="358" spans="1:15" x14ac:dyDescent="0.2">
      <c r="A358" s="91" t="s">
        <v>370</v>
      </c>
      <c r="B358" s="91" t="s">
        <v>865</v>
      </c>
      <c r="C358" s="95">
        <v>82</v>
      </c>
      <c r="D358" s="95">
        <v>150</v>
      </c>
      <c r="E358" s="95">
        <v>232</v>
      </c>
      <c r="F358" s="95">
        <v>3419243</v>
      </c>
      <c r="G358" s="95">
        <v>6838546</v>
      </c>
      <c r="H358" s="95">
        <v>10257788</v>
      </c>
      <c r="I358" s="91" t="s">
        <v>71</v>
      </c>
      <c r="J358" s="91" t="s">
        <v>1121</v>
      </c>
      <c r="K358" s="94">
        <v>432153</v>
      </c>
      <c r="L358" s="91" t="s">
        <v>770</v>
      </c>
      <c r="M358" s="2"/>
      <c r="N358" s="2"/>
      <c r="O358" s="4"/>
    </row>
    <row r="359" spans="1:15" x14ac:dyDescent="0.2">
      <c r="A359" s="91" t="s">
        <v>487</v>
      </c>
      <c r="B359" s="91" t="s">
        <v>486</v>
      </c>
      <c r="C359" s="95">
        <v>4596</v>
      </c>
      <c r="D359" s="95">
        <v>6164</v>
      </c>
      <c r="E359" s="95">
        <v>10760</v>
      </c>
      <c r="F359" s="95">
        <v>58937598</v>
      </c>
      <c r="G359" s="95">
        <v>110656306</v>
      </c>
      <c r="H359" s="95">
        <v>169593904</v>
      </c>
      <c r="I359" s="91" t="s">
        <v>71</v>
      </c>
      <c r="J359" s="91" t="s">
        <v>1121</v>
      </c>
      <c r="K359" s="94">
        <v>433862</v>
      </c>
      <c r="L359" s="91" t="s">
        <v>226</v>
      </c>
      <c r="M359" s="2"/>
      <c r="N359" s="2"/>
      <c r="O359" s="4"/>
    </row>
    <row r="360" spans="1:15" x14ac:dyDescent="0.2">
      <c r="A360" s="91" t="s">
        <v>379</v>
      </c>
      <c r="B360" s="91" t="s">
        <v>378</v>
      </c>
      <c r="C360" s="95">
        <v>67</v>
      </c>
      <c r="D360" s="95">
        <v>115</v>
      </c>
      <c r="E360" s="95">
        <v>182</v>
      </c>
      <c r="F360" s="95">
        <v>3149572</v>
      </c>
      <c r="G360" s="95">
        <v>5094563</v>
      </c>
      <c r="H360" s="95">
        <v>8244135</v>
      </c>
      <c r="I360" s="91" t="s">
        <v>171</v>
      </c>
      <c r="J360" s="91" t="s">
        <v>1121</v>
      </c>
      <c r="K360" s="94">
        <v>434274</v>
      </c>
      <c r="L360" s="91" t="s">
        <v>203</v>
      </c>
      <c r="M360" s="2"/>
      <c r="N360" s="2"/>
      <c r="O360" s="4"/>
    </row>
    <row r="361" spans="1:15" x14ac:dyDescent="0.2">
      <c r="A361" s="91" t="s">
        <v>315</v>
      </c>
      <c r="B361" s="91" t="s">
        <v>314</v>
      </c>
      <c r="C361" s="95">
        <v>13616</v>
      </c>
      <c r="D361" s="95">
        <v>13834</v>
      </c>
      <c r="E361" s="95">
        <v>27450</v>
      </c>
      <c r="F361" s="95">
        <v>486052262</v>
      </c>
      <c r="G361" s="95">
        <v>612744755</v>
      </c>
      <c r="H361" s="95">
        <v>1098797017</v>
      </c>
      <c r="I361" s="91" t="s">
        <v>171</v>
      </c>
      <c r="J361" s="91" t="s">
        <v>1121</v>
      </c>
      <c r="K361" s="94">
        <v>435222</v>
      </c>
      <c r="L361" s="91" t="s">
        <v>200</v>
      </c>
      <c r="M361" s="2"/>
      <c r="N361" s="2"/>
      <c r="O361" s="4"/>
    </row>
    <row r="362" spans="1:15" x14ac:dyDescent="0.2">
      <c r="A362" s="91" t="s">
        <v>370</v>
      </c>
      <c r="B362" s="91" t="s">
        <v>1139</v>
      </c>
      <c r="C362" s="95">
        <v>72</v>
      </c>
      <c r="D362" s="95">
        <v>95</v>
      </c>
      <c r="E362" s="95">
        <v>167</v>
      </c>
      <c r="F362" s="95">
        <v>1496674</v>
      </c>
      <c r="G362" s="95">
        <v>3279257</v>
      </c>
      <c r="H362" s="95">
        <v>4775930</v>
      </c>
      <c r="I362" s="91" t="s">
        <v>71</v>
      </c>
      <c r="J362" s="91" t="s">
        <v>1121</v>
      </c>
      <c r="K362" s="94">
        <v>439299</v>
      </c>
      <c r="L362" s="91" t="s">
        <v>635</v>
      </c>
      <c r="M362" s="2"/>
      <c r="N362" s="2"/>
      <c r="O362" s="4"/>
    </row>
    <row r="363" spans="1:15" x14ac:dyDescent="0.2">
      <c r="A363" s="91" t="s">
        <v>315</v>
      </c>
      <c r="B363" s="91" t="s">
        <v>601</v>
      </c>
      <c r="C363" s="95">
        <v>7761</v>
      </c>
      <c r="D363" s="95">
        <v>8953</v>
      </c>
      <c r="E363" s="95">
        <v>16714</v>
      </c>
      <c r="F363" s="95">
        <v>290886533</v>
      </c>
      <c r="G363" s="95">
        <v>407664996</v>
      </c>
      <c r="H363" s="95">
        <v>698551530</v>
      </c>
      <c r="I363" s="91" t="s">
        <v>171</v>
      </c>
      <c r="J363" s="91" t="s">
        <v>1121</v>
      </c>
      <c r="K363" s="94">
        <v>439471</v>
      </c>
      <c r="L363" s="91" t="s">
        <v>277</v>
      </c>
      <c r="M363" s="2"/>
      <c r="N363" s="2"/>
      <c r="O363" s="4"/>
    </row>
    <row r="364" spans="1:15" x14ac:dyDescent="0.2">
      <c r="A364" s="91" t="s">
        <v>408</v>
      </c>
      <c r="B364" s="91" t="s">
        <v>1070</v>
      </c>
      <c r="C364" s="95">
        <v>358</v>
      </c>
      <c r="D364" s="95">
        <v>449</v>
      </c>
      <c r="E364" s="95">
        <v>807</v>
      </c>
      <c r="F364" s="95">
        <v>12290668</v>
      </c>
      <c r="G364" s="95">
        <v>17414938</v>
      </c>
      <c r="H364" s="95">
        <v>29705606</v>
      </c>
      <c r="I364" s="91" t="s">
        <v>71</v>
      </c>
      <c r="J364" s="91" t="s">
        <v>1121</v>
      </c>
      <c r="K364" s="94">
        <v>440065</v>
      </c>
      <c r="L364" s="91" t="s">
        <v>454</v>
      </c>
      <c r="M364" s="2"/>
      <c r="N364" s="2"/>
      <c r="O364" s="4"/>
    </row>
    <row r="365" spans="1:15" x14ac:dyDescent="0.2">
      <c r="A365" s="91" t="s">
        <v>413</v>
      </c>
      <c r="B365" s="91" t="s">
        <v>963</v>
      </c>
      <c r="C365" s="95">
        <v>7490</v>
      </c>
      <c r="D365" s="95">
        <v>8490</v>
      </c>
      <c r="E365" s="95">
        <v>15980</v>
      </c>
      <c r="F365" s="95">
        <v>132678737</v>
      </c>
      <c r="G365" s="95">
        <v>181136626</v>
      </c>
      <c r="H365" s="95">
        <v>313815363</v>
      </c>
      <c r="I365" s="91" t="s">
        <v>171</v>
      </c>
      <c r="J365" s="91" t="s">
        <v>1121</v>
      </c>
      <c r="K365" s="94">
        <v>442483</v>
      </c>
      <c r="L365" s="91" t="s">
        <v>880</v>
      </c>
      <c r="M365" s="2"/>
      <c r="N365" s="2"/>
      <c r="O365" s="4"/>
    </row>
    <row r="366" spans="1:15" x14ac:dyDescent="0.2">
      <c r="A366" s="91" t="s">
        <v>192</v>
      </c>
      <c r="B366" s="91" t="s">
        <v>210</v>
      </c>
      <c r="C366" s="95">
        <v>708</v>
      </c>
      <c r="D366" s="95">
        <v>845</v>
      </c>
      <c r="E366" s="95">
        <v>1553</v>
      </c>
      <c r="F366" s="95">
        <v>35671845</v>
      </c>
      <c r="G366" s="95">
        <v>58276791</v>
      </c>
      <c r="H366" s="95">
        <v>93948636</v>
      </c>
      <c r="I366" s="91" t="s">
        <v>171</v>
      </c>
      <c r="J366" s="91" t="s">
        <v>1122</v>
      </c>
      <c r="K366" s="94">
        <v>442897</v>
      </c>
      <c r="L366" s="91" t="s">
        <v>209</v>
      </c>
      <c r="M366" s="2"/>
      <c r="N366" s="2"/>
      <c r="O366" s="4"/>
    </row>
    <row r="367" spans="1:15" x14ac:dyDescent="0.2">
      <c r="A367" s="91" t="s">
        <v>243</v>
      </c>
      <c r="B367" s="91" t="s">
        <v>240</v>
      </c>
      <c r="C367" s="95">
        <v>1141</v>
      </c>
      <c r="D367" s="95">
        <v>1185</v>
      </c>
      <c r="E367" s="95">
        <v>2326</v>
      </c>
      <c r="F367" s="95">
        <v>42128090</v>
      </c>
      <c r="G367" s="95">
        <v>53428459</v>
      </c>
      <c r="H367" s="95">
        <v>95556549</v>
      </c>
      <c r="I367" s="91" t="s">
        <v>71</v>
      </c>
      <c r="J367" s="91" t="s">
        <v>1122</v>
      </c>
      <c r="K367" s="94">
        <v>443721</v>
      </c>
      <c r="L367" s="91" t="s">
        <v>242</v>
      </c>
      <c r="M367" s="2"/>
      <c r="N367" s="2"/>
      <c r="O367" s="4"/>
    </row>
    <row r="368" spans="1:15" x14ac:dyDescent="0.2">
      <c r="A368" s="91" t="s">
        <v>173</v>
      </c>
      <c r="B368" s="91" t="s">
        <v>606</v>
      </c>
      <c r="C368" s="95">
        <v>683</v>
      </c>
      <c r="D368" s="95">
        <v>497</v>
      </c>
      <c r="E368" s="95">
        <v>1180</v>
      </c>
      <c r="F368" s="95">
        <v>17118041</v>
      </c>
      <c r="G368" s="95">
        <v>15320255</v>
      </c>
      <c r="H368" s="95">
        <v>32438296</v>
      </c>
      <c r="I368" s="91" t="s">
        <v>71</v>
      </c>
      <c r="J368" s="91" t="s">
        <v>1118</v>
      </c>
      <c r="K368" s="94">
        <v>444315</v>
      </c>
      <c r="L368" s="91" t="s">
        <v>431</v>
      </c>
      <c r="M368" s="2"/>
      <c r="N368" s="2"/>
      <c r="O368" s="4"/>
    </row>
    <row r="369" spans="1:15" x14ac:dyDescent="0.2">
      <c r="A369" s="91" t="s">
        <v>370</v>
      </c>
      <c r="B369" s="91" t="s">
        <v>720</v>
      </c>
      <c r="C369" s="95">
        <v>85</v>
      </c>
      <c r="D369" s="95">
        <v>169</v>
      </c>
      <c r="E369" s="95">
        <v>254</v>
      </c>
      <c r="F369" s="95">
        <v>2796650</v>
      </c>
      <c r="G369" s="95">
        <v>5592808</v>
      </c>
      <c r="H369" s="95">
        <v>8389458</v>
      </c>
      <c r="I369" s="91" t="s">
        <v>71</v>
      </c>
      <c r="J369" s="91" t="s">
        <v>1121</v>
      </c>
      <c r="K369" s="94">
        <v>445841</v>
      </c>
      <c r="L369" s="91" t="s">
        <v>275</v>
      </c>
      <c r="M369" s="2"/>
      <c r="N369" s="2"/>
      <c r="O369" s="4"/>
    </row>
    <row r="370" spans="1:15" x14ac:dyDescent="0.2">
      <c r="A370" s="91" t="s">
        <v>315</v>
      </c>
      <c r="B370" s="91" t="s">
        <v>802</v>
      </c>
      <c r="C370" s="95">
        <v>102</v>
      </c>
      <c r="D370" s="95">
        <v>184</v>
      </c>
      <c r="E370" s="95">
        <v>286</v>
      </c>
      <c r="F370" s="95">
        <v>3913621</v>
      </c>
      <c r="G370" s="95">
        <v>7028359</v>
      </c>
      <c r="H370" s="95">
        <v>10941980</v>
      </c>
      <c r="I370" s="91" t="s">
        <v>71</v>
      </c>
      <c r="J370" s="91" t="s">
        <v>1121</v>
      </c>
      <c r="K370" s="94">
        <v>446088</v>
      </c>
      <c r="L370" s="91" t="s">
        <v>768</v>
      </c>
      <c r="M370" s="2"/>
      <c r="N370" s="2"/>
      <c r="O370" s="4"/>
    </row>
    <row r="371" spans="1:15" x14ac:dyDescent="0.2">
      <c r="A371" s="91" t="s">
        <v>173</v>
      </c>
      <c r="B371" s="91" t="s">
        <v>671</v>
      </c>
      <c r="C371" s="95">
        <v>158</v>
      </c>
      <c r="D371" s="95">
        <v>141</v>
      </c>
      <c r="E371" s="95">
        <v>299</v>
      </c>
      <c r="F371" s="95">
        <v>14926684</v>
      </c>
      <c r="G371" s="95">
        <v>14928166</v>
      </c>
      <c r="H371" s="95">
        <v>29854850</v>
      </c>
      <c r="I371" s="91" t="s">
        <v>171</v>
      </c>
      <c r="J371" s="91" t="s">
        <v>1118</v>
      </c>
      <c r="K371" s="94">
        <v>447086</v>
      </c>
      <c r="L371" s="91" t="s">
        <v>672</v>
      </c>
      <c r="M371" s="2"/>
      <c r="N371" s="2"/>
      <c r="O371" s="4"/>
    </row>
    <row r="372" spans="1:15" x14ac:dyDescent="0.2">
      <c r="A372" s="91" t="s">
        <v>413</v>
      </c>
      <c r="B372" s="91" t="s">
        <v>577</v>
      </c>
      <c r="C372" s="95">
        <v>2805</v>
      </c>
      <c r="D372" s="95">
        <v>3262</v>
      </c>
      <c r="E372" s="95">
        <v>6067</v>
      </c>
      <c r="F372" s="95">
        <v>50141382</v>
      </c>
      <c r="G372" s="95">
        <v>74684421</v>
      </c>
      <c r="H372" s="95">
        <v>124825803</v>
      </c>
      <c r="I372" s="91" t="s">
        <v>171</v>
      </c>
      <c r="J372" s="91" t="s">
        <v>1121</v>
      </c>
      <c r="K372" s="94">
        <v>449090</v>
      </c>
      <c r="L372" s="91" t="s">
        <v>249</v>
      </c>
      <c r="M372" s="2"/>
      <c r="N372" s="2"/>
      <c r="O372" s="4"/>
    </row>
    <row r="373" spans="1:15" x14ac:dyDescent="0.2">
      <c r="A373" s="91" t="s">
        <v>264</v>
      </c>
      <c r="B373" s="91" t="s">
        <v>853</v>
      </c>
      <c r="C373" s="95">
        <v>6955</v>
      </c>
      <c r="D373" s="95">
        <v>8243</v>
      </c>
      <c r="E373" s="95">
        <v>15198</v>
      </c>
      <c r="F373" s="95">
        <v>316001050</v>
      </c>
      <c r="G373" s="95">
        <v>461963990</v>
      </c>
      <c r="H373" s="95">
        <v>777965041</v>
      </c>
      <c r="I373" s="91" t="s">
        <v>71</v>
      </c>
      <c r="J373" s="91" t="s">
        <v>1121</v>
      </c>
      <c r="K373" s="94">
        <v>450981</v>
      </c>
      <c r="L373" s="91" t="s">
        <v>844</v>
      </c>
      <c r="M373" s="2"/>
      <c r="N373" s="2"/>
      <c r="O373" s="4"/>
    </row>
    <row r="374" spans="1:15" x14ac:dyDescent="0.2">
      <c r="A374" s="91" t="s">
        <v>173</v>
      </c>
      <c r="B374" s="91" t="s">
        <v>1011</v>
      </c>
      <c r="C374" s="95">
        <v>1811</v>
      </c>
      <c r="D374" s="95">
        <v>1622</v>
      </c>
      <c r="E374" s="95">
        <v>3433</v>
      </c>
      <c r="F374" s="95">
        <v>200196668</v>
      </c>
      <c r="G374" s="95">
        <v>202004918</v>
      </c>
      <c r="H374" s="95">
        <v>402201586</v>
      </c>
      <c r="I374" s="91" t="s">
        <v>71</v>
      </c>
      <c r="J374" s="91" t="s">
        <v>1118</v>
      </c>
      <c r="K374" s="94">
        <v>451393</v>
      </c>
      <c r="L374" s="91" t="s">
        <v>861</v>
      </c>
      <c r="M374" s="2"/>
      <c r="N374" s="2"/>
      <c r="O374" s="4"/>
    </row>
    <row r="375" spans="1:15" x14ac:dyDescent="0.2">
      <c r="A375" s="91" t="s">
        <v>408</v>
      </c>
      <c r="B375" s="91" t="s">
        <v>890</v>
      </c>
      <c r="C375" s="95">
        <v>226</v>
      </c>
      <c r="D375" s="95">
        <v>245</v>
      </c>
      <c r="E375" s="95">
        <v>471</v>
      </c>
      <c r="F375" s="95">
        <v>7431026</v>
      </c>
      <c r="G375" s="95">
        <v>9411747</v>
      </c>
      <c r="H375" s="95">
        <v>16842774</v>
      </c>
      <c r="I375" s="91" t="s">
        <v>71</v>
      </c>
      <c r="J375" s="91" t="s">
        <v>1121</v>
      </c>
      <c r="K375" s="94">
        <v>452755</v>
      </c>
      <c r="L375" s="91" t="s">
        <v>770</v>
      </c>
      <c r="M375" s="2"/>
      <c r="N375" s="2"/>
      <c r="O375" s="4"/>
    </row>
    <row r="376" spans="1:15" x14ac:dyDescent="0.2">
      <c r="A376" s="91" t="s">
        <v>223</v>
      </c>
      <c r="B376" s="91" t="s">
        <v>384</v>
      </c>
      <c r="C376" s="95">
        <v>1</v>
      </c>
      <c r="D376" s="95">
        <v>1</v>
      </c>
      <c r="E376" s="95">
        <v>2</v>
      </c>
      <c r="F376" s="95">
        <v>185616</v>
      </c>
      <c r="G376" s="95">
        <v>19925</v>
      </c>
      <c r="H376" s="95">
        <v>205541</v>
      </c>
      <c r="I376" s="91" t="s">
        <v>171</v>
      </c>
      <c r="J376" s="91" t="s">
        <v>1122</v>
      </c>
      <c r="K376" s="94">
        <v>453100</v>
      </c>
      <c r="L376" s="91" t="s">
        <v>172</v>
      </c>
      <c r="M376" s="2"/>
      <c r="N376" s="2"/>
      <c r="O376" s="4"/>
    </row>
    <row r="377" spans="1:15" x14ac:dyDescent="0.2">
      <c r="A377" s="91" t="s">
        <v>370</v>
      </c>
      <c r="B377" s="91" t="s">
        <v>849</v>
      </c>
      <c r="C377" s="95">
        <v>33</v>
      </c>
      <c r="D377" s="95">
        <v>53</v>
      </c>
      <c r="E377" s="95">
        <v>86</v>
      </c>
      <c r="F377" s="95">
        <v>858836</v>
      </c>
      <c r="G377" s="95">
        <v>2318134</v>
      </c>
      <c r="H377" s="95">
        <v>3176970</v>
      </c>
      <c r="I377" s="91" t="s">
        <v>71</v>
      </c>
      <c r="J377" s="91" t="s">
        <v>1121</v>
      </c>
      <c r="K377" s="94">
        <v>454934</v>
      </c>
      <c r="L377" s="91" t="s">
        <v>844</v>
      </c>
      <c r="M377" s="2"/>
      <c r="N377" s="2"/>
      <c r="O377" s="4"/>
    </row>
    <row r="378" spans="1:15" x14ac:dyDescent="0.2">
      <c r="A378" s="91" t="s">
        <v>370</v>
      </c>
      <c r="B378" s="91" t="s">
        <v>836</v>
      </c>
      <c r="C378" s="95">
        <v>156</v>
      </c>
      <c r="D378" s="95">
        <v>298</v>
      </c>
      <c r="E378" s="95">
        <v>454</v>
      </c>
      <c r="F378" s="95">
        <v>5218402</v>
      </c>
      <c r="G378" s="95">
        <v>13393443</v>
      </c>
      <c r="H378" s="95">
        <v>18611845</v>
      </c>
      <c r="I378" s="91" t="s">
        <v>171</v>
      </c>
      <c r="J378" s="91" t="s">
        <v>1121</v>
      </c>
      <c r="K378" s="94">
        <v>456236</v>
      </c>
      <c r="L378" s="91" t="s">
        <v>749</v>
      </c>
      <c r="M378" s="2"/>
      <c r="N378" s="2"/>
      <c r="O378" s="4"/>
    </row>
    <row r="379" spans="1:15" x14ac:dyDescent="0.2">
      <c r="A379" s="91" t="s">
        <v>245</v>
      </c>
      <c r="B379" s="91" t="s">
        <v>503</v>
      </c>
      <c r="C379" s="95">
        <v>5412</v>
      </c>
      <c r="D379" s="95">
        <v>6824</v>
      </c>
      <c r="E379" s="95">
        <v>12236</v>
      </c>
      <c r="F379" s="95">
        <v>179889267</v>
      </c>
      <c r="G379" s="95">
        <v>283171585</v>
      </c>
      <c r="H379" s="95">
        <v>463060852</v>
      </c>
      <c r="I379" s="91" t="s">
        <v>171</v>
      </c>
      <c r="J379" s="91" t="s">
        <v>1121</v>
      </c>
      <c r="K379" s="94">
        <v>456475</v>
      </c>
      <c r="L379" s="91" t="s">
        <v>203</v>
      </c>
      <c r="M379" s="2"/>
      <c r="N379" s="2"/>
      <c r="O379" s="4"/>
    </row>
    <row r="380" spans="1:15" x14ac:dyDescent="0.2">
      <c r="A380" s="91" t="s">
        <v>223</v>
      </c>
      <c r="B380" s="91" t="s">
        <v>620</v>
      </c>
      <c r="C380" s="95">
        <v>0</v>
      </c>
      <c r="D380" s="95">
        <v>4</v>
      </c>
      <c r="E380" s="95">
        <v>4</v>
      </c>
      <c r="F380" s="95">
        <v>0</v>
      </c>
      <c r="G380" s="95">
        <v>317281</v>
      </c>
      <c r="H380" s="95">
        <v>317281</v>
      </c>
      <c r="I380" s="91" t="s">
        <v>71</v>
      </c>
      <c r="J380" s="91" t="s">
        <v>1122</v>
      </c>
      <c r="K380" s="94">
        <v>456764</v>
      </c>
      <c r="L380" s="91" t="s">
        <v>464</v>
      </c>
      <c r="M380" s="2"/>
      <c r="N380" s="2"/>
      <c r="O380" s="4"/>
    </row>
    <row r="381" spans="1:15" x14ac:dyDescent="0.2">
      <c r="A381" s="91" t="s">
        <v>379</v>
      </c>
      <c r="B381" s="91" t="s">
        <v>398</v>
      </c>
      <c r="C381" s="95">
        <v>262</v>
      </c>
      <c r="D381" s="95">
        <v>557</v>
      </c>
      <c r="E381" s="95">
        <v>819</v>
      </c>
      <c r="F381" s="95">
        <v>6539664</v>
      </c>
      <c r="G381" s="95">
        <v>14324797</v>
      </c>
      <c r="H381" s="95">
        <v>20864461</v>
      </c>
      <c r="I381" s="91" t="s">
        <v>171</v>
      </c>
      <c r="J381" s="91" t="s">
        <v>1121</v>
      </c>
      <c r="K381" s="94">
        <v>459891</v>
      </c>
      <c r="L381" s="91" t="s">
        <v>209</v>
      </c>
      <c r="M381" s="2"/>
      <c r="N381" s="2"/>
      <c r="O381" s="4"/>
    </row>
    <row r="382" spans="1:15" x14ac:dyDescent="0.2">
      <c r="A382" s="91" t="s">
        <v>185</v>
      </c>
      <c r="B382" s="91" t="s">
        <v>297</v>
      </c>
      <c r="C382" s="95">
        <v>57069</v>
      </c>
      <c r="D382" s="95">
        <v>45770</v>
      </c>
      <c r="E382" s="95">
        <v>102839</v>
      </c>
      <c r="F382" s="95">
        <v>4318163087</v>
      </c>
      <c r="G382" s="95">
        <v>4217489295</v>
      </c>
      <c r="H382" s="95">
        <v>8535652382</v>
      </c>
      <c r="I382" s="91" t="s">
        <v>171</v>
      </c>
      <c r="J382" s="91" t="s">
        <v>1115</v>
      </c>
      <c r="K382" s="94">
        <v>463141</v>
      </c>
      <c r="L382" s="91" t="s">
        <v>209</v>
      </c>
      <c r="M382" s="2"/>
      <c r="N382" s="2"/>
      <c r="O382" s="4"/>
    </row>
    <row r="383" spans="1:15" x14ac:dyDescent="0.2">
      <c r="A383" s="91" t="s">
        <v>173</v>
      </c>
      <c r="B383" s="91" t="s">
        <v>593</v>
      </c>
      <c r="C383" s="95">
        <v>9454</v>
      </c>
      <c r="D383" s="95">
        <v>8504</v>
      </c>
      <c r="E383" s="95">
        <v>17958</v>
      </c>
      <c r="F383" s="95">
        <v>1273676089</v>
      </c>
      <c r="G383" s="95">
        <v>1369589369</v>
      </c>
      <c r="H383" s="95">
        <v>2643265458</v>
      </c>
      <c r="I383" s="91" t="s">
        <v>171</v>
      </c>
      <c r="J383" s="91" t="s">
        <v>1118</v>
      </c>
      <c r="K383" s="94">
        <v>464081</v>
      </c>
      <c r="L383" s="91" t="s">
        <v>305</v>
      </c>
      <c r="M383" s="2"/>
      <c r="N383" s="2"/>
      <c r="O383" s="4"/>
    </row>
    <row r="384" spans="1:15" x14ac:dyDescent="0.2">
      <c r="A384" s="91" t="s">
        <v>176</v>
      </c>
      <c r="B384" s="91" t="s">
        <v>290</v>
      </c>
      <c r="C384" s="95">
        <v>19617</v>
      </c>
      <c r="D384" s="95">
        <v>19458</v>
      </c>
      <c r="E384" s="95">
        <v>39075</v>
      </c>
      <c r="F384" s="95">
        <v>888477520</v>
      </c>
      <c r="G384" s="95">
        <v>1087719402</v>
      </c>
      <c r="H384" s="95">
        <v>1976196922</v>
      </c>
      <c r="I384" s="91" t="s">
        <v>171</v>
      </c>
      <c r="J384" s="91" t="s">
        <v>1121</v>
      </c>
      <c r="K384" s="94">
        <v>465914</v>
      </c>
      <c r="L384" s="91" t="s">
        <v>231</v>
      </c>
      <c r="M384" s="2"/>
      <c r="N384" s="2"/>
      <c r="O384" s="4"/>
    </row>
    <row r="385" spans="1:15" x14ac:dyDescent="0.2">
      <c r="A385" s="91" t="s">
        <v>179</v>
      </c>
      <c r="B385" s="91" t="s">
        <v>302</v>
      </c>
      <c r="C385" s="95">
        <v>14443</v>
      </c>
      <c r="D385" s="95">
        <v>10538</v>
      </c>
      <c r="E385" s="95">
        <v>24981</v>
      </c>
      <c r="F385" s="95">
        <v>967073056</v>
      </c>
      <c r="G385" s="95">
        <v>804813564</v>
      </c>
      <c r="H385" s="95">
        <v>1771886620</v>
      </c>
      <c r="I385" s="91" t="s">
        <v>171</v>
      </c>
      <c r="J385" s="91" t="s">
        <v>1115</v>
      </c>
      <c r="K385" s="94">
        <v>466805</v>
      </c>
      <c r="L385" s="91" t="s">
        <v>226</v>
      </c>
      <c r="M385" s="2"/>
      <c r="N385" s="2"/>
      <c r="O385" s="4"/>
    </row>
    <row r="386" spans="1:15" x14ac:dyDescent="0.2">
      <c r="A386" s="91" t="s">
        <v>223</v>
      </c>
      <c r="B386" s="91" t="s">
        <v>679</v>
      </c>
      <c r="C386" s="95">
        <v>848</v>
      </c>
      <c r="D386" s="95">
        <v>1512</v>
      </c>
      <c r="E386" s="95">
        <v>2360</v>
      </c>
      <c r="F386" s="95">
        <v>31891742</v>
      </c>
      <c r="G386" s="95">
        <v>70688286</v>
      </c>
      <c r="H386" s="95">
        <v>102580028</v>
      </c>
      <c r="I386" s="91" t="s">
        <v>71</v>
      </c>
      <c r="J386" s="91" t="s">
        <v>1122</v>
      </c>
      <c r="K386" s="94">
        <v>467092</v>
      </c>
      <c r="L386" s="91" t="s">
        <v>1152</v>
      </c>
      <c r="M386" s="2"/>
      <c r="N386" s="2"/>
      <c r="O386" s="4"/>
    </row>
    <row r="387" spans="1:15" x14ac:dyDescent="0.2">
      <c r="A387" s="91" t="s">
        <v>383</v>
      </c>
      <c r="B387" s="91" t="s">
        <v>548</v>
      </c>
      <c r="C387" s="95">
        <v>5109</v>
      </c>
      <c r="D387" s="95">
        <v>7218</v>
      </c>
      <c r="E387" s="95">
        <v>12327</v>
      </c>
      <c r="F387" s="95">
        <v>154751733</v>
      </c>
      <c r="G387" s="95">
        <v>293245319</v>
      </c>
      <c r="H387" s="95">
        <v>447997052</v>
      </c>
      <c r="I387" s="91" t="s">
        <v>71</v>
      </c>
      <c r="J387" s="91" t="s">
        <v>1121</v>
      </c>
      <c r="K387" s="94">
        <v>469692</v>
      </c>
      <c r="L387" s="91" t="s">
        <v>226</v>
      </c>
      <c r="M387" s="2"/>
      <c r="N387" s="2"/>
      <c r="O387" s="4"/>
    </row>
    <row r="388" spans="1:15" x14ac:dyDescent="0.2">
      <c r="A388" s="91" t="s">
        <v>229</v>
      </c>
      <c r="B388" s="91" t="s">
        <v>356</v>
      </c>
      <c r="C388" s="95">
        <v>4983</v>
      </c>
      <c r="D388" s="95">
        <v>4729</v>
      </c>
      <c r="E388" s="95">
        <v>9712</v>
      </c>
      <c r="F388" s="95">
        <v>154199309</v>
      </c>
      <c r="G388" s="95">
        <v>180067012</v>
      </c>
      <c r="H388" s="95">
        <v>334266321</v>
      </c>
      <c r="I388" s="91" t="s">
        <v>171</v>
      </c>
      <c r="J388" s="91" t="s">
        <v>1122</v>
      </c>
      <c r="K388" s="94">
        <v>469817</v>
      </c>
      <c r="L388" s="91" t="s">
        <v>277</v>
      </c>
      <c r="M388" s="2"/>
      <c r="N388" s="2"/>
      <c r="O388" s="4"/>
    </row>
    <row r="389" spans="1:15" x14ac:dyDescent="0.2">
      <c r="A389" s="91" t="s">
        <v>239</v>
      </c>
      <c r="B389" s="91" t="s">
        <v>511</v>
      </c>
      <c r="C389" s="95">
        <v>7</v>
      </c>
      <c r="D389" s="95">
        <v>20</v>
      </c>
      <c r="E389" s="95">
        <v>27</v>
      </c>
      <c r="F389" s="95">
        <v>210180</v>
      </c>
      <c r="G389" s="95">
        <v>969418</v>
      </c>
      <c r="H389" s="95">
        <v>1179598</v>
      </c>
      <c r="I389" s="91" t="s">
        <v>171</v>
      </c>
      <c r="J389" s="91" t="s">
        <v>1121</v>
      </c>
      <c r="K389" s="94">
        <v>470104</v>
      </c>
      <c r="L389" s="91" t="s">
        <v>203</v>
      </c>
      <c r="M389" s="2"/>
      <c r="N389" s="2"/>
      <c r="O389" s="4"/>
    </row>
    <row r="390" spans="1:15" x14ac:dyDescent="0.2">
      <c r="A390" s="91" t="s">
        <v>310</v>
      </c>
      <c r="B390" s="91" t="s">
        <v>326</v>
      </c>
      <c r="C390" s="95">
        <v>12164</v>
      </c>
      <c r="D390" s="95">
        <v>14625</v>
      </c>
      <c r="E390" s="95">
        <v>26789</v>
      </c>
      <c r="F390" s="95">
        <v>385052521</v>
      </c>
      <c r="G390" s="95">
        <v>589066466</v>
      </c>
      <c r="H390" s="95">
        <v>974118987</v>
      </c>
      <c r="I390" s="91" t="s">
        <v>171</v>
      </c>
      <c r="J390" s="91" t="s">
        <v>1121</v>
      </c>
      <c r="K390" s="94">
        <v>471052</v>
      </c>
      <c r="L390" s="91" t="s">
        <v>200</v>
      </c>
      <c r="M390" s="2"/>
      <c r="N390" s="2"/>
      <c r="O390" s="4"/>
    </row>
    <row r="391" spans="1:15" x14ac:dyDescent="0.2">
      <c r="A391" s="91" t="s">
        <v>487</v>
      </c>
      <c r="B391" s="91" t="s">
        <v>743</v>
      </c>
      <c r="C391" s="95">
        <v>631</v>
      </c>
      <c r="D391" s="95">
        <v>876</v>
      </c>
      <c r="E391" s="95">
        <v>1507</v>
      </c>
      <c r="F391" s="95">
        <v>7236793</v>
      </c>
      <c r="G391" s="95">
        <v>16107588</v>
      </c>
      <c r="H391" s="95">
        <v>23344381</v>
      </c>
      <c r="I391" s="91" t="s">
        <v>71</v>
      </c>
      <c r="J391" s="91" t="s">
        <v>1121</v>
      </c>
      <c r="K391" s="94">
        <v>473231</v>
      </c>
      <c r="L391" s="91" t="s">
        <v>289</v>
      </c>
      <c r="M391" s="2"/>
      <c r="N391" s="2"/>
      <c r="O391" s="4"/>
    </row>
    <row r="392" spans="1:15" x14ac:dyDescent="0.2">
      <c r="A392" s="91" t="s">
        <v>260</v>
      </c>
      <c r="B392" s="91" t="s">
        <v>705</v>
      </c>
      <c r="C392" s="95">
        <v>104</v>
      </c>
      <c r="D392" s="95">
        <v>169</v>
      </c>
      <c r="E392" s="95">
        <v>273</v>
      </c>
      <c r="F392" s="95">
        <v>2848125</v>
      </c>
      <c r="G392" s="95">
        <v>5479153</v>
      </c>
      <c r="H392" s="95">
        <v>8327279</v>
      </c>
      <c r="I392" s="91" t="s">
        <v>71</v>
      </c>
      <c r="J392" s="91" t="s">
        <v>1121</v>
      </c>
      <c r="K392" s="94">
        <v>473470</v>
      </c>
      <c r="L392" s="91" t="s">
        <v>682</v>
      </c>
      <c r="M392" s="2"/>
      <c r="N392" s="2"/>
      <c r="O392" s="4"/>
    </row>
    <row r="393" spans="1:15" x14ac:dyDescent="0.2">
      <c r="A393" s="91" t="s">
        <v>212</v>
      </c>
      <c r="B393" s="91" t="s">
        <v>600</v>
      </c>
      <c r="C393" s="95">
        <v>19371</v>
      </c>
      <c r="D393" s="95">
        <v>15631</v>
      </c>
      <c r="E393" s="95">
        <v>35002</v>
      </c>
      <c r="F393" s="95">
        <v>630111498</v>
      </c>
      <c r="G393" s="95">
        <v>583710414</v>
      </c>
      <c r="H393" s="95">
        <v>1213821913</v>
      </c>
      <c r="I393" s="91" t="s">
        <v>171</v>
      </c>
      <c r="J393" s="91" t="s">
        <v>1121</v>
      </c>
      <c r="K393" s="94">
        <v>475301</v>
      </c>
      <c r="L393" s="91" t="s">
        <v>277</v>
      </c>
      <c r="M393" s="2"/>
      <c r="N393" s="2"/>
      <c r="O393" s="4"/>
    </row>
    <row r="394" spans="1:15" x14ac:dyDescent="0.2">
      <c r="A394" s="91" t="s">
        <v>260</v>
      </c>
      <c r="B394" s="91" t="s">
        <v>943</v>
      </c>
      <c r="C394" s="95">
        <v>290</v>
      </c>
      <c r="D394" s="95">
        <v>347</v>
      </c>
      <c r="E394" s="95">
        <v>637</v>
      </c>
      <c r="F394" s="95">
        <v>5528775</v>
      </c>
      <c r="G394" s="95">
        <v>8455904</v>
      </c>
      <c r="H394" s="95">
        <v>13984679</v>
      </c>
      <c r="I394" s="91" t="s">
        <v>71</v>
      </c>
      <c r="J394" s="91" t="s">
        <v>1121</v>
      </c>
      <c r="K394" s="94">
        <v>475897</v>
      </c>
      <c r="L394" s="91" t="s">
        <v>454</v>
      </c>
      <c r="M394" s="2"/>
      <c r="N394" s="2"/>
      <c r="O394" s="4"/>
    </row>
    <row r="395" spans="1:15" x14ac:dyDescent="0.2">
      <c r="A395" s="91" t="s">
        <v>264</v>
      </c>
      <c r="B395" s="91" t="s">
        <v>537</v>
      </c>
      <c r="C395" s="95">
        <v>113</v>
      </c>
      <c r="D395" s="95">
        <v>217</v>
      </c>
      <c r="E395" s="95">
        <v>330</v>
      </c>
      <c r="F395" s="95">
        <v>4490735</v>
      </c>
      <c r="G395" s="95">
        <v>9978358</v>
      </c>
      <c r="H395" s="95">
        <v>14469093</v>
      </c>
      <c r="I395" s="91" t="s">
        <v>171</v>
      </c>
      <c r="J395" s="91" t="s">
        <v>1121</v>
      </c>
      <c r="K395" s="94">
        <v>476895</v>
      </c>
      <c r="L395" s="91" t="s">
        <v>538</v>
      </c>
      <c r="M395" s="2"/>
      <c r="N395" s="2"/>
      <c r="O395" s="4"/>
    </row>
    <row r="396" spans="1:15" x14ac:dyDescent="0.2">
      <c r="A396" s="91" t="s">
        <v>310</v>
      </c>
      <c r="B396" s="91" t="s">
        <v>815</v>
      </c>
      <c r="C396" s="95">
        <v>817</v>
      </c>
      <c r="D396" s="95">
        <v>1113</v>
      </c>
      <c r="E396" s="95">
        <v>1930</v>
      </c>
      <c r="F396" s="95">
        <v>24755597</v>
      </c>
      <c r="G396" s="95">
        <v>43131135</v>
      </c>
      <c r="H396" s="95">
        <v>67886732</v>
      </c>
      <c r="I396" s="91" t="s">
        <v>71</v>
      </c>
      <c r="J396" s="91" t="s">
        <v>1121</v>
      </c>
      <c r="K396" s="94">
        <v>477729</v>
      </c>
      <c r="L396" s="91" t="s">
        <v>580</v>
      </c>
      <c r="M396" s="2"/>
      <c r="N396" s="2"/>
      <c r="O396" s="4"/>
    </row>
    <row r="397" spans="1:15" x14ac:dyDescent="0.2">
      <c r="A397" s="91" t="s">
        <v>192</v>
      </c>
      <c r="B397" s="91" t="s">
        <v>232</v>
      </c>
      <c r="C397" s="95">
        <v>3951</v>
      </c>
      <c r="D397" s="95">
        <v>3746</v>
      </c>
      <c r="E397" s="95">
        <v>7697</v>
      </c>
      <c r="F397" s="95">
        <v>167271879</v>
      </c>
      <c r="G397" s="95">
        <v>202515242</v>
      </c>
      <c r="H397" s="95">
        <v>369787121</v>
      </c>
      <c r="I397" s="91" t="s">
        <v>171</v>
      </c>
      <c r="J397" s="91" t="s">
        <v>1122</v>
      </c>
      <c r="K397" s="94">
        <v>478313</v>
      </c>
      <c r="L397" s="91" t="s">
        <v>233</v>
      </c>
      <c r="M397" s="2"/>
      <c r="N397" s="2"/>
      <c r="O397" s="4"/>
    </row>
    <row r="398" spans="1:15" x14ac:dyDescent="0.2">
      <c r="A398" s="91" t="s">
        <v>223</v>
      </c>
      <c r="B398" s="91" t="s">
        <v>643</v>
      </c>
      <c r="C398" s="95">
        <v>331</v>
      </c>
      <c r="D398" s="95">
        <v>420</v>
      </c>
      <c r="E398" s="95">
        <v>751</v>
      </c>
      <c r="F398" s="95">
        <v>8938709</v>
      </c>
      <c r="G398" s="95">
        <v>16194426</v>
      </c>
      <c r="H398" s="95">
        <v>25133135</v>
      </c>
      <c r="I398" s="91" t="s">
        <v>71</v>
      </c>
      <c r="J398" s="91" t="s">
        <v>1122</v>
      </c>
      <c r="K398" s="94">
        <v>479436</v>
      </c>
      <c r="L398" s="91" t="s">
        <v>553</v>
      </c>
      <c r="M398" s="2"/>
      <c r="N398" s="2"/>
      <c r="O398" s="4"/>
    </row>
    <row r="399" spans="1:15" x14ac:dyDescent="0.2">
      <c r="A399" s="91" t="s">
        <v>212</v>
      </c>
      <c r="B399" s="91" t="s">
        <v>441</v>
      </c>
      <c r="C399" s="95">
        <v>6385</v>
      </c>
      <c r="D399" s="95">
        <v>6117</v>
      </c>
      <c r="E399" s="95">
        <v>12502</v>
      </c>
      <c r="F399" s="95">
        <v>262611622</v>
      </c>
      <c r="G399" s="95">
        <v>298188465</v>
      </c>
      <c r="H399" s="95">
        <v>560800088</v>
      </c>
      <c r="I399" s="91" t="s">
        <v>71</v>
      </c>
      <c r="J399" s="91" t="s">
        <v>1121</v>
      </c>
      <c r="K399" s="94">
        <v>479550</v>
      </c>
      <c r="L399" s="91" t="s">
        <v>242</v>
      </c>
      <c r="M399" s="2"/>
      <c r="N399" s="2"/>
      <c r="O399" s="4"/>
    </row>
    <row r="400" spans="1:15" x14ac:dyDescent="0.2">
      <c r="A400" s="91" t="s">
        <v>237</v>
      </c>
      <c r="B400" s="91" t="s">
        <v>323</v>
      </c>
      <c r="C400" s="95">
        <v>176</v>
      </c>
      <c r="D400" s="95">
        <v>295</v>
      </c>
      <c r="E400" s="95">
        <v>471</v>
      </c>
      <c r="F400" s="95">
        <v>6609748</v>
      </c>
      <c r="G400" s="95">
        <v>12626381</v>
      </c>
      <c r="H400" s="95">
        <v>19236129</v>
      </c>
      <c r="I400" s="91" t="s">
        <v>171</v>
      </c>
      <c r="J400" s="91" t="s">
        <v>1121</v>
      </c>
      <c r="K400" s="94">
        <v>479840</v>
      </c>
      <c r="L400" s="91" t="s">
        <v>203</v>
      </c>
      <c r="M400" s="2"/>
      <c r="N400" s="2"/>
      <c r="O400" s="4"/>
    </row>
    <row r="401" spans="1:15" x14ac:dyDescent="0.2">
      <c r="A401" s="91" t="s">
        <v>173</v>
      </c>
      <c r="B401" s="91" t="s">
        <v>608</v>
      </c>
      <c r="C401" s="95">
        <v>605</v>
      </c>
      <c r="D401" s="95">
        <v>507</v>
      </c>
      <c r="E401" s="95">
        <v>1112</v>
      </c>
      <c r="F401" s="95">
        <v>13634848</v>
      </c>
      <c r="G401" s="95">
        <v>13192768</v>
      </c>
      <c r="H401" s="95">
        <v>26827615</v>
      </c>
      <c r="I401" s="91" t="s">
        <v>71</v>
      </c>
      <c r="J401" s="91" t="s">
        <v>1118</v>
      </c>
      <c r="K401" s="94">
        <v>480145</v>
      </c>
      <c r="L401" s="91" t="s">
        <v>431</v>
      </c>
      <c r="M401" s="2"/>
      <c r="N401" s="2"/>
      <c r="O401" s="4"/>
    </row>
    <row r="402" spans="1:15" x14ac:dyDescent="0.2">
      <c r="A402" s="91" t="s">
        <v>383</v>
      </c>
      <c r="B402" s="91" t="s">
        <v>699</v>
      </c>
      <c r="C402" s="95">
        <v>1788</v>
      </c>
      <c r="D402" s="95">
        <v>3480</v>
      </c>
      <c r="E402" s="95">
        <v>5268</v>
      </c>
      <c r="F402" s="95">
        <v>99640292</v>
      </c>
      <c r="G402" s="95">
        <v>226844466</v>
      </c>
      <c r="H402" s="95">
        <v>326484758</v>
      </c>
      <c r="I402" s="91" t="s">
        <v>71</v>
      </c>
      <c r="J402" s="91" t="s">
        <v>1121</v>
      </c>
      <c r="K402" s="94">
        <v>481671</v>
      </c>
      <c r="L402" s="91" t="s">
        <v>275</v>
      </c>
      <c r="M402" s="2"/>
      <c r="N402" s="2"/>
      <c r="O402" s="4"/>
    </row>
    <row r="403" spans="1:15" x14ac:dyDescent="0.2">
      <c r="A403" s="91" t="s">
        <v>370</v>
      </c>
      <c r="B403" s="91" t="s">
        <v>870</v>
      </c>
      <c r="C403" s="95">
        <v>2435</v>
      </c>
      <c r="D403" s="95">
        <v>3730</v>
      </c>
      <c r="E403" s="95">
        <v>6165</v>
      </c>
      <c r="F403" s="95">
        <v>37435814</v>
      </c>
      <c r="G403" s="95">
        <v>74882692</v>
      </c>
      <c r="H403" s="95">
        <v>112318506</v>
      </c>
      <c r="I403" s="91" t="s">
        <v>71</v>
      </c>
      <c r="J403" s="91" t="s">
        <v>1121</v>
      </c>
      <c r="K403" s="94">
        <v>481911</v>
      </c>
      <c r="L403" s="91" t="s">
        <v>768</v>
      </c>
      <c r="M403" s="2"/>
      <c r="N403" s="2"/>
      <c r="O403" s="4"/>
    </row>
    <row r="404" spans="1:15" x14ac:dyDescent="0.2">
      <c r="A404" s="91" t="s">
        <v>173</v>
      </c>
      <c r="B404" s="91" t="s">
        <v>969</v>
      </c>
      <c r="C404" s="95">
        <v>222</v>
      </c>
      <c r="D404" s="95">
        <v>369</v>
      </c>
      <c r="E404" s="95">
        <v>591</v>
      </c>
      <c r="F404" s="95">
        <v>24158581</v>
      </c>
      <c r="G404" s="95">
        <v>43273733</v>
      </c>
      <c r="H404" s="95">
        <v>67432314</v>
      </c>
      <c r="I404" s="91" t="s">
        <v>171</v>
      </c>
      <c r="J404" s="91" t="s">
        <v>1118</v>
      </c>
      <c r="K404" s="94">
        <v>482919</v>
      </c>
      <c r="L404" s="91" t="s">
        <v>672</v>
      </c>
      <c r="M404" s="2"/>
      <c r="N404" s="2"/>
      <c r="O404" s="4"/>
    </row>
    <row r="405" spans="1:15" x14ac:dyDescent="0.2">
      <c r="A405" s="91" t="s">
        <v>188</v>
      </c>
      <c r="B405" s="91" t="s">
        <v>434</v>
      </c>
      <c r="C405" s="95">
        <v>487</v>
      </c>
      <c r="D405" s="95">
        <v>551</v>
      </c>
      <c r="E405" s="95">
        <v>1038</v>
      </c>
      <c r="F405" s="95">
        <v>17379333</v>
      </c>
      <c r="G405" s="95">
        <v>25803844</v>
      </c>
      <c r="H405" s="95">
        <v>43183177</v>
      </c>
      <c r="I405" s="91" t="s">
        <v>171</v>
      </c>
      <c r="J405" s="91" t="s">
        <v>1122</v>
      </c>
      <c r="K405" s="94">
        <v>483099</v>
      </c>
      <c r="L405" s="91" t="s">
        <v>293</v>
      </c>
      <c r="M405" s="2"/>
      <c r="N405" s="2"/>
      <c r="O405" s="4"/>
    </row>
    <row r="406" spans="1:15" x14ac:dyDescent="0.2">
      <c r="A406" s="91" t="s">
        <v>223</v>
      </c>
      <c r="B406" s="91" t="s">
        <v>488</v>
      </c>
      <c r="C406" s="95">
        <v>443</v>
      </c>
      <c r="D406" s="95">
        <v>482</v>
      </c>
      <c r="E406" s="95">
        <v>925</v>
      </c>
      <c r="F406" s="95">
        <v>9420177</v>
      </c>
      <c r="G406" s="95">
        <v>15164326</v>
      </c>
      <c r="H406" s="95">
        <v>24584503</v>
      </c>
      <c r="I406" s="91" t="s">
        <v>71</v>
      </c>
      <c r="J406" s="91" t="s">
        <v>1122</v>
      </c>
      <c r="K406" s="94">
        <v>483800</v>
      </c>
      <c r="L406" s="91" t="s">
        <v>489</v>
      </c>
      <c r="M406" s="2"/>
      <c r="N406" s="2"/>
      <c r="O406" s="4"/>
    </row>
    <row r="407" spans="1:15" x14ac:dyDescent="0.2">
      <c r="A407" s="91" t="s">
        <v>410</v>
      </c>
      <c r="B407" s="91" t="s">
        <v>481</v>
      </c>
      <c r="C407" s="95">
        <v>2599</v>
      </c>
      <c r="D407" s="95">
        <v>2497</v>
      </c>
      <c r="E407" s="95">
        <v>5096</v>
      </c>
      <c r="F407" s="95">
        <v>98016216</v>
      </c>
      <c r="G407" s="95">
        <v>115464644</v>
      </c>
      <c r="H407" s="95">
        <v>213480861</v>
      </c>
      <c r="I407" s="91" t="s">
        <v>171</v>
      </c>
      <c r="J407" s="91" t="s">
        <v>1121</v>
      </c>
      <c r="K407" s="94">
        <v>484923</v>
      </c>
      <c r="L407" s="91" t="s">
        <v>249</v>
      </c>
      <c r="M407" s="2"/>
      <c r="N407" s="2"/>
      <c r="O407" s="4"/>
    </row>
    <row r="408" spans="1:15" x14ac:dyDescent="0.2">
      <c r="A408" s="91" t="s">
        <v>410</v>
      </c>
      <c r="B408" s="91" t="s">
        <v>791</v>
      </c>
      <c r="C408" s="95">
        <v>1369</v>
      </c>
      <c r="D408" s="95">
        <v>1592</v>
      </c>
      <c r="E408" s="95">
        <v>2961</v>
      </c>
      <c r="F408" s="95">
        <v>62262415</v>
      </c>
      <c r="G408" s="95">
        <v>93228946</v>
      </c>
      <c r="H408" s="95">
        <v>155491361</v>
      </c>
      <c r="I408" s="91" t="s">
        <v>171</v>
      </c>
      <c r="J408" s="91" t="s">
        <v>1121</v>
      </c>
      <c r="K408" s="94">
        <v>484980</v>
      </c>
      <c r="L408" s="91" t="s">
        <v>216</v>
      </c>
      <c r="M408" s="2"/>
      <c r="N408" s="2"/>
      <c r="O408" s="4"/>
    </row>
    <row r="409" spans="1:15" x14ac:dyDescent="0.2">
      <c r="A409" s="91" t="s">
        <v>370</v>
      </c>
      <c r="B409" s="91" t="s">
        <v>1130</v>
      </c>
      <c r="C409" s="95">
        <v>10</v>
      </c>
      <c r="D409" s="95">
        <v>30</v>
      </c>
      <c r="E409" s="95">
        <v>40</v>
      </c>
      <c r="F409" s="95">
        <v>275737</v>
      </c>
      <c r="G409" s="95">
        <v>1715687</v>
      </c>
      <c r="H409" s="95">
        <v>1991424</v>
      </c>
      <c r="I409" s="91" t="s">
        <v>171</v>
      </c>
      <c r="J409" s="91" t="s">
        <v>1121</v>
      </c>
      <c r="K409" s="94">
        <v>487108</v>
      </c>
      <c r="L409" s="91" t="s">
        <v>564</v>
      </c>
      <c r="M409" s="2"/>
      <c r="N409" s="2"/>
      <c r="O409" s="4"/>
    </row>
    <row r="410" spans="1:15" x14ac:dyDescent="0.2">
      <c r="A410" s="91" t="s">
        <v>212</v>
      </c>
      <c r="B410" s="91" t="s">
        <v>823</v>
      </c>
      <c r="C410" s="95">
        <v>1588</v>
      </c>
      <c r="D410" s="95">
        <v>1354</v>
      </c>
      <c r="E410" s="95">
        <v>2942</v>
      </c>
      <c r="F410" s="95">
        <v>46156176</v>
      </c>
      <c r="G410" s="95">
        <v>48442959</v>
      </c>
      <c r="H410" s="95">
        <v>94599135</v>
      </c>
      <c r="I410" s="91" t="s">
        <v>71</v>
      </c>
      <c r="J410" s="91" t="s">
        <v>1121</v>
      </c>
      <c r="K410" s="94">
        <v>488932</v>
      </c>
      <c r="L410" s="91" t="s">
        <v>535</v>
      </c>
      <c r="M410" s="2"/>
      <c r="N410" s="2"/>
      <c r="O410" s="4"/>
    </row>
    <row r="411" spans="1:15" x14ac:dyDescent="0.2">
      <c r="A411" s="91" t="s">
        <v>413</v>
      </c>
      <c r="B411" s="91" t="s">
        <v>1109</v>
      </c>
      <c r="C411" s="95">
        <v>5</v>
      </c>
      <c r="D411" s="95">
        <v>9</v>
      </c>
      <c r="E411" s="95">
        <v>14</v>
      </c>
      <c r="F411" s="95">
        <v>81227</v>
      </c>
      <c r="G411" s="95">
        <v>185839</v>
      </c>
      <c r="H411" s="95">
        <v>267067</v>
      </c>
      <c r="I411" s="91" t="s">
        <v>71</v>
      </c>
      <c r="J411" s="91" t="s">
        <v>1121</v>
      </c>
      <c r="K411" s="94">
        <v>490235</v>
      </c>
      <c r="L411" s="91" t="s">
        <v>1110</v>
      </c>
      <c r="M411" s="2"/>
      <c r="N411" s="2"/>
      <c r="O411" s="4"/>
    </row>
    <row r="412" spans="1:15" x14ac:dyDescent="0.2">
      <c r="A412" s="91" t="s">
        <v>264</v>
      </c>
      <c r="B412" s="91" t="s">
        <v>527</v>
      </c>
      <c r="C412" s="95">
        <v>2264</v>
      </c>
      <c r="D412" s="95">
        <v>2838</v>
      </c>
      <c r="E412" s="95">
        <v>5102</v>
      </c>
      <c r="F412" s="95">
        <v>95326635</v>
      </c>
      <c r="G412" s="95">
        <v>144494750</v>
      </c>
      <c r="H412" s="95">
        <v>239821385</v>
      </c>
      <c r="I412" s="91" t="s">
        <v>171</v>
      </c>
      <c r="J412" s="91" t="s">
        <v>1121</v>
      </c>
      <c r="K412" s="94">
        <v>490292</v>
      </c>
      <c r="L412" s="91" t="s">
        <v>233</v>
      </c>
      <c r="M412" s="2"/>
      <c r="N412" s="2"/>
      <c r="O412" s="4"/>
    </row>
    <row r="413" spans="1:15" x14ac:dyDescent="0.2">
      <c r="A413" s="91" t="s">
        <v>370</v>
      </c>
      <c r="B413" s="91" t="s">
        <v>843</v>
      </c>
      <c r="C413" s="95">
        <v>48</v>
      </c>
      <c r="D413" s="95">
        <v>54</v>
      </c>
      <c r="E413" s="95">
        <v>102</v>
      </c>
      <c r="F413" s="95">
        <v>1683533</v>
      </c>
      <c r="G413" s="95">
        <v>1966678</v>
      </c>
      <c r="H413" s="95">
        <v>3650211</v>
      </c>
      <c r="I413" s="91" t="s">
        <v>71</v>
      </c>
      <c r="J413" s="91" t="s">
        <v>1121</v>
      </c>
      <c r="K413" s="94">
        <v>490763</v>
      </c>
      <c r="L413" s="91" t="s">
        <v>844</v>
      </c>
      <c r="M413" s="2"/>
      <c r="N413" s="2"/>
      <c r="O413" s="4"/>
    </row>
    <row r="414" spans="1:15" x14ac:dyDescent="0.2">
      <c r="A414" s="91" t="s">
        <v>260</v>
      </c>
      <c r="B414" s="91" t="s">
        <v>515</v>
      </c>
      <c r="C414" s="95">
        <v>16808</v>
      </c>
      <c r="D414" s="95">
        <v>17483</v>
      </c>
      <c r="E414" s="95">
        <v>34291</v>
      </c>
      <c r="F414" s="95">
        <v>483467788</v>
      </c>
      <c r="G414" s="95">
        <v>578735302</v>
      </c>
      <c r="H414" s="95">
        <v>1062203089</v>
      </c>
      <c r="I414" s="91" t="s">
        <v>171</v>
      </c>
      <c r="J414" s="91" t="s">
        <v>1121</v>
      </c>
      <c r="K414" s="94">
        <v>492306</v>
      </c>
      <c r="L414" s="91" t="s">
        <v>203</v>
      </c>
      <c r="M414" s="2"/>
      <c r="N414" s="2"/>
      <c r="O414" s="4"/>
    </row>
    <row r="415" spans="1:15" x14ac:dyDescent="0.2">
      <c r="A415" s="91" t="s">
        <v>223</v>
      </c>
      <c r="B415" s="91" t="s">
        <v>1128</v>
      </c>
      <c r="C415" s="95">
        <v>20</v>
      </c>
      <c r="D415" s="95">
        <v>49</v>
      </c>
      <c r="E415" s="95">
        <v>69</v>
      </c>
      <c r="F415" s="95">
        <v>714638</v>
      </c>
      <c r="G415" s="95">
        <v>1457441</v>
      </c>
      <c r="H415" s="95">
        <v>2172079</v>
      </c>
      <c r="I415" s="91" t="s">
        <v>71</v>
      </c>
      <c r="J415" s="91" t="s">
        <v>1122</v>
      </c>
      <c r="K415" s="94">
        <v>492595</v>
      </c>
      <c r="L415" s="91" t="s">
        <v>464</v>
      </c>
      <c r="M415" s="2"/>
      <c r="N415" s="2"/>
      <c r="O415" s="4"/>
    </row>
    <row r="416" spans="1:15" x14ac:dyDescent="0.2">
      <c r="A416" s="91" t="s">
        <v>310</v>
      </c>
      <c r="B416" s="91" t="s">
        <v>459</v>
      </c>
      <c r="C416" s="95">
        <v>4038</v>
      </c>
      <c r="D416" s="95">
        <v>4228</v>
      </c>
      <c r="E416" s="95">
        <v>8266</v>
      </c>
      <c r="F416" s="95">
        <v>104067700</v>
      </c>
      <c r="G416" s="95">
        <v>141506024</v>
      </c>
      <c r="H416" s="95">
        <v>245573724</v>
      </c>
      <c r="I416" s="91" t="s">
        <v>71</v>
      </c>
      <c r="J416" s="91" t="s">
        <v>1121</v>
      </c>
      <c r="K416" s="94">
        <v>494427</v>
      </c>
      <c r="L416" s="91" t="s">
        <v>226</v>
      </c>
      <c r="M416" s="2"/>
      <c r="N416" s="2"/>
      <c r="O416" s="4"/>
    </row>
    <row r="417" spans="1:15" x14ac:dyDescent="0.2">
      <c r="A417" s="91" t="s">
        <v>229</v>
      </c>
      <c r="B417" s="91" t="s">
        <v>288</v>
      </c>
      <c r="C417" s="95">
        <v>1456</v>
      </c>
      <c r="D417" s="95">
        <v>1561</v>
      </c>
      <c r="E417" s="95">
        <v>3017</v>
      </c>
      <c r="F417" s="95">
        <v>53035863</v>
      </c>
      <c r="G417" s="95">
        <v>67016344</v>
      </c>
      <c r="H417" s="95">
        <v>120052207</v>
      </c>
      <c r="I417" s="91" t="s">
        <v>71</v>
      </c>
      <c r="J417" s="91" t="s">
        <v>1122</v>
      </c>
      <c r="K417" s="94">
        <v>496497</v>
      </c>
      <c r="L417" s="91" t="s">
        <v>289</v>
      </c>
      <c r="M417" s="2"/>
      <c r="N417" s="2"/>
      <c r="O417" s="4"/>
    </row>
    <row r="418" spans="1:15" x14ac:dyDescent="0.2">
      <c r="A418" s="91" t="s">
        <v>182</v>
      </c>
      <c r="B418" s="91" t="s">
        <v>298</v>
      </c>
      <c r="C418" s="95">
        <v>41576</v>
      </c>
      <c r="D418" s="95">
        <v>30200</v>
      </c>
      <c r="E418" s="95">
        <v>71776</v>
      </c>
      <c r="F418" s="95">
        <v>2754540640</v>
      </c>
      <c r="G418" s="95">
        <v>2372389945</v>
      </c>
      <c r="H418" s="95">
        <v>5126930585</v>
      </c>
      <c r="I418" s="91" t="s">
        <v>171</v>
      </c>
      <c r="J418" s="91" t="s">
        <v>1115</v>
      </c>
      <c r="K418" s="94">
        <v>498972</v>
      </c>
      <c r="L418" s="91" t="s">
        <v>209</v>
      </c>
      <c r="M418" s="2"/>
      <c r="N418" s="2"/>
      <c r="O418" s="4"/>
    </row>
    <row r="419" spans="1:15" x14ac:dyDescent="0.2">
      <c r="A419" s="91" t="s">
        <v>173</v>
      </c>
      <c r="B419" s="91" t="s">
        <v>540</v>
      </c>
      <c r="C419" s="95">
        <v>2570</v>
      </c>
      <c r="D419" s="95">
        <v>2118</v>
      </c>
      <c r="E419" s="95">
        <v>4688</v>
      </c>
      <c r="F419" s="95">
        <v>311677500</v>
      </c>
      <c r="G419" s="95">
        <v>307321612</v>
      </c>
      <c r="H419" s="95">
        <v>618999112</v>
      </c>
      <c r="I419" s="91" t="s">
        <v>171</v>
      </c>
      <c r="J419" s="91" t="s">
        <v>1118</v>
      </c>
      <c r="K419" s="94">
        <v>499913</v>
      </c>
      <c r="L419" s="91" t="s">
        <v>305</v>
      </c>
      <c r="M419" s="2"/>
      <c r="N419" s="2"/>
      <c r="O419" s="4"/>
    </row>
    <row r="420" spans="1:15" x14ac:dyDescent="0.2">
      <c r="A420" s="91" t="s">
        <v>379</v>
      </c>
      <c r="B420" s="91" t="s">
        <v>698</v>
      </c>
      <c r="C420" s="95">
        <v>35703</v>
      </c>
      <c r="D420" s="95">
        <v>45591</v>
      </c>
      <c r="E420" s="95">
        <v>81294</v>
      </c>
      <c r="F420" s="95">
        <v>1142760334</v>
      </c>
      <c r="G420" s="95">
        <v>1839124360</v>
      </c>
      <c r="H420" s="95">
        <v>2981884694</v>
      </c>
      <c r="I420" s="91" t="s">
        <v>71</v>
      </c>
      <c r="J420" s="91" t="s">
        <v>1121</v>
      </c>
      <c r="K420" s="94">
        <v>501981</v>
      </c>
      <c r="L420" s="91" t="s">
        <v>207</v>
      </c>
      <c r="M420" s="2"/>
      <c r="N420" s="2"/>
      <c r="O420" s="4"/>
    </row>
    <row r="421" spans="1:15" x14ac:dyDescent="0.2">
      <c r="A421" s="91" t="s">
        <v>179</v>
      </c>
      <c r="B421" s="91" t="s">
        <v>321</v>
      </c>
      <c r="C421" s="95">
        <v>9778</v>
      </c>
      <c r="D421" s="95">
        <v>7062</v>
      </c>
      <c r="E421" s="95">
        <v>16840</v>
      </c>
      <c r="F421" s="95">
        <v>201068151</v>
      </c>
      <c r="G421" s="95">
        <v>177838689</v>
      </c>
      <c r="H421" s="95">
        <v>378906841</v>
      </c>
      <c r="I421" s="91" t="s">
        <v>171</v>
      </c>
      <c r="J421" s="91" t="s">
        <v>1115</v>
      </c>
      <c r="K421" s="94">
        <v>502633</v>
      </c>
      <c r="L421" s="91" t="s">
        <v>226</v>
      </c>
      <c r="M421" s="2"/>
      <c r="N421" s="2"/>
      <c r="O421" s="4"/>
    </row>
    <row r="422" spans="1:15" x14ac:dyDescent="0.2">
      <c r="A422" s="91" t="s">
        <v>370</v>
      </c>
      <c r="B422" s="91" t="s">
        <v>884</v>
      </c>
      <c r="C422" s="95">
        <v>23</v>
      </c>
      <c r="D422" s="95">
        <v>98</v>
      </c>
      <c r="E422" s="95">
        <v>121</v>
      </c>
      <c r="F422" s="95">
        <v>531319</v>
      </c>
      <c r="G422" s="95">
        <v>3072705</v>
      </c>
      <c r="H422" s="95">
        <v>3604024</v>
      </c>
      <c r="I422" s="91" t="s">
        <v>71</v>
      </c>
      <c r="J422" s="91" t="s">
        <v>1121</v>
      </c>
      <c r="K422" s="94">
        <v>502922</v>
      </c>
      <c r="L422" s="91" t="s">
        <v>1152</v>
      </c>
      <c r="M422" s="2"/>
      <c r="N422" s="2"/>
      <c r="O422" s="4"/>
    </row>
    <row r="423" spans="1:15" x14ac:dyDescent="0.2">
      <c r="A423" s="91" t="s">
        <v>212</v>
      </c>
      <c r="B423" s="91" t="s">
        <v>584</v>
      </c>
      <c r="C423" s="95">
        <v>935</v>
      </c>
      <c r="D423" s="95">
        <v>1210</v>
      </c>
      <c r="E423" s="95">
        <v>2145</v>
      </c>
      <c r="F423" s="95">
        <v>26007623</v>
      </c>
      <c r="G423" s="95">
        <v>43539025</v>
      </c>
      <c r="H423" s="95">
        <v>69546648</v>
      </c>
      <c r="I423" s="91" t="s">
        <v>71</v>
      </c>
      <c r="J423" s="91" t="s">
        <v>1121</v>
      </c>
      <c r="K423" s="94">
        <v>503573</v>
      </c>
      <c r="L423" s="91" t="s">
        <v>275</v>
      </c>
      <c r="M423" s="2"/>
      <c r="N423" s="2"/>
      <c r="O423" s="4"/>
    </row>
    <row r="424" spans="1:15" x14ac:dyDescent="0.2">
      <c r="A424" s="91" t="s">
        <v>310</v>
      </c>
      <c r="B424" s="91" t="s">
        <v>1125</v>
      </c>
      <c r="C424" s="95">
        <v>27</v>
      </c>
      <c r="D424" s="95">
        <v>31</v>
      </c>
      <c r="E424" s="95">
        <v>58</v>
      </c>
      <c r="F424" s="95">
        <v>753379</v>
      </c>
      <c r="G424" s="95">
        <v>1123128</v>
      </c>
      <c r="H424" s="95">
        <v>1876507</v>
      </c>
      <c r="I424" s="91" t="s">
        <v>171</v>
      </c>
      <c r="J424" s="91" t="s">
        <v>1121</v>
      </c>
      <c r="K424" s="94">
        <v>504100</v>
      </c>
      <c r="L424" s="91" t="s">
        <v>231</v>
      </c>
      <c r="M424" s="2"/>
      <c r="N424" s="2"/>
      <c r="O424" s="4"/>
    </row>
    <row r="425" spans="1:15" x14ac:dyDescent="0.2">
      <c r="A425" s="91" t="s">
        <v>383</v>
      </c>
      <c r="B425" s="91" t="s">
        <v>638</v>
      </c>
      <c r="C425" s="95">
        <v>9895</v>
      </c>
      <c r="D425" s="95">
        <v>15269</v>
      </c>
      <c r="E425" s="95">
        <v>25164</v>
      </c>
      <c r="F425" s="95">
        <v>402117846</v>
      </c>
      <c r="G425" s="95">
        <v>792954556</v>
      </c>
      <c r="H425" s="95">
        <v>1195072402</v>
      </c>
      <c r="I425" s="91" t="s">
        <v>171</v>
      </c>
      <c r="J425" s="91" t="s">
        <v>1121</v>
      </c>
      <c r="K425" s="94">
        <v>505586</v>
      </c>
      <c r="L425" s="91" t="s">
        <v>221</v>
      </c>
      <c r="M425" s="2"/>
      <c r="N425" s="2"/>
      <c r="O425" s="4"/>
    </row>
    <row r="426" spans="1:15" x14ac:dyDescent="0.2">
      <c r="A426" s="91" t="s">
        <v>239</v>
      </c>
      <c r="B426" s="91" t="s">
        <v>328</v>
      </c>
      <c r="C426" s="95">
        <v>2708</v>
      </c>
      <c r="D426" s="95">
        <v>2934</v>
      </c>
      <c r="E426" s="95">
        <v>5642</v>
      </c>
      <c r="F426" s="95">
        <v>52365411</v>
      </c>
      <c r="G426" s="95">
        <v>73005142</v>
      </c>
      <c r="H426" s="95">
        <v>125370553</v>
      </c>
      <c r="I426" s="91" t="s">
        <v>171</v>
      </c>
      <c r="J426" s="91" t="s">
        <v>1121</v>
      </c>
      <c r="K426" s="94">
        <v>506881</v>
      </c>
      <c r="L426" s="91" t="s">
        <v>200</v>
      </c>
      <c r="M426" s="2"/>
      <c r="N426" s="2"/>
      <c r="O426" s="4"/>
    </row>
    <row r="427" spans="1:15" x14ac:dyDescent="0.2">
      <c r="A427" s="91" t="s">
        <v>223</v>
      </c>
      <c r="B427" s="91" t="s">
        <v>617</v>
      </c>
      <c r="C427" s="95">
        <v>48</v>
      </c>
      <c r="D427" s="95">
        <v>53</v>
      </c>
      <c r="E427" s="95">
        <v>101</v>
      </c>
      <c r="F427" s="95">
        <v>1609467</v>
      </c>
      <c r="G427" s="95">
        <v>1921269</v>
      </c>
      <c r="H427" s="95">
        <v>3530736</v>
      </c>
      <c r="I427" s="91" t="s">
        <v>71</v>
      </c>
      <c r="J427" s="91" t="s">
        <v>1122</v>
      </c>
      <c r="K427" s="94">
        <v>507236</v>
      </c>
      <c r="L427" s="91" t="s">
        <v>618</v>
      </c>
      <c r="M427" s="2"/>
      <c r="N427" s="2"/>
      <c r="O427" s="4"/>
    </row>
    <row r="428" spans="1:15" x14ac:dyDescent="0.2">
      <c r="A428" s="91" t="s">
        <v>245</v>
      </c>
      <c r="B428" s="91" t="s">
        <v>592</v>
      </c>
      <c r="C428" s="95">
        <v>16870</v>
      </c>
      <c r="D428" s="95">
        <v>21835</v>
      </c>
      <c r="E428" s="95">
        <v>38705</v>
      </c>
      <c r="F428" s="95">
        <v>590868797</v>
      </c>
      <c r="G428" s="95">
        <v>902362745</v>
      </c>
      <c r="H428" s="95">
        <v>1493231542</v>
      </c>
      <c r="I428" s="91" t="s">
        <v>171</v>
      </c>
      <c r="J428" s="91" t="s">
        <v>1121</v>
      </c>
      <c r="K428" s="94">
        <v>511139</v>
      </c>
      <c r="L428" s="91" t="s">
        <v>277</v>
      </c>
      <c r="M428" s="2"/>
      <c r="N428" s="2"/>
      <c r="O428" s="4"/>
    </row>
    <row r="429" spans="1:15" x14ac:dyDescent="0.2">
      <c r="A429" s="91" t="s">
        <v>223</v>
      </c>
      <c r="B429" s="91" t="s">
        <v>1112</v>
      </c>
      <c r="C429" s="95">
        <v>581</v>
      </c>
      <c r="D429" s="95">
        <v>1061</v>
      </c>
      <c r="E429" s="95">
        <v>1642</v>
      </c>
      <c r="F429" s="95">
        <v>25389519</v>
      </c>
      <c r="G429" s="95">
        <v>46738592</v>
      </c>
      <c r="H429" s="95">
        <v>72128110</v>
      </c>
      <c r="I429" s="91" t="s">
        <v>171</v>
      </c>
      <c r="J429" s="91" t="s">
        <v>1122</v>
      </c>
      <c r="K429" s="94">
        <v>515080</v>
      </c>
      <c r="L429" s="91" t="s">
        <v>1105</v>
      </c>
      <c r="M429" s="2"/>
      <c r="N429" s="2"/>
      <c r="O429" s="4"/>
    </row>
    <row r="430" spans="1:15" x14ac:dyDescent="0.2">
      <c r="A430" s="91" t="s">
        <v>223</v>
      </c>
      <c r="B430" s="91" t="s">
        <v>731</v>
      </c>
      <c r="C430" s="95">
        <v>121</v>
      </c>
      <c r="D430" s="95">
        <v>141</v>
      </c>
      <c r="E430" s="95">
        <v>262</v>
      </c>
      <c r="F430" s="95">
        <v>3653172</v>
      </c>
      <c r="G430" s="95">
        <v>4556076</v>
      </c>
      <c r="H430" s="95">
        <v>8209249</v>
      </c>
      <c r="I430" s="91" t="s">
        <v>71</v>
      </c>
      <c r="J430" s="91" t="s">
        <v>1122</v>
      </c>
      <c r="K430" s="94">
        <v>515148</v>
      </c>
      <c r="L430" s="91" t="s">
        <v>497</v>
      </c>
      <c r="M430" s="2"/>
      <c r="N430" s="2"/>
      <c r="O430" s="4"/>
    </row>
    <row r="431" spans="1:15" x14ac:dyDescent="0.2">
      <c r="A431" s="91" t="s">
        <v>383</v>
      </c>
      <c r="B431" s="91" t="s">
        <v>826</v>
      </c>
      <c r="C431" s="95">
        <v>53</v>
      </c>
      <c r="D431" s="95">
        <v>75</v>
      </c>
      <c r="E431" s="95">
        <v>128</v>
      </c>
      <c r="F431" s="95">
        <v>1393297</v>
      </c>
      <c r="G431" s="95">
        <v>2719144</v>
      </c>
      <c r="H431" s="95">
        <v>4112441</v>
      </c>
      <c r="I431" s="91" t="s">
        <v>71</v>
      </c>
      <c r="J431" s="91" t="s">
        <v>1121</v>
      </c>
      <c r="K431" s="94">
        <v>515262</v>
      </c>
      <c r="L431" s="91" t="s">
        <v>553</v>
      </c>
      <c r="M431" s="2"/>
      <c r="N431" s="2"/>
      <c r="O431" s="4"/>
    </row>
    <row r="432" spans="1:15" x14ac:dyDescent="0.2">
      <c r="A432" s="91" t="s">
        <v>237</v>
      </c>
      <c r="B432" s="91" t="s">
        <v>387</v>
      </c>
      <c r="C432" s="95">
        <v>293</v>
      </c>
      <c r="D432" s="95">
        <v>288</v>
      </c>
      <c r="E432" s="95">
        <v>581</v>
      </c>
      <c r="F432" s="95">
        <v>7735257</v>
      </c>
      <c r="G432" s="95">
        <v>9630392</v>
      </c>
      <c r="H432" s="95">
        <v>17365649</v>
      </c>
      <c r="I432" s="91" t="s">
        <v>71</v>
      </c>
      <c r="J432" s="91" t="s">
        <v>1121</v>
      </c>
      <c r="K432" s="94">
        <v>515387</v>
      </c>
      <c r="L432" s="91" t="s">
        <v>242</v>
      </c>
      <c r="M432" s="2"/>
      <c r="N432" s="2"/>
      <c r="O432" s="4"/>
    </row>
    <row r="433" spans="1:15" x14ac:dyDescent="0.2">
      <c r="A433" s="91" t="s">
        <v>331</v>
      </c>
      <c r="B433" s="91" t="s">
        <v>512</v>
      </c>
      <c r="C433" s="95">
        <v>824</v>
      </c>
      <c r="D433" s="95">
        <v>1278</v>
      </c>
      <c r="E433" s="95">
        <v>2102</v>
      </c>
      <c r="F433" s="95">
        <v>34811367</v>
      </c>
      <c r="G433" s="95">
        <v>65016379</v>
      </c>
      <c r="H433" s="95">
        <v>99827746</v>
      </c>
      <c r="I433" s="91" t="s">
        <v>171</v>
      </c>
      <c r="J433" s="91" t="s">
        <v>1121</v>
      </c>
      <c r="K433" s="94">
        <v>515676</v>
      </c>
      <c r="L433" s="91" t="s">
        <v>203</v>
      </c>
      <c r="M433" s="2"/>
      <c r="N433" s="2"/>
      <c r="O433" s="4"/>
    </row>
    <row r="434" spans="1:15" x14ac:dyDescent="0.2">
      <c r="A434" s="91" t="s">
        <v>223</v>
      </c>
      <c r="B434" s="91" t="s">
        <v>432</v>
      </c>
      <c r="C434" s="95">
        <v>704</v>
      </c>
      <c r="D434" s="95">
        <v>647</v>
      </c>
      <c r="E434" s="95">
        <v>1351</v>
      </c>
      <c r="F434" s="95">
        <v>18185997</v>
      </c>
      <c r="G434" s="95">
        <v>18979009</v>
      </c>
      <c r="H434" s="95">
        <v>37165006</v>
      </c>
      <c r="I434" s="91" t="s">
        <v>71</v>
      </c>
      <c r="J434" s="91" t="s">
        <v>1122</v>
      </c>
      <c r="K434" s="94">
        <v>515973</v>
      </c>
      <c r="L434" s="91" t="s">
        <v>431</v>
      </c>
      <c r="M434" s="2"/>
      <c r="N434" s="2"/>
      <c r="O434" s="4"/>
    </row>
    <row r="435" spans="1:15" x14ac:dyDescent="0.2">
      <c r="A435" s="91" t="s">
        <v>487</v>
      </c>
      <c r="B435" s="91" t="s">
        <v>1030</v>
      </c>
      <c r="C435" s="95">
        <v>10</v>
      </c>
      <c r="D435" s="95">
        <v>19</v>
      </c>
      <c r="E435" s="95">
        <v>29</v>
      </c>
      <c r="F435" s="95">
        <v>172166</v>
      </c>
      <c r="G435" s="95">
        <v>457016</v>
      </c>
      <c r="H435" s="95">
        <v>629182</v>
      </c>
      <c r="I435" s="91" t="s">
        <v>71</v>
      </c>
      <c r="J435" s="91" t="s">
        <v>1121</v>
      </c>
      <c r="K435" s="94">
        <v>516914</v>
      </c>
      <c r="L435" s="91" t="s">
        <v>1002</v>
      </c>
      <c r="M435" s="2"/>
      <c r="N435" s="2"/>
      <c r="O435" s="4"/>
    </row>
    <row r="436" spans="1:15" x14ac:dyDescent="0.2">
      <c r="A436" s="91" t="s">
        <v>404</v>
      </c>
      <c r="B436" s="91" t="s">
        <v>641</v>
      </c>
      <c r="C436" s="95">
        <v>435</v>
      </c>
      <c r="D436" s="95">
        <v>747</v>
      </c>
      <c r="E436" s="95">
        <v>1182</v>
      </c>
      <c r="F436" s="95">
        <v>18514379</v>
      </c>
      <c r="G436" s="95">
        <v>40728761</v>
      </c>
      <c r="H436" s="95">
        <v>59243140</v>
      </c>
      <c r="I436" s="91" t="s">
        <v>71</v>
      </c>
      <c r="J436" s="91" t="s">
        <v>1121</v>
      </c>
      <c r="K436" s="94">
        <v>517508</v>
      </c>
      <c r="L436" s="91" t="s">
        <v>625</v>
      </c>
      <c r="M436" s="2"/>
      <c r="N436" s="2"/>
      <c r="O436" s="4"/>
    </row>
    <row r="437" spans="1:15" x14ac:dyDescent="0.2">
      <c r="A437" s="91" t="s">
        <v>370</v>
      </c>
      <c r="B437" s="91" t="s">
        <v>883</v>
      </c>
      <c r="C437" s="95">
        <v>1302</v>
      </c>
      <c r="D437" s="95">
        <v>1754</v>
      </c>
      <c r="E437" s="95">
        <v>3056</v>
      </c>
      <c r="F437" s="95">
        <v>26817061</v>
      </c>
      <c r="G437" s="95">
        <v>47374839</v>
      </c>
      <c r="H437" s="95">
        <v>74191900</v>
      </c>
      <c r="I437" s="91" t="s">
        <v>71</v>
      </c>
      <c r="J437" s="91" t="s">
        <v>1121</v>
      </c>
      <c r="K437" s="94">
        <v>517748</v>
      </c>
      <c r="L437" s="91" t="s">
        <v>768</v>
      </c>
      <c r="M437" s="2"/>
      <c r="N437" s="2"/>
      <c r="O437" s="4"/>
    </row>
    <row r="438" spans="1:15" x14ac:dyDescent="0.2">
      <c r="A438" s="91" t="s">
        <v>245</v>
      </c>
      <c r="B438" s="91" t="s">
        <v>263</v>
      </c>
      <c r="C438" s="95">
        <v>4227</v>
      </c>
      <c r="D438" s="95">
        <v>6652</v>
      </c>
      <c r="E438" s="95">
        <v>10879</v>
      </c>
      <c r="F438" s="95">
        <v>194103641</v>
      </c>
      <c r="G438" s="95">
        <v>388688435</v>
      </c>
      <c r="H438" s="95">
        <v>582792075</v>
      </c>
      <c r="I438" s="91" t="s">
        <v>171</v>
      </c>
      <c r="J438" s="91" t="s">
        <v>1121</v>
      </c>
      <c r="K438" s="94">
        <v>520692</v>
      </c>
      <c r="L438" s="91" t="s">
        <v>196</v>
      </c>
      <c r="M438" s="2"/>
      <c r="N438" s="2"/>
      <c r="O438" s="4"/>
    </row>
    <row r="439" spans="1:15" x14ac:dyDescent="0.2">
      <c r="A439" s="91" t="s">
        <v>212</v>
      </c>
      <c r="B439" s="91" t="s">
        <v>1127</v>
      </c>
      <c r="C439" s="95">
        <v>2660</v>
      </c>
      <c r="D439" s="95">
        <v>2196</v>
      </c>
      <c r="E439" s="95">
        <v>4856</v>
      </c>
      <c r="F439" s="95">
        <v>102584634</v>
      </c>
      <c r="G439" s="95">
        <v>103567777</v>
      </c>
      <c r="H439" s="95">
        <v>206152411</v>
      </c>
      <c r="I439" s="91" t="s">
        <v>171</v>
      </c>
      <c r="J439" s="91" t="s">
        <v>1121</v>
      </c>
      <c r="K439" s="94">
        <v>520759</v>
      </c>
      <c r="L439" s="91" t="s">
        <v>249</v>
      </c>
      <c r="M439" s="2"/>
      <c r="N439" s="2"/>
      <c r="O439" s="4"/>
    </row>
    <row r="440" spans="1:15" x14ac:dyDescent="0.2">
      <c r="A440" s="91" t="s">
        <v>212</v>
      </c>
      <c r="B440" s="91" t="s">
        <v>510</v>
      </c>
      <c r="C440" s="95">
        <v>1357</v>
      </c>
      <c r="D440" s="95">
        <v>1075</v>
      </c>
      <c r="E440" s="95">
        <v>2432</v>
      </c>
      <c r="F440" s="95">
        <v>40486291</v>
      </c>
      <c r="G440" s="95">
        <v>40973140</v>
      </c>
      <c r="H440" s="95">
        <v>81459430</v>
      </c>
      <c r="I440" s="91" t="s">
        <v>171</v>
      </c>
      <c r="J440" s="91" t="s">
        <v>1121</v>
      </c>
      <c r="K440" s="94">
        <v>522581</v>
      </c>
      <c r="L440" s="91" t="s">
        <v>203</v>
      </c>
      <c r="M440" s="2"/>
      <c r="N440" s="2"/>
      <c r="O440" s="4"/>
    </row>
    <row r="441" spans="1:15" x14ac:dyDescent="0.2">
      <c r="A441" s="91" t="s">
        <v>212</v>
      </c>
      <c r="B441" s="91" t="s">
        <v>753</v>
      </c>
      <c r="C441" s="95">
        <v>8</v>
      </c>
      <c r="D441" s="95">
        <v>13</v>
      </c>
      <c r="E441" s="95">
        <v>21</v>
      </c>
      <c r="F441" s="95">
        <v>240232</v>
      </c>
      <c r="G441" s="95">
        <v>639992</v>
      </c>
      <c r="H441" s="95">
        <v>880224</v>
      </c>
      <c r="I441" s="91" t="s">
        <v>71</v>
      </c>
      <c r="J441" s="91" t="s">
        <v>1121</v>
      </c>
      <c r="K441" s="94">
        <v>523050</v>
      </c>
      <c r="L441" s="91" t="s">
        <v>495</v>
      </c>
      <c r="M441" s="2"/>
      <c r="N441" s="2"/>
      <c r="O441" s="4"/>
    </row>
    <row r="442" spans="1:15" x14ac:dyDescent="0.2">
      <c r="A442" s="91" t="s">
        <v>331</v>
      </c>
      <c r="B442" s="91" t="s">
        <v>796</v>
      </c>
      <c r="C442" s="95">
        <v>61</v>
      </c>
      <c r="D442" s="95">
        <v>113</v>
      </c>
      <c r="E442" s="95">
        <v>174</v>
      </c>
      <c r="F442" s="95">
        <v>2773199</v>
      </c>
      <c r="G442" s="95">
        <v>4361864</v>
      </c>
      <c r="H442" s="95">
        <v>7135063</v>
      </c>
      <c r="I442" s="91" t="s">
        <v>171</v>
      </c>
      <c r="J442" s="91" t="s">
        <v>1121</v>
      </c>
      <c r="K442" s="94">
        <v>524231</v>
      </c>
      <c r="L442" s="91" t="s">
        <v>749</v>
      </c>
      <c r="M442" s="2"/>
      <c r="N442" s="2"/>
      <c r="O442" s="4"/>
    </row>
    <row r="443" spans="1:15" x14ac:dyDescent="0.2">
      <c r="A443" s="91" t="s">
        <v>264</v>
      </c>
      <c r="B443" s="91" t="s">
        <v>1153</v>
      </c>
      <c r="C443" s="95">
        <v>7858</v>
      </c>
      <c r="D443" s="95">
        <v>10588</v>
      </c>
      <c r="E443" s="95">
        <v>18446</v>
      </c>
      <c r="F443" s="95">
        <v>228375164</v>
      </c>
      <c r="G443" s="95">
        <v>361475817</v>
      </c>
      <c r="H443" s="95">
        <v>589850982</v>
      </c>
      <c r="I443" s="91" t="s">
        <v>71</v>
      </c>
      <c r="J443" s="91" t="s">
        <v>1121</v>
      </c>
      <c r="K443" s="94">
        <v>524470</v>
      </c>
      <c r="L443" s="91" t="s">
        <v>362</v>
      </c>
      <c r="M443" s="2"/>
      <c r="N443" s="2"/>
      <c r="O443" s="4"/>
    </row>
    <row r="444" spans="1:15" x14ac:dyDescent="0.2">
      <c r="A444" s="91" t="s">
        <v>173</v>
      </c>
      <c r="B444" s="91" t="s">
        <v>1100</v>
      </c>
      <c r="C444" s="95">
        <v>294</v>
      </c>
      <c r="D444" s="95">
        <v>780</v>
      </c>
      <c r="E444" s="95">
        <v>1074</v>
      </c>
      <c r="F444" s="95">
        <v>24132808</v>
      </c>
      <c r="G444" s="95">
        <v>69509481</v>
      </c>
      <c r="H444" s="95">
        <v>93642290</v>
      </c>
      <c r="I444" s="91" t="s">
        <v>71</v>
      </c>
      <c r="J444" s="91" t="s">
        <v>1118</v>
      </c>
      <c r="K444" s="94">
        <v>524769</v>
      </c>
      <c r="L444" s="91" t="s">
        <v>1101</v>
      </c>
      <c r="M444" s="2"/>
      <c r="N444" s="2"/>
      <c r="O444" s="4"/>
    </row>
    <row r="445" spans="1:15" x14ac:dyDescent="0.2">
      <c r="A445" s="91" t="s">
        <v>370</v>
      </c>
      <c r="B445" s="91" t="s">
        <v>852</v>
      </c>
      <c r="C445" s="95">
        <v>20</v>
      </c>
      <c r="D445" s="95">
        <v>75</v>
      </c>
      <c r="E445" s="95">
        <v>95</v>
      </c>
      <c r="F445" s="95">
        <v>733309</v>
      </c>
      <c r="G445" s="95">
        <v>3441183</v>
      </c>
      <c r="H445" s="95">
        <v>4174492</v>
      </c>
      <c r="I445" s="91" t="s">
        <v>71</v>
      </c>
      <c r="J445" s="91" t="s">
        <v>1121</v>
      </c>
      <c r="K445" s="94">
        <v>526590</v>
      </c>
      <c r="L445" s="91" t="s">
        <v>844</v>
      </c>
      <c r="M445" s="2"/>
      <c r="N445" s="2"/>
      <c r="O445" s="4"/>
    </row>
    <row r="446" spans="1:15" x14ac:dyDescent="0.2">
      <c r="A446" s="91" t="s">
        <v>212</v>
      </c>
      <c r="B446" s="91" t="s">
        <v>814</v>
      </c>
      <c r="C446" s="95">
        <v>31</v>
      </c>
      <c r="D446" s="95">
        <v>22</v>
      </c>
      <c r="E446" s="95">
        <v>53</v>
      </c>
      <c r="F446" s="95">
        <v>697149</v>
      </c>
      <c r="G446" s="95">
        <v>622834</v>
      </c>
      <c r="H446" s="95">
        <v>1319983</v>
      </c>
      <c r="I446" s="91" t="s">
        <v>71</v>
      </c>
      <c r="J446" s="91" t="s">
        <v>1121</v>
      </c>
      <c r="K446" s="94">
        <v>526897</v>
      </c>
      <c r="L446" s="91" t="s">
        <v>495</v>
      </c>
      <c r="M446" s="2"/>
      <c r="N446" s="2"/>
      <c r="O446" s="4"/>
    </row>
    <row r="447" spans="1:15" x14ac:dyDescent="0.2">
      <c r="A447" s="91" t="s">
        <v>264</v>
      </c>
      <c r="B447" s="91" t="s">
        <v>455</v>
      </c>
      <c r="C447" s="95">
        <v>15214</v>
      </c>
      <c r="D447" s="95">
        <v>16217</v>
      </c>
      <c r="E447" s="95">
        <v>31431</v>
      </c>
      <c r="F447" s="95">
        <v>660225613</v>
      </c>
      <c r="G447" s="95">
        <v>854952323</v>
      </c>
      <c r="H447" s="95">
        <v>1515177936</v>
      </c>
      <c r="I447" s="91" t="s">
        <v>171</v>
      </c>
      <c r="J447" s="91" t="s">
        <v>1121</v>
      </c>
      <c r="K447" s="94">
        <v>528133</v>
      </c>
      <c r="L447" s="91" t="s">
        <v>203</v>
      </c>
      <c r="M447" s="2"/>
      <c r="N447" s="2"/>
      <c r="O447" s="4"/>
    </row>
    <row r="448" spans="1:15" x14ac:dyDescent="0.2">
      <c r="A448" s="91" t="s">
        <v>223</v>
      </c>
      <c r="B448" s="91" t="s">
        <v>463</v>
      </c>
      <c r="C448" s="95">
        <v>2</v>
      </c>
      <c r="D448" s="95">
        <v>6</v>
      </c>
      <c r="E448" s="95">
        <v>8</v>
      </c>
      <c r="F448" s="95">
        <v>146746</v>
      </c>
      <c r="G448" s="95">
        <v>302661</v>
      </c>
      <c r="H448" s="95">
        <v>449408</v>
      </c>
      <c r="I448" s="91" t="s">
        <v>71</v>
      </c>
      <c r="J448" s="91" t="s">
        <v>1122</v>
      </c>
      <c r="K448" s="94">
        <v>528422</v>
      </c>
      <c r="L448" s="91" t="s">
        <v>464</v>
      </c>
      <c r="M448" s="2"/>
      <c r="N448" s="2"/>
      <c r="O448" s="4"/>
    </row>
    <row r="449" spans="1:15" x14ac:dyDescent="0.2">
      <c r="A449" s="91" t="s">
        <v>697</v>
      </c>
      <c r="B449" s="91" t="s">
        <v>821</v>
      </c>
      <c r="C449" s="95">
        <v>1044</v>
      </c>
      <c r="D449" s="95">
        <v>1289</v>
      </c>
      <c r="E449" s="95">
        <v>2333</v>
      </c>
      <c r="F449" s="95">
        <v>26618710</v>
      </c>
      <c r="G449" s="95">
        <v>38554933</v>
      </c>
      <c r="H449" s="95">
        <v>65173643</v>
      </c>
      <c r="I449" s="91" t="s">
        <v>71</v>
      </c>
      <c r="J449" s="91" t="s">
        <v>1121</v>
      </c>
      <c r="K449" s="94">
        <v>529016</v>
      </c>
      <c r="L449" s="91" t="s">
        <v>535</v>
      </c>
      <c r="M449" s="2"/>
      <c r="N449" s="2"/>
      <c r="O449" s="4"/>
    </row>
    <row r="450" spans="1:15" x14ac:dyDescent="0.2">
      <c r="A450" s="91" t="s">
        <v>212</v>
      </c>
      <c r="B450" s="91" t="s">
        <v>915</v>
      </c>
      <c r="C450" s="95">
        <v>771</v>
      </c>
      <c r="D450" s="95">
        <v>840</v>
      </c>
      <c r="E450" s="95">
        <v>1611</v>
      </c>
      <c r="F450" s="95">
        <v>22945825</v>
      </c>
      <c r="G450" s="95">
        <v>30290533</v>
      </c>
      <c r="H450" s="95">
        <v>53236358</v>
      </c>
      <c r="I450" s="91" t="s">
        <v>71</v>
      </c>
      <c r="J450" s="91" t="s">
        <v>1121</v>
      </c>
      <c r="K450" s="94">
        <v>532325</v>
      </c>
      <c r="L450" s="91" t="s">
        <v>913</v>
      </c>
      <c r="M450" s="2"/>
      <c r="N450" s="2"/>
      <c r="O450" s="4"/>
    </row>
    <row r="451" spans="1:15" x14ac:dyDescent="0.2">
      <c r="A451" s="91" t="s">
        <v>379</v>
      </c>
      <c r="B451" s="91" t="s">
        <v>980</v>
      </c>
      <c r="C451" s="95">
        <v>0</v>
      </c>
      <c r="D451" s="95">
        <v>4</v>
      </c>
      <c r="E451" s="95">
        <v>4</v>
      </c>
      <c r="F451" s="95">
        <v>0</v>
      </c>
      <c r="G451" s="95">
        <v>101389</v>
      </c>
      <c r="H451" s="95">
        <v>101389</v>
      </c>
      <c r="I451" s="91" t="s">
        <v>71</v>
      </c>
      <c r="J451" s="91" t="s">
        <v>1121</v>
      </c>
      <c r="K451" s="94">
        <v>533919</v>
      </c>
      <c r="L451" s="91" t="s">
        <v>981</v>
      </c>
      <c r="M451" s="2"/>
      <c r="N451" s="2"/>
      <c r="O451" s="4"/>
    </row>
    <row r="452" spans="1:15" x14ac:dyDescent="0.2">
      <c r="A452" s="91" t="s">
        <v>379</v>
      </c>
      <c r="B452" s="91" t="s">
        <v>923</v>
      </c>
      <c r="C452" s="95">
        <v>1525</v>
      </c>
      <c r="D452" s="95">
        <v>2870</v>
      </c>
      <c r="E452" s="95">
        <v>4395</v>
      </c>
      <c r="F452" s="95">
        <v>41570349</v>
      </c>
      <c r="G452" s="95">
        <v>105878274</v>
      </c>
      <c r="H452" s="95">
        <v>147448622</v>
      </c>
      <c r="I452" s="91" t="s">
        <v>171</v>
      </c>
      <c r="J452" s="91" t="s">
        <v>1121</v>
      </c>
      <c r="K452" s="94">
        <v>534099</v>
      </c>
      <c r="L452" s="91" t="s">
        <v>216</v>
      </c>
      <c r="M452" s="2"/>
      <c r="N452" s="2"/>
      <c r="O452" s="4"/>
    </row>
    <row r="453" spans="1:15" x14ac:dyDescent="0.2">
      <c r="A453" s="91" t="s">
        <v>413</v>
      </c>
      <c r="B453" s="91" t="s">
        <v>1047</v>
      </c>
      <c r="C453" s="95">
        <v>3037</v>
      </c>
      <c r="D453" s="95">
        <v>3671</v>
      </c>
      <c r="E453" s="95">
        <v>6708</v>
      </c>
      <c r="F453" s="95">
        <v>74715309</v>
      </c>
      <c r="G453" s="95">
        <v>107092254</v>
      </c>
      <c r="H453" s="95">
        <v>181807562</v>
      </c>
      <c r="I453" s="91" t="s">
        <v>171</v>
      </c>
      <c r="J453" s="91" t="s">
        <v>1121</v>
      </c>
      <c r="K453" s="94">
        <v>534156</v>
      </c>
      <c r="L453" s="91" t="s">
        <v>749</v>
      </c>
      <c r="M453" s="2"/>
      <c r="N453" s="2"/>
      <c r="O453" s="4"/>
    </row>
    <row r="454" spans="1:15" x14ac:dyDescent="0.2">
      <c r="A454" s="91" t="s">
        <v>188</v>
      </c>
      <c r="B454" s="91" t="s">
        <v>208</v>
      </c>
      <c r="C454" s="95">
        <v>9249</v>
      </c>
      <c r="D454" s="95">
        <v>7655</v>
      </c>
      <c r="E454" s="95">
        <v>16904</v>
      </c>
      <c r="F454" s="95">
        <v>311993682</v>
      </c>
      <c r="G454" s="95">
        <v>341133691</v>
      </c>
      <c r="H454" s="95">
        <v>653127373</v>
      </c>
      <c r="I454" s="91" t="s">
        <v>171</v>
      </c>
      <c r="J454" s="91" t="s">
        <v>1122</v>
      </c>
      <c r="K454" s="94">
        <v>534800</v>
      </c>
      <c r="L454" s="91" t="s">
        <v>209</v>
      </c>
      <c r="M454" s="2"/>
      <c r="N454" s="2"/>
      <c r="O454" s="4"/>
    </row>
    <row r="455" spans="1:15" x14ac:dyDescent="0.2">
      <c r="A455" s="91" t="s">
        <v>223</v>
      </c>
      <c r="B455" s="91" t="s">
        <v>425</v>
      </c>
      <c r="C455" s="95">
        <v>2918</v>
      </c>
      <c r="D455" s="95">
        <v>3779</v>
      </c>
      <c r="E455" s="95">
        <v>6697</v>
      </c>
      <c r="F455" s="95">
        <v>133847989</v>
      </c>
      <c r="G455" s="95">
        <v>212970203</v>
      </c>
      <c r="H455" s="95">
        <v>346818192</v>
      </c>
      <c r="I455" s="91" t="s">
        <v>71</v>
      </c>
      <c r="J455" s="91" t="s">
        <v>1122</v>
      </c>
      <c r="K455" s="94">
        <v>537639</v>
      </c>
      <c r="L455" s="91" t="s">
        <v>221</v>
      </c>
      <c r="M455" s="2"/>
      <c r="N455" s="2"/>
      <c r="O455" s="4"/>
    </row>
    <row r="456" spans="1:15" x14ac:dyDescent="0.2">
      <c r="A456" s="91" t="s">
        <v>182</v>
      </c>
      <c r="B456" s="91" t="s">
        <v>346</v>
      </c>
      <c r="C456" s="95">
        <v>367</v>
      </c>
      <c r="D456" s="95">
        <v>338</v>
      </c>
      <c r="E456" s="95">
        <v>705</v>
      </c>
      <c r="F456" s="95">
        <v>18080447</v>
      </c>
      <c r="G456" s="95">
        <v>19165881</v>
      </c>
      <c r="H456" s="95">
        <v>37246328</v>
      </c>
      <c r="I456" s="91" t="s">
        <v>71</v>
      </c>
      <c r="J456" s="91" t="s">
        <v>1115</v>
      </c>
      <c r="K456" s="94">
        <v>537696</v>
      </c>
      <c r="L456" s="91" t="s">
        <v>289</v>
      </c>
      <c r="M456" s="2"/>
      <c r="N456" s="2"/>
      <c r="O456" s="4"/>
    </row>
    <row r="457" spans="1:15" x14ac:dyDescent="0.2">
      <c r="A457" s="91" t="s">
        <v>260</v>
      </c>
      <c r="B457" s="91" t="s">
        <v>259</v>
      </c>
      <c r="C457" s="95">
        <v>20237</v>
      </c>
      <c r="D457" s="95">
        <v>25683</v>
      </c>
      <c r="E457" s="95">
        <v>45920</v>
      </c>
      <c r="F457" s="95">
        <v>635053928</v>
      </c>
      <c r="G457" s="95">
        <v>1005289122</v>
      </c>
      <c r="H457" s="95">
        <v>1640343050</v>
      </c>
      <c r="I457" s="91" t="s">
        <v>171</v>
      </c>
      <c r="J457" s="91" t="s">
        <v>1121</v>
      </c>
      <c r="K457" s="94">
        <v>538462</v>
      </c>
      <c r="L457" s="91" t="s">
        <v>196</v>
      </c>
      <c r="M457" s="2"/>
      <c r="N457" s="2"/>
      <c r="O457" s="4"/>
    </row>
    <row r="458" spans="1:15" x14ac:dyDescent="0.2">
      <c r="A458" s="91" t="s">
        <v>260</v>
      </c>
      <c r="B458" s="91" t="s">
        <v>968</v>
      </c>
      <c r="C458" s="95">
        <v>115</v>
      </c>
      <c r="D458" s="95">
        <v>196</v>
      </c>
      <c r="E458" s="95">
        <v>311</v>
      </c>
      <c r="F458" s="95">
        <v>3597649</v>
      </c>
      <c r="G458" s="95">
        <v>7278866</v>
      </c>
      <c r="H458" s="95">
        <v>10876514</v>
      </c>
      <c r="I458" s="91" t="s">
        <v>71</v>
      </c>
      <c r="J458" s="91" t="s">
        <v>1121</v>
      </c>
      <c r="K458" s="94">
        <v>538751</v>
      </c>
      <c r="L458" s="91" t="s">
        <v>1152</v>
      </c>
      <c r="M458" s="2"/>
      <c r="N458" s="2"/>
      <c r="O458" s="4"/>
    </row>
    <row r="459" spans="1:15" x14ac:dyDescent="0.2">
      <c r="A459" s="91" t="s">
        <v>173</v>
      </c>
      <c r="B459" s="91" t="s">
        <v>1080</v>
      </c>
      <c r="C459" s="95">
        <v>1041</v>
      </c>
      <c r="D459" s="95">
        <v>1065</v>
      </c>
      <c r="E459" s="95">
        <v>2106</v>
      </c>
      <c r="F459" s="95">
        <v>125215470</v>
      </c>
      <c r="G459" s="95">
        <v>149415636</v>
      </c>
      <c r="H459" s="95">
        <v>274631106</v>
      </c>
      <c r="I459" s="91" t="s">
        <v>71</v>
      </c>
      <c r="J459" s="91" t="s">
        <v>1118</v>
      </c>
      <c r="K459" s="94">
        <v>539460</v>
      </c>
      <c r="L459" s="91" t="s">
        <v>368</v>
      </c>
      <c r="M459" s="2"/>
      <c r="N459" s="2"/>
      <c r="O459" s="4"/>
    </row>
    <row r="460" spans="1:15" x14ac:dyDescent="0.2">
      <c r="A460" s="91" t="s">
        <v>413</v>
      </c>
      <c r="B460" s="91" t="s">
        <v>804</v>
      </c>
      <c r="C460" s="95">
        <v>590</v>
      </c>
      <c r="D460" s="95">
        <v>775</v>
      </c>
      <c r="E460" s="95">
        <v>1365</v>
      </c>
      <c r="F460" s="95">
        <v>12773121</v>
      </c>
      <c r="G460" s="95">
        <v>20902046</v>
      </c>
      <c r="H460" s="95">
        <v>33675167</v>
      </c>
      <c r="I460" s="91" t="s">
        <v>71</v>
      </c>
      <c r="J460" s="91" t="s">
        <v>1121</v>
      </c>
      <c r="K460" s="94">
        <v>539585</v>
      </c>
      <c r="L460" s="91" t="s">
        <v>500</v>
      </c>
      <c r="M460" s="2"/>
      <c r="N460" s="2"/>
      <c r="O460" s="4"/>
    </row>
    <row r="461" spans="1:15" x14ac:dyDescent="0.2">
      <c r="A461" s="91" t="s">
        <v>212</v>
      </c>
      <c r="B461" s="91" t="s">
        <v>491</v>
      </c>
      <c r="C461" s="95">
        <v>1885</v>
      </c>
      <c r="D461" s="95">
        <v>3043</v>
      </c>
      <c r="E461" s="95">
        <v>4928</v>
      </c>
      <c r="F461" s="95">
        <v>81910921</v>
      </c>
      <c r="G461" s="95">
        <v>157027764</v>
      </c>
      <c r="H461" s="95">
        <v>238938685</v>
      </c>
      <c r="I461" s="91" t="s">
        <v>171</v>
      </c>
      <c r="J461" s="91" t="s">
        <v>1121</v>
      </c>
      <c r="K461" s="94">
        <v>541235</v>
      </c>
      <c r="L461" s="91" t="s">
        <v>445</v>
      </c>
      <c r="M461" s="2"/>
      <c r="N461" s="2"/>
      <c r="O461" s="4"/>
    </row>
    <row r="462" spans="1:15" x14ac:dyDescent="0.2">
      <c r="A462" s="91" t="s">
        <v>379</v>
      </c>
      <c r="B462" s="91" t="s">
        <v>1015</v>
      </c>
      <c r="C462" s="95">
        <v>1509</v>
      </c>
      <c r="D462" s="95">
        <v>2522</v>
      </c>
      <c r="E462" s="95">
        <v>4031</v>
      </c>
      <c r="F462" s="95">
        <v>53876364</v>
      </c>
      <c r="G462" s="95">
        <v>110644509</v>
      </c>
      <c r="H462" s="95">
        <v>164520873</v>
      </c>
      <c r="I462" s="91" t="s">
        <v>71</v>
      </c>
      <c r="J462" s="91" t="s">
        <v>1121</v>
      </c>
      <c r="K462" s="94">
        <v>541292</v>
      </c>
      <c r="L462" s="91" t="s">
        <v>1016</v>
      </c>
      <c r="M462" s="2"/>
      <c r="N462" s="2"/>
      <c r="O462" s="4"/>
    </row>
    <row r="463" spans="1:15" x14ac:dyDescent="0.2">
      <c r="A463" s="91" t="s">
        <v>266</v>
      </c>
      <c r="B463" s="91" t="s">
        <v>316</v>
      </c>
      <c r="C463" s="95">
        <v>15858</v>
      </c>
      <c r="D463" s="95">
        <v>12962</v>
      </c>
      <c r="E463" s="95">
        <v>28820</v>
      </c>
      <c r="F463" s="95">
        <v>573165994</v>
      </c>
      <c r="G463" s="95">
        <v>543508472</v>
      </c>
      <c r="H463" s="95">
        <v>1116674466</v>
      </c>
      <c r="I463" s="91" t="s">
        <v>171</v>
      </c>
      <c r="J463" s="91" t="s">
        <v>1118</v>
      </c>
      <c r="K463" s="94">
        <v>542712</v>
      </c>
      <c r="L463" s="91" t="s">
        <v>200</v>
      </c>
      <c r="M463" s="2"/>
      <c r="N463" s="2"/>
      <c r="O463" s="4"/>
    </row>
    <row r="464" spans="1:15" x14ac:dyDescent="0.2">
      <c r="A464" s="91" t="s">
        <v>370</v>
      </c>
      <c r="B464" s="91" t="s">
        <v>737</v>
      </c>
      <c r="C464" s="95">
        <v>456</v>
      </c>
      <c r="D464" s="95">
        <v>524</v>
      </c>
      <c r="E464" s="95">
        <v>980</v>
      </c>
      <c r="F464" s="95">
        <v>10678230</v>
      </c>
      <c r="G464" s="95">
        <v>15012621</v>
      </c>
      <c r="H464" s="95">
        <v>25690851</v>
      </c>
      <c r="I464" s="91" t="s">
        <v>71</v>
      </c>
      <c r="J464" s="91" t="s">
        <v>1121</v>
      </c>
      <c r="K464" s="94">
        <v>543306</v>
      </c>
      <c r="L464" s="91" t="s">
        <v>535</v>
      </c>
      <c r="M464" s="2"/>
      <c r="N464" s="2"/>
      <c r="O464" s="4"/>
    </row>
    <row r="465" spans="1:15" x14ac:dyDescent="0.2">
      <c r="A465" s="91" t="s">
        <v>379</v>
      </c>
      <c r="B465" s="91" t="s">
        <v>480</v>
      </c>
      <c r="C465" s="95">
        <v>12</v>
      </c>
      <c r="D465" s="95">
        <v>26</v>
      </c>
      <c r="E465" s="95">
        <v>38</v>
      </c>
      <c r="F465" s="95">
        <v>338595</v>
      </c>
      <c r="G465" s="95">
        <v>416726</v>
      </c>
      <c r="H465" s="95">
        <v>755321</v>
      </c>
      <c r="I465" s="91" t="s">
        <v>171</v>
      </c>
      <c r="J465" s="91" t="s">
        <v>1121</v>
      </c>
      <c r="K465" s="94">
        <v>543595</v>
      </c>
      <c r="L465" s="91" t="s">
        <v>365</v>
      </c>
      <c r="M465" s="2"/>
      <c r="N465" s="2"/>
      <c r="O465" s="4"/>
    </row>
    <row r="466" spans="1:15" x14ac:dyDescent="0.2">
      <c r="A466" s="91" t="s">
        <v>243</v>
      </c>
      <c r="B466" s="91" t="s">
        <v>694</v>
      </c>
      <c r="C466" s="95">
        <v>47</v>
      </c>
      <c r="D466" s="95">
        <v>76</v>
      </c>
      <c r="E466" s="95">
        <v>123</v>
      </c>
      <c r="F466" s="95">
        <v>1641615</v>
      </c>
      <c r="G466" s="95">
        <v>2618045</v>
      </c>
      <c r="H466" s="95">
        <v>4259660</v>
      </c>
      <c r="I466" s="91" t="s">
        <v>71</v>
      </c>
      <c r="J466" s="91" t="s">
        <v>1122</v>
      </c>
      <c r="K466" s="94">
        <v>543892</v>
      </c>
      <c r="L466" s="91" t="s">
        <v>695</v>
      </c>
      <c r="M466" s="2"/>
      <c r="N466" s="2"/>
      <c r="O466" s="4"/>
    </row>
    <row r="467" spans="1:15" x14ac:dyDescent="0.2">
      <c r="A467" s="91" t="s">
        <v>212</v>
      </c>
      <c r="B467" s="91" t="s">
        <v>342</v>
      </c>
      <c r="C467" s="95">
        <v>34</v>
      </c>
      <c r="D467" s="95">
        <v>69</v>
      </c>
      <c r="E467" s="95">
        <v>103</v>
      </c>
      <c r="F467" s="95">
        <v>1678534</v>
      </c>
      <c r="G467" s="95">
        <v>3507070</v>
      </c>
      <c r="H467" s="95">
        <v>5185604</v>
      </c>
      <c r="I467" s="91" t="s">
        <v>171</v>
      </c>
      <c r="J467" s="91" t="s">
        <v>1121</v>
      </c>
      <c r="K467" s="94">
        <v>545426</v>
      </c>
      <c r="L467" s="91" t="s">
        <v>277</v>
      </c>
      <c r="M467" s="2"/>
      <c r="N467" s="2"/>
      <c r="O467" s="4"/>
    </row>
    <row r="468" spans="1:15" x14ac:dyDescent="0.2">
      <c r="A468" s="91" t="s">
        <v>188</v>
      </c>
      <c r="B468" s="91" t="s">
        <v>186</v>
      </c>
      <c r="C468" s="95">
        <v>1993</v>
      </c>
      <c r="D468" s="95">
        <v>2739</v>
      </c>
      <c r="E468" s="95">
        <v>4732</v>
      </c>
      <c r="F468" s="95">
        <v>117182582</v>
      </c>
      <c r="G468" s="95">
        <v>194858286</v>
      </c>
      <c r="H468" s="95">
        <v>312040867</v>
      </c>
      <c r="I468" s="91" t="s">
        <v>171</v>
      </c>
      <c r="J468" s="91" t="s">
        <v>1122</v>
      </c>
      <c r="K468" s="94">
        <v>545541</v>
      </c>
      <c r="L468" s="91" t="s">
        <v>187</v>
      </c>
      <c r="M468" s="2"/>
      <c r="N468" s="2"/>
      <c r="O468" s="4"/>
    </row>
    <row r="469" spans="1:15" x14ac:dyDescent="0.2">
      <c r="A469" s="91" t="s">
        <v>266</v>
      </c>
      <c r="B469" s="91" t="s">
        <v>588</v>
      </c>
      <c r="C469" s="95">
        <v>6942</v>
      </c>
      <c r="D469" s="95">
        <v>5691</v>
      </c>
      <c r="E469" s="95">
        <v>12633</v>
      </c>
      <c r="F469" s="95">
        <v>235286469</v>
      </c>
      <c r="G469" s="95">
        <v>226864240</v>
      </c>
      <c r="H469" s="95">
        <v>462150709</v>
      </c>
      <c r="I469" s="91" t="s">
        <v>171</v>
      </c>
      <c r="J469" s="91" t="s">
        <v>1118</v>
      </c>
      <c r="K469" s="94">
        <v>546960</v>
      </c>
      <c r="L469" s="91" t="s">
        <v>277</v>
      </c>
      <c r="M469" s="2"/>
      <c r="N469" s="2"/>
      <c r="O469" s="4"/>
    </row>
    <row r="470" spans="1:15" x14ac:dyDescent="0.2">
      <c r="A470" s="91" t="s">
        <v>212</v>
      </c>
      <c r="B470" s="91" t="s">
        <v>798</v>
      </c>
      <c r="C470" s="95">
        <v>180</v>
      </c>
      <c r="D470" s="95">
        <v>237</v>
      </c>
      <c r="E470" s="95">
        <v>417</v>
      </c>
      <c r="F470" s="95">
        <v>4625170</v>
      </c>
      <c r="G470" s="95">
        <v>7539277</v>
      </c>
      <c r="H470" s="95">
        <v>12164447</v>
      </c>
      <c r="I470" s="91" t="s">
        <v>71</v>
      </c>
      <c r="J470" s="91" t="s">
        <v>1121</v>
      </c>
      <c r="K470" s="94">
        <v>549261</v>
      </c>
      <c r="L470" s="91" t="s">
        <v>768</v>
      </c>
      <c r="M470" s="2"/>
      <c r="N470" s="2"/>
      <c r="O470" s="4"/>
    </row>
    <row r="471" spans="1:15" x14ac:dyDescent="0.2">
      <c r="A471" s="91" t="s">
        <v>243</v>
      </c>
      <c r="B471" s="91" t="s">
        <v>469</v>
      </c>
      <c r="C471" s="95">
        <v>482</v>
      </c>
      <c r="D471" s="95">
        <v>723</v>
      </c>
      <c r="E471" s="95">
        <v>1205</v>
      </c>
      <c r="F471" s="95">
        <v>19727254</v>
      </c>
      <c r="G471" s="95">
        <v>34157343</v>
      </c>
      <c r="H471" s="95">
        <v>53884597</v>
      </c>
      <c r="I471" s="91" t="s">
        <v>71</v>
      </c>
      <c r="J471" s="91" t="s">
        <v>1122</v>
      </c>
      <c r="K471" s="94">
        <v>549972</v>
      </c>
      <c r="L471" s="91" t="s">
        <v>235</v>
      </c>
      <c r="M471" s="2"/>
      <c r="N471" s="2"/>
      <c r="O471" s="4"/>
    </row>
    <row r="472" spans="1:15" x14ac:dyDescent="0.2">
      <c r="A472" s="91" t="s">
        <v>223</v>
      </c>
      <c r="B472" s="91" t="s">
        <v>1104</v>
      </c>
      <c r="C472" s="95">
        <v>573</v>
      </c>
      <c r="D472" s="95">
        <v>1053</v>
      </c>
      <c r="E472" s="95">
        <v>1626</v>
      </c>
      <c r="F472" s="95">
        <v>25613797</v>
      </c>
      <c r="G472" s="95">
        <v>47583399</v>
      </c>
      <c r="H472" s="95">
        <v>73197196</v>
      </c>
      <c r="I472" s="91" t="s">
        <v>171</v>
      </c>
      <c r="J472" s="91" t="s">
        <v>1122</v>
      </c>
      <c r="K472" s="94">
        <v>550913</v>
      </c>
      <c r="L472" s="91" t="s">
        <v>1105</v>
      </c>
      <c r="M472" s="2"/>
      <c r="N472" s="2"/>
      <c r="O472" s="4"/>
    </row>
    <row r="473" spans="1:15" x14ac:dyDescent="0.2">
      <c r="A473" s="91" t="s">
        <v>223</v>
      </c>
      <c r="B473" s="91" t="s">
        <v>496</v>
      </c>
      <c r="C473" s="95">
        <v>32</v>
      </c>
      <c r="D473" s="95">
        <v>40</v>
      </c>
      <c r="E473" s="95">
        <v>72</v>
      </c>
      <c r="F473" s="95">
        <v>922689</v>
      </c>
      <c r="G473" s="95">
        <v>1244793</v>
      </c>
      <c r="H473" s="95">
        <v>2167481</v>
      </c>
      <c r="I473" s="91" t="s">
        <v>71</v>
      </c>
      <c r="J473" s="91" t="s">
        <v>1122</v>
      </c>
      <c r="K473" s="94">
        <v>550970</v>
      </c>
      <c r="L473" s="91" t="s">
        <v>497</v>
      </c>
      <c r="M473" s="2"/>
      <c r="N473" s="2"/>
      <c r="O473" s="4"/>
    </row>
    <row r="474" spans="1:15" x14ac:dyDescent="0.2">
      <c r="A474" s="91" t="s">
        <v>243</v>
      </c>
      <c r="B474" s="91" t="s">
        <v>551</v>
      </c>
      <c r="C474" s="95">
        <v>91</v>
      </c>
      <c r="D474" s="95">
        <v>134</v>
      </c>
      <c r="E474" s="95">
        <v>225</v>
      </c>
      <c r="F474" s="95">
        <v>3221135</v>
      </c>
      <c r="G474" s="95">
        <v>6760237</v>
      </c>
      <c r="H474" s="95">
        <v>9981372</v>
      </c>
      <c r="I474" s="91" t="s">
        <v>71</v>
      </c>
      <c r="J474" s="91" t="s">
        <v>1122</v>
      </c>
      <c r="K474" s="94">
        <v>551093</v>
      </c>
      <c r="L474" s="91" t="s">
        <v>553</v>
      </c>
      <c r="M474" s="2"/>
      <c r="N474" s="2"/>
      <c r="O474" s="4"/>
    </row>
    <row r="475" spans="1:15" x14ac:dyDescent="0.2">
      <c r="A475" s="91" t="s">
        <v>245</v>
      </c>
      <c r="B475" s="91" t="s">
        <v>320</v>
      </c>
      <c r="C475" s="95">
        <v>503</v>
      </c>
      <c r="D475" s="95">
        <v>918</v>
      </c>
      <c r="E475" s="95">
        <v>1421</v>
      </c>
      <c r="F475" s="95">
        <v>20967311</v>
      </c>
      <c r="G475" s="95">
        <v>48110303</v>
      </c>
      <c r="H475" s="95">
        <v>69077614</v>
      </c>
      <c r="I475" s="91" t="s">
        <v>171</v>
      </c>
      <c r="J475" s="91" t="s">
        <v>1121</v>
      </c>
      <c r="K475" s="94">
        <v>551507</v>
      </c>
      <c r="L475" s="91" t="s">
        <v>203</v>
      </c>
      <c r="M475" s="2"/>
      <c r="N475" s="2"/>
      <c r="O475" s="4"/>
    </row>
    <row r="476" spans="1:15" x14ac:dyDescent="0.2">
      <c r="A476" s="91" t="s">
        <v>223</v>
      </c>
      <c r="B476" s="91" t="s">
        <v>450</v>
      </c>
      <c r="C476" s="95">
        <v>2264</v>
      </c>
      <c r="D476" s="95">
        <v>2545</v>
      </c>
      <c r="E476" s="95">
        <v>4809</v>
      </c>
      <c r="F476" s="95">
        <v>63772266</v>
      </c>
      <c r="G476" s="95">
        <v>97894951</v>
      </c>
      <c r="H476" s="95">
        <v>161667217</v>
      </c>
      <c r="I476" s="91" t="s">
        <v>71</v>
      </c>
      <c r="J476" s="91" t="s">
        <v>1122</v>
      </c>
      <c r="K476" s="94">
        <v>551804</v>
      </c>
      <c r="L476" s="91" t="s">
        <v>431</v>
      </c>
      <c r="M476" s="2"/>
      <c r="N476" s="2"/>
      <c r="O476" s="4"/>
    </row>
    <row r="477" spans="1:15" x14ac:dyDescent="0.2">
      <c r="A477" s="91" t="s">
        <v>410</v>
      </c>
      <c r="B477" s="91" t="s">
        <v>444</v>
      </c>
      <c r="C477" s="95">
        <v>2862</v>
      </c>
      <c r="D477" s="95">
        <v>2949</v>
      </c>
      <c r="E477" s="95">
        <v>5811</v>
      </c>
      <c r="F477" s="95">
        <v>88081251</v>
      </c>
      <c r="G477" s="95">
        <v>110594752</v>
      </c>
      <c r="H477" s="95">
        <v>198676002</v>
      </c>
      <c r="I477" s="91" t="s">
        <v>171</v>
      </c>
      <c r="J477" s="91" t="s">
        <v>1121</v>
      </c>
      <c r="K477" s="94">
        <v>552869</v>
      </c>
      <c r="L477" s="91" t="s">
        <v>226</v>
      </c>
      <c r="M477" s="2"/>
      <c r="N477" s="2"/>
      <c r="O477" s="4"/>
    </row>
    <row r="478" spans="1:15" x14ac:dyDescent="0.2">
      <c r="A478" s="91" t="s">
        <v>413</v>
      </c>
      <c r="B478" s="91" t="s">
        <v>947</v>
      </c>
      <c r="C478" s="95">
        <v>6332</v>
      </c>
      <c r="D478" s="95">
        <v>7322</v>
      </c>
      <c r="E478" s="95">
        <v>13654</v>
      </c>
      <c r="F478" s="95">
        <v>172596672</v>
      </c>
      <c r="G478" s="95">
        <v>241570507</v>
      </c>
      <c r="H478" s="95">
        <v>414167179</v>
      </c>
      <c r="I478" s="91" t="s">
        <v>171</v>
      </c>
      <c r="J478" s="91" t="s">
        <v>1121</v>
      </c>
      <c r="K478" s="94">
        <v>552984</v>
      </c>
      <c r="L478" s="91" t="s">
        <v>880</v>
      </c>
      <c r="M478" s="2"/>
      <c r="N478" s="2"/>
      <c r="O478" s="4"/>
    </row>
    <row r="479" spans="1:15" x14ac:dyDescent="0.2">
      <c r="A479" s="91" t="s">
        <v>245</v>
      </c>
      <c r="B479" s="91" t="s">
        <v>719</v>
      </c>
      <c r="C479" s="95">
        <v>24</v>
      </c>
      <c r="D479" s="95">
        <v>64</v>
      </c>
      <c r="E479" s="95">
        <v>88</v>
      </c>
      <c r="F479" s="95">
        <v>966315</v>
      </c>
      <c r="G479" s="95">
        <v>3066795</v>
      </c>
      <c r="H479" s="95">
        <v>4033110</v>
      </c>
      <c r="I479" s="91" t="s">
        <v>71</v>
      </c>
      <c r="J479" s="91" t="s">
        <v>1121</v>
      </c>
      <c r="K479" s="94">
        <v>553339</v>
      </c>
      <c r="L479" s="91" t="s">
        <v>625</v>
      </c>
      <c r="M479" s="2"/>
      <c r="N479" s="2"/>
      <c r="O479" s="4"/>
    </row>
    <row r="480" spans="1:15" x14ac:dyDescent="0.2">
      <c r="A480" s="91" t="s">
        <v>370</v>
      </c>
      <c r="B480" s="91" t="s">
        <v>882</v>
      </c>
      <c r="C480" s="95">
        <v>1351</v>
      </c>
      <c r="D480" s="95">
        <v>2070</v>
      </c>
      <c r="E480" s="95">
        <v>3421</v>
      </c>
      <c r="F480" s="95">
        <v>30637771</v>
      </c>
      <c r="G480" s="95">
        <v>61181965</v>
      </c>
      <c r="H480" s="95">
        <v>91819736</v>
      </c>
      <c r="I480" s="91" t="s">
        <v>71</v>
      </c>
      <c r="J480" s="91" t="s">
        <v>1121</v>
      </c>
      <c r="K480" s="94">
        <v>553578</v>
      </c>
      <c r="L480" s="91" t="s">
        <v>768</v>
      </c>
      <c r="M480" s="2"/>
      <c r="N480" s="2"/>
      <c r="O480" s="4"/>
    </row>
    <row r="481" spans="1:15" x14ac:dyDescent="0.2">
      <c r="A481" s="91" t="s">
        <v>173</v>
      </c>
      <c r="B481" s="91" t="s">
        <v>752</v>
      </c>
      <c r="C481" s="95">
        <v>186</v>
      </c>
      <c r="D481" s="95">
        <v>244</v>
      </c>
      <c r="E481" s="95">
        <v>430</v>
      </c>
      <c r="F481" s="95">
        <v>12818435</v>
      </c>
      <c r="G481" s="95">
        <v>18528162</v>
      </c>
      <c r="H481" s="95">
        <v>31346597</v>
      </c>
      <c r="I481" s="91" t="s">
        <v>171</v>
      </c>
      <c r="J481" s="91" t="s">
        <v>1118</v>
      </c>
      <c r="K481" s="94">
        <v>554634</v>
      </c>
      <c r="L481" s="91" t="s">
        <v>172</v>
      </c>
      <c r="M481" s="2"/>
      <c r="N481" s="2"/>
      <c r="O481" s="4"/>
    </row>
    <row r="482" spans="1:15" x14ac:dyDescent="0.2">
      <c r="A482" s="91" t="s">
        <v>188</v>
      </c>
      <c r="B482" s="91" t="s">
        <v>345</v>
      </c>
      <c r="C482" s="95">
        <v>547</v>
      </c>
      <c r="D482" s="95">
        <v>569</v>
      </c>
      <c r="E482" s="95">
        <v>1116</v>
      </c>
      <c r="F482" s="95">
        <v>20299774</v>
      </c>
      <c r="G482" s="95">
        <v>25127245</v>
      </c>
      <c r="H482" s="95">
        <v>45427019</v>
      </c>
      <c r="I482" s="91" t="s">
        <v>171</v>
      </c>
      <c r="J482" s="91" t="s">
        <v>1122</v>
      </c>
      <c r="K482" s="94">
        <v>554691</v>
      </c>
      <c r="L482" s="91" t="s">
        <v>282</v>
      </c>
      <c r="M482" s="2"/>
      <c r="N482" s="2"/>
      <c r="O482" s="4"/>
    </row>
    <row r="483" spans="1:15" x14ac:dyDescent="0.2">
      <c r="A483" s="91" t="s">
        <v>212</v>
      </c>
      <c r="B483" s="91" t="s">
        <v>644</v>
      </c>
      <c r="C483" s="95">
        <v>106</v>
      </c>
      <c r="D483" s="95">
        <v>94</v>
      </c>
      <c r="E483" s="95">
        <v>200</v>
      </c>
      <c r="F483" s="95">
        <v>3477527</v>
      </c>
      <c r="G483" s="95">
        <v>3339124</v>
      </c>
      <c r="H483" s="95">
        <v>6816651</v>
      </c>
      <c r="I483" s="91" t="s">
        <v>71</v>
      </c>
      <c r="J483" s="91" t="s">
        <v>1121</v>
      </c>
      <c r="K483" s="94">
        <v>555466</v>
      </c>
      <c r="L483" s="91" t="s">
        <v>489</v>
      </c>
      <c r="M483" s="2"/>
      <c r="N483" s="2"/>
      <c r="O483" s="4"/>
    </row>
    <row r="484" spans="1:15" x14ac:dyDescent="0.2">
      <c r="A484" s="91" t="s">
        <v>408</v>
      </c>
      <c r="B484" s="91" t="s">
        <v>576</v>
      </c>
      <c r="C484" s="95">
        <v>2951</v>
      </c>
      <c r="D484" s="95">
        <v>3705</v>
      </c>
      <c r="E484" s="95">
        <v>6656</v>
      </c>
      <c r="F484" s="95">
        <v>118892601</v>
      </c>
      <c r="G484" s="95">
        <v>179509301</v>
      </c>
      <c r="H484" s="95">
        <v>298401902</v>
      </c>
      <c r="I484" s="91" t="s">
        <v>171</v>
      </c>
      <c r="J484" s="91" t="s">
        <v>1121</v>
      </c>
      <c r="K484" s="94">
        <v>556589</v>
      </c>
      <c r="L484" s="91" t="s">
        <v>249</v>
      </c>
      <c r="M484" s="2"/>
      <c r="N484" s="2"/>
      <c r="O484" s="4"/>
    </row>
    <row r="485" spans="1:15" x14ac:dyDescent="0.2">
      <c r="A485" s="91" t="s">
        <v>173</v>
      </c>
      <c r="B485" s="91" t="s">
        <v>1032</v>
      </c>
      <c r="C485" s="95">
        <v>2488</v>
      </c>
      <c r="D485" s="95">
        <v>2779</v>
      </c>
      <c r="E485" s="95">
        <v>5267</v>
      </c>
      <c r="F485" s="95">
        <v>390048083</v>
      </c>
      <c r="G485" s="95">
        <v>485923136</v>
      </c>
      <c r="H485" s="95">
        <v>875971219</v>
      </c>
      <c r="I485" s="91" t="s">
        <v>171</v>
      </c>
      <c r="J485" s="91" t="s">
        <v>1118</v>
      </c>
      <c r="K485" s="94">
        <v>558239</v>
      </c>
      <c r="L485" s="91" t="s">
        <v>365</v>
      </c>
      <c r="M485" s="2"/>
      <c r="N485" s="2"/>
      <c r="O485" s="4"/>
    </row>
    <row r="486" spans="1:15" x14ac:dyDescent="0.2">
      <c r="A486" s="91" t="s">
        <v>370</v>
      </c>
      <c r="B486" s="91" t="s">
        <v>878</v>
      </c>
      <c r="C486" s="95">
        <v>112</v>
      </c>
      <c r="D486" s="95">
        <v>153</v>
      </c>
      <c r="E486" s="95">
        <v>265</v>
      </c>
      <c r="F486" s="95">
        <v>5924095</v>
      </c>
      <c r="G486" s="95">
        <v>9428356</v>
      </c>
      <c r="H486" s="95">
        <v>15352451</v>
      </c>
      <c r="I486" s="91" t="s">
        <v>71</v>
      </c>
      <c r="J486" s="91" t="s">
        <v>1121</v>
      </c>
      <c r="K486" s="94">
        <v>558882</v>
      </c>
      <c r="L486" s="91" t="s">
        <v>495</v>
      </c>
      <c r="M486" s="2"/>
      <c r="N486" s="2"/>
      <c r="O486" s="4"/>
    </row>
    <row r="487" spans="1:15" x14ac:dyDescent="0.2">
      <c r="A487" s="91" t="s">
        <v>223</v>
      </c>
      <c r="B487" s="91" t="s">
        <v>440</v>
      </c>
      <c r="C487" s="95">
        <v>59</v>
      </c>
      <c r="D487" s="95">
        <v>172</v>
      </c>
      <c r="E487" s="95">
        <v>231</v>
      </c>
      <c r="F487" s="95">
        <v>3012734</v>
      </c>
      <c r="G487" s="95">
        <v>9585453</v>
      </c>
      <c r="H487" s="95">
        <v>12598187</v>
      </c>
      <c r="I487" s="91" t="s">
        <v>171</v>
      </c>
      <c r="J487" s="91" t="s">
        <v>1122</v>
      </c>
      <c r="K487" s="94">
        <v>560599</v>
      </c>
      <c r="L487" s="91" t="s">
        <v>191</v>
      </c>
      <c r="M487" s="2"/>
      <c r="N487" s="2"/>
      <c r="O487" s="4"/>
    </row>
    <row r="488" spans="1:15" x14ac:dyDescent="0.2">
      <c r="A488" s="91" t="s">
        <v>212</v>
      </c>
      <c r="B488" s="91" t="s">
        <v>848</v>
      </c>
      <c r="C488" s="95">
        <v>28</v>
      </c>
      <c r="D488" s="95">
        <v>58</v>
      </c>
      <c r="E488" s="95">
        <v>86</v>
      </c>
      <c r="F488" s="95">
        <v>1593677</v>
      </c>
      <c r="G488" s="95">
        <v>3802302</v>
      </c>
      <c r="H488" s="95">
        <v>5395978</v>
      </c>
      <c r="I488" s="91" t="s">
        <v>71</v>
      </c>
      <c r="J488" s="91" t="s">
        <v>1121</v>
      </c>
      <c r="K488" s="94">
        <v>562421</v>
      </c>
      <c r="L488" s="91" t="s">
        <v>844</v>
      </c>
      <c r="M488" s="2"/>
      <c r="N488" s="2"/>
      <c r="O488" s="4"/>
    </row>
    <row r="489" spans="1:15" x14ac:dyDescent="0.2">
      <c r="A489" s="91" t="s">
        <v>383</v>
      </c>
      <c r="B489" s="91" t="s">
        <v>851</v>
      </c>
      <c r="C489" s="95">
        <v>2569</v>
      </c>
      <c r="D489" s="95">
        <v>2977</v>
      </c>
      <c r="E489" s="95">
        <v>5546</v>
      </c>
      <c r="F489" s="95">
        <v>72107989</v>
      </c>
      <c r="G489" s="95">
        <v>96334396</v>
      </c>
      <c r="H489" s="95">
        <v>168442385</v>
      </c>
      <c r="I489" s="91" t="s">
        <v>71</v>
      </c>
      <c r="J489" s="91" t="s">
        <v>1121</v>
      </c>
      <c r="K489" s="94">
        <v>562728</v>
      </c>
      <c r="L489" s="91" t="s">
        <v>844</v>
      </c>
      <c r="M489" s="2"/>
      <c r="N489" s="2"/>
      <c r="O489" s="4"/>
    </row>
    <row r="490" spans="1:15" x14ac:dyDescent="0.2">
      <c r="A490" s="91" t="s">
        <v>245</v>
      </c>
      <c r="B490" s="91" t="s">
        <v>745</v>
      </c>
      <c r="C490" s="95">
        <v>1268</v>
      </c>
      <c r="D490" s="95">
        <v>1411</v>
      </c>
      <c r="E490" s="95">
        <v>2679</v>
      </c>
      <c r="F490" s="95">
        <v>40136104</v>
      </c>
      <c r="G490" s="95">
        <v>54934261</v>
      </c>
      <c r="H490" s="95">
        <v>95070365</v>
      </c>
      <c r="I490" s="91" t="s">
        <v>71</v>
      </c>
      <c r="J490" s="91" t="s">
        <v>1121</v>
      </c>
      <c r="K490" s="94">
        <v>563254</v>
      </c>
      <c r="L490" s="91" t="s">
        <v>746</v>
      </c>
      <c r="M490" s="2"/>
      <c r="N490" s="2"/>
      <c r="O490" s="4"/>
    </row>
    <row r="491" spans="1:15" x14ac:dyDescent="0.2">
      <c r="A491" s="91" t="s">
        <v>212</v>
      </c>
      <c r="B491" s="91" t="s">
        <v>483</v>
      </c>
      <c r="C491" s="95">
        <v>10151</v>
      </c>
      <c r="D491" s="95">
        <v>9944</v>
      </c>
      <c r="E491" s="95">
        <v>20095</v>
      </c>
      <c r="F491" s="95">
        <v>323422328</v>
      </c>
      <c r="G491" s="95">
        <v>366584079</v>
      </c>
      <c r="H491" s="95">
        <v>690006407</v>
      </c>
      <c r="I491" s="91" t="s">
        <v>171</v>
      </c>
      <c r="J491" s="91" t="s">
        <v>1121</v>
      </c>
      <c r="K491" s="94">
        <v>563965</v>
      </c>
      <c r="L491" s="91" t="s">
        <v>203</v>
      </c>
      <c r="M491" s="2"/>
      <c r="N491" s="2"/>
      <c r="O491" s="4"/>
    </row>
    <row r="492" spans="1:15" x14ac:dyDescent="0.2">
      <c r="A492" s="91" t="s">
        <v>260</v>
      </c>
      <c r="B492" s="91" t="s">
        <v>456</v>
      </c>
      <c r="C492" s="95">
        <v>25736</v>
      </c>
      <c r="D492" s="95">
        <v>24899</v>
      </c>
      <c r="E492" s="95">
        <v>50635</v>
      </c>
      <c r="F492" s="95">
        <v>656772245</v>
      </c>
      <c r="G492" s="95">
        <v>770919196</v>
      </c>
      <c r="H492" s="95">
        <v>1427691441</v>
      </c>
      <c r="I492" s="91" t="s">
        <v>71</v>
      </c>
      <c r="J492" s="91" t="s">
        <v>1121</v>
      </c>
      <c r="K492" s="94">
        <v>564849</v>
      </c>
      <c r="L492" s="91" t="s">
        <v>226</v>
      </c>
      <c r="M492" s="2"/>
      <c r="N492" s="2"/>
      <c r="O492" s="4"/>
    </row>
    <row r="493" spans="1:15" x14ac:dyDescent="0.2">
      <c r="A493" s="91" t="s">
        <v>173</v>
      </c>
      <c r="B493" s="91" t="s">
        <v>1096</v>
      </c>
      <c r="C493" s="95">
        <v>26</v>
      </c>
      <c r="D493" s="95">
        <v>38</v>
      </c>
      <c r="E493" s="95">
        <v>64</v>
      </c>
      <c r="F493" s="95">
        <v>2504758</v>
      </c>
      <c r="G493" s="95">
        <v>5437783</v>
      </c>
      <c r="H493" s="95">
        <v>7942541</v>
      </c>
      <c r="I493" s="91" t="s">
        <v>171</v>
      </c>
      <c r="J493" s="91" t="s">
        <v>1118</v>
      </c>
      <c r="K493" s="94">
        <v>567917</v>
      </c>
      <c r="L493" s="91" t="s">
        <v>249</v>
      </c>
      <c r="M493" s="2"/>
      <c r="N493" s="2"/>
      <c r="O493" s="4"/>
    </row>
    <row r="494" spans="1:15" x14ac:dyDescent="0.2">
      <c r="A494" s="91" t="s">
        <v>264</v>
      </c>
      <c r="B494" s="91" t="s">
        <v>748</v>
      </c>
      <c r="C494" s="95">
        <v>1817</v>
      </c>
      <c r="D494" s="95">
        <v>1916</v>
      </c>
      <c r="E494" s="95">
        <v>3733</v>
      </c>
      <c r="F494" s="95">
        <v>79414964</v>
      </c>
      <c r="G494" s="95">
        <v>99328038</v>
      </c>
      <c r="H494" s="95">
        <v>178743002</v>
      </c>
      <c r="I494" s="91" t="s">
        <v>171</v>
      </c>
      <c r="J494" s="91" t="s">
        <v>1121</v>
      </c>
      <c r="K494" s="94">
        <v>569988</v>
      </c>
      <c r="L494" s="91" t="s">
        <v>749</v>
      </c>
      <c r="M494" s="2"/>
      <c r="N494" s="2"/>
      <c r="O494" s="4"/>
    </row>
    <row r="495" spans="1:15" x14ac:dyDescent="0.2">
      <c r="A495" s="91" t="s">
        <v>383</v>
      </c>
      <c r="B495" s="91" t="s">
        <v>840</v>
      </c>
      <c r="C495" s="95">
        <v>2200</v>
      </c>
      <c r="D495" s="95">
        <v>2711</v>
      </c>
      <c r="E495" s="95">
        <v>4911</v>
      </c>
      <c r="F495" s="95">
        <v>63495069</v>
      </c>
      <c r="G495" s="95">
        <v>91355735</v>
      </c>
      <c r="H495" s="95">
        <v>154850804</v>
      </c>
      <c r="I495" s="91" t="s">
        <v>71</v>
      </c>
      <c r="J495" s="91" t="s">
        <v>1121</v>
      </c>
      <c r="K495" s="94">
        <v>570044</v>
      </c>
      <c r="L495" s="91" t="s">
        <v>235</v>
      </c>
      <c r="M495" s="2"/>
      <c r="N495" s="2"/>
      <c r="O495" s="4"/>
    </row>
    <row r="496" spans="1:15" x14ac:dyDescent="0.2">
      <c r="A496" s="91" t="s">
        <v>237</v>
      </c>
      <c r="B496" s="91" t="s">
        <v>437</v>
      </c>
      <c r="C496" s="95">
        <v>1203</v>
      </c>
      <c r="D496" s="95">
        <v>775</v>
      </c>
      <c r="E496" s="95">
        <v>1978</v>
      </c>
      <c r="F496" s="95">
        <v>33372458</v>
      </c>
      <c r="G496" s="95">
        <v>26016537</v>
      </c>
      <c r="H496" s="95">
        <v>59388994</v>
      </c>
      <c r="I496" s="91" t="s">
        <v>171</v>
      </c>
      <c r="J496" s="91" t="s">
        <v>1121</v>
      </c>
      <c r="K496" s="94">
        <v>570630</v>
      </c>
      <c r="L496" s="91" t="s">
        <v>194</v>
      </c>
      <c r="M496" s="2"/>
      <c r="N496" s="2"/>
      <c r="O496" s="4"/>
    </row>
    <row r="497" spans="1:15" x14ac:dyDescent="0.2">
      <c r="A497" s="91" t="s">
        <v>260</v>
      </c>
      <c r="B497" s="91" t="s">
        <v>532</v>
      </c>
      <c r="C497" s="95">
        <v>1149</v>
      </c>
      <c r="D497" s="95">
        <v>1013</v>
      </c>
      <c r="E497" s="95">
        <v>2162</v>
      </c>
      <c r="F497" s="95">
        <v>28821464</v>
      </c>
      <c r="G497" s="95">
        <v>31420925</v>
      </c>
      <c r="H497" s="95">
        <v>60242389</v>
      </c>
      <c r="I497" s="91" t="s">
        <v>71</v>
      </c>
      <c r="J497" s="91" t="s">
        <v>1121</v>
      </c>
      <c r="K497" s="94">
        <v>571695</v>
      </c>
      <c r="L497" s="91" t="s">
        <v>518</v>
      </c>
      <c r="M497" s="2"/>
      <c r="N497" s="2"/>
      <c r="O497" s="4"/>
    </row>
    <row r="498" spans="1:15" x14ac:dyDescent="0.2">
      <c r="A498" s="91" t="s">
        <v>188</v>
      </c>
      <c r="B498" s="91" t="s">
        <v>198</v>
      </c>
      <c r="C498" s="95">
        <v>33015</v>
      </c>
      <c r="D498" s="95">
        <v>32080</v>
      </c>
      <c r="E498" s="95">
        <v>65095</v>
      </c>
      <c r="F498" s="95">
        <v>1533011934</v>
      </c>
      <c r="G498" s="95">
        <v>1888985549</v>
      </c>
      <c r="H498" s="95">
        <v>3421997483</v>
      </c>
      <c r="I498" s="91" t="s">
        <v>171</v>
      </c>
      <c r="J498" s="91" t="s">
        <v>1122</v>
      </c>
      <c r="K498" s="94">
        <v>574293</v>
      </c>
      <c r="L498" s="91" t="s">
        <v>196</v>
      </c>
      <c r="M498" s="2"/>
      <c r="N498" s="2"/>
      <c r="O498" s="4"/>
    </row>
    <row r="499" spans="1:15" x14ac:dyDescent="0.2">
      <c r="A499" s="91" t="s">
        <v>223</v>
      </c>
      <c r="B499" s="91" t="s">
        <v>234</v>
      </c>
      <c r="C499" s="95">
        <v>787</v>
      </c>
      <c r="D499" s="95">
        <v>712</v>
      </c>
      <c r="E499" s="95">
        <v>1499</v>
      </c>
      <c r="F499" s="95">
        <v>19408780</v>
      </c>
      <c r="G499" s="95">
        <v>22825285</v>
      </c>
      <c r="H499" s="95">
        <v>42234065</v>
      </c>
      <c r="I499" s="91" t="s">
        <v>71</v>
      </c>
      <c r="J499" s="91" t="s">
        <v>1122</v>
      </c>
      <c r="K499" s="94">
        <v>574582</v>
      </c>
      <c r="L499" s="91" t="s">
        <v>235</v>
      </c>
      <c r="M499" s="2"/>
      <c r="N499" s="2"/>
      <c r="O499" s="4"/>
    </row>
    <row r="500" spans="1:15" x14ac:dyDescent="0.2">
      <c r="A500" s="91" t="s">
        <v>176</v>
      </c>
      <c r="B500" s="91" t="s">
        <v>366</v>
      </c>
      <c r="C500" s="95">
        <v>461</v>
      </c>
      <c r="D500" s="95">
        <v>467</v>
      </c>
      <c r="E500" s="95">
        <v>928</v>
      </c>
      <c r="F500" s="95">
        <v>17210861</v>
      </c>
      <c r="G500" s="95">
        <v>20343575</v>
      </c>
      <c r="H500" s="95">
        <v>37554437</v>
      </c>
      <c r="I500" s="91" t="s">
        <v>171</v>
      </c>
      <c r="J500" s="91" t="s">
        <v>1121</v>
      </c>
      <c r="K500" s="94">
        <v>577833</v>
      </c>
      <c r="L500" s="91" t="s">
        <v>194</v>
      </c>
      <c r="M500" s="2"/>
      <c r="N500" s="2"/>
      <c r="O500" s="4"/>
    </row>
    <row r="501" spans="1:15" x14ac:dyDescent="0.2">
      <c r="A501" s="91" t="s">
        <v>188</v>
      </c>
      <c r="B501" s="91" t="s">
        <v>199</v>
      </c>
      <c r="C501" s="95">
        <v>13003</v>
      </c>
      <c r="D501" s="95">
        <v>10374</v>
      </c>
      <c r="E501" s="95">
        <v>23377</v>
      </c>
      <c r="F501" s="95">
        <v>388967163</v>
      </c>
      <c r="G501" s="95">
        <v>379980997</v>
      </c>
      <c r="H501" s="95">
        <v>768948160</v>
      </c>
      <c r="I501" s="91" t="s">
        <v>171</v>
      </c>
      <c r="J501" s="91" t="s">
        <v>1122</v>
      </c>
      <c r="K501" s="94">
        <v>578542</v>
      </c>
      <c r="L501" s="91" t="s">
        <v>200</v>
      </c>
      <c r="M501" s="2"/>
      <c r="N501" s="2"/>
      <c r="O501" s="4"/>
    </row>
    <row r="502" spans="1:15" x14ac:dyDescent="0.2">
      <c r="A502" s="91" t="s">
        <v>404</v>
      </c>
      <c r="B502" s="91" t="s">
        <v>824</v>
      </c>
      <c r="C502" s="95">
        <v>2386</v>
      </c>
      <c r="D502" s="95">
        <v>2736</v>
      </c>
      <c r="E502" s="95">
        <v>5122</v>
      </c>
      <c r="F502" s="95">
        <v>94555982</v>
      </c>
      <c r="G502" s="95">
        <v>131584035</v>
      </c>
      <c r="H502" s="95">
        <v>226140017</v>
      </c>
      <c r="I502" s="91" t="s">
        <v>71</v>
      </c>
      <c r="J502" s="91" t="s">
        <v>1121</v>
      </c>
      <c r="K502" s="94">
        <v>579136</v>
      </c>
      <c r="L502" s="91" t="s">
        <v>535</v>
      </c>
      <c r="M502" s="2"/>
      <c r="N502" s="2"/>
      <c r="O502" s="4"/>
    </row>
    <row r="503" spans="1:15" x14ac:dyDescent="0.2">
      <c r="A503" s="91" t="s">
        <v>449</v>
      </c>
      <c r="B503" s="91" t="s">
        <v>482</v>
      </c>
      <c r="C503" s="95">
        <v>18</v>
      </c>
      <c r="D503" s="95">
        <v>55</v>
      </c>
      <c r="E503" s="95">
        <v>73</v>
      </c>
      <c r="F503" s="95">
        <v>563520</v>
      </c>
      <c r="G503" s="95">
        <v>2360707</v>
      </c>
      <c r="H503" s="95">
        <v>2924227</v>
      </c>
      <c r="I503" s="91" t="s">
        <v>171</v>
      </c>
      <c r="J503" s="91" t="s">
        <v>1121</v>
      </c>
      <c r="K503" s="94">
        <v>579425</v>
      </c>
      <c r="L503" s="91" t="s">
        <v>365</v>
      </c>
      <c r="M503" s="2"/>
      <c r="N503" s="2"/>
      <c r="O503" s="4"/>
    </row>
    <row r="504" spans="1:15" x14ac:dyDescent="0.2">
      <c r="A504" s="91" t="s">
        <v>697</v>
      </c>
      <c r="B504" s="91" t="s">
        <v>975</v>
      </c>
      <c r="C504" s="95">
        <v>14</v>
      </c>
      <c r="D504" s="95">
        <v>18</v>
      </c>
      <c r="E504" s="95">
        <v>32</v>
      </c>
      <c r="F504" s="95">
        <v>500074</v>
      </c>
      <c r="G504" s="95">
        <v>589742</v>
      </c>
      <c r="H504" s="95">
        <v>1089817</v>
      </c>
      <c r="I504" s="91" t="s">
        <v>71</v>
      </c>
      <c r="J504" s="91" t="s">
        <v>1121</v>
      </c>
      <c r="K504" s="94">
        <v>579722</v>
      </c>
      <c r="L504" s="91" t="s">
        <v>695</v>
      </c>
      <c r="M504" s="2"/>
      <c r="N504" s="2"/>
      <c r="O504" s="4"/>
    </row>
    <row r="505" spans="1:15" x14ac:dyDescent="0.2">
      <c r="A505" s="91" t="s">
        <v>212</v>
      </c>
      <c r="B505" s="91" t="s">
        <v>211</v>
      </c>
      <c r="C505" s="95">
        <v>14616</v>
      </c>
      <c r="D505" s="95">
        <v>20589</v>
      </c>
      <c r="E505" s="95">
        <v>35205</v>
      </c>
      <c r="F505" s="95">
        <v>970918060</v>
      </c>
      <c r="G505" s="95">
        <v>1499751096</v>
      </c>
      <c r="H505" s="95">
        <v>2470669156</v>
      </c>
      <c r="I505" s="91" t="s">
        <v>171</v>
      </c>
      <c r="J505" s="91" t="s">
        <v>1121</v>
      </c>
      <c r="K505" s="94">
        <v>581371</v>
      </c>
      <c r="L505" s="91" t="s">
        <v>187</v>
      </c>
      <c r="M505" s="2"/>
      <c r="N505" s="2"/>
      <c r="O505" s="4"/>
    </row>
    <row r="506" spans="1:15" x14ac:dyDescent="0.2">
      <c r="A506" s="91" t="s">
        <v>239</v>
      </c>
      <c r="B506" s="91" t="s">
        <v>343</v>
      </c>
      <c r="C506" s="95">
        <v>1663</v>
      </c>
      <c r="D506" s="95">
        <v>2185</v>
      </c>
      <c r="E506" s="95">
        <v>3848</v>
      </c>
      <c r="F506" s="95">
        <v>33474530</v>
      </c>
      <c r="G506" s="95">
        <v>53676490</v>
      </c>
      <c r="H506" s="95">
        <v>87151020</v>
      </c>
      <c r="I506" s="91" t="s">
        <v>171</v>
      </c>
      <c r="J506" s="91" t="s">
        <v>1121</v>
      </c>
      <c r="K506" s="94">
        <v>582791</v>
      </c>
      <c r="L506" s="91" t="s">
        <v>277</v>
      </c>
      <c r="M506" s="2"/>
      <c r="N506" s="2"/>
      <c r="O506" s="4"/>
    </row>
    <row r="507" spans="1:15" x14ac:dyDescent="0.2">
      <c r="A507" s="91" t="s">
        <v>331</v>
      </c>
      <c r="B507" s="91" t="s">
        <v>541</v>
      </c>
      <c r="C507" s="95">
        <v>3717</v>
      </c>
      <c r="D507" s="95">
        <v>5474</v>
      </c>
      <c r="E507" s="95">
        <v>9191</v>
      </c>
      <c r="F507" s="95">
        <v>190307980</v>
      </c>
      <c r="G507" s="95">
        <v>320127851</v>
      </c>
      <c r="H507" s="95">
        <v>510435831</v>
      </c>
      <c r="I507" s="91" t="s">
        <v>171</v>
      </c>
      <c r="J507" s="91" t="s">
        <v>1121</v>
      </c>
      <c r="K507" s="94">
        <v>584912</v>
      </c>
      <c r="L507" s="91" t="s">
        <v>221</v>
      </c>
      <c r="M507" s="2"/>
      <c r="N507" s="2"/>
      <c r="O507" s="4"/>
    </row>
    <row r="508" spans="1:15" x14ac:dyDescent="0.2">
      <c r="A508" s="91" t="s">
        <v>264</v>
      </c>
      <c r="B508" s="91" t="s">
        <v>660</v>
      </c>
      <c r="C508" s="95">
        <v>731</v>
      </c>
      <c r="D508" s="95">
        <v>666</v>
      </c>
      <c r="E508" s="95">
        <v>1397</v>
      </c>
      <c r="F508" s="95">
        <v>21093295</v>
      </c>
      <c r="G508" s="95">
        <v>26877066</v>
      </c>
      <c r="H508" s="95">
        <v>47970361</v>
      </c>
      <c r="I508" s="91" t="s">
        <v>171</v>
      </c>
      <c r="J508" s="91" t="s">
        <v>1121</v>
      </c>
      <c r="K508" s="94">
        <v>584979</v>
      </c>
      <c r="L508" s="91" t="s">
        <v>661</v>
      </c>
      <c r="M508" s="2"/>
      <c r="N508" s="2"/>
      <c r="O508" s="4"/>
    </row>
    <row r="509" spans="1:15" x14ac:dyDescent="0.2">
      <c r="A509" s="91" t="s">
        <v>264</v>
      </c>
      <c r="B509" s="91" t="s">
        <v>439</v>
      </c>
      <c r="C509" s="95">
        <v>10524</v>
      </c>
      <c r="D509" s="95">
        <v>10510</v>
      </c>
      <c r="E509" s="95">
        <v>21034</v>
      </c>
      <c r="F509" s="95">
        <v>452809852</v>
      </c>
      <c r="G509" s="95">
        <v>575394413</v>
      </c>
      <c r="H509" s="95">
        <v>1028204265</v>
      </c>
      <c r="I509" s="91" t="s">
        <v>71</v>
      </c>
      <c r="J509" s="91" t="s">
        <v>1121</v>
      </c>
      <c r="K509" s="94">
        <v>585216</v>
      </c>
      <c r="L509" s="91" t="s">
        <v>368</v>
      </c>
      <c r="M509" s="2"/>
      <c r="N509" s="2"/>
      <c r="O509" s="4"/>
    </row>
    <row r="510" spans="1:15" x14ac:dyDescent="0.2">
      <c r="A510" s="91" t="s">
        <v>310</v>
      </c>
      <c r="B510" s="91" t="s">
        <v>583</v>
      </c>
      <c r="C510" s="95">
        <v>603</v>
      </c>
      <c r="D510" s="95">
        <v>868</v>
      </c>
      <c r="E510" s="95">
        <v>1471</v>
      </c>
      <c r="F510" s="95">
        <v>18835222</v>
      </c>
      <c r="G510" s="95">
        <v>32430298</v>
      </c>
      <c r="H510" s="95">
        <v>51265521</v>
      </c>
      <c r="I510" s="91" t="s">
        <v>71</v>
      </c>
      <c r="J510" s="91" t="s">
        <v>1121</v>
      </c>
      <c r="K510" s="94">
        <v>586982</v>
      </c>
      <c r="L510" s="91" t="s">
        <v>275</v>
      </c>
      <c r="M510" s="2"/>
      <c r="N510" s="2"/>
      <c r="O510" s="4"/>
    </row>
    <row r="511" spans="1:15" x14ac:dyDescent="0.2">
      <c r="A511" s="91" t="s">
        <v>176</v>
      </c>
      <c r="B511" s="91" t="s">
        <v>319</v>
      </c>
      <c r="C511" s="95">
        <v>211</v>
      </c>
      <c r="D511" s="95">
        <v>345</v>
      </c>
      <c r="E511" s="95">
        <v>556</v>
      </c>
      <c r="F511" s="95">
        <v>8196244</v>
      </c>
      <c r="G511" s="95">
        <v>16789417</v>
      </c>
      <c r="H511" s="95">
        <v>24985660</v>
      </c>
      <c r="I511" s="91" t="s">
        <v>171</v>
      </c>
      <c r="J511" s="91" t="s">
        <v>1121</v>
      </c>
      <c r="K511" s="94">
        <v>587337</v>
      </c>
      <c r="L511" s="91" t="s">
        <v>203</v>
      </c>
      <c r="M511" s="2"/>
      <c r="N511" s="2"/>
      <c r="O511" s="4"/>
    </row>
    <row r="512" spans="1:15" x14ac:dyDescent="0.2">
      <c r="A512" s="91" t="s">
        <v>243</v>
      </c>
      <c r="B512" s="91" t="s">
        <v>430</v>
      </c>
      <c r="C512" s="95">
        <v>1117</v>
      </c>
      <c r="D512" s="95">
        <v>1167</v>
      </c>
      <c r="E512" s="95">
        <v>2284</v>
      </c>
      <c r="F512" s="95">
        <v>27178826</v>
      </c>
      <c r="G512" s="95">
        <v>33967181</v>
      </c>
      <c r="H512" s="95">
        <v>61146007</v>
      </c>
      <c r="I512" s="91" t="s">
        <v>71</v>
      </c>
      <c r="J512" s="91" t="s">
        <v>1122</v>
      </c>
      <c r="K512" s="94">
        <v>587634</v>
      </c>
      <c r="L512" s="91" t="s">
        <v>431</v>
      </c>
      <c r="M512" s="2"/>
      <c r="N512" s="2"/>
      <c r="O512" s="4"/>
    </row>
    <row r="513" spans="1:15" x14ac:dyDescent="0.2">
      <c r="A513" s="91" t="s">
        <v>471</v>
      </c>
      <c r="B513" s="91" t="s">
        <v>470</v>
      </c>
      <c r="C513" s="95">
        <v>2620</v>
      </c>
      <c r="D513" s="95">
        <v>3514</v>
      </c>
      <c r="E513" s="95">
        <v>6134</v>
      </c>
      <c r="F513" s="95">
        <v>46277929</v>
      </c>
      <c r="G513" s="95">
        <v>80461365</v>
      </c>
      <c r="H513" s="95">
        <v>126739293</v>
      </c>
      <c r="I513" s="91" t="s">
        <v>171</v>
      </c>
      <c r="J513" s="91" t="s">
        <v>1121</v>
      </c>
      <c r="K513" s="94">
        <v>588699</v>
      </c>
      <c r="L513" s="91" t="s">
        <v>226</v>
      </c>
      <c r="M513" s="2"/>
      <c r="N513" s="2"/>
      <c r="O513" s="4"/>
    </row>
    <row r="514" spans="1:15" x14ac:dyDescent="0.2">
      <c r="A514" s="91" t="s">
        <v>413</v>
      </c>
      <c r="B514" s="91" t="s">
        <v>781</v>
      </c>
      <c r="C514" s="95">
        <v>3</v>
      </c>
      <c r="D514" s="95">
        <v>8</v>
      </c>
      <c r="E514" s="95">
        <v>11</v>
      </c>
      <c r="F514" s="95">
        <v>40414</v>
      </c>
      <c r="G514" s="95">
        <v>131826</v>
      </c>
      <c r="H514" s="95">
        <v>172241</v>
      </c>
      <c r="I514" s="91" t="s">
        <v>71</v>
      </c>
      <c r="J514" s="91" t="s">
        <v>1121</v>
      </c>
      <c r="K514" s="94">
        <v>589168</v>
      </c>
      <c r="L514" s="91" t="s">
        <v>625</v>
      </c>
      <c r="M514" s="2"/>
      <c r="N514" s="2"/>
      <c r="O514" s="4"/>
    </row>
    <row r="515" spans="1:15" x14ac:dyDescent="0.2">
      <c r="A515" s="91" t="s">
        <v>173</v>
      </c>
      <c r="B515" s="91" t="s">
        <v>1009</v>
      </c>
      <c r="C515" s="95">
        <v>655</v>
      </c>
      <c r="D515" s="95">
        <v>521</v>
      </c>
      <c r="E515" s="95">
        <v>1176</v>
      </c>
      <c r="F515" s="95">
        <v>58484339</v>
      </c>
      <c r="G515" s="95">
        <v>55204806</v>
      </c>
      <c r="H515" s="95">
        <v>113689145</v>
      </c>
      <c r="I515" s="91" t="s">
        <v>171</v>
      </c>
      <c r="J515" s="91" t="s">
        <v>1118</v>
      </c>
      <c r="K515" s="94">
        <v>590463</v>
      </c>
      <c r="L515" s="91" t="s">
        <v>172</v>
      </c>
      <c r="M515" s="2"/>
      <c r="N515" s="2"/>
      <c r="O515" s="4"/>
    </row>
    <row r="516" spans="1:15" x14ac:dyDescent="0.2">
      <c r="A516" s="91" t="s">
        <v>509</v>
      </c>
      <c r="B516" s="91" t="s">
        <v>996</v>
      </c>
      <c r="C516" s="95">
        <v>508</v>
      </c>
      <c r="D516" s="95">
        <v>456</v>
      </c>
      <c r="E516" s="95">
        <v>964</v>
      </c>
      <c r="F516" s="95">
        <v>19076852</v>
      </c>
      <c r="G516" s="95">
        <v>22535811</v>
      </c>
      <c r="H516" s="95">
        <v>41612663</v>
      </c>
      <c r="I516" s="91" t="s">
        <v>171</v>
      </c>
      <c r="J516" s="91" t="s">
        <v>1118</v>
      </c>
      <c r="K516" s="94">
        <v>592295</v>
      </c>
      <c r="L516" s="91" t="s">
        <v>293</v>
      </c>
      <c r="M516" s="2"/>
      <c r="N516" s="2"/>
      <c r="O516" s="4"/>
    </row>
    <row r="517" spans="1:15" x14ac:dyDescent="0.2">
      <c r="A517" s="91" t="s">
        <v>212</v>
      </c>
      <c r="B517" s="91" t="s">
        <v>888</v>
      </c>
      <c r="C517" s="95">
        <v>15</v>
      </c>
      <c r="D517" s="95">
        <v>19</v>
      </c>
      <c r="E517" s="95">
        <v>34</v>
      </c>
      <c r="F517" s="95">
        <v>460711</v>
      </c>
      <c r="G517" s="95">
        <v>779548</v>
      </c>
      <c r="H517" s="95">
        <v>1240259</v>
      </c>
      <c r="I517" s="91" t="s">
        <v>71</v>
      </c>
      <c r="J517" s="91" t="s">
        <v>1121</v>
      </c>
      <c r="K517" s="94">
        <v>594713</v>
      </c>
      <c r="L517" s="91" t="s">
        <v>495</v>
      </c>
      <c r="M517" s="2"/>
      <c r="N517" s="2"/>
      <c r="O517" s="4"/>
    </row>
    <row r="518" spans="1:15" x14ac:dyDescent="0.2">
      <c r="A518" s="91" t="s">
        <v>182</v>
      </c>
      <c r="B518" s="91" t="s">
        <v>308</v>
      </c>
      <c r="C518" s="95">
        <v>491</v>
      </c>
      <c r="D518" s="95">
        <v>423</v>
      </c>
      <c r="E518" s="95">
        <v>914</v>
      </c>
      <c r="F518" s="95">
        <v>7765525</v>
      </c>
      <c r="G518" s="95">
        <v>9063054</v>
      </c>
      <c r="H518" s="95">
        <v>16828579</v>
      </c>
      <c r="I518" s="91" t="s">
        <v>171</v>
      </c>
      <c r="J518" s="91" t="s">
        <v>1115</v>
      </c>
      <c r="K518" s="94">
        <v>596429</v>
      </c>
      <c r="L518" s="91" t="s">
        <v>226</v>
      </c>
      <c r="M518" s="2"/>
      <c r="N518" s="2"/>
      <c r="O518" s="4"/>
    </row>
    <row r="519" spans="1:15" x14ac:dyDescent="0.2">
      <c r="A519" s="91" t="s">
        <v>410</v>
      </c>
      <c r="B519" s="91" t="s">
        <v>850</v>
      </c>
      <c r="C519" s="95">
        <v>5368</v>
      </c>
      <c r="D519" s="95">
        <v>5616</v>
      </c>
      <c r="E519" s="95">
        <v>10984</v>
      </c>
      <c r="F519" s="95">
        <v>174724553</v>
      </c>
      <c r="G519" s="95">
        <v>218130756</v>
      </c>
      <c r="H519" s="95">
        <v>392855309</v>
      </c>
      <c r="I519" s="91" t="s">
        <v>71</v>
      </c>
      <c r="J519" s="91" t="s">
        <v>1121</v>
      </c>
      <c r="K519" s="94">
        <v>598557</v>
      </c>
      <c r="L519" s="91" t="s">
        <v>844</v>
      </c>
      <c r="M519" s="2"/>
      <c r="N519" s="2"/>
      <c r="O519" s="4"/>
    </row>
    <row r="520" spans="1:15" x14ac:dyDescent="0.2">
      <c r="A520" s="91" t="s">
        <v>266</v>
      </c>
      <c r="B520" s="91" t="s">
        <v>502</v>
      </c>
      <c r="C520" s="95">
        <v>9037</v>
      </c>
      <c r="D520" s="95">
        <v>7234</v>
      </c>
      <c r="E520" s="95">
        <v>16271</v>
      </c>
      <c r="F520" s="95">
        <v>249966902</v>
      </c>
      <c r="G520" s="95">
        <v>236116221</v>
      </c>
      <c r="H520" s="95">
        <v>486083124</v>
      </c>
      <c r="I520" s="91" t="s">
        <v>171</v>
      </c>
      <c r="J520" s="91" t="s">
        <v>1118</v>
      </c>
      <c r="K520" s="94">
        <v>599795</v>
      </c>
      <c r="L520" s="91" t="s">
        <v>203</v>
      </c>
      <c r="M520" s="2"/>
      <c r="N520" s="2"/>
      <c r="O520" s="4"/>
    </row>
    <row r="521" spans="1:15" x14ac:dyDescent="0.2">
      <c r="A521" s="91" t="s">
        <v>173</v>
      </c>
      <c r="B521" s="91" t="s">
        <v>1102</v>
      </c>
      <c r="C521" s="95">
        <v>1622</v>
      </c>
      <c r="D521" s="95">
        <v>2212</v>
      </c>
      <c r="E521" s="95">
        <v>3834</v>
      </c>
      <c r="F521" s="95">
        <v>218458107</v>
      </c>
      <c r="G521" s="95">
        <v>342480237</v>
      </c>
      <c r="H521" s="95">
        <v>560938345</v>
      </c>
      <c r="I521" s="91" t="s">
        <v>71</v>
      </c>
      <c r="J521" s="91" t="s">
        <v>1118</v>
      </c>
      <c r="K521" s="94">
        <v>600676</v>
      </c>
      <c r="L521" s="91" t="s">
        <v>1101</v>
      </c>
      <c r="M521" s="2"/>
      <c r="N521" s="2"/>
      <c r="O521" s="4"/>
    </row>
    <row r="522" spans="1:15" x14ac:dyDescent="0.2">
      <c r="A522" s="91" t="s">
        <v>310</v>
      </c>
      <c r="B522" s="91" t="s">
        <v>951</v>
      </c>
      <c r="C522" s="95">
        <v>367</v>
      </c>
      <c r="D522" s="95">
        <v>496</v>
      </c>
      <c r="E522" s="95">
        <v>863</v>
      </c>
      <c r="F522" s="95">
        <v>9812181</v>
      </c>
      <c r="G522" s="95">
        <v>15958749</v>
      </c>
      <c r="H522" s="95">
        <v>25770930</v>
      </c>
      <c r="I522" s="91" t="s">
        <v>171</v>
      </c>
      <c r="J522" s="91" t="s">
        <v>1121</v>
      </c>
      <c r="K522" s="94">
        <v>602094</v>
      </c>
      <c r="L522" s="91" t="s">
        <v>216</v>
      </c>
      <c r="M522" s="2"/>
      <c r="N522" s="2"/>
      <c r="O522" s="4"/>
    </row>
    <row r="523" spans="1:15" x14ac:dyDescent="0.2">
      <c r="A523" s="91" t="s">
        <v>239</v>
      </c>
      <c r="B523" s="91" t="s">
        <v>912</v>
      </c>
      <c r="C523" s="95">
        <v>353</v>
      </c>
      <c r="D523" s="95">
        <v>336</v>
      </c>
      <c r="E523" s="95">
        <v>689</v>
      </c>
      <c r="F523" s="95">
        <v>6481642</v>
      </c>
      <c r="G523" s="95">
        <v>9020864</v>
      </c>
      <c r="H523" s="95">
        <v>15502506</v>
      </c>
      <c r="I523" s="91" t="s">
        <v>71</v>
      </c>
      <c r="J523" s="91" t="s">
        <v>1121</v>
      </c>
      <c r="K523" s="94">
        <v>603985</v>
      </c>
      <c r="L523" s="91" t="s">
        <v>913</v>
      </c>
      <c r="M523" s="2"/>
      <c r="N523" s="2"/>
      <c r="O523" s="4"/>
    </row>
    <row r="524" spans="1:15" x14ac:dyDescent="0.2">
      <c r="A524" s="91" t="s">
        <v>264</v>
      </c>
      <c r="B524" s="91" t="s">
        <v>514</v>
      </c>
      <c r="C524" s="95">
        <v>1865</v>
      </c>
      <c r="D524" s="95">
        <v>1709</v>
      </c>
      <c r="E524" s="95">
        <v>3574</v>
      </c>
      <c r="F524" s="95">
        <v>45895079</v>
      </c>
      <c r="G524" s="95">
        <v>50562098</v>
      </c>
      <c r="H524" s="95">
        <v>96457177</v>
      </c>
      <c r="I524" s="91" t="s">
        <v>171</v>
      </c>
      <c r="J524" s="91" t="s">
        <v>1121</v>
      </c>
      <c r="K524" s="94">
        <v>605634</v>
      </c>
      <c r="L524" s="91" t="s">
        <v>305</v>
      </c>
      <c r="M524" s="2"/>
      <c r="N524" s="2"/>
      <c r="O524" s="4"/>
    </row>
    <row r="525" spans="1:15" x14ac:dyDescent="0.2">
      <c r="A525" s="91" t="s">
        <v>223</v>
      </c>
      <c r="B525" s="91" t="s">
        <v>1147</v>
      </c>
      <c r="C525" s="95">
        <v>595</v>
      </c>
      <c r="D525" s="95">
        <v>545</v>
      </c>
      <c r="E525" s="95">
        <v>1140</v>
      </c>
      <c r="F525" s="95">
        <v>11163044</v>
      </c>
      <c r="G525" s="95">
        <v>12902789</v>
      </c>
      <c r="H525" s="95">
        <v>24065833</v>
      </c>
      <c r="I525" s="91" t="s">
        <v>71</v>
      </c>
      <c r="J525" s="91" t="s">
        <v>1122</v>
      </c>
      <c r="K525" s="94">
        <v>606160</v>
      </c>
      <c r="L525" s="91" t="s">
        <v>362</v>
      </c>
      <c r="M525" s="2"/>
      <c r="N525" s="2"/>
      <c r="O525" s="4"/>
    </row>
    <row r="526" spans="1:15" x14ac:dyDescent="0.2">
      <c r="A526" s="91" t="s">
        <v>239</v>
      </c>
      <c r="B526" s="91" t="s">
        <v>435</v>
      </c>
      <c r="C526" s="95">
        <v>451</v>
      </c>
      <c r="D526" s="95">
        <v>440</v>
      </c>
      <c r="E526" s="95">
        <v>891</v>
      </c>
      <c r="F526" s="95">
        <v>9282125</v>
      </c>
      <c r="G526" s="95">
        <v>11384581</v>
      </c>
      <c r="H526" s="95">
        <v>20666706</v>
      </c>
      <c r="I526" s="91" t="s">
        <v>171</v>
      </c>
      <c r="J526" s="91" t="s">
        <v>1121</v>
      </c>
      <c r="K526" s="94">
        <v>606467</v>
      </c>
      <c r="L526" s="91" t="s">
        <v>194</v>
      </c>
      <c r="M526" s="2"/>
      <c r="N526" s="2"/>
      <c r="O526" s="4"/>
    </row>
    <row r="527" spans="1:15" x14ac:dyDescent="0.2">
      <c r="A527" s="91" t="s">
        <v>266</v>
      </c>
      <c r="B527" s="91" t="s">
        <v>110</v>
      </c>
      <c r="C527" s="95">
        <v>65872</v>
      </c>
      <c r="D527" s="95">
        <v>59902</v>
      </c>
      <c r="E527" s="95">
        <v>125774</v>
      </c>
      <c r="F527" s="95">
        <v>3466748340</v>
      </c>
      <c r="G527" s="95">
        <v>3921219903</v>
      </c>
      <c r="H527" s="95">
        <v>7387968243</v>
      </c>
      <c r="I527" s="91" t="s">
        <v>171</v>
      </c>
      <c r="J527" s="91" t="s">
        <v>1118</v>
      </c>
      <c r="K527" s="94">
        <v>610121</v>
      </c>
      <c r="L527" s="91" t="s">
        <v>196</v>
      </c>
      <c r="M527" s="2"/>
      <c r="N527" s="2"/>
      <c r="O527" s="4"/>
    </row>
    <row r="528" spans="1:15" x14ac:dyDescent="0.2">
      <c r="A528" s="91" t="s">
        <v>176</v>
      </c>
      <c r="B528" s="91" t="s">
        <v>374</v>
      </c>
      <c r="C528" s="95">
        <v>9449</v>
      </c>
      <c r="D528" s="95">
        <v>10849</v>
      </c>
      <c r="E528" s="95">
        <v>20298</v>
      </c>
      <c r="F528" s="95">
        <v>416588489</v>
      </c>
      <c r="G528" s="95">
        <v>581160398</v>
      </c>
      <c r="H528" s="95">
        <v>997748887</v>
      </c>
      <c r="I528" s="91" t="s">
        <v>71</v>
      </c>
      <c r="J528" s="91" t="s">
        <v>1121</v>
      </c>
      <c r="K528" s="94">
        <v>610410</v>
      </c>
      <c r="L528" s="91" t="s">
        <v>235</v>
      </c>
      <c r="M528" s="2"/>
      <c r="N528" s="2"/>
      <c r="O528" s="4"/>
    </row>
    <row r="529" spans="1:15" x14ac:dyDescent="0.2">
      <c r="A529" s="91" t="s">
        <v>410</v>
      </c>
      <c r="B529" s="91" t="s">
        <v>587</v>
      </c>
      <c r="C529" s="95">
        <v>37</v>
      </c>
      <c r="D529" s="95">
        <v>57</v>
      </c>
      <c r="E529" s="95">
        <v>94</v>
      </c>
      <c r="F529" s="95">
        <v>1330081</v>
      </c>
      <c r="G529" s="95">
        <v>3411503</v>
      </c>
      <c r="H529" s="95">
        <v>4741584</v>
      </c>
      <c r="I529" s="91" t="s">
        <v>171</v>
      </c>
      <c r="J529" s="91" t="s">
        <v>1121</v>
      </c>
      <c r="K529" s="94">
        <v>611657</v>
      </c>
      <c r="L529" s="91" t="s">
        <v>277</v>
      </c>
      <c r="M529" s="2"/>
      <c r="N529" s="2"/>
      <c r="O529" s="4"/>
    </row>
    <row r="530" spans="1:15" x14ac:dyDescent="0.2">
      <c r="A530" s="91" t="s">
        <v>192</v>
      </c>
      <c r="B530" s="91" t="s">
        <v>225</v>
      </c>
      <c r="C530" s="95">
        <v>3893</v>
      </c>
      <c r="D530" s="95">
        <v>3109</v>
      </c>
      <c r="E530" s="95">
        <v>7002</v>
      </c>
      <c r="F530" s="95">
        <v>169439432</v>
      </c>
      <c r="G530" s="95">
        <v>159962164</v>
      </c>
      <c r="H530" s="95">
        <v>329401596</v>
      </c>
      <c r="I530" s="91" t="s">
        <v>171</v>
      </c>
      <c r="J530" s="91" t="s">
        <v>1122</v>
      </c>
      <c r="K530" s="94">
        <v>613133</v>
      </c>
      <c r="L530" s="91" t="s">
        <v>226</v>
      </c>
      <c r="M530" s="2"/>
      <c r="N530" s="2"/>
      <c r="O530" s="4"/>
    </row>
    <row r="531" spans="1:15" x14ac:dyDescent="0.2">
      <c r="A531" s="91" t="s">
        <v>212</v>
      </c>
      <c r="B531" s="91" t="s">
        <v>399</v>
      </c>
      <c r="C531" s="95">
        <v>219</v>
      </c>
      <c r="D531" s="95">
        <v>223</v>
      </c>
      <c r="E531" s="95">
        <v>442</v>
      </c>
      <c r="F531" s="95">
        <v>8943002</v>
      </c>
      <c r="G531" s="95">
        <v>10476998</v>
      </c>
      <c r="H531" s="95">
        <v>19420000</v>
      </c>
      <c r="I531" s="91" t="s">
        <v>171</v>
      </c>
      <c r="J531" s="91" t="s">
        <v>1121</v>
      </c>
      <c r="K531" s="94">
        <v>613729</v>
      </c>
      <c r="L531" s="91" t="s">
        <v>247</v>
      </c>
      <c r="M531" s="2"/>
      <c r="N531" s="2"/>
      <c r="O531" s="4"/>
    </row>
    <row r="532" spans="1:15" x14ac:dyDescent="0.2">
      <c r="A532" s="91" t="s">
        <v>192</v>
      </c>
      <c r="B532" s="91" t="s">
        <v>201</v>
      </c>
      <c r="C532" s="95">
        <v>13751</v>
      </c>
      <c r="D532" s="95">
        <v>10873</v>
      </c>
      <c r="E532" s="95">
        <v>24624</v>
      </c>
      <c r="F532" s="95">
        <v>430195990</v>
      </c>
      <c r="G532" s="95">
        <v>423275900</v>
      </c>
      <c r="H532" s="95">
        <v>853471890</v>
      </c>
      <c r="I532" s="91" t="s">
        <v>171</v>
      </c>
      <c r="J532" s="91" t="s">
        <v>1122</v>
      </c>
      <c r="K532" s="94">
        <v>614370</v>
      </c>
      <c r="L532" s="91" t="s">
        <v>200</v>
      </c>
      <c r="M532" s="2"/>
      <c r="N532" s="2"/>
      <c r="O532" s="4"/>
    </row>
    <row r="533" spans="1:15" x14ac:dyDescent="0.2">
      <c r="A533" s="91" t="s">
        <v>315</v>
      </c>
      <c r="B533" s="91" t="s">
        <v>822</v>
      </c>
      <c r="C533" s="95">
        <v>2805</v>
      </c>
      <c r="D533" s="95">
        <v>4555</v>
      </c>
      <c r="E533" s="95">
        <v>7360</v>
      </c>
      <c r="F533" s="95">
        <v>84745674</v>
      </c>
      <c r="G533" s="95">
        <v>165701728</v>
      </c>
      <c r="H533" s="95">
        <v>250447402</v>
      </c>
      <c r="I533" s="91" t="s">
        <v>71</v>
      </c>
      <c r="J533" s="91" t="s">
        <v>1121</v>
      </c>
      <c r="K533" s="94">
        <v>614966</v>
      </c>
      <c r="L533" s="91" t="s">
        <v>535</v>
      </c>
      <c r="M533" s="2"/>
      <c r="N533" s="2"/>
      <c r="O533" s="4"/>
    </row>
    <row r="534" spans="1:15" x14ac:dyDescent="0.2">
      <c r="A534" s="91" t="s">
        <v>173</v>
      </c>
      <c r="B534" s="91" t="s">
        <v>942</v>
      </c>
      <c r="C534" s="95">
        <v>2848</v>
      </c>
      <c r="D534" s="95">
        <v>2774</v>
      </c>
      <c r="E534" s="95">
        <v>5622</v>
      </c>
      <c r="F534" s="95">
        <v>352774704</v>
      </c>
      <c r="G534" s="95">
        <v>397056707</v>
      </c>
      <c r="H534" s="95">
        <v>749831410</v>
      </c>
      <c r="I534" s="91" t="s">
        <v>171</v>
      </c>
      <c r="J534" s="91" t="s">
        <v>1118</v>
      </c>
      <c r="K534" s="94">
        <v>615310</v>
      </c>
      <c r="L534" s="91" t="s">
        <v>672</v>
      </c>
      <c r="M534" s="2"/>
      <c r="N534" s="2"/>
      <c r="O534" s="4"/>
    </row>
    <row r="535" spans="1:15" x14ac:dyDescent="0.2">
      <c r="A535" s="91" t="s">
        <v>245</v>
      </c>
      <c r="B535" s="91" t="s">
        <v>706</v>
      </c>
      <c r="C535" s="95">
        <v>277</v>
      </c>
      <c r="D535" s="95">
        <v>333</v>
      </c>
      <c r="E535" s="95">
        <v>610</v>
      </c>
      <c r="F535" s="95">
        <v>10828692</v>
      </c>
      <c r="G535" s="95">
        <v>16271797</v>
      </c>
      <c r="H535" s="95">
        <v>27100489</v>
      </c>
      <c r="I535" s="91" t="s">
        <v>71</v>
      </c>
      <c r="J535" s="91" t="s">
        <v>1121</v>
      </c>
      <c r="K535" s="94">
        <v>616797</v>
      </c>
      <c r="L535" s="91" t="s">
        <v>682</v>
      </c>
      <c r="M535" s="2"/>
      <c r="N535" s="2"/>
      <c r="O535" s="4"/>
    </row>
    <row r="536" spans="1:15" x14ac:dyDescent="0.2">
      <c r="A536" s="91" t="s">
        <v>188</v>
      </c>
      <c r="B536" s="91" t="s">
        <v>204</v>
      </c>
      <c r="C536" s="95">
        <v>170</v>
      </c>
      <c r="D536" s="95">
        <v>267</v>
      </c>
      <c r="E536" s="95">
        <v>437</v>
      </c>
      <c r="F536" s="95">
        <v>6358012</v>
      </c>
      <c r="G536" s="95">
        <v>13113596</v>
      </c>
      <c r="H536" s="95">
        <v>19471608</v>
      </c>
      <c r="I536" s="91" t="s">
        <v>171</v>
      </c>
      <c r="J536" s="91" t="s">
        <v>1122</v>
      </c>
      <c r="K536" s="94">
        <v>617209</v>
      </c>
      <c r="L536" s="91" t="s">
        <v>194</v>
      </c>
      <c r="M536" s="2"/>
      <c r="N536" s="2"/>
      <c r="O536" s="4"/>
    </row>
    <row r="537" spans="1:15" x14ac:dyDescent="0.2">
      <c r="A537" s="91" t="s">
        <v>449</v>
      </c>
      <c r="B537" s="91" t="s">
        <v>568</v>
      </c>
      <c r="C537" s="95">
        <v>1175</v>
      </c>
      <c r="D537" s="95">
        <v>2075</v>
      </c>
      <c r="E537" s="95">
        <v>3250</v>
      </c>
      <c r="F537" s="95">
        <v>39084853</v>
      </c>
      <c r="G537" s="95">
        <v>87870192</v>
      </c>
      <c r="H537" s="95">
        <v>126955045</v>
      </c>
      <c r="I537" s="91" t="s">
        <v>171</v>
      </c>
      <c r="J537" s="91" t="s">
        <v>1121</v>
      </c>
      <c r="K537" s="94">
        <v>617670</v>
      </c>
      <c r="L537" s="91" t="s">
        <v>231</v>
      </c>
      <c r="M537" s="2"/>
      <c r="N537" s="2"/>
      <c r="O537" s="4"/>
    </row>
    <row r="538" spans="1:15" x14ac:dyDescent="0.2">
      <c r="A538" s="91" t="s">
        <v>310</v>
      </c>
      <c r="B538" s="91" t="s">
        <v>658</v>
      </c>
      <c r="C538" s="95">
        <v>4181</v>
      </c>
      <c r="D538" s="95">
        <v>5936</v>
      </c>
      <c r="E538" s="95">
        <v>10117</v>
      </c>
      <c r="F538" s="95">
        <v>112553834</v>
      </c>
      <c r="G538" s="95">
        <v>193167697</v>
      </c>
      <c r="H538" s="95">
        <v>305721531</v>
      </c>
      <c r="I538" s="91" t="s">
        <v>171</v>
      </c>
      <c r="J538" s="91" t="s">
        <v>1121</v>
      </c>
      <c r="K538" s="94">
        <v>618629</v>
      </c>
      <c r="L538" s="91" t="s">
        <v>277</v>
      </c>
      <c r="M538" s="2"/>
      <c r="N538" s="2"/>
      <c r="O538" s="4"/>
    </row>
    <row r="539" spans="1:15" x14ac:dyDescent="0.2">
      <c r="A539" s="91" t="s">
        <v>449</v>
      </c>
      <c r="B539" s="91" t="s">
        <v>747</v>
      </c>
      <c r="C539" s="95">
        <v>776</v>
      </c>
      <c r="D539" s="95">
        <v>925</v>
      </c>
      <c r="E539" s="95">
        <v>1701</v>
      </c>
      <c r="F539" s="95">
        <v>16698175</v>
      </c>
      <c r="G539" s="95">
        <v>32031523</v>
      </c>
      <c r="H539" s="95">
        <v>48729698</v>
      </c>
      <c r="I539" s="91" t="s">
        <v>171</v>
      </c>
      <c r="J539" s="91" t="s">
        <v>1121</v>
      </c>
      <c r="K539" s="94">
        <v>620807</v>
      </c>
      <c r="L539" s="91" t="s">
        <v>661</v>
      </c>
      <c r="M539" s="2"/>
      <c r="N539" s="2"/>
      <c r="O539" s="4"/>
    </row>
    <row r="540" spans="1:15" x14ac:dyDescent="0.2">
      <c r="A540" s="91" t="s">
        <v>243</v>
      </c>
      <c r="B540" s="91" t="s">
        <v>354</v>
      </c>
      <c r="C540" s="95">
        <v>219</v>
      </c>
      <c r="D540" s="95">
        <v>168</v>
      </c>
      <c r="E540" s="95">
        <v>387</v>
      </c>
      <c r="F540" s="95">
        <v>5108689</v>
      </c>
      <c r="G540" s="95">
        <v>5536154</v>
      </c>
      <c r="H540" s="95">
        <v>10644843</v>
      </c>
      <c r="I540" s="91" t="s">
        <v>71</v>
      </c>
      <c r="J540" s="91" t="s">
        <v>1122</v>
      </c>
      <c r="K540" s="94">
        <v>621631</v>
      </c>
      <c r="L540" s="91" t="s">
        <v>235</v>
      </c>
      <c r="M540" s="2"/>
      <c r="N540" s="2"/>
      <c r="O540" s="4"/>
    </row>
    <row r="541" spans="1:15" x14ac:dyDescent="0.2">
      <c r="A541" s="91" t="s">
        <v>188</v>
      </c>
      <c r="B541" s="91" t="s">
        <v>442</v>
      </c>
      <c r="C541" s="95">
        <v>46</v>
      </c>
      <c r="D541" s="95">
        <v>60</v>
      </c>
      <c r="E541" s="95">
        <v>106</v>
      </c>
      <c r="F541" s="95">
        <v>1863617</v>
      </c>
      <c r="G541" s="95">
        <v>2801484</v>
      </c>
      <c r="H541" s="95">
        <v>4665101</v>
      </c>
      <c r="I541" s="91" t="s">
        <v>171</v>
      </c>
      <c r="J541" s="91" t="s">
        <v>1122</v>
      </c>
      <c r="K541" s="94">
        <v>624999</v>
      </c>
      <c r="L541" s="91" t="s">
        <v>361</v>
      </c>
      <c r="M541" s="2"/>
      <c r="N541" s="2"/>
      <c r="O541" s="4"/>
    </row>
    <row r="542" spans="1:15" x14ac:dyDescent="0.2">
      <c r="A542" s="91" t="s">
        <v>507</v>
      </c>
      <c r="B542" s="91" t="s">
        <v>786</v>
      </c>
      <c r="C542" s="95">
        <v>656</v>
      </c>
      <c r="D542" s="95">
        <v>1157</v>
      </c>
      <c r="E542" s="95">
        <v>1813</v>
      </c>
      <c r="F542" s="95">
        <v>22769296</v>
      </c>
      <c r="G542" s="95">
        <v>56878707</v>
      </c>
      <c r="H542" s="95">
        <v>79648003</v>
      </c>
      <c r="I542" s="91" t="s">
        <v>71</v>
      </c>
      <c r="J542" s="91" t="s">
        <v>1121</v>
      </c>
      <c r="K542" s="94">
        <v>625236</v>
      </c>
      <c r="L542" s="91" t="s">
        <v>768</v>
      </c>
      <c r="M542" s="2"/>
      <c r="N542" s="2"/>
      <c r="O542" s="4"/>
    </row>
    <row r="543" spans="1:15" x14ac:dyDescent="0.2">
      <c r="A543" s="91" t="s">
        <v>509</v>
      </c>
      <c r="B543" s="91" t="s">
        <v>599</v>
      </c>
      <c r="C543" s="95">
        <v>1174</v>
      </c>
      <c r="D543" s="95">
        <v>1131</v>
      </c>
      <c r="E543" s="95">
        <v>2305</v>
      </c>
      <c r="F543" s="95">
        <v>86165164</v>
      </c>
      <c r="G543" s="95">
        <v>97604156</v>
      </c>
      <c r="H543" s="95">
        <v>183769319</v>
      </c>
      <c r="I543" s="91" t="s">
        <v>171</v>
      </c>
      <c r="J543" s="91" t="s">
        <v>1118</v>
      </c>
      <c r="K543" s="94">
        <v>626291</v>
      </c>
      <c r="L543" s="91" t="s">
        <v>172</v>
      </c>
      <c r="M543" s="2"/>
      <c r="N543" s="2"/>
      <c r="O543" s="4"/>
    </row>
    <row r="544" spans="1:15" x14ac:dyDescent="0.2">
      <c r="A544" s="91" t="s">
        <v>245</v>
      </c>
      <c r="B544" s="91" t="s">
        <v>829</v>
      </c>
      <c r="C544" s="95">
        <v>552</v>
      </c>
      <c r="D544" s="95">
        <v>804</v>
      </c>
      <c r="E544" s="95">
        <v>1356</v>
      </c>
      <c r="F544" s="95">
        <v>22877137</v>
      </c>
      <c r="G544" s="95">
        <v>40973951</v>
      </c>
      <c r="H544" s="95">
        <v>63851088</v>
      </c>
      <c r="I544" s="91" t="s">
        <v>71</v>
      </c>
      <c r="J544" s="91" t="s">
        <v>1121</v>
      </c>
      <c r="K544" s="94">
        <v>626945</v>
      </c>
      <c r="L544" s="91" t="s">
        <v>535</v>
      </c>
      <c r="M544" s="2"/>
      <c r="N544" s="2"/>
      <c r="O544" s="4"/>
    </row>
    <row r="545" spans="1:15" x14ac:dyDescent="0.2">
      <c r="A545" s="91" t="s">
        <v>237</v>
      </c>
      <c r="B545" s="91" t="s">
        <v>291</v>
      </c>
      <c r="C545" s="95">
        <v>10646</v>
      </c>
      <c r="D545" s="95">
        <v>10984</v>
      </c>
      <c r="E545" s="95">
        <v>21630</v>
      </c>
      <c r="F545" s="95">
        <v>318597814</v>
      </c>
      <c r="G545" s="95">
        <v>398341194</v>
      </c>
      <c r="H545" s="95">
        <v>716939008</v>
      </c>
      <c r="I545" s="91" t="s">
        <v>171</v>
      </c>
      <c r="J545" s="91" t="s">
        <v>1121</v>
      </c>
      <c r="K545" s="94">
        <v>629543</v>
      </c>
      <c r="L545" s="91" t="s">
        <v>231</v>
      </c>
      <c r="M545" s="2"/>
      <c r="N545" s="2"/>
      <c r="O545" s="4"/>
    </row>
    <row r="546" spans="1:15" x14ac:dyDescent="0.2">
      <c r="A546" s="91" t="s">
        <v>383</v>
      </c>
      <c r="B546" s="91" t="s">
        <v>847</v>
      </c>
      <c r="C546" s="95">
        <v>2114</v>
      </c>
      <c r="D546" s="95">
        <v>2154</v>
      </c>
      <c r="E546" s="95">
        <v>4268</v>
      </c>
      <c r="F546" s="95">
        <v>74948811</v>
      </c>
      <c r="G546" s="95">
        <v>86460915</v>
      </c>
      <c r="H546" s="95">
        <v>161409727</v>
      </c>
      <c r="I546" s="91" t="s">
        <v>71</v>
      </c>
      <c r="J546" s="91" t="s">
        <v>1121</v>
      </c>
      <c r="K546" s="94">
        <v>634386</v>
      </c>
      <c r="L546" s="91" t="s">
        <v>844</v>
      </c>
      <c r="M546" s="2"/>
      <c r="N546" s="2"/>
      <c r="O546" s="4"/>
    </row>
    <row r="547" spans="1:15" x14ac:dyDescent="0.2">
      <c r="A547" s="91" t="s">
        <v>260</v>
      </c>
      <c r="B547" s="91" t="s">
        <v>1136</v>
      </c>
      <c r="C547" s="95">
        <v>0</v>
      </c>
      <c r="D547" s="95">
        <v>1</v>
      </c>
      <c r="E547" s="95">
        <v>1</v>
      </c>
      <c r="F547" s="95">
        <v>0</v>
      </c>
      <c r="G547" s="95">
        <v>27795</v>
      </c>
      <c r="H547" s="95">
        <v>27795</v>
      </c>
      <c r="I547" s="91" t="s">
        <v>71</v>
      </c>
      <c r="J547" s="91" t="s">
        <v>1121</v>
      </c>
      <c r="K547" s="94">
        <v>634675</v>
      </c>
      <c r="L547" s="91" t="s">
        <v>1152</v>
      </c>
      <c r="M547" s="2"/>
      <c r="N547" s="2"/>
      <c r="O547" s="4"/>
    </row>
    <row r="548" spans="1:15" x14ac:dyDescent="0.2">
      <c r="A548" s="91" t="s">
        <v>182</v>
      </c>
      <c r="B548" s="91" t="s">
        <v>352</v>
      </c>
      <c r="C548" s="95">
        <v>6198</v>
      </c>
      <c r="D548" s="95">
        <v>5118</v>
      </c>
      <c r="E548" s="95">
        <v>11316</v>
      </c>
      <c r="F548" s="95">
        <v>417685493</v>
      </c>
      <c r="G548" s="95">
        <v>431132564</v>
      </c>
      <c r="H548" s="95">
        <v>848818057</v>
      </c>
      <c r="I548" s="91" t="s">
        <v>171</v>
      </c>
      <c r="J548" s="91" t="s">
        <v>1115</v>
      </c>
      <c r="K548" s="94">
        <v>635623</v>
      </c>
      <c r="L548" s="91" t="s">
        <v>203</v>
      </c>
      <c r="M548" s="2"/>
      <c r="N548" s="2"/>
      <c r="O548" s="4"/>
    </row>
    <row r="549" spans="1:15" x14ac:dyDescent="0.2">
      <c r="A549" s="91" t="s">
        <v>173</v>
      </c>
      <c r="B549" s="91" t="s">
        <v>1103</v>
      </c>
      <c r="C549" s="95">
        <v>820</v>
      </c>
      <c r="D549" s="95">
        <v>1196</v>
      </c>
      <c r="E549" s="95">
        <v>2016</v>
      </c>
      <c r="F549" s="95">
        <v>90344463</v>
      </c>
      <c r="G549" s="95">
        <v>148061292</v>
      </c>
      <c r="H549" s="95">
        <v>238405756</v>
      </c>
      <c r="I549" s="91" t="s">
        <v>71</v>
      </c>
      <c r="J549" s="91" t="s">
        <v>1118</v>
      </c>
      <c r="K549" s="94">
        <v>636506</v>
      </c>
      <c r="L549" s="91" t="s">
        <v>1101</v>
      </c>
      <c r="M549" s="2"/>
      <c r="N549" s="2"/>
      <c r="O549" s="4"/>
    </row>
    <row r="550" spans="1:15" x14ac:dyDescent="0.2">
      <c r="A550" s="91" t="s">
        <v>173</v>
      </c>
      <c r="B550" s="91" t="s">
        <v>460</v>
      </c>
      <c r="C550" s="95">
        <v>1515</v>
      </c>
      <c r="D550" s="95">
        <v>1413</v>
      </c>
      <c r="E550" s="95">
        <v>2928</v>
      </c>
      <c r="F550" s="95">
        <v>45878804</v>
      </c>
      <c r="G550" s="95">
        <v>55616326</v>
      </c>
      <c r="H550" s="95">
        <v>101495130</v>
      </c>
      <c r="I550" s="91" t="s">
        <v>71</v>
      </c>
      <c r="J550" s="91" t="s">
        <v>1118</v>
      </c>
      <c r="K550" s="94">
        <v>639633</v>
      </c>
      <c r="L550" s="91" t="s">
        <v>289</v>
      </c>
      <c r="M550" s="2"/>
      <c r="N550" s="2"/>
      <c r="O550" s="4"/>
    </row>
    <row r="551" spans="1:15" x14ac:dyDescent="0.2">
      <c r="A551" s="91" t="s">
        <v>310</v>
      </c>
      <c r="B551" s="91" t="s">
        <v>1055</v>
      </c>
      <c r="C551" s="95">
        <v>8</v>
      </c>
      <c r="D551" s="95">
        <v>22</v>
      </c>
      <c r="E551" s="95">
        <v>30</v>
      </c>
      <c r="F551" s="95">
        <v>347053</v>
      </c>
      <c r="G551" s="95">
        <v>1076179</v>
      </c>
      <c r="H551" s="95">
        <v>1423232</v>
      </c>
      <c r="I551" s="91" t="s">
        <v>171</v>
      </c>
      <c r="J551" s="91" t="s">
        <v>1121</v>
      </c>
      <c r="K551" s="94">
        <v>640169</v>
      </c>
      <c r="L551" s="91" t="s">
        <v>1044</v>
      </c>
      <c r="M551" s="2"/>
      <c r="N551" s="2"/>
      <c r="O551" s="4"/>
    </row>
    <row r="552" spans="1:15" x14ac:dyDescent="0.2">
      <c r="A552" s="91" t="s">
        <v>265</v>
      </c>
      <c r="B552" s="91" t="s">
        <v>419</v>
      </c>
      <c r="C552" s="95">
        <v>12866</v>
      </c>
      <c r="D552" s="95">
        <v>10156</v>
      </c>
      <c r="E552" s="95">
        <v>23022</v>
      </c>
      <c r="F552" s="95">
        <v>502269226</v>
      </c>
      <c r="G552" s="95">
        <v>457661397</v>
      </c>
      <c r="H552" s="95">
        <v>959930623</v>
      </c>
      <c r="I552" s="91" t="s">
        <v>171</v>
      </c>
      <c r="J552" s="91" t="s">
        <v>1121</v>
      </c>
      <c r="K552" s="94">
        <v>641704</v>
      </c>
      <c r="L552" s="91" t="s">
        <v>200</v>
      </c>
      <c r="M552" s="2"/>
      <c r="N552" s="2"/>
      <c r="O552" s="4"/>
    </row>
    <row r="553" spans="1:15" x14ac:dyDescent="0.2">
      <c r="A553" s="91" t="s">
        <v>449</v>
      </c>
      <c r="B553" s="91" t="s">
        <v>1156</v>
      </c>
      <c r="C553" s="95">
        <v>4993</v>
      </c>
      <c r="D553" s="95">
        <v>8015</v>
      </c>
      <c r="E553" s="95">
        <v>13008</v>
      </c>
      <c r="F553" s="95">
        <v>173995276</v>
      </c>
      <c r="G553" s="95">
        <v>355456541</v>
      </c>
      <c r="H553" s="95">
        <v>529451818</v>
      </c>
      <c r="I553" s="91" t="s">
        <v>71</v>
      </c>
      <c r="J553" s="91" t="s">
        <v>1121</v>
      </c>
      <c r="K553" s="94">
        <v>641993</v>
      </c>
      <c r="L553" s="91" t="s">
        <v>362</v>
      </c>
      <c r="M553" s="2"/>
      <c r="N553" s="2"/>
      <c r="O553" s="4"/>
    </row>
    <row r="554" spans="1:15" x14ac:dyDescent="0.2">
      <c r="A554" s="91" t="s">
        <v>310</v>
      </c>
      <c r="B554" s="91" t="s">
        <v>436</v>
      </c>
      <c r="C554" s="95">
        <v>2601</v>
      </c>
      <c r="D554" s="95">
        <v>2326</v>
      </c>
      <c r="E554" s="95">
        <v>4927</v>
      </c>
      <c r="F554" s="95">
        <v>85910898</v>
      </c>
      <c r="G554" s="95">
        <v>88537177</v>
      </c>
      <c r="H554" s="95">
        <v>174448075</v>
      </c>
      <c r="I554" s="91" t="s">
        <v>171</v>
      </c>
      <c r="J554" s="91" t="s">
        <v>1121</v>
      </c>
      <c r="K554" s="94">
        <v>642298</v>
      </c>
      <c r="L554" s="91" t="s">
        <v>194</v>
      </c>
      <c r="M554" s="2"/>
      <c r="N554" s="2"/>
      <c r="O554" s="4"/>
    </row>
    <row r="555" spans="1:15" x14ac:dyDescent="0.2">
      <c r="A555" s="91" t="s">
        <v>404</v>
      </c>
      <c r="B555" s="91" t="s">
        <v>493</v>
      </c>
      <c r="C555" s="95">
        <v>3278</v>
      </c>
      <c r="D555" s="95">
        <v>4571</v>
      </c>
      <c r="E555" s="95">
        <v>7849</v>
      </c>
      <c r="F555" s="95">
        <v>160995700</v>
      </c>
      <c r="G555" s="95">
        <v>274153937</v>
      </c>
      <c r="H555" s="95">
        <v>435149637</v>
      </c>
      <c r="I555" s="91" t="s">
        <v>171</v>
      </c>
      <c r="J555" s="91" t="s">
        <v>1121</v>
      </c>
      <c r="K555" s="94">
        <v>644005</v>
      </c>
      <c r="L555" s="91" t="s">
        <v>231</v>
      </c>
      <c r="M555" s="2"/>
      <c r="N555" s="2"/>
      <c r="O555" s="4"/>
    </row>
    <row r="556" spans="1:15" x14ac:dyDescent="0.2">
      <c r="A556" s="91" t="s">
        <v>223</v>
      </c>
      <c r="B556" s="91" t="s">
        <v>1003</v>
      </c>
      <c r="C556" s="95">
        <v>3</v>
      </c>
      <c r="D556" s="95">
        <v>11</v>
      </c>
      <c r="E556" s="95">
        <v>14</v>
      </c>
      <c r="F556" s="95">
        <v>85898</v>
      </c>
      <c r="G556" s="95">
        <v>361768</v>
      </c>
      <c r="H556" s="95">
        <v>447666</v>
      </c>
      <c r="I556" s="91" t="s">
        <v>71</v>
      </c>
      <c r="J556" s="91" t="s">
        <v>1122</v>
      </c>
      <c r="K556" s="94">
        <v>645655</v>
      </c>
      <c r="L556" s="91" t="s">
        <v>981</v>
      </c>
      <c r="M556" s="2"/>
      <c r="N556" s="2"/>
      <c r="O556" s="4"/>
    </row>
    <row r="557" spans="1:15" x14ac:dyDescent="0.2">
      <c r="A557" s="91" t="s">
        <v>265</v>
      </c>
      <c r="B557" s="91" t="s">
        <v>111</v>
      </c>
      <c r="C557" s="95">
        <v>110174</v>
      </c>
      <c r="D557" s="95">
        <v>113452</v>
      </c>
      <c r="E557" s="95">
        <v>223626</v>
      </c>
      <c r="F557" s="95">
        <v>5866296421</v>
      </c>
      <c r="G557" s="95">
        <v>7669605241</v>
      </c>
      <c r="H557" s="95">
        <v>13535901662</v>
      </c>
      <c r="I557" s="91" t="s">
        <v>171</v>
      </c>
      <c r="J557" s="91" t="s">
        <v>1121</v>
      </c>
      <c r="K557" s="94">
        <v>645952</v>
      </c>
      <c r="L557" s="91" t="s">
        <v>196</v>
      </c>
      <c r="M557" s="2"/>
      <c r="N557" s="2"/>
      <c r="O557" s="4"/>
    </row>
    <row r="558" spans="1:15" x14ac:dyDescent="0.2">
      <c r="A558" s="91" t="s">
        <v>264</v>
      </c>
      <c r="B558" s="91" t="s">
        <v>619</v>
      </c>
      <c r="C558" s="95">
        <v>71</v>
      </c>
      <c r="D558" s="95">
        <v>145</v>
      </c>
      <c r="E558" s="95">
        <v>216</v>
      </c>
      <c r="F558" s="95">
        <v>3266169</v>
      </c>
      <c r="G558" s="95">
        <v>8288496</v>
      </c>
      <c r="H558" s="95">
        <v>11554665</v>
      </c>
      <c r="I558" s="91" t="s">
        <v>71</v>
      </c>
      <c r="J558" s="91" t="s">
        <v>1121</v>
      </c>
      <c r="K558" s="94">
        <v>646240</v>
      </c>
      <c r="L558" s="91" t="s">
        <v>235</v>
      </c>
      <c r="M558" s="2"/>
      <c r="N558" s="2"/>
      <c r="O558" s="4"/>
    </row>
    <row r="559" spans="1:15" x14ac:dyDescent="0.2">
      <c r="A559" s="91" t="s">
        <v>264</v>
      </c>
      <c r="B559" s="91" t="s">
        <v>774</v>
      </c>
      <c r="C559" s="95">
        <v>657</v>
      </c>
      <c r="D559" s="95">
        <v>1016</v>
      </c>
      <c r="E559" s="95">
        <v>1673</v>
      </c>
      <c r="F559" s="95">
        <v>27806282</v>
      </c>
      <c r="G559" s="95">
        <v>50067036</v>
      </c>
      <c r="H559" s="95">
        <v>77873318</v>
      </c>
      <c r="I559" s="91" t="s">
        <v>171</v>
      </c>
      <c r="J559" s="91" t="s">
        <v>1121</v>
      </c>
      <c r="K559" s="94">
        <v>647487</v>
      </c>
      <c r="L559" s="91" t="s">
        <v>282</v>
      </c>
      <c r="M559" s="2"/>
      <c r="N559" s="2"/>
      <c r="O559" s="4"/>
    </row>
    <row r="560" spans="1:15" x14ac:dyDescent="0.2">
      <c r="A560" s="91" t="s">
        <v>173</v>
      </c>
      <c r="B560" s="91" t="s">
        <v>607</v>
      </c>
      <c r="C560" s="95">
        <v>75</v>
      </c>
      <c r="D560" s="95">
        <v>61</v>
      </c>
      <c r="E560" s="95">
        <v>136</v>
      </c>
      <c r="F560" s="95">
        <v>1986133</v>
      </c>
      <c r="G560" s="95">
        <v>1810362</v>
      </c>
      <c r="H560" s="95">
        <v>3796495</v>
      </c>
      <c r="I560" s="91" t="s">
        <v>71</v>
      </c>
      <c r="J560" s="91" t="s">
        <v>1118</v>
      </c>
      <c r="K560" s="94">
        <v>647669</v>
      </c>
      <c r="L560" s="91" t="s">
        <v>431</v>
      </c>
      <c r="M560" s="2"/>
      <c r="N560" s="2"/>
      <c r="O560" s="4"/>
    </row>
    <row r="561" spans="1:15" x14ac:dyDescent="0.2">
      <c r="A561" s="91" t="s">
        <v>188</v>
      </c>
      <c r="B561" s="91" t="s">
        <v>286</v>
      </c>
      <c r="C561" s="95">
        <v>5333</v>
      </c>
      <c r="D561" s="95">
        <v>4532</v>
      </c>
      <c r="E561" s="95">
        <v>9865</v>
      </c>
      <c r="F561" s="95">
        <v>203221249</v>
      </c>
      <c r="G561" s="95">
        <v>201204466</v>
      </c>
      <c r="H561" s="95">
        <v>404425715</v>
      </c>
      <c r="I561" s="91" t="s">
        <v>171</v>
      </c>
      <c r="J561" s="91" t="s">
        <v>1122</v>
      </c>
      <c r="K561" s="94">
        <v>648964</v>
      </c>
      <c r="L561" s="91" t="s">
        <v>226</v>
      </c>
      <c r="M561" s="2"/>
      <c r="N561" s="2"/>
      <c r="O561" s="4"/>
    </row>
    <row r="562" spans="1:15" x14ac:dyDescent="0.2">
      <c r="A562" s="91" t="s">
        <v>487</v>
      </c>
      <c r="B562" s="91" t="s">
        <v>1005</v>
      </c>
      <c r="C562" s="95">
        <v>543</v>
      </c>
      <c r="D562" s="95">
        <v>850</v>
      </c>
      <c r="E562" s="95">
        <v>1393</v>
      </c>
      <c r="F562" s="95">
        <v>7816558</v>
      </c>
      <c r="G562" s="95">
        <v>16255664</v>
      </c>
      <c r="H562" s="95">
        <v>24072222</v>
      </c>
      <c r="I562" s="91" t="s">
        <v>171</v>
      </c>
      <c r="J562" s="91" t="s">
        <v>1121</v>
      </c>
      <c r="K562" s="94">
        <v>649491</v>
      </c>
      <c r="L562" s="91" t="s">
        <v>749</v>
      </c>
      <c r="M562" s="2"/>
      <c r="N562" s="2"/>
      <c r="O562" s="4"/>
    </row>
    <row r="563" spans="1:15" x14ac:dyDescent="0.2">
      <c r="A563" s="91" t="s">
        <v>245</v>
      </c>
      <c r="B563" s="91" t="s">
        <v>313</v>
      </c>
      <c r="C563" s="95">
        <v>15497</v>
      </c>
      <c r="D563" s="95">
        <v>17446</v>
      </c>
      <c r="E563" s="95">
        <v>32943</v>
      </c>
      <c r="F563" s="95">
        <v>566031442</v>
      </c>
      <c r="G563" s="95">
        <v>784342159</v>
      </c>
      <c r="H563" s="95">
        <v>1350373600</v>
      </c>
      <c r="I563" s="91" t="s">
        <v>171</v>
      </c>
      <c r="J563" s="91" t="s">
        <v>1121</v>
      </c>
      <c r="K563" s="94">
        <v>650200</v>
      </c>
      <c r="L563" s="91" t="s">
        <v>200</v>
      </c>
      <c r="M563" s="2"/>
      <c r="N563" s="2"/>
      <c r="O563" s="4"/>
    </row>
    <row r="564" spans="1:15" x14ac:dyDescent="0.2">
      <c r="A564" s="91" t="s">
        <v>173</v>
      </c>
      <c r="B564" s="91" t="s">
        <v>1019</v>
      </c>
      <c r="C564" s="95">
        <v>3396</v>
      </c>
      <c r="D564" s="95">
        <v>4165</v>
      </c>
      <c r="E564" s="95">
        <v>7561</v>
      </c>
      <c r="F564" s="95">
        <v>425210018</v>
      </c>
      <c r="G564" s="95">
        <v>606969796</v>
      </c>
      <c r="H564" s="95">
        <v>1032179814</v>
      </c>
      <c r="I564" s="91" t="s">
        <v>171</v>
      </c>
      <c r="J564" s="91" t="s">
        <v>1118</v>
      </c>
      <c r="K564" s="94">
        <v>651141</v>
      </c>
      <c r="L564" s="91" t="s">
        <v>172</v>
      </c>
      <c r="M564" s="2"/>
      <c r="N564" s="2"/>
      <c r="O564" s="4"/>
    </row>
    <row r="565" spans="1:15" x14ac:dyDescent="0.2">
      <c r="A565" s="91" t="s">
        <v>223</v>
      </c>
      <c r="B565" s="91" t="s">
        <v>1123</v>
      </c>
      <c r="C565" s="95">
        <v>4</v>
      </c>
      <c r="D565" s="95">
        <v>9</v>
      </c>
      <c r="E565" s="95">
        <v>13</v>
      </c>
      <c r="F565" s="95">
        <v>408420</v>
      </c>
      <c r="G565" s="95">
        <v>669227</v>
      </c>
      <c r="H565" s="95">
        <v>1077648</v>
      </c>
      <c r="I565" s="91" t="s">
        <v>71</v>
      </c>
      <c r="J565" s="91" t="s">
        <v>1122</v>
      </c>
      <c r="K565" s="94">
        <v>651679</v>
      </c>
      <c r="L565" s="91" t="s">
        <v>289</v>
      </c>
      <c r="M565" s="2"/>
      <c r="N565" s="2"/>
      <c r="O565" s="4"/>
    </row>
    <row r="566" spans="1:15" x14ac:dyDescent="0.2">
      <c r="A566" s="91" t="s">
        <v>239</v>
      </c>
      <c r="B566" s="91" t="s">
        <v>766</v>
      </c>
      <c r="C566" s="95">
        <v>497</v>
      </c>
      <c r="D566" s="95">
        <v>684</v>
      </c>
      <c r="E566" s="95">
        <v>1181</v>
      </c>
      <c r="F566" s="95">
        <v>12876363</v>
      </c>
      <c r="G566" s="95">
        <v>22850129</v>
      </c>
      <c r="H566" s="95">
        <v>35726492</v>
      </c>
      <c r="I566" s="91" t="s">
        <v>71</v>
      </c>
      <c r="J566" s="91" t="s">
        <v>1121</v>
      </c>
      <c r="K566" s="94">
        <v>652628</v>
      </c>
      <c r="L566" s="91" t="s">
        <v>682</v>
      </c>
      <c r="M566" s="2"/>
      <c r="N566" s="2"/>
      <c r="O566" s="4"/>
    </row>
    <row r="567" spans="1:15" x14ac:dyDescent="0.2">
      <c r="A567" s="91" t="s">
        <v>449</v>
      </c>
      <c r="B567" s="91" t="s">
        <v>484</v>
      </c>
      <c r="C567" s="95">
        <v>3578</v>
      </c>
      <c r="D567" s="95">
        <v>4856</v>
      </c>
      <c r="E567" s="95">
        <v>8434</v>
      </c>
      <c r="F567" s="95">
        <v>79222130</v>
      </c>
      <c r="G567" s="95">
        <v>145887684</v>
      </c>
      <c r="H567" s="95">
        <v>225109814</v>
      </c>
      <c r="I567" s="91" t="s">
        <v>71</v>
      </c>
      <c r="J567" s="91" t="s">
        <v>1121</v>
      </c>
      <c r="K567" s="94">
        <v>653097</v>
      </c>
      <c r="L567" s="91" t="s">
        <v>226</v>
      </c>
      <c r="M567" s="2"/>
      <c r="N567" s="2"/>
      <c r="O567" s="4"/>
    </row>
    <row r="568" spans="1:15" x14ac:dyDescent="0.2">
      <c r="A568" s="91" t="s">
        <v>223</v>
      </c>
      <c r="B568" s="91" t="s">
        <v>372</v>
      </c>
      <c r="C568" s="95">
        <v>221</v>
      </c>
      <c r="D568" s="95">
        <v>333</v>
      </c>
      <c r="E568" s="95">
        <v>554</v>
      </c>
      <c r="F568" s="95">
        <v>13348671</v>
      </c>
      <c r="G568" s="95">
        <v>24181987</v>
      </c>
      <c r="H568" s="95">
        <v>37530658</v>
      </c>
      <c r="I568" s="91" t="s">
        <v>171</v>
      </c>
      <c r="J568" s="91" t="s">
        <v>1122</v>
      </c>
      <c r="K568" s="94">
        <v>653501</v>
      </c>
      <c r="L568" s="91" t="s">
        <v>231</v>
      </c>
      <c r="M568" s="2"/>
      <c r="N568" s="2"/>
      <c r="O568" s="4"/>
    </row>
    <row r="569" spans="1:15" x14ac:dyDescent="0.2">
      <c r="A569" s="91" t="s">
        <v>237</v>
      </c>
      <c r="B569" s="91" t="s">
        <v>341</v>
      </c>
      <c r="C569" s="95">
        <v>3347</v>
      </c>
      <c r="D569" s="95">
        <v>3828</v>
      </c>
      <c r="E569" s="95">
        <v>7175</v>
      </c>
      <c r="F569" s="95">
        <v>100386673</v>
      </c>
      <c r="G569" s="95">
        <v>134498734</v>
      </c>
      <c r="H569" s="95">
        <v>234885407</v>
      </c>
      <c r="I569" s="91" t="s">
        <v>171</v>
      </c>
      <c r="J569" s="91" t="s">
        <v>1121</v>
      </c>
      <c r="K569" s="94">
        <v>654459</v>
      </c>
      <c r="L569" s="91" t="s">
        <v>277</v>
      </c>
      <c r="M569" s="2"/>
      <c r="N569" s="2"/>
      <c r="O569" s="4"/>
    </row>
    <row r="570" spans="1:15" x14ac:dyDescent="0.2">
      <c r="A570" s="91" t="s">
        <v>331</v>
      </c>
      <c r="B570" s="91" t="s">
        <v>827</v>
      </c>
      <c r="C570" s="95">
        <v>1665</v>
      </c>
      <c r="D570" s="95">
        <v>2195</v>
      </c>
      <c r="E570" s="95">
        <v>3860</v>
      </c>
      <c r="F570" s="95">
        <v>59642263</v>
      </c>
      <c r="G570" s="95">
        <v>106053748</v>
      </c>
      <c r="H570" s="95">
        <v>165696011</v>
      </c>
      <c r="I570" s="91" t="s">
        <v>171</v>
      </c>
      <c r="J570" s="91" t="s">
        <v>1121</v>
      </c>
      <c r="K570" s="94">
        <v>656637</v>
      </c>
      <c r="L570" s="91" t="s">
        <v>661</v>
      </c>
      <c r="M570" s="2"/>
      <c r="N570" s="2"/>
      <c r="O570" s="4"/>
    </row>
    <row r="571" spans="1:15" x14ac:dyDescent="0.2">
      <c r="A571" s="91" t="s">
        <v>173</v>
      </c>
      <c r="B571" s="91" t="s">
        <v>764</v>
      </c>
      <c r="C571" s="95">
        <v>293</v>
      </c>
      <c r="D571" s="95">
        <v>278</v>
      </c>
      <c r="E571" s="95">
        <v>571</v>
      </c>
      <c r="F571" s="95">
        <v>7356393</v>
      </c>
      <c r="G571" s="95">
        <v>8394767</v>
      </c>
      <c r="H571" s="95">
        <v>15751160</v>
      </c>
      <c r="I571" s="91" t="s">
        <v>71</v>
      </c>
      <c r="J571" s="91" t="s">
        <v>1118</v>
      </c>
      <c r="K571" s="94">
        <v>657460</v>
      </c>
      <c r="L571" s="91" t="s">
        <v>235</v>
      </c>
      <c r="M571" s="2"/>
      <c r="N571" s="2"/>
      <c r="O571" s="4"/>
    </row>
    <row r="572" spans="1:15" x14ac:dyDescent="0.2">
      <c r="A572" s="91" t="s">
        <v>212</v>
      </c>
      <c r="B572" s="91" t="s">
        <v>324</v>
      </c>
      <c r="C572" s="95">
        <v>164</v>
      </c>
      <c r="D572" s="95">
        <v>285</v>
      </c>
      <c r="E572" s="95">
        <v>449</v>
      </c>
      <c r="F572" s="95">
        <v>7156872</v>
      </c>
      <c r="G572" s="95">
        <v>13944581</v>
      </c>
      <c r="H572" s="95">
        <v>21101452</v>
      </c>
      <c r="I572" s="91" t="s">
        <v>171</v>
      </c>
      <c r="J572" s="91" t="s">
        <v>1121</v>
      </c>
      <c r="K572" s="94">
        <v>658997</v>
      </c>
      <c r="L572" s="91" t="s">
        <v>203</v>
      </c>
      <c r="M572" s="2"/>
      <c r="N572" s="2"/>
      <c r="O572" s="4"/>
    </row>
    <row r="573" spans="1:15" x14ac:dyDescent="0.2">
      <c r="A573" s="91" t="s">
        <v>449</v>
      </c>
      <c r="B573" s="91" t="s">
        <v>952</v>
      </c>
      <c r="C573" s="95">
        <v>65</v>
      </c>
      <c r="D573" s="95">
        <v>158</v>
      </c>
      <c r="E573" s="95">
        <v>223</v>
      </c>
      <c r="F573" s="95">
        <v>1738810</v>
      </c>
      <c r="G573" s="95">
        <v>6731758</v>
      </c>
      <c r="H573" s="95">
        <v>8470569</v>
      </c>
      <c r="I573" s="91" t="s">
        <v>171</v>
      </c>
      <c r="J573" s="91" t="s">
        <v>1121</v>
      </c>
      <c r="K573" s="94">
        <v>660290</v>
      </c>
      <c r="L573" s="91" t="s">
        <v>216</v>
      </c>
      <c r="M573" s="2"/>
      <c r="N573" s="2"/>
      <c r="O573" s="4"/>
    </row>
    <row r="574" spans="1:15" x14ac:dyDescent="0.2">
      <c r="A574" s="91" t="s">
        <v>192</v>
      </c>
      <c r="B574" s="91" t="s">
        <v>360</v>
      </c>
      <c r="C574" s="95">
        <v>39</v>
      </c>
      <c r="D574" s="95">
        <v>54</v>
      </c>
      <c r="E574" s="95">
        <v>93</v>
      </c>
      <c r="F574" s="95">
        <v>2240036</v>
      </c>
      <c r="G574" s="95">
        <v>2979352</v>
      </c>
      <c r="H574" s="95">
        <v>5219388</v>
      </c>
      <c r="I574" s="91" t="s">
        <v>171</v>
      </c>
      <c r="J574" s="91" t="s">
        <v>1122</v>
      </c>
      <c r="K574" s="94">
        <v>660829</v>
      </c>
      <c r="L574" s="91" t="s">
        <v>361</v>
      </c>
      <c r="M574" s="2"/>
      <c r="N574" s="2"/>
      <c r="O574" s="4"/>
    </row>
    <row r="575" spans="1:15" x14ac:dyDescent="0.2">
      <c r="A575" s="91" t="s">
        <v>471</v>
      </c>
      <c r="B575" s="91" t="s">
        <v>892</v>
      </c>
      <c r="C575" s="95">
        <v>3204</v>
      </c>
      <c r="D575" s="95">
        <v>4283</v>
      </c>
      <c r="E575" s="95">
        <v>7487</v>
      </c>
      <c r="F575" s="95">
        <v>72074244</v>
      </c>
      <c r="G575" s="95">
        <v>120906004</v>
      </c>
      <c r="H575" s="95">
        <v>192980248</v>
      </c>
      <c r="I575" s="91" t="s">
        <v>71</v>
      </c>
      <c r="J575" s="91" t="s">
        <v>1121</v>
      </c>
      <c r="K575" s="94">
        <v>661066</v>
      </c>
      <c r="L575" s="91" t="s">
        <v>768</v>
      </c>
      <c r="M575" s="2"/>
      <c r="N575" s="2"/>
      <c r="O575" s="4"/>
    </row>
    <row r="576" spans="1:15" x14ac:dyDescent="0.2">
      <c r="A576" s="91" t="s">
        <v>243</v>
      </c>
      <c r="B576" s="91" t="s">
        <v>446</v>
      </c>
      <c r="C576" s="95">
        <v>47</v>
      </c>
      <c r="D576" s="95">
        <v>83</v>
      </c>
      <c r="E576" s="95">
        <v>130</v>
      </c>
      <c r="F576" s="95">
        <v>1410501</v>
      </c>
      <c r="G576" s="95">
        <v>3439640</v>
      </c>
      <c r="H576" s="95">
        <v>4850141</v>
      </c>
      <c r="I576" s="91" t="s">
        <v>71</v>
      </c>
      <c r="J576" s="91" t="s">
        <v>1122</v>
      </c>
      <c r="K576" s="94">
        <v>664482</v>
      </c>
      <c r="L576" s="91" t="s">
        <v>235</v>
      </c>
      <c r="M576" s="2"/>
      <c r="N576" s="2"/>
      <c r="O576" s="4"/>
    </row>
    <row r="577" spans="1:15" x14ac:dyDescent="0.2">
      <c r="A577" s="91" t="s">
        <v>370</v>
      </c>
      <c r="B577" s="91" t="s">
        <v>985</v>
      </c>
      <c r="C577" s="95">
        <v>180</v>
      </c>
      <c r="D577" s="95">
        <v>212</v>
      </c>
      <c r="E577" s="95">
        <v>392</v>
      </c>
      <c r="F577" s="95">
        <v>5981596</v>
      </c>
      <c r="G577" s="95">
        <v>8661297</v>
      </c>
      <c r="H577" s="95">
        <v>14642893</v>
      </c>
      <c r="I577" s="91" t="s">
        <v>71</v>
      </c>
      <c r="J577" s="91" t="s">
        <v>1121</v>
      </c>
      <c r="K577" s="94">
        <v>665315</v>
      </c>
      <c r="L577" s="91" t="s">
        <v>1133</v>
      </c>
      <c r="M577" s="2"/>
      <c r="N577" s="2"/>
      <c r="O577" s="4"/>
    </row>
    <row r="578" spans="1:15" x14ac:dyDescent="0.2">
      <c r="A578" s="91" t="s">
        <v>266</v>
      </c>
      <c r="B578" s="91" t="s">
        <v>473</v>
      </c>
      <c r="C578" s="95">
        <v>9653</v>
      </c>
      <c r="D578" s="95">
        <v>8543</v>
      </c>
      <c r="E578" s="95">
        <v>18196</v>
      </c>
      <c r="F578" s="95">
        <v>313173949</v>
      </c>
      <c r="G578" s="95">
        <v>326727635</v>
      </c>
      <c r="H578" s="95">
        <v>639901584</v>
      </c>
      <c r="I578" s="91" t="s">
        <v>171</v>
      </c>
      <c r="J578" s="91" t="s">
        <v>1118</v>
      </c>
      <c r="K578" s="94">
        <v>665372</v>
      </c>
      <c r="L578" s="91" t="s">
        <v>231</v>
      </c>
      <c r="M578" s="2"/>
      <c r="N578" s="2"/>
      <c r="O578" s="4"/>
    </row>
    <row r="579" spans="1:15" x14ac:dyDescent="0.2">
      <c r="A579" s="91" t="s">
        <v>413</v>
      </c>
      <c r="B579" s="91" t="s">
        <v>1021</v>
      </c>
      <c r="C579" s="95">
        <v>7</v>
      </c>
      <c r="D579" s="95">
        <v>28</v>
      </c>
      <c r="E579" s="95">
        <v>35</v>
      </c>
      <c r="F579" s="95">
        <v>236500</v>
      </c>
      <c r="G579" s="95">
        <v>1029546</v>
      </c>
      <c r="H579" s="95">
        <v>1266046</v>
      </c>
      <c r="I579" s="91" t="s">
        <v>71</v>
      </c>
      <c r="J579" s="91" t="s">
        <v>1121</v>
      </c>
      <c r="K579" s="94">
        <v>666313</v>
      </c>
      <c r="L579" s="91" t="s">
        <v>1022</v>
      </c>
      <c r="M579" s="2"/>
      <c r="N579" s="2"/>
      <c r="O579" s="4"/>
    </row>
    <row r="580" spans="1:15" x14ac:dyDescent="0.2">
      <c r="A580" s="91" t="s">
        <v>449</v>
      </c>
      <c r="B580" s="91" t="s">
        <v>903</v>
      </c>
      <c r="C580" s="95">
        <v>67</v>
      </c>
      <c r="D580" s="95">
        <v>164</v>
      </c>
      <c r="E580" s="95">
        <v>231</v>
      </c>
      <c r="F580" s="95">
        <v>2582977</v>
      </c>
      <c r="G580" s="95">
        <v>7003167</v>
      </c>
      <c r="H580" s="95">
        <v>9586143</v>
      </c>
      <c r="I580" s="91" t="s">
        <v>71</v>
      </c>
      <c r="J580" s="91" t="s">
        <v>1121</v>
      </c>
      <c r="K580" s="94">
        <v>666370</v>
      </c>
      <c r="L580" s="91" t="s">
        <v>495</v>
      </c>
      <c r="M580" s="2"/>
      <c r="N580" s="2"/>
      <c r="O580" s="4"/>
    </row>
    <row r="581" spans="1:15" x14ac:dyDescent="0.2">
      <c r="A581" s="91" t="s">
        <v>260</v>
      </c>
      <c r="B581" s="91" t="s">
        <v>863</v>
      </c>
      <c r="C581" s="95">
        <v>6879</v>
      </c>
      <c r="D581" s="95">
        <v>6781</v>
      </c>
      <c r="E581" s="95">
        <v>13660</v>
      </c>
      <c r="F581" s="95">
        <v>146871935</v>
      </c>
      <c r="G581" s="95">
        <v>185299577</v>
      </c>
      <c r="H581" s="95">
        <v>332171512</v>
      </c>
      <c r="I581" s="91" t="s">
        <v>71</v>
      </c>
      <c r="J581" s="91" t="s">
        <v>1121</v>
      </c>
      <c r="K581" s="94">
        <v>666495</v>
      </c>
      <c r="L581" s="91" t="s">
        <v>746</v>
      </c>
      <c r="M581" s="2"/>
      <c r="N581" s="2"/>
      <c r="O581" s="4"/>
    </row>
    <row r="582" spans="1:15" x14ac:dyDescent="0.2">
      <c r="A582" s="91" t="s">
        <v>229</v>
      </c>
      <c r="B582" s="91" t="s">
        <v>251</v>
      </c>
      <c r="C582" s="95">
        <v>5969</v>
      </c>
      <c r="D582" s="95">
        <v>5387</v>
      </c>
      <c r="E582" s="95">
        <v>11356</v>
      </c>
      <c r="F582" s="95">
        <v>204744853</v>
      </c>
      <c r="G582" s="95">
        <v>243654657</v>
      </c>
      <c r="H582" s="95">
        <v>448399510</v>
      </c>
      <c r="I582" s="91" t="s">
        <v>171</v>
      </c>
      <c r="J582" s="91" t="s">
        <v>1122</v>
      </c>
      <c r="K582" s="94">
        <v>666552</v>
      </c>
      <c r="L582" s="91" t="s">
        <v>200</v>
      </c>
      <c r="M582" s="2"/>
      <c r="N582" s="2"/>
      <c r="O582" s="4"/>
    </row>
    <row r="583" spans="1:15" x14ac:dyDescent="0.2">
      <c r="A583" s="91" t="s">
        <v>410</v>
      </c>
      <c r="B583" s="91" t="s">
        <v>690</v>
      </c>
      <c r="C583" s="95">
        <v>2208</v>
      </c>
      <c r="D583" s="95">
        <v>2996</v>
      </c>
      <c r="E583" s="95">
        <v>5204</v>
      </c>
      <c r="F583" s="95">
        <v>52700176</v>
      </c>
      <c r="G583" s="95">
        <v>90979726</v>
      </c>
      <c r="H583" s="95">
        <v>143679902</v>
      </c>
      <c r="I583" s="91" t="s">
        <v>71</v>
      </c>
      <c r="J583" s="91" t="s">
        <v>1121</v>
      </c>
      <c r="K583" s="94">
        <v>668269</v>
      </c>
      <c r="L583" s="91" t="s">
        <v>235</v>
      </c>
      <c r="M583" s="2"/>
      <c r="N583" s="2"/>
      <c r="O583" s="4"/>
    </row>
    <row r="584" spans="1:15" x14ac:dyDescent="0.2">
      <c r="A584" s="91" t="s">
        <v>379</v>
      </c>
      <c r="B584" s="91" t="s">
        <v>914</v>
      </c>
      <c r="C584" s="95">
        <v>872</v>
      </c>
      <c r="D584" s="95">
        <v>1188</v>
      </c>
      <c r="E584" s="95">
        <v>2060</v>
      </c>
      <c r="F584" s="95">
        <v>20984333</v>
      </c>
      <c r="G584" s="95">
        <v>35342277</v>
      </c>
      <c r="H584" s="95">
        <v>56326610</v>
      </c>
      <c r="I584" s="91" t="s">
        <v>71</v>
      </c>
      <c r="J584" s="91" t="s">
        <v>1121</v>
      </c>
      <c r="K584" s="94">
        <v>670091</v>
      </c>
      <c r="L584" s="91" t="s">
        <v>770</v>
      </c>
      <c r="M584" s="2"/>
      <c r="N584" s="2"/>
      <c r="O584" s="4"/>
    </row>
    <row r="585" spans="1:15" x14ac:dyDescent="0.2">
      <c r="A585" s="91" t="s">
        <v>182</v>
      </c>
      <c r="B585" s="91" t="s">
        <v>358</v>
      </c>
      <c r="C585" s="95">
        <v>7553</v>
      </c>
      <c r="D585" s="95">
        <v>5943</v>
      </c>
      <c r="E585" s="95">
        <v>13496</v>
      </c>
      <c r="F585" s="95">
        <v>563487291</v>
      </c>
      <c r="G585" s="95">
        <v>554038235</v>
      </c>
      <c r="H585" s="95">
        <v>1117525526</v>
      </c>
      <c r="I585" s="91" t="s">
        <v>171</v>
      </c>
      <c r="J585" s="91" t="s">
        <v>1115</v>
      </c>
      <c r="K585" s="94">
        <v>671453</v>
      </c>
      <c r="L585" s="91" t="s">
        <v>203</v>
      </c>
      <c r="M585" s="2"/>
      <c r="N585" s="2"/>
      <c r="O585" s="4"/>
    </row>
    <row r="586" spans="1:15" x14ac:dyDescent="0.2">
      <c r="A586" s="91" t="s">
        <v>487</v>
      </c>
      <c r="B586" s="91" t="s">
        <v>1029</v>
      </c>
      <c r="C586" s="95">
        <v>2333</v>
      </c>
      <c r="D586" s="95">
        <v>3555</v>
      </c>
      <c r="E586" s="95">
        <v>5888</v>
      </c>
      <c r="F586" s="95">
        <v>41566018</v>
      </c>
      <c r="G586" s="95">
        <v>79773853</v>
      </c>
      <c r="H586" s="95">
        <v>121339871</v>
      </c>
      <c r="I586" s="91" t="s">
        <v>171</v>
      </c>
      <c r="J586" s="91" t="s">
        <v>1121</v>
      </c>
      <c r="K586" s="94">
        <v>671982</v>
      </c>
      <c r="L586" s="91" t="s">
        <v>282</v>
      </c>
      <c r="M586" s="2"/>
      <c r="N586" s="2"/>
      <c r="O586" s="4"/>
    </row>
    <row r="587" spans="1:15" x14ac:dyDescent="0.2">
      <c r="A587" s="91" t="s">
        <v>449</v>
      </c>
      <c r="B587" s="91" t="s">
        <v>924</v>
      </c>
      <c r="C587" s="95">
        <v>424</v>
      </c>
      <c r="D587" s="95">
        <v>735</v>
      </c>
      <c r="E587" s="95">
        <v>1159</v>
      </c>
      <c r="F587" s="95">
        <v>13841983</v>
      </c>
      <c r="G587" s="95">
        <v>32446791</v>
      </c>
      <c r="H587" s="95">
        <v>46288774</v>
      </c>
      <c r="I587" s="91" t="s">
        <v>71</v>
      </c>
      <c r="J587" s="91" t="s">
        <v>1121</v>
      </c>
      <c r="K587" s="94">
        <v>673699</v>
      </c>
      <c r="L587" s="91" t="s">
        <v>880</v>
      </c>
      <c r="M587" s="2"/>
      <c r="N587" s="2"/>
      <c r="O587" s="4"/>
    </row>
    <row r="588" spans="1:15" x14ac:dyDescent="0.2">
      <c r="A588" s="91" t="s">
        <v>173</v>
      </c>
      <c r="B588" s="91" t="s">
        <v>1108</v>
      </c>
      <c r="C588" s="95">
        <v>44</v>
      </c>
      <c r="D588" s="95">
        <v>89</v>
      </c>
      <c r="E588" s="95">
        <v>133</v>
      </c>
      <c r="F588" s="95">
        <v>4275466</v>
      </c>
      <c r="G588" s="95">
        <v>9740947</v>
      </c>
      <c r="H588" s="95">
        <v>14016413</v>
      </c>
      <c r="I588" s="91" t="s">
        <v>171</v>
      </c>
      <c r="J588" s="91" t="s">
        <v>1118</v>
      </c>
      <c r="K588" s="94">
        <v>675991</v>
      </c>
      <c r="L588" s="91" t="s">
        <v>661</v>
      </c>
      <c r="M588" s="2"/>
      <c r="N588" s="2"/>
      <c r="O588" s="4"/>
    </row>
    <row r="589" spans="1:15" x14ac:dyDescent="0.2">
      <c r="A589" s="91" t="s">
        <v>188</v>
      </c>
      <c r="B589" s="91" t="s">
        <v>219</v>
      </c>
      <c r="C589" s="95">
        <v>31011</v>
      </c>
      <c r="D589" s="95">
        <v>22404</v>
      </c>
      <c r="E589" s="95">
        <v>53415</v>
      </c>
      <c r="F589" s="95">
        <v>1046204412</v>
      </c>
      <c r="G589" s="95">
        <v>913223564</v>
      </c>
      <c r="H589" s="95">
        <v>1959427976</v>
      </c>
      <c r="I589" s="91" t="s">
        <v>171</v>
      </c>
      <c r="J589" s="91" t="s">
        <v>1122</v>
      </c>
      <c r="K589" s="94">
        <v>677534</v>
      </c>
      <c r="L589" s="91" t="s">
        <v>200</v>
      </c>
      <c r="M589" s="2"/>
      <c r="N589" s="2"/>
      <c r="O589" s="4"/>
    </row>
    <row r="590" spans="1:15" x14ac:dyDescent="0.2">
      <c r="A590" s="91" t="s">
        <v>509</v>
      </c>
      <c r="B590" s="91" t="s">
        <v>1155</v>
      </c>
      <c r="C590" s="95">
        <v>2270</v>
      </c>
      <c r="D590" s="95">
        <v>3127</v>
      </c>
      <c r="E590" s="95">
        <v>5397</v>
      </c>
      <c r="F590" s="95">
        <v>73536995</v>
      </c>
      <c r="G590" s="95">
        <v>122987485</v>
      </c>
      <c r="H590" s="95">
        <v>196524480</v>
      </c>
      <c r="I590" s="91" t="s">
        <v>71</v>
      </c>
      <c r="J590" s="91" t="s">
        <v>1118</v>
      </c>
      <c r="K590" s="94">
        <v>677823</v>
      </c>
      <c r="L590" s="91" t="s">
        <v>362</v>
      </c>
      <c r="M590" s="2"/>
      <c r="N590" s="2"/>
      <c r="O590" s="4"/>
    </row>
    <row r="591" spans="1:15" x14ac:dyDescent="0.2">
      <c r="A591" s="91" t="s">
        <v>245</v>
      </c>
      <c r="B591" s="91" t="s">
        <v>424</v>
      </c>
      <c r="C591" s="95">
        <v>1057</v>
      </c>
      <c r="D591" s="95">
        <v>1013</v>
      </c>
      <c r="E591" s="95">
        <v>2070</v>
      </c>
      <c r="F591" s="95">
        <v>43481954</v>
      </c>
      <c r="G591" s="95">
        <v>50038415</v>
      </c>
      <c r="H591" s="95">
        <v>93520369</v>
      </c>
      <c r="I591" s="91" t="s">
        <v>171</v>
      </c>
      <c r="J591" s="91" t="s">
        <v>1121</v>
      </c>
      <c r="K591" s="94">
        <v>678128</v>
      </c>
      <c r="L591" s="91" t="s">
        <v>194</v>
      </c>
      <c r="M591" s="2"/>
      <c r="N591" s="2"/>
      <c r="O591" s="4"/>
    </row>
    <row r="592" spans="1:15" x14ac:dyDescent="0.2">
      <c r="A592" s="91" t="s">
        <v>471</v>
      </c>
      <c r="B592" s="91" t="s">
        <v>522</v>
      </c>
      <c r="C592" s="95">
        <v>8138</v>
      </c>
      <c r="D592" s="95">
        <v>11156</v>
      </c>
      <c r="E592" s="95">
        <v>19294</v>
      </c>
      <c r="F592" s="95">
        <v>202722571</v>
      </c>
      <c r="G592" s="95">
        <v>339952426</v>
      </c>
      <c r="H592" s="95">
        <v>542674997</v>
      </c>
      <c r="I592" s="91" t="s">
        <v>171</v>
      </c>
      <c r="J592" s="91" t="s">
        <v>1121</v>
      </c>
      <c r="K592" s="94">
        <v>679837</v>
      </c>
      <c r="L592" s="91" t="s">
        <v>231</v>
      </c>
      <c r="M592" s="2"/>
      <c r="N592" s="2"/>
      <c r="O592" s="4"/>
    </row>
    <row r="593" spans="1:15" x14ac:dyDescent="0.2">
      <c r="A593" s="91" t="s">
        <v>260</v>
      </c>
      <c r="B593" s="91" t="s">
        <v>1049</v>
      </c>
      <c r="C593" s="95">
        <v>17</v>
      </c>
      <c r="D593" s="95">
        <v>45</v>
      </c>
      <c r="E593" s="95">
        <v>62</v>
      </c>
      <c r="F593" s="95">
        <v>691747</v>
      </c>
      <c r="G593" s="95">
        <v>1964357</v>
      </c>
      <c r="H593" s="95">
        <v>2656104</v>
      </c>
      <c r="I593" s="91" t="s">
        <v>71</v>
      </c>
      <c r="J593" s="91" t="s">
        <v>1121</v>
      </c>
      <c r="K593" s="94">
        <v>681486</v>
      </c>
      <c r="L593" s="91" t="s">
        <v>981</v>
      </c>
      <c r="M593" s="2"/>
      <c r="N593" s="2"/>
      <c r="O593" s="4"/>
    </row>
    <row r="594" spans="1:15" x14ac:dyDescent="0.2">
      <c r="A594" s="91" t="s">
        <v>379</v>
      </c>
      <c r="B594" s="91" t="s">
        <v>1063</v>
      </c>
      <c r="C594" s="95">
        <v>33</v>
      </c>
      <c r="D594" s="95">
        <v>64</v>
      </c>
      <c r="E594" s="95">
        <v>97</v>
      </c>
      <c r="F594" s="95">
        <v>835635</v>
      </c>
      <c r="G594" s="95">
        <v>1632192</v>
      </c>
      <c r="H594" s="95">
        <v>2467827</v>
      </c>
      <c r="I594" s="91" t="s">
        <v>71</v>
      </c>
      <c r="J594" s="91" t="s">
        <v>1121</v>
      </c>
      <c r="K594" s="94">
        <v>681544</v>
      </c>
      <c r="L594" s="91" t="s">
        <v>1002</v>
      </c>
      <c r="M594" s="2"/>
      <c r="N594" s="2"/>
      <c r="O594" s="4"/>
    </row>
    <row r="595" spans="1:15" x14ac:dyDescent="0.2">
      <c r="A595" s="91" t="s">
        <v>264</v>
      </c>
      <c r="B595" s="91" t="s">
        <v>112</v>
      </c>
      <c r="C595" s="95">
        <v>121653</v>
      </c>
      <c r="D595" s="95">
        <v>129523</v>
      </c>
      <c r="E595" s="95">
        <v>251176</v>
      </c>
      <c r="F595" s="95">
        <v>7216037685</v>
      </c>
      <c r="G595" s="95">
        <v>9621835555</v>
      </c>
      <c r="H595" s="95">
        <v>16837873240</v>
      </c>
      <c r="I595" s="91" t="s">
        <v>171</v>
      </c>
      <c r="J595" s="91" t="s">
        <v>1121</v>
      </c>
      <c r="K595" s="94">
        <v>681783</v>
      </c>
      <c r="L595" s="91" t="s">
        <v>196</v>
      </c>
      <c r="M595" s="2"/>
      <c r="N595" s="2"/>
      <c r="O595" s="4"/>
    </row>
    <row r="596" spans="1:15" x14ac:dyDescent="0.2">
      <c r="A596" s="91" t="s">
        <v>260</v>
      </c>
      <c r="B596" s="91" t="s">
        <v>885</v>
      </c>
      <c r="C596" s="95">
        <v>143</v>
      </c>
      <c r="D596" s="95">
        <v>354</v>
      </c>
      <c r="E596" s="95">
        <v>497</v>
      </c>
      <c r="F596" s="95">
        <v>4410895</v>
      </c>
      <c r="G596" s="95">
        <v>14267028</v>
      </c>
      <c r="H596" s="95">
        <v>18677923</v>
      </c>
      <c r="I596" s="91" t="s">
        <v>71</v>
      </c>
      <c r="J596" s="91" t="s">
        <v>1121</v>
      </c>
      <c r="K596" s="94">
        <v>682070</v>
      </c>
      <c r="L596" s="91" t="s">
        <v>1152</v>
      </c>
      <c r="M596" s="2"/>
      <c r="N596" s="2"/>
      <c r="O596" s="4"/>
    </row>
    <row r="597" spans="1:15" x14ac:dyDescent="0.2">
      <c r="A597" s="91" t="s">
        <v>188</v>
      </c>
      <c r="B597" s="91" t="s">
        <v>340</v>
      </c>
      <c r="C597" s="95">
        <v>2484</v>
      </c>
      <c r="D597" s="95">
        <v>2276</v>
      </c>
      <c r="E597" s="95">
        <v>4760</v>
      </c>
      <c r="F597" s="95">
        <v>91800310</v>
      </c>
      <c r="G597" s="95">
        <v>101216789</v>
      </c>
      <c r="H597" s="95">
        <v>193017099</v>
      </c>
      <c r="I597" s="91" t="s">
        <v>71</v>
      </c>
      <c r="J597" s="91" t="s">
        <v>1122</v>
      </c>
      <c r="K597" s="94">
        <v>682377</v>
      </c>
      <c r="L597" s="91" t="s">
        <v>231</v>
      </c>
      <c r="M597" s="2"/>
      <c r="N597" s="2"/>
      <c r="O597" s="4"/>
    </row>
    <row r="598" spans="1:15" x14ac:dyDescent="0.2">
      <c r="A598" s="91" t="s">
        <v>176</v>
      </c>
      <c r="B598" s="91" t="s">
        <v>339</v>
      </c>
      <c r="C598" s="95">
        <v>476</v>
      </c>
      <c r="D598" s="95">
        <v>926</v>
      </c>
      <c r="E598" s="95">
        <v>1402</v>
      </c>
      <c r="F598" s="95">
        <v>20402191</v>
      </c>
      <c r="G598" s="95">
        <v>44528931</v>
      </c>
      <c r="H598" s="95">
        <v>64931122</v>
      </c>
      <c r="I598" s="91" t="s">
        <v>171</v>
      </c>
      <c r="J598" s="91" t="s">
        <v>1121</v>
      </c>
      <c r="K598" s="94">
        <v>683318</v>
      </c>
      <c r="L598" s="91" t="s">
        <v>194</v>
      </c>
      <c r="M598" s="2"/>
      <c r="N598" s="2"/>
      <c r="O598" s="4"/>
    </row>
    <row r="599" spans="1:15" x14ac:dyDescent="0.2">
      <c r="A599" s="91" t="s">
        <v>260</v>
      </c>
      <c r="B599" s="91" t="s">
        <v>327</v>
      </c>
      <c r="C599" s="95">
        <v>20000</v>
      </c>
      <c r="D599" s="95">
        <v>17842</v>
      </c>
      <c r="E599" s="95">
        <v>37842</v>
      </c>
      <c r="F599" s="95">
        <v>560452513</v>
      </c>
      <c r="G599" s="95">
        <v>601213827</v>
      </c>
      <c r="H599" s="95">
        <v>1161666341</v>
      </c>
      <c r="I599" s="91" t="s">
        <v>171</v>
      </c>
      <c r="J599" s="91" t="s">
        <v>1121</v>
      </c>
      <c r="K599" s="94">
        <v>686030</v>
      </c>
      <c r="L599" s="91" t="s">
        <v>200</v>
      </c>
      <c r="M599" s="2"/>
      <c r="N599" s="2"/>
      <c r="O599" s="4"/>
    </row>
    <row r="600" spans="1:15" x14ac:dyDescent="0.2">
      <c r="A600" s="91" t="s">
        <v>245</v>
      </c>
      <c r="B600" s="91" t="s">
        <v>740</v>
      </c>
      <c r="C600" s="95">
        <v>248</v>
      </c>
      <c r="D600" s="95">
        <v>326</v>
      </c>
      <c r="E600" s="95">
        <v>574</v>
      </c>
      <c r="F600" s="95">
        <v>7994316</v>
      </c>
      <c r="G600" s="95">
        <v>14468805</v>
      </c>
      <c r="H600" s="95">
        <v>22463121</v>
      </c>
      <c r="I600" s="91" t="s">
        <v>71</v>
      </c>
      <c r="J600" s="91" t="s">
        <v>1121</v>
      </c>
      <c r="K600" s="94">
        <v>686626</v>
      </c>
      <c r="L600" s="91" t="s">
        <v>535</v>
      </c>
      <c r="M600" s="2"/>
      <c r="N600" s="2"/>
      <c r="O600" s="4"/>
    </row>
    <row r="601" spans="1:15" x14ac:dyDescent="0.2">
      <c r="A601" s="91" t="s">
        <v>173</v>
      </c>
      <c r="B601" s="91" t="s">
        <v>1027</v>
      </c>
      <c r="C601" s="95">
        <v>596</v>
      </c>
      <c r="D601" s="95">
        <v>999</v>
      </c>
      <c r="E601" s="95">
        <v>1595</v>
      </c>
      <c r="F601" s="95">
        <v>38937673</v>
      </c>
      <c r="G601" s="95">
        <v>90600652</v>
      </c>
      <c r="H601" s="95">
        <v>129538325</v>
      </c>
      <c r="I601" s="91" t="s">
        <v>171</v>
      </c>
      <c r="J601" s="91" t="s">
        <v>1118</v>
      </c>
      <c r="K601" s="94">
        <v>686972</v>
      </c>
      <c r="L601" s="91" t="s">
        <v>172</v>
      </c>
      <c r="M601" s="2"/>
      <c r="N601" s="2"/>
      <c r="O601" s="4"/>
    </row>
    <row r="602" spans="1:15" x14ac:dyDescent="0.2">
      <c r="A602" s="91" t="s">
        <v>370</v>
      </c>
      <c r="B602" s="91" t="s">
        <v>1148</v>
      </c>
      <c r="C602" s="95">
        <v>10</v>
      </c>
      <c r="D602" s="95">
        <v>21</v>
      </c>
      <c r="E602" s="95">
        <v>31</v>
      </c>
      <c r="F602" s="95">
        <v>241255</v>
      </c>
      <c r="G602" s="95">
        <v>954899</v>
      </c>
      <c r="H602" s="95">
        <v>1196155</v>
      </c>
      <c r="I602" s="91" t="s">
        <v>171</v>
      </c>
      <c r="J602" s="91" t="s">
        <v>1121</v>
      </c>
      <c r="K602" s="94">
        <v>687509</v>
      </c>
      <c r="L602" s="91" t="s">
        <v>231</v>
      </c>
      <c r="M602" s="2"/>
      <c r="N602" s="2"/>
      <c r="O602" s="4"/>
    </row>
    <row r="603" spans="1:15" x14ac:dyDescent="0.2">
      <c r="A603" s="91" t="s">
        <v>404</v>
      </c>
      <c r="B603" s="91" t="s">
        <v>1068</v>
      </c>
      <c r="C603" s="95">
        <v>832</v>
      </c>
      <c r="D603" s="95">
        <v>1322</v>
      </c>
      <c r="E603" s="95">
        <v>2154</v>
      </c>
      <c r="F603" s="95">
        <v>32132843</v>
      </c>
      <c r="G603" s="95">
        <v>62453087</v>
      </c>
      <c r="H603" s="95">
        <v>94585930</v>
      </c>
      <c r="I603" s="91" t="s">
        <v>71</v>
      </c>
      <c r="J603" s="91" t="s">
        <v>1121</v>
      </c>
      <c r="K603" s="94">
        <v>688986</v>
      </c>
      <c r="L603" s="91" t="s">
        <v>454</v>
      </c>
      <c r="M603" s="2"/>
      <c r="N603" s="2"/>
      <c r="O603" s="4"/>
    </row>
    <row r="604" spans="1:15" x14ac:dyDescent="0.2">
      <c r="A604" s="91" t="s">
        <v>264</v>
      </c>
      <c r="B604" s="91" t="s">
        <v>591</v>
      </c>
      <c r="C604" s="95">
        <v>6668</v>
      </c>
      <c r="D604" s="95">
        <v>7207</v>
      </c>
      <c r="E604" s="95">
        <v>13875</v>
      </c>
      <c r="F604" s="95">
        <v>293551091</v>
      </c>
      <c r="G604" s="95">
        <v>382625787</v>
      </c>
      <c r="H604" s="95">
        <v>676176878</v>
      </c>
      <c r="I604" s="91" t="s">
        <v>171</v>
      </c>
      <c r="J604" s="91" t="s">
        <v>1121</v>
      </c>
      <c r="K604" s="94">
        <v>690289</v>
      </c>
      <c r="L604" s="91" t="s">
        <v>277</v>
      </c>
      <c r="M604" s="2"/>
      <c r="N604" s="2"/>
      <c r="O604" s="4"/>
    </row>
    <row r="605" spans="1:15" x14ac:dyDescent="0.2">
      <c r="A605" s="91" t="s">
        <v>223</v>
      </c>
      <c r="B605" s="91" t="s">
        <v>732</v>
      </c>
      <c r="C605" s="95">
        <v>253</v>
      </c>
      <c r="D605" s="95">
        <v>325</v>
      </c>
      <c r="E605" s="95">
        <v>578</v>
      </c>
      <c r="F605" s="95">
        <v>7421936</v>
      </c>
      <c r="G605" s="95">
        <v>10655040</v>
      </c>
      <c r="H605" s="95">
        <v>18076976</v>
      </c>
      <c r="I605" s="91" t="s">
        <v>71</v>
      </c>
      <c r="J605" s="91" t="s">
        <v>1122</v>
      </c>
      <c r="K605" s="94">
        <v>690636</v>
      </c>
      <c r="L605" s="91" t="s">
        <v>497</v>
      </c>
      <c r="M605" s="2"/>
      <c r="N605" s="2"/>
      <c r="O605" s="4"/>
    </row>
    <row r="606" spans="1:15" x14ac:dyDescent="0.2">
      <c r="A606" s="91" t="s">
        <v>212</v>
      </c>
      <c r="B606" s="91" t="s">
        <v>1084</v>
      </c>
      <c r="C606" s="95">
        <v>11</v>
      </c>
      <c r="D606" s="95">
        <v>22</v>
      </c>
      <c r="E606" s="95">
        <v>33</v>
      </c>
      <c r="F606" s="95">
        <v>633372</v>
      </c>
      <c r="G606" s="95">
        <v>932439</v>
      </c>
      <c r="H606" s="95">
        <v>1565810</v>
      </c>
      <c r="I606" s="91" t="s">
        <v>71</v>
      </c>
      <c r="J606" s="91" t="s">
        <v>1121</v>
      </c>
      <c r="K606" s="94">
        <v>690693</v>
      </c>
      <c r="L606" s="91" t="s">
        <v>454</v>
      </c>
      <c r="M606" s="2"/>
      <c r="N606" s="2"/>
      <c r="O606" s="4"/>
    </row>
    <row r="607" spans="1:15" x14ac:dyDescent="0.2">
      <c r="A607" s="91" t="s">
        <v>173</v>
      </c>
      <c r="B607" s="91" t="s">
        <v>989</v>
      </c>
      <c r="C607" s="95">
        <v>478</v>
      </c>
      <c r="D607" s="95">
        <v>964</v>
      </c>
      <c r="E607" s="95">
        <v>1442</v>
      </c>
      <c r="F607" s="95">
        <v>51021783</v>
      </c>
      <c r="G607" s="95">
        <v>126572067</v>
      </c>
      <c r="H607" s="95">
        <v>177593850</v>
      </c>
      <c r="I607" s="91" t="s">
        <v>171</v>
      </c>
      <c r="J607" s="91" t="s">
        <v>1118</v>
      </c>
      <c r="K607" s="94">
        <v>691220</v>
      </c>
      <c r="L607" s="91" t="s">
        <v>672</v>
      </c>
      <c r="M607" s="2"/>
      <c r="N607" s="2"/>
      <c r="O607" s="4"/>
    </row>
    <row r="608" spans="1:15" x14ac:dyDescent="0.2">
      <c r="A608" s="91" t="s">
        <v>331</v>
      </c>
      <c r="B608" s="91" t="s">
        <v>634</v>
      </c>
      <c r="C608" s="95">
        <v>3678</v>
      </c>
      <c r="D608" s="95">
        <v>4044</v>
      </c>
      <c r="E608" s="95">
        <v>7722</v>
      </c>
      <c r="F608" s="95">
        <v>176298032</v>
      </c>
      <c r="G608" s="95">
        <v>233715323</v>
      </c>
      <c r="H608" s="95">
        <v>410013355</v>
      </c>
      <c r="I608" s="91" t="s">
        <v>171</v>
      </c>
      <c r="J608" s="91" t="s">
        <v>1121</v>
      </c>
      <c r="K608" s="94">
        <v>694539</v>
      </c>
      <c r="L608" s="91" t="s">
        <v>361</v>
      </c>
      <c r="M608" s="2"/>
      <c r="N608" s="2"/>
      <c r="O608" s="4"/>
    </row>
    <row r="609" spans="1:15" x14ac:dyDescent="0.2">
      <c r="A609" s="91" t="s">
        <v>173</v>
      </c>
      <c r="B609" s="91" t="s">
        <v>744</v>
      </c>
      <c r="C609" s="95">
        <v>21</v>
      </c>
      <c r="D609" s="95">
        <v>39</v>
      </c>
      <c r="E609" s="95">
        <v>60</v>
      </c>
      <c r="F609" s="95">
        <v>625404</v>
      </c>
      <c r="G609" s="95">
        <v>1660160</v>
      </c>
      <c r="H609" s="95">
        <v>2285565</v>
      </c>
      <c r="I609" s="91" t="s">
        <v>71</v>
      </c>
      <c r="J609" s="91" t="s">
        <v>1118</v>
      </c>
      <c r="K609" s="94">
        <v>694828</v>
      </c>
      <c r="L609" s="91" t="s">
        <v>368</v>
      </c>
      <c r="M609" s="2"/>
      <c r="N609" s="2"/>
      <c r="O609" s="4"/>
    </row>
    <row r="610" spans="1:15" x14ac:dyDescent="0.2">
      <c r="A610" s="91" t="s">
        <v>265</v>
      </c>
      <c r="B610" s="91" t="s">
        <v>645</v>
      </c>
      <c r="C610" s="95">
        <v>136</v>
      </c>
      <c r="D610" s="95">
        <v>128</v>
      </c>
      <c r="E610" s="95">
        <v>264</v>
      </c>
      <c r="F610" s="95">
        <v>16950826</v>
      </c>
      <c r="G610" s="95">
        <v>16489731</v>
      </c>
      <c r="H610" s="95">
        <v>33440557</v>
      </c>
      <c r="I610" s="91" t="s">
        <v>171</v>
      </c>
      <c r="J610" s="91" t="s">
        <v>1121</v>
      </c>
      <c r="K610" s="94">
        <v>696658</v>
      </c>
      <c r="L610" s="91" t="s">
        <v>247</v>
      </c>
      <c r="M610" s="2"/>
      <c r="N610" s="2"/>
      <c r="O610" s="4"/>
    </row>
    <row r="611" spans="1:15" x14ac:dyDescent="0.2">
      <c r="A611" s="91" t="s">
        <v>260</v>
      </c>
      <c r="B611" s="91" t="s">
        <v>797</v>
      </c>
      <c r="C611" s="95">
        <v>155</v>
      </c>
      <c r="D611" s="95">
        <v>232</v>
      </c>
      <c r="E611" s="95">
        <v>387</v>
      </c>
      <c r="F611" s="95">
        <v>5842404</v>
      </c>
      <c r="G611" s="95">
        <v>9592820</v>
      </c>
      <c r="H611" s="95">
        <v>15435224</v>
      </c>
      <c r="I611" s="91" t="s">
        <v>71</v>
      </c>
      <c r="J611" s="91" t="s">
        <v>1121</v>
      </c>
      <c r="K611" s="94">
        <v>696898</v>
      </c>
      <c r="L611" s="91" t="s">
        <v>768</v>
      </c>
      <c r="M611" s="2"/>
      <c r="N611" s="2"/>
      <c r="O611" s="4"/>
    </row>
    <row r="612" spans="1:15" x14ac:dyDescent="0.2">
      <c r="A612" s="91" t="s">
        <v>243</v>
      </c>
      <c r="B612" s="91" t="s">
        <v>466</v>
      </c>
      <c r="C612" s="95">
        <v>17560</v>
      </c>
      <c r="D612" s="95">
        <v>19093</v>
      </c>
      <c r="E612" s="95">
        <v>36653</v>
      </c>
      <c r="F612" s="95">
        <v>367635507</v>
      </c>
      <c r="G612" s="95">
        <v>506899928</v>
      </c>
      <c r="H612" s="95">
        <v>874535435</v>
      </c>
      <c r="I612" s="91" t="s">
        <v>71</v>
      </c>
      <c r="J612" s="91" t="s">
        <v>1122</v>
      </c>
      <c r="K612" s="94">
        <v>700310</v>
      </c>
      <c r="L612" s="91" t="s">
        <v>235</v>
      </c>
      <c r="M612" s="2"/>
      <c r="N612" s="2"/>
      <c r="O612" s="4"/>
    </row>
    <row r="613" spans="1:15" x14ac:dyDescent="0.2">
      <c r="A613" s="91" t="s">
        <v>383</v>
      </c>
      <c r="B613" s="91" t="s">
        <v>1045</v>
      </c>
      <c r="C613" s="95">
        <v>2954</v>
      </c>
      <c r="D613" s="95">
        <v>4541</v>
      </c>
      <c r="E613" s="95">
        <v>7495</v>
      </c>
      <c r="F613" s="95">
        <v>121723828</v>
      </c>
      <c r="G613" s="95">
        <v>255175402</v>
      </c>
      <c r="H613" s="95">
        <v>376899230</v>
      </c>
      <c r="I613" s="91" t="s">
        <v>171</v>
      </c>
      <c r="J613" s="91" t="s">
        <v>1121</v>
      </c>
      <c r="K613" s="94">
        <v>705806</v>
      </c>
      <c r="L613" s="91" t="s">
        <v>1044</v>
      </c>
      <c r="M613" s="2"/>
      <c r="N613" s="2"/>
      <c r="O613" s="4"/>
    </row>
    <row r="614" spans="1:15" x14ac:dyDescent="0.2">
      <c r="A614" s="91" t="s">
        <v>185</v>
      </c>
      <c r="B614" s="91" t="s">
        <v>350</v>
      </c>
      <c r="C614" s="95">
        <v>9325</v>
      </c>
      <c r="D614" s="95">
        <v>7926</v>
      </c>
      <c r="E614" s="95">
        <v>17251</v>
      </c>
      <c r="F614" s="95">
        <v>756346293</v>
      </c>
      <c r="G614" s="95">
        <v>805264153</v>
      </c>
      <c r="H614" s="95">
        <v>1561610447</v>
      </c>
      <c r="I614" s="91" t="s">
        <v>171</v>
      </c>
      <c r="J614" s="91" t="s">
        <v>1115</v>
      </c>
      <c r="K614" s="94">
        <v>707281</v>
      </c>
      <c r="L614" s="91" t="s">
        <v>203</v>
      </c>
      <c r="M614" s="2"/>
      <c r="N614" s="2"/>
      <c r="O614" s="4"/>
    </row>
    <row r="615" spans="1:15" x14ac:dyDescent="0.2">
      <c r="A615" s="91" t="s">
        <v>260</v>
      </c>
      <c r="B615" s="91" t="s">
        <v>775</v>
      </c>
      <c r="C615" s="95">
        <v>769</v>
      </c>
      <c r="D615" s="95">
        <v>784</v>
      </c>
      <c r="E615" s="95">
        <v>1553</v>
      </c>
      <c r="F615" s="95">
        <v>16906624</v>
      </c>
      <c r="G615" s="95">
        <v>20454970</v>
      </c>
      <c r="H615" s="95">
        <v>37361594</v>
      </c>
      <c r="I615" s="91" t="s">
        <v>71</v>
      </c>
      <c r="J615" s="91" t="s">
        <v>1121</v>
      </c>
      <c r="K615" s="94">
        <v>707638</v>
      </c>
      <c r="L615" s="91" t="s">
        <v>715</v>
      </c>
      <c r="M615" s="2"/>
      <c r="N615" s="2"/>
      <c r="O615" s="4"/>
    </row>
    <row r="616" spans="1:15" x14ac:dyDescent="0.2">
      <c r="A616" s="91" t="s">
        <v>173</v>
      </c>
      <c r="B616" s="91" t="s">
        <v>1106</v>
      </c>
      <c r="C616" s="95">
        <v>9</v>
      </c>
      <c r="D616" s="95">
        <v>12</v>
      </c>
      <c r="E616" s="95">
        <v>21</v>
      </c>
      <c r="F616" s="95">
        <v>1057755</v>
      </c>
      <c r="G616" s="95">
        <v>1137105</v>
      </c>
      <c r="H616" s="95">
        <v>2194860</v>
      </c>
      <c r="I616" s="91" t="s">
        <v>171</v>
      </c>
      <c r="J616" s="91" t="s">
        <v>1118</v>
      </c>
      <c r="K616" s="94">
        <v>711820</v>
      </c>
      <c r="L616" s="91" t="s">
        <v>661</v>
      </c>
      <c r="M616" s="2"/>
      <c r="N616" s="2"/>
      <c r="O616" s="4"/>
    </row>
    <row r="617" spans="1:15" x14ac:dyDescent="0.2">
      <c r="A617" s="91" t="s">
        <v>413</v>
      </c>
      <c r="B617" s="91" t="s">
        <v>526</v>
      </c>
      <c r="C617" s="95">
        <v>1635</v>
      </c>
      <c r="D617" s="95">
        <v>2177</v>
      </c>
      <c r="E617" s="95">
        <v>3812</v>
      </c>
      <c r="F617" s="95">
        <v>30661558</v>
      </c>
      <c r="G617" s="95">
        <v>51854935</v>
      </c>
      <c r="H617" s="95">
        <v>82516493</v>
      </c>
      <c r="I617" s="91" t="s">
        <v>171</v>
      </c>
      <c r="J617" s="91" t="s">
        <v>1121</v>
      </c>
      <c r="K617" s="94">
        <v>715664</v>
      </c>
      <c r="L617" s="91" t="s">
        <v>231</v>
      </c>
      <c r="M617" s="2"/>
      <c r="N617" s="2"/>
      <c r="O617" s="4"/>
    </row>
    <row r="618" spans="1:15" x14ac:dyDescent="0.2">
      <c r="A618" s="91" t="s">
        <v>173</v>
      </c>
      <c r="B618" s="91" t="s">
        <v>984</v>
      </c>
      <c r="C618" s="95">
        <v>4</v>
      </c>
      <c r="D618" s="95">
        <v>18</v>
      </c>
      <c r="E618" s="95">
        <v>22</v>
      </c>
      <c r="F618" s="95">
        <v>138887</v>
      </c>
      <c r="G618" s="95">
        <v>844449</v>
      </c>
      <c r="H618" s="95">
        <v>983337</v>
      </c>
      <c r="I618" s="91" t="s">
        <v>71</v>
      </c>
      <c r="J618" s="91" t="s">
        <v>1118</v>
      </c>
      <c r="K618" s="94">
        <v>717314</v>
      </c>
      <c r="L618" s="91" t="s">
        <v>981</v>
      </c>
      <c r="M618" s="2"/>
      <c r="N618" s="2"/>
      <c r="O618" s="4"/>
    </row>
    <row r="619" spans="1:15" x14ac:dyDescent="0.2">
      <c r="A619" s="91" t="s">
        <v>413</v>
      </c>
      <c r="B619" s="91" t="s">
        <v>1050</v>
      </c>
      <c r="C619" s="95">
        <v>28</v>
      </c>
      <c r="D619" s="95">
        <v>62</v>
      </c>
      <c r="E619" s="95">
        <v>90</v>
      </c>
      <c r="F619" s="95">
        <v>1100820</v>
      </c>
      <c r="G619" s="95">
        <v>3263718</v>
      </c>
      <c r="H619" s="95">
        <v>4364538</v>
      </c>
      <c r="I619" s="91" t="s">
        <v>71</v>
      </c>
      <c r="J619" s="91" t="s">
        <v>1121</v>
      </c>
      <c r="K619" s="94">
        <v>717371</v>
      </c>
      <c r="L619" s="91" t="s">
        <v>1002</v>
      </c>
      <c r="M619" s="2"/>
      <c r="N619" s="2"/>
      <c r="O619" s="4"/>
    </row>
    <row r="620" spans="1:15" x14ac:dyDescent="0.2">
      <c r="A620" s="91" t="s">
        <v>212</v>
      </c>
      <c r="B620" s="91" t="s">
        <v>874</v>
      </c>
      <c r="C620" s="95">
        <v>2048</v>
      </c>
      <c r="D620" s="95">
        <v>3269</v>
      </c>
      <c r="E620" s="95">
        <v>5317</v>
      </c>
      <c r="F620" s="95">
        <v>59912395</v>
      </c>
      <c r="G620" s="95">
        <v>117648070</v>
      </c>
      <c r="H620" s="95">
        <v>177560465</v>
      </c>
      <c r="I620" s="91" t="s">
        <v>71</v>
      </c>
      <c r="J620" s="91" t="s">
        <v>1121</v>
      </c>
      <c r="K620" s="94">
        <v>717496</v>
      </c>
      <c r="L620" s="91" t="s">
        <v>746</v>
      </c>
      <c r="M620" s="2"/>
      <c r="N620" s="2"/>
      <c r="O620" s="4"/>
    </row>
    <row r="621" spans="1:15" x14ac:dyDescent="0.2">
      <c r="A621" s="91" t="s">
        <v>192</v>
      </c>
      <c r="B621" s="91" t="s">
        <v>224</v>
      </c>
      <c r="C621" s="95">
        <v>14746</v>
      </c>
      <c r="D621" s="95">
        <v>10856</v>
      </c>
      <c r="E621" s="95">
        <v>25602</v>
      </c>
      <c r="F621" s="95">
        <v>490575317</v>
      </c>
      <c r="G621" s="95">
        <v>444044098</v>
      </c>
      <c r="H621" s="95">
        <v>934619415</v>
      </c>
      <c r="I621" s="91" t="s">
        <v>171</v>
      </c>
      <c r="J621" s="91" t="s">
        <v>1122</v>
      </c>
      <c r="K621" s="94">
        <v>717611</v>
      </c>
      <c r="L621" s="91" t="s">
        <v>200</v>
      </c>
      <c r="M621" s="2"/>
      <c r="N621" s="2"/>
      <c r="O621" s="4"/>
    </row>
    <row r="622" spans="1:15" x14ac:dyDescent="0.2">
      <c r="A622" s="91" t="s">
        <v>223</v>
      </c>
      <c r="B622" s="91" t="s">
        <v>668</v>
      </c>
      <c r="C622" s="95">
        <v>23</v>
      </c>
      <c r="D622" s="95">
        <v>30</v>
      </c>
      <c r="E622" s="95">
        <v>53</v>
      </c>
      <c r="F622" s="95">
        <v>714887</v>
      </c>
      <c r="G622" s="95">
        <v>1051716</v>
      </c>
      <c r="H622" s="95">
        <v>1766603</v>
      </c>
      <c r="I622" s="91" t="s">
        <v>71</v>
      </c>
      <c r="J622" s="91" t="s">
        <v>1122</v>
      </c>
      <c r="K622" s="94">
        <v>717900</v>
      </c>
      <c r="L622" s="91" t="s">
        <v>1152</v>
      </c>
      <c r="M622" s="2"/>
      <c r="N622" s="2"/>
      <c r="O622" s="4"/>
    </row>
    <row r="623" spans="1:15" x14ac:dyDescent="0.2">
      <c r="A623" s="91" t="s">
        <v>192</v>
      </c>
      <c r="B623" s="91" t="s">
        <v>230</v>
      </c>
      <c r="C623" s="95">
        <v>3709</v>
      </c>
      <c r="D623" s="95">
        <v>2955</v>
      </c>
      <c r="E623" s="95">
        <v>6664</v>
      </c>
      <c r="F623" s="95">
        <v>145887673</v>
      </c>
      <c r="G623" s="95">
        <v>152312941</v>
      </c>
      <c r="H623" s="95">
        <v>298200614</v>
      </c>
      <c r="I623" s="91" t="s">
        <v>71</v>
      </c>
      <c r="J623" s="91" t="s">
        <v>1122</v>
      </c>
      <c r="K623" s="94">
        <v>718205</v>
      </c>
      <c r="L623" s="91" t="s">
        <v>231</v>
      </c>
      <c r="M623" s="2"/>
      <c r="N623" s="2"/>
      <c r="O623" s="4"/>
    </row>
    <row r="624" spans="1:15" x14ac:dyDescent="0.2">
      <c r="A624" s="91" t="s">
        <v>331</v>
      </c>
      <c r="B624" s="91" t="s">
        <v>1150</v>
      </c>
      <c r="C624" s="95">
        <v>374</v>
      </c>
      <c r="D624" s="95">
        <v>607</v>
      </c>
      <c r="E624" s="95">
        <v>981</v>
      </c>
      <c r="F624" s="95">
        <v>15743787</v>
      </c>
      <c r="G624" s="95">
        <v>32110617</v>
      </c>
      <c r="H624" s="95">
        <v>47854404</v>
      </c>
      <c r="I624" s="91" t="s">
        <v>71</v>
      </c>
      <c r="J624" s="91" t="s">
        <v>1121</v>
      </c>
      <c r="K624" s="94">
        <v>721035</v>
      </c>
      <c r="L624" s="91" t="s">
        <v>254</v>
      </c>
      <c r="M624" s="2"/>
      <c r="N624" s="2"/>
      <c r="O624" s="4"/>
    </row>
    <row r="625" spans="1:15" x14ac:dyDescent="0.2">
      <c r="A625" s="91" t="s">
        <v>223</v>
      </c>
      <c r="B625" s="91" t="s">
        <v>760</v>
      </c>
      <c r="C625" s="95">
        <v>1542</v>
      </c>
      <c r="D625" s="95">
        <v>2157</v>
      </c>
      <c r="E625" s="95">
        <v>3699</v>
      </c>
      <c r="F625" s="95">
        <v>51799966</v>
      </c>
      <c r="G625" s="95">
        <v>89383205</v>
      </c>
      <c r="H625" s="95">
        <v>141183171</v>
      </c>
      <c r="I625" s="91" t="s">
        <v>71</v>
      </c>
      <c r="J625" s="91" t="s">
        <v>1122</v>
      </c>
      <c r="K625" s="94">
        <v>721746</v>
      </c>
      <c r="L625" s="91" t="s">
        <v>553</v>
      </c>
      <c r="M625" s="2"/>
      <c r="N625" s="2"/>
      <c r="O625" s="4"/>
    </row>
    <row r="626" spans="1:15" x14ac:dyDescent="0.2">
      <c r="A626" s="91" t="s">
        <v>264</v>
      </c>
      <c r="B626" s="91" t="s">
        <v>312</v>
      </c>
      <c r="C626" s="95">
        <v>23019</v>
      </c>
      <c r="D626" s="95">
        <v>22384</v>
      </c>
      <c r="E626" s="95">
        <v>45403</v>
      </c>
      <c r="F626" s="95">
        <v>1040521570</v>
      </c>
      <c r="G626" s="95">
        <v>1236618273</v>
      </c>
      <c r="H626" s="95">
        <v>2277139842</v>
      </c>
      <c r="I626" s="91" t="s">
        <v>171</v>
      </c>
      <c r="J626" s="91" t="s">
        <v>1121</v>
      </c>
      <c r="K626" s="94">
        <v>721860</v>
      </c>
      <c r="L626" s="91" t="s">
        <v>200</v>
      </c>
      <c r="M626" s="2"/>
      <c r="N626" s="2"/>
      <c r="O626" s="4"/>
    </row>
    <row r="627" spans="1:15" x14ac:dyDescent="0.2">
      <c r="A627" s="91" t="s">
        <v>173</v>
      </c>
      <c r="B627" s="91" t="s">
        <v>678</v>
      </c>
      <c r="C627" s="95">
        <v>797</v>
      </c>
      <c r="D627" s="95">
        <v>770</v>
      </c>
      <c r="E627" s="95">
        <v>1567</v>
      </c>
      <c r="F627" s="95">
        <v>19128358</v>
      </c>
      <c r="G627" s="95">
        <v>22448399</v>
      </c>
      <c r="H627" s="95">
        <v>41576757</v>
      </c>
      <c r="I627" s="91" t="s">
        <v>71</v>
      </c>
      <c r="J627" s="91" t="s">
        <v>1118</v>
      </c>
      <c r="K627" s="94">
        <v>722454</v>
      </c>
      <c r="L627" s="91" t="s">
        <v>535</v>
      </c>
      <c r="M627" s="2"/>
      <c r="N627" s="2"/>
      <c r="O627" s="4"/>
    </row>
    <row r="628" spans="1:15" x14ac:dyDescent="0.2">
      <c r="A628" s="91" t="s">
        <v>383</v>
      </c>
      <c r="B628" s="91" t="s">
        <v>916</v>
      </c>
      <c r="C628" s="95">
        <v>5527</v>
      </c>
      <c r="D628" s="95">
        <v>7864</v>
      </c>
      <c r="E628" s="95">
        <v>13391</v>
      </c>
      <c r="F628" s="95">
        <v>176602282</v>
      </c>
      <c r="G628" s="95">
        <v>328395901</v>
      </c>
      <c r="H628" s="95">
        <v>504998184</v>
      </c>
      <c r="I628" s="91" t="s">
        <v>171</v>
      </c>
      <c r="J628" s="91" t="s">
        <v>1121</v>
      </c>
      <c r="K628" s="94">
        <v>722983</v>
      </c>
      <c r="L628" s="91" t="s">
        <v>216</v>
      </c>
      <c r="M628" s="2"/>
      <c r="N628" s="2"/>
      <c r="O628" s="4"/>
    </row>
    <row r="629" spans="1:15" x14ac:dyDescent="0.2">
      <c r="A629" s="91" t="s">
        <v>260</v>
      </c>
      <c r="B629" s="91" t="s">
        <v>933</v>
      </c>
      <c r="C629" s="95">
        <v>11</v>
      </c>
      <c r="D629" s="95">
        <v>19</v>
      </c>
      <c r="E629" s="95">
        <v>30</v>
      </c>
      <c r="F629" s="95">
        <v>255431</v>
      </c>
      <c r="G629" s="95">
        <v>678599</v>
      </c>
      <c r="H629" s="95">
        <v>934030</v>
      </c>
      <c r="I629" s="91" t="s">
        <v>71</v>
      </c>
      <c r="J629" s="91" t="s">
        <v>1121</v>
      </c>
      <c r="K629" s="94">
        <v>724633</v>
      </c>
      <c r="L629" s="91" t="s">
        <v>930</v>
      </c>
      <c r="M629" s="2"/>
      <c r="N629" s="2"/>
      <c r="O629" s="4"/>
    </row>
    <row r="630" spans="1:15" x14ac:dyDescent="0.2">
      <c r="A630" s="91" t="s">
        <v>370</v>
      </c>
      <c r="B630" s="91" t="s">
        <v>776</v>
      </c>
      <c r="C630" s="95">
        <v>288</v>
      </c>
      <c r="D630" s="95">
        <v>620</v>
      </c>
      <c r="E630" s="95">
        <v>908</v>
      </c>
      <c r="F630" s="95">
        <v>11030790</v>
      </c>
      <c r="G630" s="95">
        <v>28560291</v>
      </c>
      <c r="H630" s="95">
        <v>39591081</v>
      </c>
      <c r="I630" s="91" t="s">
        <v>71</v>
      </c>
      <c r="J630" s="91" t="s">
        <v>1121</v>
      </c>
      <c r="K630" s="94">
        <v>724690</v>
      </c>
      <c r="L630" s="91" t="s">
        <v>777</v>
      </c>
      <c r="M630" s="2"/>
      <c r="N630" s="2"/>
      <c r="O630" s="4"/>
    </row>
    <row r="631" spans="1:15" x14ac:dyDescent="0.2">
      <c r="A631" s="91" t="s">
        <v>188</v>
      </c>
      <c r="B631" s="91" t="s">
        <v>355</v>
      </c>
      <c r="C631" s="95">
        <v>6631</v>
      </c>
      <c r="D631" s="95">
        <v>5864</v>
      </c>
      <c r="E631" s="95">
        <v>12495</v>
      </c>
      <c r="F631" s="95">
        <v>210572723</v>
      </c>
      <c r="G631" s="95">
        <v>226207849</v>
      </c>
      <c r="H631" s="95">
        <v>436780572</v>
      </c>
      <c r="I631" s="91" t="s">
        <v>171</v>
      </c>
      <c r="J631" s="91" t="s">
        <v>1122</v>
      </c>
      <c r="K631" s="94">
        <v>726117</v>
      </c>
      <c r="L631" s="91" t="s">
        <v>277</v>
      </c>
      <c r="M631" s="2"/>
      <c r="N631" s="2"/>
      <c r="O631" s="4"/>
    </row>
    <row r="632" spans="1:15" x14ac:dyDescent="0.2">
      <c r="A632" s="91" t="s">
        <v>173</v>
      </c>
      <c r="B632" s="91" t="s">
        <v>960</v>
      </c>
      <c r="C632" s="95">
        <v>2363</v>
      </c>
      <c r="D632" s="95">
        <v>3241</v>
      </c>
      <c r="E632" s="95">
        <v>5604</v>
      </c>
      <c r="F632" s="95">
        <v>336784663</v>
      </c>
      <c r="G632" s="95">
        <v>545528742</v>
      </c>
      <c r="H632" s="95">
        <v>882313404</v>
      </c>
      <c r="I632" s="91" t="s">
        <v>171</v>
      </c>
      <c r="J632" s="91" t="s">
        <v>1118</v>
      </c>
      <c r="K632" s="94">
        <v>727057</v>
      </c>
      <c r="L632" s="91" t="s">
        <v>672</v>
      </c>
      <c r="M632" s="2"/>
      <c r="N632" s="2"/>
      <c r="O632" s="4"/>
    </row>
    <row r="633" spans="1:15" x14ac:dyDescent="0.2">
      <c r="A633" s="91" t="s">
        <v>212</v>
      </c>
      <c r="B633" s="91" t="s">
        <v>830</v>
      </c>
      <c r="C633" s="95">
        <v>3301</v>
      </c>
      <c r="D633" s="95">
        <v>3551</v>
      </c>
      <c r="E633" s="95">
        <v>6852</v>
      </c>
      <c r="F633" s="95">
        <v>82441883</v>
      </c>
      <c r="G633" s="95">
        <v>98208866</v>
      </c>
      <c r="H633" s="95">
        <v>180650749</v>
      </c>
      <c r="I633" s="91" t="s">
        <v>71</v>
      </c>
      <c r="J633" s="91" t="s">
        <v>1121</v>
      </c>
      <c r="K633" s="94">
        <v>728824</v>
      </c>
      <c r="L633" s="91" t="s">
        <v>715</v>
      </c>
      <c r="M633" s="2"/>
      <c r="N633" s="2"/>
      <c r="O633" s="4"/>
    </row>
    <row r="634" spans="1:15" x14ac:dyDescent="0.2">
      <c r="A634" s="91" t="s">
        <v>264</v>
      </c>
      <c r="B634" s="91" t="s">
        <v>571</v>
      </c>
      <c r="C634" s="95">
        <v>7942</v>
      </c>
      <c r="D634" s="95">
        <v>8253</v>
      </c>
      <c r="E634" s="95">
        <v>16195</v>
      </c>
      <c r="F634" s="95">
        <v>323949002</v>
      </c>
      <c r="G634" s="95">
        <v>390804147</v>
      </c>
      <c r="H634" s="95">
        <v>714753149</v>
      </c>
      <c r="I634" s="91" t="s">
        <v>171</v>
      </c>
      <c r="J634" s="91" t="s">
        <v>1121</v>
      </c>
      <c r="K634" s="94">
        <v>730366</v>
      </c>
      <c r="L634" s="91" t="s">
        <v>361</v>
      </c>
      <c r="M634" s="2"/>
      <c r="N634" s="2"/>
      <c r="O634" s="4"/>
    </row>
    <row r="635" spans="1:15" x14ac:dyDescent="0.2">
      <c r="A635" s="91" t="s">
        <v>223</v>
      </c>
      <c r="B635" s="91" t="s">
        <v>405</v>
      </c>
      <c r="C635" s="95">
        <v>18</v>
      </c>
      <c r="D635" s="95">
        <v>45</v>
      </c>
      <c r="E635" s="95">
        <v>63</v>
      </c>
      <c r="F635" s="95">
        <v>1140237</v>
      </c>
      <c r="G635" s="95">
        <v>2803067</v>
      </c>
      <c r="H635" s="95">
        <v>3943304</v>
      </c>
      <c r="I635" s="91" t="s">
        <v>171</v>
      </c>
      <c r="J635" s="91" t="s">
        <v>1122</v>
      </c>
      <c r="K635" s="94">
        <v>732487</v>
      </c>
      <c r="L635" s="91" t="s">
        <v>247</v>
      </c>
      <c r="M635" s="2"/>
      <c r="N635" s="2"/>
      <c r="O635" s="4"/>
    </row>
    <row r="636" spans="1:15" x14ac:dyDescent="0.2">
      <c r="A636" s="91" t="s">
        <v>260</v>
      </c>
      <c r="B636" s="91" t="s">
        <v>785</v>
      </c>
      <c r="C636" s="95">
        <v>219</v>
      </c>
      <c r="D636" s="95">
        <v>310</v>
      </c>
      <c r="E636" s="95">
        <v>529</v>
      </c>
      <c r="F636" s="95">
        <v>6591943</v>
      </c>
      <c r="G636" s="95">
        <v>11818485</v>
      </c>
      <c r="H636" s="95">
        <v>18410429</v>
      </c>
      <c r="I636" s="91" t="s">
        <v>71</v>
      </c>
      <c r="J636" s="91" t="s">
        <v>1121</v>
      </c>
      <c r="K636" s="94">
        <v>732727</v>
      </c>
      <c r="L636" s="91" t="s">
        <v>768</v>
      </c>
      <c r="M636" s="2"/>
      <c r="N636" s="2"/>
      <c r="O636" s="4"/>
    </row>
    <row r="637" spans="1:15" x14ac:dyDescent="0.2">
      <c r="A637" s="91" t="s">
        <v>370</v>
      </c>
      <c r="B637" s="91" t="s">
        <v>623</v>
      </c>
      <c r="C637" s="95">
        <v>835</v>
      </c>
      <c r="D637" s="95">
        <v>1211</v>
      </c>
      <c r="E637" s="95">
        <v>2046</v>
      </c>
      <c r="F637" s="95">
        <v>10834940</v>
      </c>
      <c r="G637" s="95">
        <v>18885051</v>
      </c>
      <c r="H637" s="95">
        <v>29719991</v>
      </c>
      <c r="I637" s="91" t="s">
        <v>71</v>
      </c>
      <c r="J637" s="91" t="s">
        <v>1121</v>
      </c>
      <c r="K637" s="94">
        <v>734434</v>
      </c>
      <c r="L637" s="91" t="s">
        <v>535</v>
      </c>
      <c r="M637" s="2"/>
      <c r="N637" s="2"/>
      <c r="O637" s="4"/>
    </row>
    <row r="638" spans="1:15" x14ac:dyDescent="0.2">
      <c r="A638" s="91" t="s">
        <v>176</v>
      </c>
      <c r="B638" s="91" t="s">
        <v>174</v>
      </c>
      <c r="C638" s="95">
        <v>25988</v>
      </c>
      <c r="D638" s="95">
        <v>44797</v>
      </c>
      <c r="E638" s="95">
        <v>70785</v>
      </c>
      <c r="F638" s="95">
        <v>1397150939</v>
      </c>
      <c r="G638" s="95">
        <v>2859634414</v>
      </c>
      <c r="H638" s="95">
        <v>4256785354</v>
      </c>
      <c r="I638" s="91" t="s">
        <v>171</v>
      </c>
      <c r="J638" s="91" t="s">
        <v>1121</v>
      </c>
      <c r="K638" s="94">
        <v>734491</v>
      </c>
      <c r="L638" s="91" t="s">
        <v>175</v>
      </c>
      <c r="M638" s="2"/>
      <c r="N638" s="2"/>
      <c r="O638" s="4"/>
    </row>
    <row r="639" spans="1:15" x14ac:dyDescent="0.2">
      <c r="A639" s="91" t="s">
        <v>188</v>
      </c>
      <c r="B639" s="91" t="s">
        <v>397</v>
      </c>
      <c r="C639" s="95">
        <v>565</v>
      </c>
      <c r="D639" s="95">
        <v>521</v>
      </c>
      <c r="E639" s="95">
        <v>1086</v>
      </c>
      <c r="F639" s="95">
        <v>15786682</v>
      </c>
      <c r="G639" s="95">
        <v>18282599</v>
      </c>
      <c r="H639" s="95">
        <v>34069281</v>
      </c>
      <c r="I639" s="91" t="s">
        <v>71</v>
      </c>
      <c r="J639" s="91" t="s">
        <v>1122</v>
      </c>
      <c r="K639" s="94">
        <v>734558</v>
      </c>
      <c r="L639" s="91" t="s">
        <v>275</v>
      </c>
      <c r="M639" s="2"/>
      <c r="N639" s="2"/>
      <c r="O639" s="4"/>
    </row>
    <row r="640" spans="1:15" x14ac:dyDescent="0.2">
      <c r="A640" s="91" t="s">
        <v>264</v>
      </c>
      <c r="B640" s="91" t="s">
        <v>640</v>
      </c>
      <c r="C640" s="95">
        <v>714</v>
      </c>
      <c r="D640" s="95">
        <v>718</v>
      </c>
      <c r="E640" s="95">
        <v>1432</v>
      </c>
      <c r="F640" s="95">
        <v>22679843</v>
      </c>
      <c r="G640" s="95">
        <v>27464810</v>
      </c>
      <c r="H640" s="95">
        <v>50144653</v>
      </c>
      <c r="I640" s="91" t="s">
        <v>171</v>
      </c>
      <c r="J640" s="91" t="s">
        <v>1121</v>
      </c>
      <c r="K640" s="94">
        <v>739458</v>
      </c>
      <c r="L640" s="91" t="s">
        <v>365</v>
      </c>
      <c r="M640" s="2"/>
      <c r="N640" s="2"/>
      <c r="O640" s="4"/>
    </row>
    <row r="641" spans="1:15" x14ac:dyDescent="0.2">
      <c r="A641" s="91" t="s">
        <v>487</v>
      </c>
      <c r="B641" s="91" t="s">
        <v>1083</v>
      </c>
      <c r="C641" s="95">
        <v>47</v>
      </c>
      <c r="D641" s="95">
        <v>97</v>
      </c>
      <c r="E641" s="95">
        <v>144</v>
      </c>
      <c r="F641" s="95">
        <v>826358</v>
      </c>
      <c r="G641" s="95">
        <v>2923120</v>
      </c>
      <c r="H641" s="95">
        <v>3749478</v>
      </c>
      <c r="I641" s="91" t="s">
        <v>171</v>
      </c>
      <c r="J641" s="91" t="s">
        <v>1121</v>
      </c>
      <c r="K641" s="94">
        <v>741637</v>
      </c>
      <c r="L641" s="91" t="s">
        <v>1044</v>
      </c>
      <c r="M641" s="2"/>
      <c r="N641" s="2"/>
      <c r="O641" s="4"/>
    </row>
    <row r="642" spans="1:15" x14ac:dyDescent="0.2">
      <c r="A642" s="91" t="s">
        <v>185</v>
      </c>
      <c r="B642" s="91" t="s">
        <v>349</v>
      </c>
      <c r="C642" s="95">
        <v>10047</v>
      </c>
      <c r="D642" s="95">
        <v>8975</v>
      </c>
      <c r="E642" s="95">
        <v>19022</v>
      </c>
      <c r="F642" s="95">
        <v>857067762</v>
      </c>
      <c r="G642" s="95">
        <v>921898616</v>
      </c>
      <c r="H642" s="95">
        <v>1778966378</v>
      </c>
      <c r="I642" s="91" t="s">
        <v>171</v>
      </c>
      <c r="J642" s="91" t="s">
        <v>1115</v>
      </c>
      <c r="K642" s="94">
        <v>743112</v>
      </c>
      <c r="L642" s="91" t="s">
        <v>203</v>
      </c>
      <c r="M642" s="2"/>
      <c r="N642" s="2"/>
      <c r="O642" s="4"/>
    </row>
    <row r="643" spans="1:15" x14ac:dyDescent="0.2">
      <c r="A643" s="91" t="s">
        <v>379</v>
      </c>
      <c r="B643" s="91" t="s">
        <v>999</v>
      </c>
      <c r="C643" s="95">
        <v>304</v>
      </c>
      <c r="D643" s="95">
        <v>482</v>
      </c>
      <c r="E643" s="95">
        <v>786</v>
      </c>
      <c r="F643" s="95">
        <v>7656149</v>
      </c>
      <c r="G643" s="95">
        <v>14600911</v>
      </c>
      <c r="H643" s="95">
        <v>22257060</v>
      </c>
      <c r="I643" s="91" t="s">
        <v>71</v>
      </c>
      <c r="J643" s="91" t="s">
        <v>1121</v>
      </c>
      <c r="K643" s="94">
        <v>745828</v>
      </c>
      <c r="L643" s="91" t="s">
        <v>770</v>
      </c>
      <c r="M643" s="2"/>
      <c r="N643" s="2"/>
      <c r="O643" s="4"/>
    </row>
    <row r="644" spans="1:15" x14ac:dyDescent="0.2">
      <c r="A644" s="91" t="s">
        <v>182</v>
      </c>
      <c r="B644" s="91" t="s">
        <v>60</v>
      </c>
      <c r="C644" s="95">
        <v>65941</v>
      </c>
      <c r="D644" s="95">
        <v>67752</v>
      </c>
      <c r="E644" s="95">
        <v>133693</v>
      </c>
      <c r="F644" s="95">
        <v>7065187848</v>
      </c>
      <c r="G644" s="95">
        <v>8994579661</v>
      </c>
      <c r="H644" s="95">
        <v>16059767509</v>
      </c>
      <c r="I644" s="91" t="s">
        <v>171</v>
      </c>
      <c r="J644" s="91" t="s">
        <v>1115</v>
      </c>
      <c r="K644" s="94">
        <v>747899</v>
      </c>
      <c r="L644" s="91" t="s">
        <v>200</v>
      </c>
      <c r="M644" s="2"/>
      <c r="N644" s="2"/>
      <c r="O644" s="4"/>
    </row>
    <row r="645" spans="1:15" x14ac:dyDescent="0.2">
      <c r="A645" s="91" t="s">
        <v>173</v>
      </c>
      <c r="B645" s="91" t="s">
        <v>257</v>
      </c>
      <c r="C645" s="95">
        <v>34244</v>
      </c>
      <c r="D645" s="95">
        <v>23535</v>
      </c>
      <c r="E645" s="95">
        <v>57779</v>
      </c>
      <c r="F645" s="95">
        <v>1360679373</v>
      </c>
      <c r="G645" s="95">
        <v>1128308440</v>
      </c>
      <c r="H645" s="95">
        <v>2488987813</v>
      </c>
      <c r="I645" s="91" t="s">
        <v>171</v>
      </c>
      <c r="J645" s="91" t="s">
        <v>1118</v>
      </c>
      <c r="K645" s="94">
        <v>749192</v>
      </c>
      <c r="L645" s="91" t="s">
        <v>200</v>
      </c>
      <c r="M645" s="2"/>
      <c r="N645" s="2"/>
      <c r="O645" s="4"/>
    </row>
    <row r="646" spans="1:15" x14ac:dyDescent="0.2">
      <c r="A646" s="91" t="s">
        <v>404</v>
      </c>
      <c r="B646" s="91" t="s">
        <v>659</v>
      </c>
      <c r="C646" s="95">
        <v>26141</v>
      </c>
      <c r="D646" s="95">
        <v>23072</v>
      </c>
      <c r="E646" s="95">
        <v>49213</v>
      </c>
      <c r="F646" s="95">
        <v>988276616</v>
      </c>
      <c r="G646" s="95">
        <v>1050776444</v>
      </c>
      <c r="H646" s="95">
        <v>2039053060</v>
      </c>
      <c r="I646" s="91" t="s">
        <v>171</v>
      </c>
      <c r="J646" s="91" t="s">
        <v>1121</v>
      </c>
      <c r="K646" s="94">
        <v>749788</v>
      </c>
      <c r="L646" s="91" t="s">
        <v>194</v>
      </c>
      <c r="M646" s="2"/>
      <c r="N646" s="2"/>
      <c r="O646" s="4"/>
    </row>
    <row r="647" spans="1:15" x14ac:dyDescent="0.2">
      <c r="A647" s="91" t="s">
        <v>379</v>
      </c>
      <c r="B647" s="91" t="s">
        <v>392</v>
      </c>
      <c r="C647" s="95">
        <v>115</v>
      </c>
      <c r="D647" s="95">
        <v>307</v>
      </c>
      <c r="E647" s="95">
        <v>422</v>
      </c>
      <c r="F647" s="95">
        <v>3362494</v>
      </c>
      <c r="G647" s="95">
        <v>9406965</v>
      </c>
      <c r="H647" s="95">
        <v>12769459</v>
      </c>
      <c r="I647" s="91" t="s">
        <v>71</v>
      </c>
      <c r="J647" s="91" t="s">
        <v>1121</v>
      </c>
      <c r="K647" s="94">
        <v>750075</v>
      </c>
      <c r="L647" s="91" t="s">
        <v>178</v>
      </c>
      <c r="M647" s="2"/>
      <c r="N647" s="2"/>
      <c r="O647" s="4"/>
    </row>
    <row r="648" spans="1:15" x14ac:dyDescent="0.2">
      <c r="A648" s="91" t="s">
        <v>410</v>
      </c>
      <c r="B648" s="91" t="s">
        <v>524</v>
      </c>
      <c r="C648" s="95">
        <v>6166</v>
      </c>
      <c r="D648" s="95">
        <v>6199</v>
      </c>
      <c r="E648" s="95">
        <v>12365</v>
      </c>
      <c r="F648" s="95">
        <v>269693762</v>
      </c>
      <c r="G648" s="95">
        <v>326082143</v>
      </c>
      <c r="H648" s="95">
        <v>595775905</v>
      </c>
      <c r="I648" s="91" t="s">
        <v>171</v>
      </c>
      <c r="J648" s="91" t="s">
        <v>1121</v>
      </c>
      <c r="K648" s="94">
        <v>751495</v>
      </c>
      <c r="L648" s="91" t="s">
        <v>231</v>
      </c>
      <c r="M648" s="2"/>
      <c r="N648" s="2"/>
      <c r="O648" s="4"/>
    </row>
    <row r="649" spans="1:15" x14ac:dyDescent="0.2">
      <c r="A649" s="91" t="s">
        <v>487</v>
      </c>
      <c r="B649" s="91" t="s">
        <v>516</v>
      </c>
      <c r="C649" s="95">
        <v>21160</v>
      </c>
      <c r="D649" s="95">
        <v>27998</v>
      </c>
      <c r="E649" s="95">
        <v>49158</v>
      </c>
      <c r="F649" s="95">
        <v>386884264</v>
      </c>
      <c r="G649" s="95">
        <v>687167588</v>
      </c>
      <c r="H649" s="95">
        <v>1074051852</v>
      </c>
      <c r="I649" s="91" t="s">
        <v>171</v>
      </c>
      <c r="J649" s="91" t="s">
        <v>1121</v>
      </c>
      <c r="K649" s="94">
        <v>752204</v>
      </c>
      <c r="L649" s="91" t="s">
        <v>200</v>
      </c>
      <c r="M649" s="2"/>
      <c r="N649" s="2"/>
      <c r="O649" s="4"/>
    </row>
    <row r="650" spans="1:15" x14ac:dyDescent="0.2">
      <c r="A650" s="91" t="s">
        <v>223</v>
      </c>
      <c r="B650" s="91" t="s">
        <v>636</v>
      </c>
      <c r="C650" s="95">
        <v>260</v>
      </c>
      <c r="D650" s="95">
        <v>377</v>
      </c>
      <c r="E650" s="95">
        <v>637</v>
      </c>
      <c r="F650" s="95">
        <v>8727277</v>
      </c>
      <c r="G650" s="95">
        <v>16149720</v>
      </c>
      <c r="H650" s="95">
        <v>24876997</v>
      </c>
      <c r="I650" s="91" t="s">
        <v>71</v>
      </c>
      <c r="J650" s="91" t="s">
        <v>1122</v>
      </c>
      <c r="K650" s="94">
        <v>753384</v>
      </c>
      <c r="L650" s="91" t="s">
        <v>580</v>
      </c>
      <c r="M650" s="2"/>
      <c r="N650" s="2"/>
      <c r="O650" s="4"/>
    </row>
    <row r="651" spans="1:15" x14ac:dyDescent="0.2">
      <c r="A651" s="91" t="s">
        <v>212</v>
      </c>
      <c r="B651" s="91" t="s">
        <v>285</v>
      </c>
      <c r="C651" s="95">
        <v>37379</v>
      </c>
      <c r="D651" s="95">
        <v>35782</v>
      </c>
      <c r="E651" s="95">
        <v>73161</v>
      </c>
      <c r="F651" s="95">
        <v>1648498045</v>
      </c>
      <c r="G651" s="95">
        <v>2160323417</v>
      </c>
      <c r="H651" s="95">
        <v>3808821462</v>
      </c>
      <c r="I651" s="91" t="s">
        <v>171</v>
      </c>
      <c r="J651" s="91" t="s">
        <v>1121</v>
      </c>
      <c r="K651" s="94">
        <v>753442</v>
      </c>
      <c r="L651" s="91" t="s">
        <v>200</v>
      </c>
      <c r="M651" s="2"/>
      <c r="N651" s="2"/>
      <c r="O651" s="4"/>
    </row>
    <row r="652" spans="1:15" x14ac:dyDescent="0.2">
      <c r="A652" s="91" t="s">
        <v>449</v>
      </c>
      <c r="B652" s="91" t="s">
        <v>1013</v>
      </c>
      <c r="C652" s="95">
        <v>17</v>
      </c>
      <c r="D652" s="95">
        <v>55</v>
      </c>
      <c r="E652" s="95">
        <v>72</v>
      </c>
      <c r="F652" s="95">
        <v>599520</v>
      </c>
      <c r="G652" s="95">
        <v>2162333</v>
      </c>
      <c r="H652" s="95">
        <v>2761853</v>
      </c>
      <c r="I652" s="91" t="s">
        <v>71</v>
      </c>
      <c r="J652" s="91" t="s">
        <v>1121</v>
      </c>
      <c r="K652" s="94">
        <v>753731</v>
      </c>
      <c r="L652" s="91" t="s">
        <v>1152</v>
      </c>
      <c r="M652" s="2"/>
      <c r="N652" s="2"/>
      <c r="O652" s="4"/>
    </row>
    <row r="653" spans="1:15" x14ac:dyDescent="0.2">
      <c r="A653" s="91" t="s">
        <v>370</v>
      </c>
      <c r="B653" s="91" t="s">
        <v>1059</v>
      </c>
      <c r="C653" s="95">
        <v>43</v>
      </c>
      <c r="D653" s="95">
        <v>75</v>
      </c>
      <c r="E653" s="95">
        <v>118</v>
      </c>
      <c r="F653" s="95">
        <v>1172740</v>
      </c>
      <c r="G653" s="95">
        <v>2754672</v>
      </c>
      <c r="H653" s="95">
        <v>3927411</v>
      </c>
      <c r="I653" s="91" t="s">
        <v>71</v>
      </c>
      <c r="J653" s="91" t="s">
        <v>1121</v>
      </c>
      <c r="K653" s="94">
        <v>755033</v>
      </c>
      <c r="L653" s="91" t="s">
        <v>454</v>
      </c>
      <c r="M653" s="2"/>
      <c r="N653" s="2"/>
      <c r="O653" s="4"/>
    </row>
    <row r="654" spans="1:15" x14ac:dyDescent="0.2">
      <c r="A654" s="91" t="s">
        <v>697</v>
      </c>
      <c r="B654" s="91" t="s">
        <v>866</v>
      </c>
      <c r="C654" s="95">
        <v>58</v>
      </c>
      <c r="D654" s="95">
        <v>84</v>
      </c>
      <c r="E654" s="95">
        <v>142</v>
      </c>
      <c r="F654" s="95">
        <v>2044820</v>
      </c>
      <c r="G654" s="95">
        <v>3245266</v>
      </c>
      <c r="H654" s="95">
        <v>5290086</v>
      </c>
      <c r="I654" s="91" t="s">
        <v>71</v>
      </c>
      <c r="J654" s="91" t="s">
        <v>1121</v>
      </c>
      <c r="K654" s="94">
        <v>755090</v>
      </c>
      <c r="L654" s="91" t="s">
        <v>770</v>
      </c>
      <c r="M654" s="2"/>
      <c r="N654" s="2"/>
      <c r="O654" s="4"/>
    </row>
    <row r="655" spans="1:15" x14ac:dyDescent="0.2">
      <c r="A655" s="91" t="s">
        <v>188</v>
      </c>
      <c r="B655" s="91" t="s">
        <v>253</v>
      </c>
      <c r="C655" s="95">
        <v>298</v>
      </c>
      <c r="D655" s="95">
        <v>324</v>
      </c>
      <c r="E655" s="95">
        <v>622</v>
      </c>
      <c r="F655" s="95">
        <v>11246376</v>
      </c>
      <c r="G655" s="95">
        <v>14812902</v>
      </c>
      <c r="H655" s="95">
        <v>26059278</v>
      </c>
      <c r="I655" s="91" t="s">
        <v>71</v>
      </c>
      <c r="J655" s="91" t="s">
        <v>1122</v>
      </c>
      <c r="K655" s="94">
        <v>756866</v>
      </c>
      <c r="L655" s="91" t="s">
        <v>254</v>
      </c>
      <c r="M655" s="2"/>
      <c r="N655" s="2"/>
      <c r="O655" s="4"/>
    </row>
    <row r="656" spans="1:15" x14ac:dyDescent="0.2">
      <c r="A656" s="91" t="s">
        <v>239</v>
      </c>
      <c r="B656" s="91" t="s">
        <v>793</v>
      </c>
      <c r="C656" s="95">
        <v>185</v>
      </c>
      <c r="D656" s="95">
        <v>291</v>
      </c>
      <c r="E656" s="95">
        <v>476</v>
      </c>
      <c r="F656" s="95">
        <v>6648319</v>
      </c>
      <c r="G656" s="95">
        <v>12224603</v>
      </c>
      <c r="H656" s="95">
        <v>18872923</v>
      </c>
      <c r="I656" s="91" t="s">
        <v>71</v>
      </c>
      <c r="J656" s="91" t="s">
        <v>1121</v>
      </c>
      <c r="K656" s="94">
        <v>757575</v>
      </c>
      <c r="L656" s="91" t="s">
        <v>553</v>
      </c>
      <c r="M656" s="2"/>
      <c r="N656" s="2"/>
      <c r="O656" s="4"/>
    </row>
    <row r="657" spans="1:15" x14ac:dyDescent="0.2">
      <c r="A657" s="91" t="s">
        <v>449</v>
      </c>
      <c r="B657" s="91" t="s">
        <v>1075</v>
      </c>
      <c r="C657" s="95">
        <v>177</v>
      </c>
      <c r="D657" s="95">
        <v>402</v>
      </c>
      <c r="E657" s="95">
        <v>579</v>
      </c>
      <c r="F657" s="95">
        <v>6114329</v>
      </c>
      <c r="G657" s="95">
        <v>18808321</v>
      </c>
      <c r="H657" s="95">
        <v>24922650</v>
      </c>
      <c r="I657" s="91" t="s">
        <v>71</v>
      </c>
      <c r="J657" s="91" t="s">
        <v>1121</v>
      </c>
      <c r="K657" s="94">
        <v>759225</v>
      </c>
      <c r="L657" s="91" t="s">
        <v>763</v>
      </c>
      <c r="M657" s="2"/>
      <c r="N657" s="2"/>
      <c r="O657" s="4"/>
    </row>
    <row r="658" spans="1:15" x14ac:dyDescent="0.2">
      <c r="A658" s="91" t="s">
        <v>188</v>
      </c>
      <c r="B658" s="91" t="s">
        <v>214</v>
      </c>
      <c r="C658" s="95">
        <v>3047</v>
      </c>
      <c r="D658" s="95">
        <v>2119</v>
      </c>
      <c r="E658" s="95">
        <v>5166</v>
      </c>
      <c r="F658" s="95">
        <v>93510211</v>
      </c>
      <c r="G658" s="95">
        <v>70191322</v>
      </c>
      <c r="H658" s="95">
        <v>163701533</v>
      </c>
      <c r="I658" s="91" t="s">
        <v>171</v>
      </c>
      <c r="J658" s="91" t="s">
        <v>1122</v>
      </c>
      <c r="K658" s="94">
        <v>761940</v>
      </c>
      <c r="L658" s="91" t="s">
        <v>200</v>
      </c>
      <c r="M658" s="2"/>
      <c r="N658" s="2"/>
      <c r="O658" s="4"/>
    </row>
    <row r="659" spans="1:15" x14ac:dyDescent="0.2">
      <c r="A659" s="91" t="s">
        <v>383</v>
      </c>
      <c r="B659" s="91" t="s">
        <v>1046</v>
      </c>
      <c r="C659" s="95">
        <v>228</v>
      </c>
      <c r="D659" s="95">
        <v>723</v>
      </c>
      <c r="E659" s="95">
        <v>951</v>
      </c>
      <c r="F659" s="95">
        <v>8638296</v>
      </c>
      <c r="G659" s="95">
        <v>33687672</v>
      </c>
      <c r="H659" s="95">
        <v>42325968</v>
      </c>
      <c r="I659" s="91" t="s">
        <v>171</v>
      </c>
      <c r="J659" s="91" t="s">
        <v>1121</v>
      </c>
      <c r="K659" s="94">
        <v>762823</v>
      </c>
      <c r="L659" s="91" t="s">
        <v>1044</v>
      </c>
      <c r="M659" s="2"/>
      <c r="N659" s="2"/>
      <c r="O659" s="4"/>
    </row>
    <row r="660" spans="1:15" x14ac:dyDescent="0.2">
      <c r="A660" s="91" t="s">
        <v>173</v>
      </c>
      <c r="B660" s="91" t="s">
        <v>558</v>
      </c>
      <c r="C660" s="95">
        <v>7527</v>
      </c>
      <c r="D660" s="95">
        <v>7104</v>
      </c>
      <c r="E660" s="95">
        <v>14631</v>
      </c>
      <c r="F660" s="95">
        <v>419860891</v>
      </c>
      <c r="G660" s="95">
        <v>518106708</v>
      </c>
      <c r="H660" s="95">
        <v>937967599</v>
      </c>
      <c r="I660" s="91" t="s">
        <v>71</v>
      </c>
      <c r="J660" s="91" t="s">
        <v>1118</v>
      </c>
      <c r="K660" s="94">
        <v>762880</v>
      </c>
      <c r="L660" s="91" t="s">
        <v>368</v>
      </c>
      <c r="M660" s="2"/>
      <c r="N660" s="2"/>
      <c r="O660" s="4"/>
    </row>
    <row r="661" spans="1:15" x14ac:dyDescent="0.2">
      <c r="A661" s="91" t="s">
        <v>471</v>
      </c>
      <c r="B661" s="91" t="s">
        <v>1072</v>
      </c>
      <c r="C661" s="95">
        <v>13</v>
      </c>
      <c r="D661" s="95">
        <v>37</v>
      </c>
      <c r="E661" s="95">
        <v>50</v>
      </c>
      <c r="F661" s="95">
        <v>233987</v>
      </c>
      <c r="G661" s="95">
        <v>1204130</v>
      </c>
      <c r="H661" s="95">
        <v>1438116</v>
      </c>
      <c r="I661" s="91" t="s">
        <v>71</v>
      </c>
      <c r="J661" s="91" t="s">
        <v>1121</v>
      </c>
      <c r="K661" s="94">
        <v>763474</v>
      </c>
      <c r="L661" s="91" t="s">
        <v>763</v>
      </c>
      <c r="M661" s="2"/>
      <c r="N661" s="2"/>
      <c r="O661" s="4"/>
    </row>
    <row r="662" spans="1:15" x14ac:dyDescent="0.2">
      <c r="A662" s="91" t="s">
        <v>260</v>
      </c>
      <c r="B662" s="91" t="s">
        <v>689</v>
      </c>
      <c r="C662" s="95">
        <v>830</v>
      </c>
      <c r="D662" s="95">
        <v>969</v>
      </c>
      <c r="E662" s="95">
        <v>1799</v>
      </c>
      <c r="F662" s="95">
        <v>24297295</v>
      </c>
      <c r="G662" s="95">
        <v>35238782</v>
      </c>
      <c r="H662" s="95">
        <v>59536077</v>
      </c>
      <c r="I662" s="91" t="s">
        <v>71</v>
      </c>
      <c r="J662" s="91" t="s">
        <v>1121</v>
      </c>
      <c r="K662" s="94">
        <v>764951</v>
      </c>
      <c r="L662" s="91" t="s">
        <v>235</v>
      </c>
      <c r="M662" s="2"/>
      <c r="N662" s="2"/>
      <c r="O662" s="4"/>
    </row>
    <row r="663" spans="1:15" x14ac:dyDescent="0.2">
      <c r="A663" s="91" t="s">
        <v>331</v>
      </c>
      <c r="B663" s="91" t="s">
        <v>443</v>
      </c>
      <c r="C663" s="95">
        <v>11436</v>
      </c>
      <c r="D663" s="95">
        <v>15027</v>
      </c>
      <c r="E663" s="95">
        <v>26463</v>
      </c>
      <c r="F663" s="95">
        <v>475438870</v>
      </c>
      <c r="G663" s="95">
        <v>767897238</v>
      </c>
      <c r="H663" s="95">
        <v>1243336108</v>
      </c>
      <c r="I663" s="91" t="s">
        <v>171</v>
      </c>
      <c r="J663" s="91" t="s">
        <v>1121</v>
      </c>
      <c r="K663" s="94">
        <v>766667</v>
      </c>
      <c r="L663" s="91" t="s">
        <v>200</v>
      </c>
      <c r="M663" s="2"/>
      <c r="N663" s="2"/>
      <c r="O663" s="4"/>
    </row>
    <row r="664" spans="1:15" x14ac:dyDescent="0.2">
      <c r="A664" s="91" t="s">
        <v>173</v>
      </c>
      <c r="B664" s="91" t="s">
        <v>565</v>
      </c>
      <c r="C664" s="95">
        <v>4069</v>
      </c>
      <c r="D664" s="95">
        <v>4679</v>
      </c>
      <c r="E664" s="95">
        <v>8748</v>
      </c>
      <c r="F664" s="95">
        <v>123923350</v>
      </c>
      <c r="G664" s="95">
        <v>172594464</v>
      </c>
      <c r="H664" s="95">
        <v>296517814</v>
      </c>
      <c r="I664" s="91" t="s">
        <v>71</v>
      </c>
      <c r="J664" s="91" t="s">
        <v>1118</v>
      </c>
      <c r="K664" s="94">
        <v>768317</v>
      </c>
      <c r="L664" s="91" t="s">
        <v>368</v>
      </c>
      <c r="M664" s="2"/>
      <c r="N664" s="2"/>
      <c r="O664" s="4"/>
    </row>
    <row r="665" spans="1:15" x14ac:dyDescent="0.2">
      <c r="A665" s="91" t="s">
        <v>383</v>
      </c>
      <c r="B665" s="91" t="s">
        <v>835</v>
      </c>
      <c r="C665" s="95">
        <v>1340</v>
      </c>
      <c r="D665" s="95">
        <v>2281</v>
      </c>
      <c r="E665" s="95">
        <v>3621</v>
      </c>
      <c r="F665" s="95">
        <v>49937392</v>
      </c>
      <c r="G665" s="95">
        <v>105196410</v>
      </c>
      <c r="H665" s="95">
        <v>155133802</v>
      </c>
      <c r="I665" s="91" t="s">
        <v>71</v>
      </c>
      <c r="J665" s="91" t="s">
        <v>1121</v>
      </c>
      <c r="K665" s="94">
        <v>768499</v>
      </c>
      <c r="L665" s="91" t="s">
        <v>768</v>
      </c>
      <c r="M665" s="2"/>
      <c r="N665" s="2"/>
      <c r="O665" s="4"/>
    </row>
    <row r="666" spans="1:15" x14ac:dyDescent="0.2">
      <c r="A666" s="91" t="s">
        <v>245</v>
      </c>
      <c r="B666" s="91" t="s">
        <v>787</v>
      </c>
      <c r="C666" s="95">
        <v>2968</v>
      </c>
      <c r="D666" s="95">
        <v>2966</v>
      </c>
      <c r="E666" s="95">
        <v>5934</v>
      </c>
      <c r="F666" s="95">
        <v>81216442</v>
      </c>
      <c r="G666" s="95">
        <v>102034966</v>
      </c>
      <c r="H666" s="95">
        <v>183251408</v>
      </c>
      <c r="I666" s="91" t="s">
        <v>71</v>
      </c>
      <c r="J666" s="91" t="s">
        <v>1121</v>
      </c>
      <c r="K666" s="94">
        <v>768556</v>
      </c>
      <c r="L666" s="91" t="s">
        <v>768</v>
      </c>
      <c r="M666" s="2"/>
      <c r="N666" s="2"/>
      <c r="O666" s="4"/>
    </row>
    <row r="667" spans="1:15" x14ac:dyDescent="0.2">
      <c r="A667" s="91" t="s">
        <v>487</v>
      </c>
      <c r="B667" s="91" t="s">
        <v>910</v>
      </c>
      <c r="C667" s="95">
        <v>217</v>
      </c>
      <c r="D667" s="95">
        <v>333</v>
      </c>
      <c r="E667" s="95">
        <v>550</v>
      </c>
      <c r="F667" s="95">
        <v>3589801</v>
      </c>
      <c r="G667" s="95">
        <v>7387931</v>
      </c>
      <c r="H667" s="95">
        <v>10977733</v>
      </c>
      <c r="I667" s="91" t="s">
        <v>71</v>
      </c>
      <c r="J667" s="91" t="s">
        <v>1121</v>
      </c>
      <c r="K667" s="94">
        <v>770263</v>
      </c>
      <c r="L667" s="91" t="s">
        <v>535</v>
      </c>
      <c r="M667" s="2"/>
      <c r="N667" s="2"/>
      <c r="O667" s="4"/>
    </row>
    <row r="668" spans="1:15" x14ac:dyDescent="0.2">
      <c r="A668" s="91" t="s">
        <v>192</v>
      </c>
      <c r="B668" s="91" t="s">
        <v>274</v>
      </c>
      <c r="C668" s="95">
        <v>588</v>
      </c>
      <c r="D668" s="95">
        <v>694</v>
      </c>
      <c r="E668" s="95">
        <v>1282</v>
      </c>
      <c r="F668" s="95">
        <v>28333845</v>
      </c>
      <c r="G668" s="95">
        <v>36986824</v>
      </c>
      <c r="H668" s="95">
        <v>65320669</v>
      </c>
      <c r="I668" s="91" t="s">
        <v>71</v>
      </c>
      <c r="J668" s="91" t="s">
        <v>1122</v>
      </c>
      <c r="K668" s="94">
        <v>770388</v>
      </c>
      <c r="L668" s="91" t="s">
        <v>275</v>
      </c>
      <c r="M668" s="2"/>
      <c r="N668" s="2"/>
      <c r="O668" s="4"/>
    </row>
    <row r="669" spans="1:15" x14ac:dyDescent="0.2">
      <c r="A669" s="91" t="s">
        <v>370</v>
      </c>
      <c r="B669" s="91" t="s">
        <v>633</v>
      </c>
      <c r="C669" s="95">
        <v>10387</v>
      </c>
      <c r="D669" s="95">
        <v>11376</v>
      </c>
      <c r="E669" s="95">
        <v>21763</v>
      </c>
      <c r="F669" s="95">
        <v>358234814</v>
      </c>
      <c r="G669" s="95">
        <v>478793571</v>
      </c>
      <c r="H669" s="95">
        <v>837028385</v>
      </c>
      <c r="I669" s="91" t="s">
        <v>171</v>
      </c>
      <c r="J669" s="91" t="s">
        <v>1121</v>
      </c>
      <c r="K669" s="94">
        <v>771030</v>
      </c>
      <c r="L669" s="91" t="s">
        <v>233</v>
      </c>
      <c r="M669" s="2"/>
      <c r="N669" s="2"/>
      <c r="O669" s="4"/>
    </row>
    <row r="670" spans="1:15" x14ac:dyDescent="0.2">
      <c r="A670" s="91" t="s">
        <v>413</v>
      </c>
      <c r="B670" s="91" t="s">
        <v>1014</v>
      </c>
      <c r="C670" s="95">
        <v>34</v>
      </c>
      <c r="D670" s="95">
        <v>66</v>
      </c>
      <c r="E670" s="95">
        <v>100</v>
      </c>
      <c r="F670" s="95">
        <v>920472</v>
      </c>
      <c r="G670" s="95">
        <v>1571793</v>
      </c>
      <c r="H670" s="95">
        <v>2492265</v>
      </c>
      <c r="I670" s="91" t="s">
        <v>71</v>
      </c>
      <c r="J670" s="91" t="s">
        <v>1121</v>
      </c>
      <c r="K670" s="94">
        <v>772038</v>
      </c>
      <c r="L670" s="91" t="s">
        <v>586</v>
      </c>
      <c r="M670" s="2"/>
      <c r="N670" s="2"/>
      <c r="O670" s="4"/>
    </row>
    <row r="671" spans="1:15" x14ac:dyDescent="0.2">
      <c r="A671" s="91" t="s">
        <v>260</v>
      </c>
      <c r="B671" s="91" t="s">
        <v>902</v>
      </c>
      <c r="C671" s="95">
        <v>40</v>
      </c>
      <c r="D671" s="95">
        <v>62</v>
      </c>
      <c r="E671" s="95">
        <v>102</v>
      </c>
      <c r="F671" s="95">
        <v>1052816</v>
      </c>
      <c r="G671" s="95">
        <v>2178006</v>
      </c>
      <c r="H671" s="95">
        <v>3230822</v>
      </c>
      <c r="I671" s="91" t="s">
        <v>71</v>
      </c>
      <c r="J671" s="91" t="s">
        <v>1121</v>
      </c>
      <c r="K671" s="94">
        <v>773861</v>
      </c>
      <c r="L671" s="91" t="s">
        <v>495</v>
      </c>
      <c r="M671" s="2"/>
      <c r="N671" s="2"/>
      <c r="O671" s="4"/>
    </row>
    <row r="672" spans="1:15" x14ac:dyDescent="0.2">
      <c r="A672" s="91" t="s">
        <v>179</v>
      </c>
      <c r="B672" s="91" t="s">
        <v>337</v>
      </c>
      <c r="C672" s="95">
        <v>9548</v>
      </c>
      <c r="D672" s="95">
        <v>9068</v>
      </c>
      <c r="E672" s="95">
        <v>18616</v>
      </c>
      <c r="F672" s="95">
        <v>810702672</v>
      </c>
      <c r="G672" s="95">
        <v>935039854</v>
      </c>
      <c r="H672" s="95">
        <v>1745742525</v>
      </c>
      <c r="I672" s="91" t="s">
        <v>171</v>
      </c>
      <c r="J672" s="91" t="s">
        <v>1115</v>
      </c>
      <c r="K672" s="94">
        <v>778944</v>
      </c>
      <c r="L672" s="91" t="s">
        <v>203</v>
      </c>
      <c r="M672" s="2"/>
      <c r="N672" s="2"/>
      <c r="O672" s="4"/>
    </row>
    <row r="673" spans="1:15" x14ac:dyDescent="0.2">
      <c r="A673" s="91" t="s">
        <v>413</v>
      </c>
      <c r="B673" s="91" t="s">
        <v>907</v>
      </c>
      <c r="C673" s="95">
        <v>664</v>
      </c>
      <c r="D673" s="95">
        <v>909</v>
      </c>
      <c r="E673" s="95">
        <v>1573</v>
      </c>
      <c r="F673" s="95">
        <v>17266058</v>
      </c>
      <c r="G673" s="95">
        <v>28113579</v>
      </c>
      <c r="H673" s="95">
        <v>45379637</v>
      </c>
      <c r="I673" s="91" t="s">
        <v>71</v>
      </c>
      <c r="J673" s="91" t="s">
        <v>1121</v>
      </c>
      <c r="K673" s="94">
        <v>779538</v>
      </c>
      <c r="L673" s="91" t="s">
        <v>535</v>
      </c>
      <c r="M673" s="2"/>
      <c r="N673" s="2"/>
      <c r="O673" s="4"/>
    </row>
    <row r="674" spans="1:15" x14ac:dyDescent="0.2">
      <c r="A674" s="91" t="s">
        <v>383</v>
      </c>
      <c r="B674" s="91" t="s">
        <v>684</v>
      </c>
      <c r="C674" s="95">
        <v>519</v>
      </c>
      <c r="D674" s="95">
        <v>930</v>
      </c>
      <c r="E674" s="95">
        <v>1449</v>
      </c>
      <c r="F674" s="95">
        <v>22694159</v>
      </c>
      <c r="G674" s="95">
        <v>48462596</v>
      </c>
      <c r="H674" s="95">
        <v>71156755</v>
      </c>
      <c r="I674" s="91" t="s">
        <v>71</v>
      </c>
      <c r="J674" s="91" t="s">
        <v>1121</v>
      </c>
      <c r="K674" s="94">
        <v>780007</v>
      </c>
      <c r="L674" s="91" t="s">
        <v>616</v>
      </c>
      <c r="M674" s="2"/>
      <c r="N674" s="2"/>
      <c r="O674" s="4"/>
    </row>
    <row r="675" spans="1:15" x14ac:dyDescent="0.2">
      <c r="A675" s="91" t="s">
        <v>182</v>
      </c>
      <c r="B675" s="91" t="s">
        <v>61</v>
      </c>
      <c r="C675" s="95">
        <v>69230</v>
      </c>
      <c r="D675" s="95">
        <v>53782</v>
      </c>
      <c r="E675" s="95">
        <v>123012</v>
      </c>
      <c r="F675" s="95">
        <v>8042430885</v>
      </c>
      <c r="G675" s="95">
        <v>7416909072</v>
      </c>
      <c r="H675" s="95">
        <v>15459339958</v>
      </c>
      <c r="I675" s="91" t="s">
        <v>171</v>
      </c>
      <c r="J675" s="91" t="s">
        <v>1115</v>
      </c>
      <c r="K675" s="94">
        <v>783720</v>
      </c>
      <c r="L675" s="91" t="s">
        <v>200</v>
      </c>
      <c r="M675" s="2"/>
      <c r="N675" s="2"/>
      <c r="O675" s="4"/>
    </row>
    <row r="676" spans="1:15" x14ac:dyDescent="0.2">
      <c r="A676" s="91" t="s">
        <v>265</v>
      </c>
      <c r="B676" s="91" t="s">
        <v>62</v>
      </c>
      <c r="C676" s="95">
        <v>83014</v>
      </c>
      <c r="D676" s="95">
        <v>70284</v>
      </c>
      <c r="E676" s="95">
        <v>153298</v>
      </c>
      <c r="F676" s="95">
        <v>5216800242</v>
      </c>
      <c r="G676" s="95">
        <v>5383334220</v>
      </c>
      <c r="H676" s="95">
        <v>10600134462</v>
      </c>
      <c r="I676" s="91" t="s">
        <v>171</v>
      </c>
      <c r="J676" s="91" t="s">
        <v>1121</v>
      </c>
      <c r="K676" s="94">
        <v>785022</v>
      </c>
      <c r="L676" s="91" t="s">
        <v>200</v>
      </c>
      <c r="M676" s="2"/>
      <c r="N676" s="2"/>
      <c r="O676" s="4"/>
    </row>
    <row r="677" spans="1:15" x14ac:dyDescent="0.2">
      <c r="A677" s="91" t="s">
        <v>410</v>
      </c>
      <c r="B677" s="91" t="s">
        <v>934</v>
      </c>
      <c r="C677" s="95">
        <v>586</v>
      </c>
      <c r="D677" s="95">
        <v>761</v>
      </c>
      <c r="E677" s="95">
        <v>1347</v>
      </c>
      <c r="F677" s="95">
        <v>19996738</v>
      </c>
      <c r="G677" s="95">
        <v>30006147</v>
      </c>
      <c r="H677" s="95">
        <v>50002884</v>
      </c>
      <c r="I677" s="91" t="s">
        <v>71</v>
      </c>
      <c r="J677" s="91" t="s">
        <v>1121</v>
      </c>
      <c r="K677" s="94">
        <v>785493</v>
      </c>
      <c r="L677" s="91" t="s">
        <v>930</v>
      </c>
      <c r="M677" s="2"/>
      <c r="N677" s="2"/>
      <c r="O677" s="4"/>
    </row>
    <row r="678" spans="1:15" x14ac:dyDescent="0.2">
      <c r="A678" s="91" t="s">
        <v>315</v>
      </c>
      <c r="B678" s="91" t="s">
        <v>734</v>
      </c>
      <c r="C678" s="95">
        <v>16353</v>
      </c>
      <c r="D678" s="95">
        <v>17602</v>
      </c>
      <c r="E678" s="95">
        <v>33955</v>
      </c>
      <c r="F678" s="95">
        <v>439349767</v>
      </c>
      <c r="G678" s="95">
        <v>582028290</v>
      </c>
      <c r="H678" s="95">
        <v>1021378057</v>
      </c>
      <c r="I678" s="91" t="s">
        <v>171</v>
      </c>
      <c r="J678" s="91" t="s">
        <v>1121</v>
      </c>
      <c r="K678" s="94">
        <v>785618</v>
      </c>
      <c r="L678" s="91" t="s">
        <v>194</v>
      </c>
      <c r="M678" s="2"/>
      <c r="N678" s="2"/>
      <c r="O678" s="4"/>
    </row>
    <row r="679" spans="1:15" x14ac:dyDescent="0.2">
      <c r="A679" s="91" t="s">
        <v>212</v>
      </c>
      <c r="B679" s="91" t="s">
        <v>359</v>
      </c>
      <c r="C679" s="95">
        <v>232</v>
      </c>
      <c r="D679" s="95">
        <v>206</v>
      </c>
      <c r="E679" s="95">
        <v>438</v>
      </c>
      <c r="F679" s="95">
        <v>9913572</v>
      </c>
      <c r="G679" s="95">
        <v>11721346</v>
      </c>
      <c r="H679" s="95">
        <v>21634919</v>
      </c>
      <c r="I679" s="91" t="s">
        <v>71</v>
      </c>
      <c r="J679" s="91" t="s">
        <v>1121</v>
      </c>
      <c r="K679" s="94">
        <v>785907</v>
      </c>
      <c r="L679" s="91" t="s">
        <v>178</v>
      </c>
      <c r="M679" s="2"/>
      <c r="N679" s="2"/>
      <c r="O679" s="4"/>
    </row>
    <row r="680" spans="1:15" x14ac:dyDescent="0.2">
      <c r="A680" s="91" t="s">
        <v>229</v>
      </c>
      <c r="B680" s="91" t="s">
        <v>228</v>
      </c>
      <c r="C680" s="95">
        <v>1093</v>
      </c>
      <c r="D680" s="95">
        <v>1056</v>
      </c>
      <c r="E680" s="95">
        <v>2149</v>
      </c>
      <c r="F680" s="95">
        <v>30170810</v>
      </c>
      <c r="G680" s="95">
        <v>36857992</v>
      </c>
      <c r="H680" s="95">
        <v>67028802</v>
      </c>
      <c r="I680" s="91" t="s">
        <v>171</v>
      </c>
      <c r="J680" s="91" t="s">
        <v>1122</v>
      </c>
      <c r="K680" s="94">
        <v>787382</v>
      </c>
      <c r="L680" s="91" t="s">
        <v>194</v>
      </c>
      <c r="M680" s="2"/>
      <c r="N680" s="2"/>
      <c r="O680" s="4"/>
    </row>
    <row r="681" spans="1:15" x14ac:dyDescent="0.2">
      <c r="A681" s="91" t="s">
        <v>413</v>
      </c>
      <c r="B681" s="91" t="s">
        <v>1001</v>
      </c>
      <c r="C681" s="95">
        <v>79</v>
      </c>
      <c r="D681" s="95">
        <v>154</v>
      </c>
      <c r="E681" s="95">
        <v>233</v>
      </c>
      <c r="F681" s="95">
        <v>2237404</v>
      </c>
      <c r="G681" s="95">
        <v>6117085</v>
      </c>
      <c r="H681" s="95">
        <v>8354489</v>
      </c>
      <c r="I681" s="91" t="s">
        <v>71</v>
      </c>
      <c r="J681" s="91" t="s">
        <v>1121</v>
      </c>
      <c r="K681" s="94">
        <v>789032</v>
      </c>
      <c r="L681" s="91" t="s">
        <v>1002</v>
      </c>
      <c r="M681" s="2"/>
      <c r="N681" s="2"/>
      <c r="O681" s="4"/>
    </row>
    <row r="682" spans="1:15" x14ac:dyDescent="0.2">
      <c r="A682" s="91" t="s">
        <v>264</v>
      </c>
      <c r="B682" s="91" t="s">
        <v>283</v>
      </c>
      <c r="C682" s="95">
        <v>45866</v>
      </c>
      <c r="D682" s="95">
        <v>43066</v>
      </c>
      <c r="E682" s="95">
        <v>88932</v>
      </c>
      <c r="F682" s="95">
        <v>1917874232</v>
      </c>
      <c r="G682" s="95">
        <v>2241148944</v>
      </c>
      <c r="H682" s="95">
        <v>4159023177</v>
      </c>
      <c r="I682" s="91" t="s">
        <v>171</v>
      </c>
      <c r="J682" s="91" t="s">
        <v>1121</v>
      </c>
      <c r="K682" s="94">
        <v>789271</v>
      </c>
      <c r="L682" s="91" t="s">
        <v>200</v>
      </c>
      <c r="M682" s="2"/>
      <c r="N682" s="2"/>
      <c r="O682" s="4"/>
    </row>
    <row r="683" spans="1:15" x14ac:dyDescent="0.2">
      <c r="A683" s="91" t="s">
        <v>379</v>
      </c>
      <c r="B683" s="91" t="s">
        <v>1012</v>
      </c>
      <c r="C683" s="95">
        <v>6</v>
      </c>
      <c r="D683" s="95">
        <v>14</v>
      </c>
      <c r="E683" s="95">
        <v>20</v>
      </c>
      <c r="F683" s="95">
        <v>198896</v>
      </c>
      <c r="G683" s="95">
        <v>379072</v>
      </c>
      <c r="H683" s="95">
        <v>577968</v>
      </c>
      <c r="I683" s="91" t="s">
        <v>71</v>
      </c>
      <c r="J683" s="91" t="s">
        <v>1121</v>
      </c>
      <c r="K683" s="94">
        <v>789560</v>
      </c>
      <c r="L683" s="91" t="s">
        <v>1152</v>
      </c>
      <c r="M683" s="2"/>
      <c r="N683" s="2"/>
      <c r="O683" s="4"/>
    </row>
    <row r="684" spans="1:15" x14ac:dyDescent="0.2">
      <c r="A684" s="91" t="s">
        <v>264</v>
      </c>
      <c r="B684" s="91" t="s">
        <v>1149</v>
      </c>
      <c r="C684" s="95">
        <v>76</v>
      </c>
      <c r="D684" s="95">
        <v>137</v>
      </c>
      <c r="E684" s="95">
        <v>213</v>
      </c>
      <c r="F684" s="95">
        <v>2680464</v>
      </c>
      <c r="G684" s="95">
        <v>6348247</v>
      </c>
      <c r="H684" s="95">
        <v>9028711</v>
      </c>
      <c r="I684" s="91" t="s">
        <v>71</v>
      </c>
      <c r="J684" s="91" t="s">
        <v>1121</v>
      </c>
      <c r="K684" s="94">
        <v>792697</v>
      </c>
      <c r="L684" s="91" t="s">
        <v>254</v>
      </c>
      <c r="M684" s="2"/>
      <c r="N684" s="2"/>
      <c r="O684" s="4"/>
    </row>
    <row r="685" spans="1:15" x14ac:dyDescent="0.2">
      <c r="A685" s="91" t="s">
        <v>223</v>
      </c>
      <c r="B685" s="91" t="s">
        <v>717</v>
      </c>
      <c r="C685" s="95">
        <v>618</v>
      </c>
      <c r="D685" s="95">
        <v>992</v>
      </c>
      <c r="E685" s="95">
        <v>1610</v>
      </c>
      <c r="F685" s="95">
        <v>24062047</v>
      </c>
      <c r="G685" s="95">
        <v>45676639</v>
      </c>
      <c r="H685" s="95">
        <v>69738686</v>
      </c>
      <c r="I685" s="91" t="s">
        <v>71</v>
      </c>
      <c r="J685" s="91" t="s">
        <v>1122</v>
      </c>
      <c r="K685" s="94">
        <v>793406</v>
      </c>
      <c r="L685" s="91" t="s">
        <v>553</v>
      </c>
      <c r="M685" s="2"/>
      <c r="N685" s="2"/>
      <c r="O685" s="4"/>
    </row>
    <row r="686" spans="1:15" x14ac:dyDescent="0.2">
      <c r="A686" s="91" t="s">
        <v>173</v>
      </c>
      <c r="B686" s="91" t="s">
        <v>723</v>
      </c>
      <c r="C686" s="95">
        <v>902</v>
      </c>
      <c r="D686" s="95">
        <v>951</v>
      </c>
      <c r="E686" s="95">
        <v>1853</v>
      </c>
      <c r="F686" s="95">
        <v>24239254</v>
      </c>
      <c r="G686" s="95">
        <v>30358487</v>
      </c>
      <c r="H686" s="95">
        <v>54597741</v>
      </c>
      <c r="I686" s="91" t="s">
        <v>71</v>
      </c>
      <c r="J686" s="91" t="s">
        <v>1118</v>
      </c>
      <c r="K686" s="94">
        <v>794115</v>
      </c>
      <c r="L686" s="91" t="s">
        <v>535</v>
      </c>
      <c r="M686" s="2"/>
      <c r="N686" s="2"/>
      <c r="O686" s="4"/>
    </row>
    <row r="687" spans="1:15" x14ac:dyDescent="0.2">
      <c r="A687" s="91" t="s">
        <v>310</v>
      </c>
      <c r="B687" s="91" t="s">
        <v>1071</v>
      </c>
      <c r="C687" s="95">
        <v>1105</v>
      </c>
      <c r="D687" s="95">
        <v>1928</v>
      </c>
      <c r="E687" s="95">
        <v>3033</v>
      </c>
      <c r="F687" s="95">
        <v>37586878</v>
      </c>
      <c r="G687" s="95">
        <v>81936840</v>
      </c>
      <c r="H687" s="95">
        <v>119523718</v>
      </c>
      <c r="I687" s="91" t="s">
        <v>71</v>
      </c>
      <c r="J687" s="91" t="s">
        <v>1121</v>
      </c>
      <c r="K687" s="94">
        <v>795054</v>
      </c>
      <c r="L687" s="91" t="s">
        <v>763</v>
      </c>
      <c r="M687" s="2"/>
      <c r="N687" s="2"/>
      <c r="O687" s="4"/>
    </row>
    <row r="688" spans="1:15" x14ac:dyDescent="0.2">
      <c r="A688" s="91" t="s">
        <v>212</v>
      </c>
      <c r="B688" s="91" t="s">
        <v>268</v>
      </c>
      <c r="C688" s="95">
        <v>12381</v>
      </c>
      <c r="D688" s="95">
        <v>8928</v>
      </c>
      <c r="E688" s="95">
        <v>21309</v>
      </c>
      <c r="F688" s="95">
        <v>492664048</v>
      </c>
      <c r="G688" s="95">
        <v>403803550</v>
      </c>
      <c r="H688" s="95">
        <v>896467599</v>
      </c>
      <c r="I688" s="91" t="s">
        <v>171</v>
      </c>
      <c r="J688" s="91" t="s">
        <v>1121</v>
      </c>
      <c r="K688" s="94">
        <v>797779</v>
      </c>
      <c r="L688" s="91" t="s">
        <v>200</v>
      </c>
      <c r="M688" s="2"/>
      <c r="N688" s="2"/>
      <c r="O688" s="4"/>
    </row>
    <row r="689" spans="1:15" x14ac:dyDescent="0.2">
      <c r="A689" s="91" t="s">
        <v>223</v>
      </c>
      <c r="B689" s="91" t="s">
        <v>974</v>
      </c>
      <c r="C689" s="95">
        <v>7</v>
      </c>
      <c r="D689" s="95">
        <v>8</v>
      </c>
      <c r="E689" s="95">
        <v>15</v>
      </c>
      <c r="F689" s="95">
        <v>124809</v>
      </c>
      <c r="G689" s="95">
        <v>272173</v>
      </c>
      <c r="H689" s="95">
        <v>396982</v>
      </c>
      <c r="I689" s="91" t="s">
        <v>71</v>
      </c>
      <c r="J689" s="91" t="s">
        <v>1122</v>
      </c>
      <c r="K689" s="94">
        <v>799304</v>
      </c>
      <c r="L689" s="91" t="s">
        <v>763</v>
      </c>
      <c r="M689" s="2"/>
      <c r="N689" s="2"/>
      <c r="O689" s="4"/>
    </row>
    <row r="690" spans="1:15" x14ac:dyDescent="0.2">
      <c r="A690" s="91" t="s">
        <v>212</v>
      </c>
      <c r="B690" s="91" t="s">
        <v>795</v>
      </c>
      <c r="C690" s="95">
        <v>245</v>
      </c>
      <c r="D690" s="95">
        <v>360</v>
      </c>
      <c r="E690" s="95">
        <v>605</v>
      </c>
      <c r="F690" s="95">
        <v>8432867</v>
      </c>
      <c r="G690" s="95">
        <v>15367362</v>
      </c>
      <c r="H690" s="95">
        <v>23800229</v>
      </c>
      <c r="I690" s="91" t="s">
        <v>71</v>
      </c>
      <c r="J690" s="91" t="s">
        <v>1121</v>
      </c>
      <c r="K690" s="94">
        <v>800664</v>
      </c>
      <c r="L690" s="91" t="s">
        <v>777</v>
      </c>
      <c r="M690" s="2"/>
      <c r="N690" s="2"/>
      <c r="O690" s="4"/>
    </row>
    <row r="691" spans="1:15" x14ac:dyDescent="0.2">
      <c r="A691" s="91" t="s">
        <v>379</v>
      </c>
      <c r="B691" s="91" t="s">
        <v>646</v>
      </c>
      <c r="C691" s="95">
        <v>7</v>
      </c>
      <c r="D691" s="95">
        <v>14</v>
      </c>
      <c r="E691" s="95">
        <v>21</v>
      </c>
      <c r="F691" s="95">
        <v>395708</v>
      </c>
      <c r="G691" s="95">
        <v>613579</v>
      </c>
      <c r="H691" s="95">
        <v>1009287</v>
      </c>
      <c r="I691" s="91" t="s">
        <v>171</v>
      </c>
      <c r="J691" s="91" t="s">
        <v>1121</v>
      </c>
      <c r="K691" s="94">
        <v>802900</v>
      </c>
      <c r="L691" s="91" t="s">
        <v>277</v>
      </c>
      <c r="M691" s="2"/>
      <c r="N691" s="2"/>
      <c r="O691" s="4"/>
    </row>
    <row r="692" spans="1:15" x14ac:dyDescent="0.2">
      <c r="A692" s="91" t="s">
        <v>245</v>
      </c>
      <c r="B692" s="91" t="s">
        <v>788</v>
      </c>
      <c r="C692" s="95">
        <v>347</v>
      </c>
      <c r="D692" s="95">
        <v>525</v>
      </c>
      <c r="E692" s="95">
        <v>872</v>
      </c>
      <c r="F692" s="95">
        <v>11553498</v>
      </c>
      <c r="G692" s="95">
        <v>21620826</v>
      </c>
      <c r="H692" s="95">
        <v>33174325</v>
      </c>
      <c r="I692" s="91" t="s">
        <v>71</v>
      </c>
      <c r="J692" s="91" t="s">
        <v>1121</v>
      </c>
      <c r="K692" s="94">
        <v>804385</v>
      </c>
      <c r="L692" s="91" t="s">
        <v>768</v>
      </c>
      <c r="M692" s="2"/>
      <c r="N692" s="2"/>
      <c r="O692" s="4"/>
    </row>
    <row r="693" spans="1:15" x14ac:dyDescent="0.2">
      <c r="A693" s="91" t="s">
        <v>383</v>
      </c>
      <c r="B693" s="91" t="s">
        <v>909</v>
      </c>
      <c r="C693" s="95">
        <v>267</v>
      </c>
      <c r="D693" s="95">
        <v>581</v>
      </c>
      <c r="E693" s="95">
        <v>848</v>
      </c>
      <c r="F693" s="95">
        <v>4938546</v>
      </c>
      <c r="G693" s="95">
        <v>15335918</v>
      </c>
      <c r="H693" s="95">
        <v>20274464</v>
      </c>
      <c r="I693" s="91" t="s">
        <v>71</v>
      </c>
      <c r="J693" s="91" t="s">
        <v>1121</v>
      </c>
      <c r="K693" s="94">
        <v>806091</v>
      </c>
      <c r="L693" s="91" t="s">
        <v>535</v>
      </c>
      <c r="M693" s="2"/>
      <c r="N693" s="2"/>
      <c r="O693" s="4"/>
    </row>
    <row r="694" spans="1:15" x14ac:dyDescent="0.2">
      <c r="A694" s="91" t="s">
        <v>264</v>
      </c>
      <c r="B694" s="91" t="s">
        <v>632</v>
      </c>
      <c r="C694" s="95">
        <v>5532</v>
      </c>
      <c r="D694" s="95">
        <v>6171</v>
      </c>
      <c r="E694" s="95">
        <v>11703</v>
      </c>
      <c r="F694" s="95">
        <v>221632361</v>
      </c>
      <c r="G694" s="95">
        <v>306029705</v>
      </c>
      <c r="H694" s="95">
        <v>527662066</v>
      </c>
      <c r="I694" s="91" t="s">
        <v>171</v>
      </c>
      <c r="J694" s="91" t="s">
        <v>1121</v>
      </c>
      <c r="K694" s="94">
        <v>806869</v>
      </c>
      <c r="L694" s="91" t="s">
        <v>233</v>
      </c>
      <c r="M694" s="2"/>
      <c r="N694" s="2"/>
      <c r="O694" s="4"/>
    </row>
    <row r="695" spans="1:15" x14ac:dyDescent="0.2">
      <c r="A695" s="91" t="s">
        <v>188</v>
      </c>
      <c r="B695" s="91" t="s">
        <v>258</v>
      </c>
      <c r="C695" s="95">
        <v>2040</v>
      </c>
      <c r="D695" s="95">
        <v>1865</v>
      </c>
      <c r="E695" s="95">
        <v>3905</v>
      </c>
      <c r="F695" s="95">
        <v>66744001</v>
      </c>
      <c r="G695" s="95">
        <v>82019625</v>
      </c>
      <c r="H695" s="95">
        <v>148763626</v>
      </c>
      <c r="I695" s="91" t="s">
        <v>171</v>
      </c>
      <c r="J695" s="91" t="s">
        <v>1122</v>
      </c>
      <c r="K695" s="94">
        <v>807453</v>
      </c>
      <c r="L695" s="91" t="s">
        <v>249</v>
      </c>
      <c r="M695" s="2"/>
      <c r="N695" s="2"/>
      <c r="O695" s="4"/>
    </row>
    <row r="696" spans="1:15" x14ac:dyDescent="0.2">
      <c r="A696" s="91" t="s">
        <v>379</v>
      </c>
      <c r="B696" s="91" t="s">
        <v>807</v>
      </c>
      <c r="C696" s="95">
        <v>387</v>
      </c>
      <c r="D696" s="95">
        <v>242</v>
      </c>
      <c r="E696" s="95">
        <v>629</v>
      </c>
      <c r="F696" s="95">
        <v>6641554</v>
      </c>
      <c r="G696" s="95">
        <v>5466047</v>
      </c>
      <c r="H696" s="95">
        <v>12107600</v>
      </c>
      <c r="I696" s="91" t="s">
        <v>71</v>
      </c>
      <c r="J696" s="91" t="s">
        <v>1121</v>
      </c>
      <c r="K696" s="94">
        <v>807867</v>
      </c>
      <c r="L696" s="91" t="s">
        <v>535</v>
      </c>
      <c r="M696" s="2"/>
      <c r="N696" s="2"/>
      <c r="O696" s="4"/>
    </row>
    <row r="697" spans="1:15" x14ac:dyDescent="0.2">
      <c r="A697" s="91" t="s">
        <v>223</v>
      </c>
      <c r="B697" s="91" t="s">
        <v>757</v>
      </c>
      <c r="C697" s="95">
        <v>76</v>
      </c>
      <c r="D697" s="95">
        <v>120</v>
      </c>
      <c r="E697" s="95">
        <v>196</v>
      </c>
      <c r="F697" s="95">
        <v>1545297</v>
      </c>
      <c r="G697" s="95">
        <v>3199945</v>
      </c>
      <c r="H697" s="95">
        <v>4745242</v>
      </c>
      <c r="I697" s="91" t="s">
        <v>71</v>
      </c>
      <c r="J697" s="91" t="s">
        <v>1122</v>
      </c>
      <c r="K697" s="94">
        <v>808634</v>
      </c>
      <c r="L697" s="91" t="s">
        <v>1133</v>
      </c>
      <c r="M697" s="2"/>
      <c r="N697" s="2"/>
      <c r="O697" s="4"/>
    </row>
    <row r="698" spans="1:15" x14ac:dyDescent="0.2">
      <c r="A698" s="91" t="s">
        <v>383</v>
      </c>
      <c r="B698" s="91" t="s">
        <v>687</v>
      </c>
      <c r="C698" s="95">
        <v>3</v>
      </c>
      <c r="D698" s="95">
        <v>11</v>
      </c>
      <c r="E698" s="95">
        <v>14</v>
      </c>
      <c r="F698" s="95">
        <v>108572</v>
      </c>
      <c r="G698" s="95">
        <v>644690</v>
      </c>
      <c r="H698" s="95">
        <v>753262</v>
      </c>
      <c r="I698" s="91" t="s">
        <v>71</v>
      </c>
      <c r="J698" s="91" t="s">
        <v>1121</v>
      </c>
      <c r="K698" s="94">
        <v>809699</v>
      </c>
      <c r="L698" s="91" t="s">
        <v>495</v>
      </c>
      <c r="M698" s="2"/>
      <c r="N698" s="2"/>
      <c r="O698" s="4"/>
    </row>
    <row r="699" spans="1:15" x14ac:dyDescent="0.2">
      <c r="A699" s="91" t="s">
        <v>260</v>
      </c>
      <c r="B699" s="91" t="s">
        <v>771</v>
      </c>
      <c r="C699" s="95">
        <v>20</v>
      </c>
      <c r="D699" s="95">
        <v>23</v>
      </c>
      <c r="E699" s="95">
        <v>43</v>
      </c>
      <c r="F699" s="95">
        <v>424635</v>
      </c>
      <c r="G699" s="95">
        <v>626835</v>
      </c>
      <c r="H699" s="95">
        <v>1051470</v>
      </c>
      <c r="I699" s="91" t="s">
        <v>71</v>
      </c>
      <c r="J699" s="91" t="s">
        <v>1121</v>
      </c>
      <c r="K699" s="94">
        <v>810465</v>
      </c>
      <c r="L699" s="91" t="s">
        <v>454</v>
      </c>
      <c r="M699" s="2"/>
      <c r="N699" s="2"/>
      <c r="O699" s="4"/>
    </row>
    <row r="700" spans="1:15" x14ac:dyDescent="0.2">
      <c r="A700" s="91" t="s">
        <v>410</v>
      </c>
      <c r="B700" s="91" t="s">
        <v>523</v>
      </c>
      <c r="C700" s="95">
        <v>5204</v>
      </c>
      <c r="D700" s="95">
        <v>4834</v>
      </c>
      <c r="E700" s="95">
        <v>10038</v>
      </c>
      <c r="F700" s="95">
        <v>216764182</v>
      </c>
      <c r="G700" s="95">
        <v>238809390</v>
      </c>
      <c r="H700" s="95">
        <v>455573572</v>
      </c>
      <c r="I700" s="91" t="s">
        <v>171</v>
      </c>
      <c r="J700" s="91" t="s">
        <v>1121</v>
      </c>
      <c r="K700" s="94">
        <v>811117</v>
      </c>
      <c r="L700" s="91" t="s">
        <v>231</v>
      </c>
      <c r="M700" s="2"/>
      <c r="N700" s="2"/>
      <c r="O700" s="4"/>
    </row>
    <row r="701" spans="1:15" x14ac:dyDescent="0.2">
      <c r="A701" s="91" t="s">
        <v>179</v>
      </c>
      <c r="B701" s="91" t="s">
        <v>336</v>
      </c>
      <c r="C701" s="95">
        <v>12307</v>
      </c>
      <c r="D701" s="95">
        <v>11884</v>
      </c>
      <c r="E701" s="95">
        <v>24191</v>
      </c>
      <c r="F701" s="95">
        <v>777344142</v>
      </c>
      <c r="G701" s="95">
        <v>887701936</v>
      </c>
      <c r="H701" s="95">
        <v>1665046078</v>
      </c>
      <c r="I701" s="91" t="s">
        <v>171</v>
      </c>
      <c r="J701" s="91" t="s">
        <v>1115</v>
      </c>
      <c r="K701" s="94">
        <v>814772</v>
      </c>
      <c r="L701" s="91" t="s">
        <v>203</v>
      </c>
      <c r="M701" s="2"/>
      <c r="N701" s="2"/>
      <c r="O701" s="4"/>
    </row>
    <row r="702" spans="1:15" x14ac:dyDescent="0.2">
      <c r="A702" s="91" t="s">
        <v>404</v>
      </c>
      <c r="B702" s="91" t="s">
        <v>566</v>
      </c>
      <c r="C702" s="95">
        <v>63</v>
      </c>
      <c r="D702" s="95">
        <v>97</v>
      </c>
      <c r="E702" s="95">
        <v>160</v>
      </c>
      <c r="F702" s="95">
        <v>1884248</v>
      </c>
      <c r="G702" s="95">
        <v>3500224</v>
      </c>
      <c r="H702" s="95">
        <v>5384472</v>
      </c>
      <c r="I702" s="91" t="s">
        <v>171</v>
      </c>
      <c r="J702" s="91" t="s">
        <v>1121</v>
      </c>
      <c r="K702" s="94">
        <v>815712</v>
      </c>
      <c r="L702" s="91" t="s">
        <v>567</v>
      </c>
      <c r="M702" s="2"/>
      <c r="N702" s="2"/>
      <c r="O702" s="4"/>
    </row>
    <row r="703" spans="1:15" x14ac:dyDescent="0.2">
      <c r="A703" s="91" t="s">
        <v>245</v>
      </c>
      <c r="B703" s="91" t="s">
        <v>648</v>
      </c>
      <c r="C703" s="95">
        <v>465</v>
      </c>
      <c r="D703" s="95">
        <v>628</v>
      </c>
      <c r="E703" s="95">
        <v>1093</v>
      </c>
      <c r="F703" s="95">
        <v>20056764</v>
      </c>
      <c r="G703" s="95">
        <v>36181304</v>
      </c>
      <c r="H703" s="95">
        <v>56238068</v>
      </c>
      <c r="I703" s="91" t="s">
        <v>71</v>
      </c>
      <c r="J703" s="91" t="s">
        <v>1121</v>
      </c>
      <c r="K703" s="94">
        <v>815837</v>
      </c>
      <c r="L703" s="91" t="s">
        <v>616</v>
      </c>
      <c r="M703" s="2"/>
      <c r="N703" s="2"/>
      <c r="O703" s="4"/>
    </row>
    <row r="704" spans="1:15" x14ac:dyDescent="0.2">
      <c r="A704" s="91" t="s">
        <v>192</v>
      </c>
      <c r="B704" s="91" t="s">
        <v>255</v>
      </c>
      <c r="C704" s="95">
        <v>249</v>
      </c>
      <c r="D704" s="95">
        <v>253</v>
      </c>
      <c r="E704" s="95">
        <v>502</v>
      </c>
      <c r="F704" s="95">
        <v>8639110</v>
      </c>
      <c r="G704" s="95">
        <v>12372727</v>
      </c>
      <c r="H704" s="95">
        <v>21011836</v>
      </c>
      <c r="I704" s="91" t="s">
        <v>71</v>
      </c>
      <c r="J704" s="91" t="s">
        <v>1122</v>
      </c>
      <c r="K704" s="94">
        <v>815894</v>
      </c>
      <c r="L704" s="91" t="s">
        <v>254</v>
      </c>
      <c r="M704" s="2"/>
      <c r="N704" s="2"/>
      <c r="O704" s="4"/>
    </row>
    <row r="705" spans="1:15" x14ac:dyDescent="0.2">
      <c r="A705" s="91" t="s">
        <v>310</v>
      </c>
      <c r="B705" s="91" t="s">
        <v>825</v>
      </c>
      <c r="C705" s="95">
        <v>354</v>
      </c>
      <c r="D705" s="95">
        <v>466</v>
      </c>
      <c r="E705" s="95">
        <v>820</v>
      </c>
      <c r="F705" s="95">
        <v>6140848</v>
      </c>
      <c r="G705" s="95">
        <v>8808048</v>
      </c>
      <c r="H705" s="95">
        <v>14948897</v>
      </c>
      <c r="I705" s="91" t="s">
        <v>71</v>
      </c>
      <c r="J705" s="91" t="s">
        <v>1121</v>
      </c>
      <c r="K705" s="94">
        <v>817601</v>
      </c>
      <c r="L705" s="91" t="s">
        <v>535</v>
      </c>
      <c r="M705" s="2"/>
      <c r="N705" s="2"/>
      <c r="O705" s="4"/>
    </row>
    <row r="706" spans="1:15" x14ac:dyDescent="0.2">
      <c r="A706" s="91" t="s">
        <v>379</v>
      </c>
      <c r="B706" s="91" t="s">
        <v>759</v>
      </c>
      <c r="C706" s="95">
        <v>1587</v>
      </c>
      <c r="D706" s="95">
        <v>2404</v>
      </c>
      <c r="E706" s="95">
        <v>3991</v>
      </c>
      <c r="F706" s="95">
        <v>44695355</v>
      </c>
      <c r="G706" s="95">
        <v>82470562</v>
      </c>
      <c r="H706" s="95">
        <v>127165917</v>
      </c>
      <c r="I706" s="91" t="s">
        <v>71</v>
      </c>
      <c r="J706" s="91" t="s">
        <v>1121</v>
      </c>
      <c r="K706" s="94">
        <v>819029</v>
      </c>
      <c r="L706" s="91" t="s">
        <v>275</v>
      </c>
      <c r="M706" s="2"/>
      <c r="N706" s="2"/>
      <c r="O706" s="4"/>
    </row>
    <row r="707" spans="1:15" x14ac:dyDescent="0.2">
      <c r="A707" s="91" t="s">
        <v>185</v>
      </c>
      <c r="B707" s="91" t="s">
        <v>390</v>
      </c>
      <c r="C707" s="95">
        <v>36208</v>
      </c>
      <c r="D707" s="95">
        <v>23988</v>
      </c>
      <c r="E707" s="95">
        <v>60196</v>
      </c>
      <c r="F707" s="95">
        <v>3727823420</v>
      </c>
      <c r="G707" s="95">
        <v>2884411158</v>
      </c>
      <c r="H707" s="95">
        <v>6612234578</v>
      </c>
      <c r="I707" s="91" t="s">
        <v>171</v>
      </c>
      <c r="J707" s="91" t="s">
        <v>1115</v>
      </c>
      <c r="K707" s="94">
        <v>819557</v>
      </c>
      <c r="L707" s="91" t="s">
        <v>200</v>
      </c>
      <c r="M707" s="2"/>
      <c r="N707" s="2"/>
      <c r="O707" s="4"/>
    </row>
    <row r="708" spans="1:15" x14ac:dyDescent="0.2">
      <c r="A708" s="91" t="s">
        <v>379</v>
      </c>
      <c r="B708" s="91" t="s">
        <v>928</v>
      </c>
      <c r="C708" s="95">
        <v>418</v>
      </c>
      <c r="D708" s="95">
        <v>569</v>
      </c>
      <c r="E708" s="95">
        <v>987</v>
      </c>
      <c r="F708" s="95">
        <v>8688336</v>
      </c>
      <c r="G708" s="95">
        <v>13971341</v>
      </c>
      <c r="H708" s="95">
        <v>22659677</v>
      </c>
      <c r="I708" s="91" t="s">
        <v>71</v>
      </c>
      <c r="J708" s="91" t="s">
        <v>1121</v>
      </c>
      <c r="K708" s="94">
        <v>819904</v>
      </c>
      <c r="L708" s="91" t="s">
        <v>715</v>
      </c>
      <c r="M708" s="2"/>
      <c r="N708" s="2"/>
      <c r="O708" s="4"/>
    </row>
    <row r="709" spans="1:15" x14ac:dyDescent="0.2">
      <c r="A709" s="91" t="s">
        <v>410</v>
      </c>
      <c r="B709" s="91" t="s">
        <v>429</v>
      </c>
      <c r="C709" s="95">
        <v>18733</v>
      </c>
      <c r="D709" s="95">
        <v>20455</v>
      </c>
      <c r="E709" s="95">
        <v>39188</v>
      </c>
      <c r="F709" s="95">
        <v>651663368</v>
      </c>
      <c r="G709" s="95">
        <v>872435247</v>
      </c>
      <c r="H709" s="95">
        <v>1524098615</v>
      </c>
      <c r="I709" s="91" t="s">
        <v>171</v>
      </c>
      <c r="J709" s="91" t="s">
        <v>1121</v>
      </c>
      <c r="K709" s="94">
        <v>820852</v>
      </c>
      <c r="L709" s="91" t="s">
        <v>200</v>
      </c>
      <c r="M709" s="2"/>
      <c r="N709" s="2"/>
      <c r="O709" s="4"/>
    </row>
    <row r="710" spans="1:15" x14ac:dyDescent="0.2">
      <c r="A710" s="91" t="s">
        <v>383</v>
      </c>
      <c r="B710" s="91" t="s">
        <v>808</v>
      </c>
      <c r="C710" s="95">
        <v>883</v>
      </c>
      <c r="D710" s="95">
        <v>1290</v>
      </c>
      <c r="E710" s="95">
        <v>2173</v>
      </c>
      <c r="F710" s="95">
        <v>37377875</v>
      </c>
      <c r="G710" s="95">
        <v>63332098</v>
      </c>
      <c r="H710" s="95">
        <v>100709973</v>
      </c>
      <c r="I710" s="91" t="s">
        <v>71</v>
      </c>
      <c r="J710" s="91" t="s">
        <v>1121</v>
      </c>
      <c r="K710" s="94">
        <v>821389</v>
      </c>
      <c r="L710" s="91" t="s">
        <v>377</v>
      </c>
      <c r="M710" s="2"/>
      <c r="N710" s="2"/>
      <c r="O710" s="4"/>
    </row>
    <row r="711" spans="1:15" x14ac:dyDescent="0.2">
      <c r="A711" s="91" t="s">
        <v>507</v>
      </c>
      <c r="B711" s="91" t="s">
        <v>506</v>
      </c>
      <c r="C711" s="95">
        <v>473</v>
      </c>
      <c r="D711" s="95">
        <v>604</v>
      </c>
      <c r="E711" s="95">
        <v>1077</v>
      </c>
      <c r="F711" s="95">
        <v>20762116</v>
      </c>
      <c r="G711" s="95">
        <v>33901124</v>
      </c>
      <c r="H711" s="95">
        <v>54663240</v>
      </c>
      <c r="I711" s="91" t="s">
        <v>71</v>
      </c>
      <c r="J711" s="91" t="s">
        <v>1121</v>
      </c>
      <c r="K711" s="94">
        <v>821736</v>
      </c>
      <c r="L711" s="91" t="s">
        <v>178</v>
      </c>
      <c r="M711" s="2"/>
      <c r="N711" s="2"/>
      <c r="O711" s="4"/>
    </row>
    <row r="712" spans="1:15" x14ac:dyDescent="0.2">
      <c r="A712" s="91" t="s">
        <v>471</v>
      </c>
      <c r="B712" s="91" t="s">
        <v>590</v>
      </c>
      <c r="C712" s="95">
        <v>104</v>
      </c>
      <c r="D712" s="95">
        <v>215</v>
      </c>
      <c r="E712" s="95">
        <v>319</v>
      </c>
      <c r="F712" s="95">
        <v>2400096</v>
      </c>
      <c r="G712" s="95">
        <v>6543721</v>
      </c>
      <c r="H712" s="95">
        <v>8943817</v>
      </c>
      <c r="I712" s="91" t="s">
        <v>171</v>
      </c>
      <c r="J712" s="91" t="s">
        <v>1121</v>
      </c>
      <c r="K712" s="94">
        <v>823039</v>
      </c>
      <c r="L712" s="91" t="s">
        <v>249</v>
      </c>
      <c r="M712" s="2"/>
      <c r="N712" s="2"/>
      <c r="O712" s="4"/>
    </row>
    <row r="713" spans="1:15" x14ac:dyDescent="0.2">
      <c r="A713" s="91" t="s">
        <v>310</v>
      </c>
      <c r="B713" s="91" t="s">
        <v>309</v>
      </c>
      <c r="C713" s="95">
        <v>1609</v>
      </c>
      <c r="D713" s="95">
        <v>2799</v>
      </c>
      <c r="E713" s="95">
        <v>4408</v>
      </c>
      <c r="F713" s="95">
        <v>47754610</v>
      </c>
      <c r="G713" s="95">
        <v>101554051</v>
      </c>
      <c r="H713" s="95">
        <v>149308662</v>
      </c>
      <c r="I713" s="91" t="s">
        <v>171</v>
      </c>
      <c r="J713" s="91" t="s">
        <v>1121</v>
      </c>
      <c r="K713" s="94">
        <v>823096</v>
      </c>
      <c r="L713" s="91" t="s">
        <v>196</v>
      </c>
      <c r="M713" s="2"/>
      <c r="N713" s="2"/>
      <c r="O713" s="4"/>
    </row>
    <row r="714" spans="1:15" x14ac:dyDescent="0.2">
      <c r="A714" s="91" t="s">
        <v>413</v>
      </c>
      <c r="B714" s="91" t="s">
        <v>412</v>
      </c>
      <c r="C714" s="95">
        <v>27491</v>
      </c>
      <c r="D714" s="95">
        <v>33060</v>
      </c>
      <c r="E714" s="95">
        <v>60551</v>
      </c>
      <c r="F714" s="95">
        <v>535369448</v>
      </c>
      <c r="G714" s="95">
        <v>853630927</v>
      </c>
      <c r="H714" s="95">
        <v>1389000375</v>
      </c>
      <c r="I714" s="91" t="s">
        <v>171</v>
      </c>
      <c r="J714" s="91" t="s">
        <v>1121</v>
      </c>
      <c r="K714" s="94">
        <v>825109</v>
      </c>
      <c r="L714" s="91" t="s">
        <v>200</v>
      </c>
      <c r="M714" s="2"/>
      <c r="N714" s="2"/>
      <c r="O714" s="4"/>
    </row>
    <row r="715" spans="1:15" x14ac:dyDescent="0.2">
      <c r="A715" s="91" t="s">
        <v>383</v>
      </c>
      <c r="B715" s="91" t="s">
        <v>988</v>
      </c>
      <c r="C715" s="95">
        <v>43</v>
      </c>
      <c r="D715" s="95">
        <v>110</v>
      </c>
      <c r="E715" s="95">
        <v>153</v>
      </c>
      <c r="F715" s="95">
        <v>1344270</v>
      </c>
      <c r="G715" s="95">
        <v>3442298</v>
      </c>
      <c r="H715" s="95">
        <v>4786568</v>
      </c>
      <c r="I715" s="91" t="s">
        <v>71</v>
      </c>
      <c r="J715" s="91" t="s">
        <v>1121</v>
      </c>
      <c r="K715" s="94">
        <v>825398</v>
      </c>
      <c r="L715" s="91" t="s">
        <v>1152</v>
      </c>
      <c r="M715" s="2"/>
      <c r="N715" s="2"/>
      <c r="O715" s="4"/>
    </row>
    <row r="716" spans="1:15" x14ac:dyDescent="0.2">
      <c r="A716" s="91" t="s">
        <v>182</v>
      </c>
      <c r="B716" s="91" t="s">
        <v>333</v>
      </c>
      <c r="C716" s="95">
        <v>9230</v>
      </c>
      <c r="D716" s="95">
        <v>6933</v>
      </c>
      <c r="E716" s="95">
        <v>16163</v>
      </c>
      <c r="F716" s="95">
        <v>618474930</v>
      </c>
      <c r="G716" s="95">
        <v>547696872</v>
      </c>
      <c r="H716" s="95">
        <v>1166171802</v>
      </c>
      <c r="I716" s="91" t="s">
        <v>171</v>
      </c>
      <c r="J716" s="91" t="s">
        <v>1115</v>
      </c>
      <c r="K716" s="94">
        <v>829358</v>
      </c>
      <c r="L716" s="91" t="s">
        <v>249</v>
      </c>
      <c r="M716" s="2"/>
      <c r="N716" s="2"/>
      <c r="O716" s="4"/>
    </row>
    <row r="717" spans="1:15" x14ac:dyDescent="0.2">
      <c r="A717" s="91" t="s">
        <v>509</v>
      </c>
      <c r="B717" s="91" t="s">
        <v>595</v>
      </c>
      <c r="C717" s="95">
        <v>3822</v>
      </c>
      <c r="D717" s="95">
        <v>3628</v>
      </c>
      <c r="E717" s="95">
        <v>7450</v>
      </c>
      <c r="F717" s="95">
        <v>164648369</v>
      </c>
      <c r="G717" s="95">
        <v>183427034</v>
      </c>
      <c r="H717" s="95">
        <v>348075402</v>
      </c>
      <c r="I717" s="91" t="s">
        <v>171</v>
      </c>
      <c r="J717" s="91" t="s">
        <v>1118</v>
      </c>
      <c r="K717" s="94">
        <v>829945</v>
      </c>
      <c r="L717" s="91" t="s">
        <v>247</v>
      </c>
      <c r="M717" s="2"/>
      <c r="N717" s="2"/>
      <c r="O717" s="4"/>
    </row>
    <row r="718" spans="1:15" x14ac:dyDescent="0.2">
      <c r="A718" s="91" t="s">
        <v>243</v>
      </c>
      <c r="B718" s="91" t="s">
        <v>762</v>
      </c>
      <c r="C718" s="95">
        <v>169</v>
      </c>
      <c r="D718" s="95">
        <v>247</v>
      </c>
      <c r="E718" s="95">
        <v>416</v>
      </c>
      <c r="F718" s="95">
        <v>5659263</v>
      </c>
      <c r="G718" s="95">
        <v>9586178</v>
      </c>
      <c r="H718" s="95">
        <v>15245442</v>
      </c>
      <c r="I718" s="91" t="s">
        <v>71</v>
      </c>
      <c r="J718" s="91" t="s">
        <v>1122</v>
      </c>
      <c r="K718" s="94">
        <v>830885</v>
      </c>
      <c r="L718" s="91" t="s">
        <v>763</v>
      </c>
      <c r="M718" s="2"/>
      <c r="N718" s="2"/>
      <c r="O718" s="4"/>
    </row>
    <row r="719" spans="1:15" x14ac:dyDescent="0.2">
      <c r="A719" s="91" t="s">
        <v>182</v>
      </c>
      <c r="B719" s="91" t="s">
        <v>353</v>
      </c>
      <c r="C719" s="95">
        <v>1125</v>
      </c>
      <c r="D719" s="95">
        <v>986</v>
      </c>
      <c r="E719" s="95">
        <v>2111</v>
      </c>
      <c r="F719" s="95">
        <v>52572943</v>
      </c>
      <c r="G719" s="95">
        <v>57188264</v>
      </c>
      <c r="H719" s="95">
        <v>109761207</v>
      </c>
      <c r="I719" s="91" t="s">
        <v>171</v>
      </c>
      <c r="J719" s="91" t="s">
        <v>1115</v>
      </c>
      <c r="K719" s="94">
        <v>832360</v>
      </c>
      <c r="L719" s="91" t="s">
        <v>203</v>
      </c>
      <c r="M719" s="2"/>
      <c r="N719" s="2"/>
      <c r="O719" s="4"/>
    </row>
    <row r="720" spans="1:15" x14ac:dyDescent="0.2">
      <c r="A720" s="91" t="s">
        <v>223</v>
      </c>
      <c r="B720" s="91" t="s">
        <v>467</v>
      </c>
      <c r="C720" s="95">
        <v>171</v>
      </c>
      <c r="D720" s="95">
        <v>234</v>
      </c>
      <c r="E720" s="95">
        <v>405</v>
      </c>
      <c r="F720" s="95">
        <v>7118204</v>
      </c>
      <c r="G720" s="95">
        <v>14168523</v>
      </c>
      <c r="H720" s="95">
        <v>21286727</v>
      </c>
      <c r="I720" s="91" t="s">
        <v>171</v>
      </c>
      <c r="J720" s="91" t="s">
        <v>1122</v>
      </c>
      <c r="K720" s="94">
        <v>832717</v>
      </c>
      <c r="L720" s="91" t="s">
        <v>216</v>
      </c>
      <c r="M720" s="2"/>
      <c r="N720" s="2"/>
      <c r="O720" s="4"/>
    </row>
    <row r="721" spans="1:15" x14ac:dyDescent="0.2">
      <c r="A721" s="91" t="s">
        <v>264</v>
      </c>
      <c r="B721" s="91" t="s">
        <v>656</v>
      </c>
      <c r="C721" s="95">
        <v>1349</v>
      </c>
      <c r="D721" s="95">
        <v>1421</v>
      </c>
      <c r="E721" s="95">
        <v>2770</v>
      </c>
      <c r="F721" s="95">
        <v>41766507</v>
      </c>
      <c r="G721" s="95">
        <v>50813580</v>
      </c>
      <c r="H721" s="95">
        <v>92580087</v>
      </c>
      <c r="I721" s="91" t="s">
        <v>171</v>
      </c>
      <c r="J721" s="91" t="s">
        <v>1121</v>
      </c>
      <c r="K721" s="94">
        <v>832899</v>
      </c>
      <c r="L721" s="91" t="s">
        <v>247</v>
      </c>
      <c r="M721" s="2"/>
      <c r="N721" s="2"/>
      <c r="O721" s="4"/>
    </row>
    <row r="722" spans="1:15" x14ac:dyDescent="0.2">
      <c r="A722" s="91" t="s">
        <v>264</v>
      </c>
      <c r="B722" s="91" t="s">
        <v>267</v>
      </c>
      <c r="C722" s="95">
        <v>7119</v>
      </c>
      <c r="D722" s="95">
        <v>5567</v>
      </c>
      <c r="E722" s="95">
        <v>12686</v>
      </c>
      <c r="F722" s="95">
        <v>388072707</v>
      </c>
      <c r="G722" s="95">
        <v>339690790</v>
      </c>
      <c r="H722" s="95">
        <v>727763496</v>
      </c>
      <c r="I722" s="91" t="s">
        <v>171</v>
      </c>
      <c r="J722" s="91" t="s">
        <v>1121</v>
      </c>
      <c r="K722" s="94">
        <v>833608</v>
      </c>
      <c r="L722" s="91" t="s">
        <v>200</v>
      </c>
      <c r="M722" s="2"/>
      <c r="N722" s="2"/>
      <c r="O722" s="4"/>
    </row>
    <row r="723" spans="1:15" x14ac:dyDescent="0.2">
      <c r="A723" s="91" t="s">
        <v>487</v>
      </c>
      <c r="B723" s="91" t="s">
        <v>953</v>
      </c>
      <c r="C723" s="95">
        <v>17914</v>
      </c>
      <c r="D723" s="95">
        <v>23829</v>
      </c>
      <c r="E723" s="95">
        <v>41743</v>
      </c>
      <c r="F723" s="95">
        <v>326232826</v>
      </c>
      <c r="G723" s="95">
        <v>558878774</v>
      </c>
      <c r="H723" s="95">
        <v>885111600</v>
      </c>
      <c r="I723" s="91" t="s">
        <v>171</v>
      </c>
      <c r="J723" s="91" t="s">
        <v>1121</v>
      </c>
      <c r="K723" s="94">
        <v>834788</v>
      </c>
      <c r="L723" s="91" t="s">
        <v>880</v>
      </c>
      <c r="M723" s="2"/>
      <c r="N723" s="2"/>
      <c r="O723" s="4"/>
    </row>
    <row r="724" spans="1:15" x14ac:dyDescent="0.2">
      <c r="A724" s="91" t="s">
        <v>212</v>
      </c>
      <c r="B724" s="91" t="s">
        <v>1077</v>
      </c>
      <c r="C724" s="95">
        <v>8</v>
      </c>
      <c r="D724" s="95">
        <v>1</v>
      </c>
      <c r="E724" s="95">
        <v>9</v>
      </c>
      <c r="F724" s="95">
        <v>207905</v>
      </c>
      <c r="G724" s="95">
        <v>36268</v>
      </c>
      <c r="H724" s="95">
        <v>244173</v>
      </c>
      <c r="I724" s="91" t="s">
        <v>71</v>
      </c>
      <c r="J724" s="91" t="s">
        <v>1121</v>
      </c>
      <c r="K724" s="94">
        <v>835132</v>
      </c>
      <c r="L724" s="91" t="s">
        <v>763</v>
      </c>
      <c r="M724" s="2"/>
      <c r="N724" s="2"/>
      <c r="O724" s="4"/>
    </row>
    <row r="725" spans="1:15" x14ac:dyDescent="0.2">
      <c r="A725" s="91" t="s">
        <v>245</v>
      </c>
      <c r="B725" s="91" t="s">
        <v>1058</v>
      </c>
      <c r="C725" s="95">
        <v>246</v>
      </c>
      <c r="D725" s="95">
        <v>367</v>
      </c>
      <c r="E725" s="95">
        <v>613</v>
      </c>
      <c r="F725" s="95">
        <v>7744077</v>
      </c>
      <c r="G725" s="95">
        <v>15112686</v>
      </c>
      <c r="H725" s="95">
        <v>22856763</v>
      </c>
      <c r="I725" s="91" t="s">
        <v>71</v>
      </c>
      <c r="J725" s="91" t="s">
        <v>1121</v>
      </c>
      <c r="K725" s="94">
        <v>836379</v>
      </c>
      <c r="L725" s="91" t="s">
        <v>981</v>
      </c>
      <c r="M725" s="2"/>
      <c r="N725" s="2"/>
      <c r="O725" s="4"/>
    </row>
    <row r="726" spans="1:15" x14ac:dyDescent="0.2">
      <c r="A726" s="91" t="s">
        <v>370</v>
      </c>
      <c r="B726" s="91" t="s">
        <v>873</v>
      </c>
      <c r="C726" s="95">
        <v>148</v>
      </c>
      <c r="D726" s="95">
        <v>276</v>
      </c>
      <c r="E726" s="95">
        <v>424</v>
      </c>
      <c r="F726" s="95">
        <v>4358181</v>
      </c>
      <c r="G726" s="95">
        <v>10971625</v>
      </c>
      <c r="H726" s="95">
        <v>15329806</v>
      </c>
      <c r="I726" s="91" t="s">
        <v>71</v>
      </c>
      <c r="J726" s="91" t="s">
        <v>1121</v>
      </c>
      <c r="K726" s="94">
        <v>836494</v>
      </c>
      <c r="L726" s="91" t="s">
        <v>777</v>
      </c>
      <c r="M726" s="2"/>
      <c r="N726" s="2"/>
      <c r="O726" s="4"/>
    </row>
    <row r="727" spans="1:15" x14ac:dyDescent="0.2">
      <c r="A727" s="91" t="s">
        <v>173</v>
      </c>
      <c r="B727" s="91" t="s">
        <v>936</v>
      </c>
      <c r="C727" s="95">
        <v>17</v>
      </c>
      <c r="D727" s="95">
        <v>24</v>
      </c>
      <c r="E727" s="95">
        <v>41</v>
      </c>
      <c r="F727" s="95">
        <v>2033917</v>
      </c>
      <c r="G727" s="95">
        <v>3398326</v>
      </c>
      <c r="H727" s="95">
        <v>5432243</v>
      </c>
      <c r="I727" s="91" t="s">
        <v>171</v>
      </c>
      <c r="J727" s="91" t="s">
        <v>1118</v>
      </c>
      <c r="K727" s="94">
        <v>836908</v>
      </c>
      <c r="L727" s="91" t="s">
        <v>661</v>
      </c>
      <c r="M727" s="2"/>
      <c r="N727" s="2"/>
      <c r="O727" s="4"/>
    </row>
    <row r="728" spans="1:15" x14ac:dyDescent="0.2">
      <c r="A728" s="91" t="s">
        <v>243</v>
      </c>
      <c r="B728" s="91" t="s">
        <v>615</v>
      </c>
      <c r="C728" s="95">
        <v>14</v>
      </c>
      <c r="D728" s="95">
        <v>26</v>
      </c>
      <c r="E728" s="95">
        <v>40</v>
      </c>
      <c r="F728" s="95">
        <v>396897</v>
      </c>
      <c r="G728" s="95">
        <v>975992</v>
      </c>
      <c r="H728" s="95">
        <v>1372888</v>
      </c>
      <c r="I728" s="91" t="s">
        <v>71</v>
      </c>
      <c r="J728" s="91" t="s">
        <v>1122</v>
      </c>
      <c r="K728" s="94">
        <v>838268</v>
      </c>
      <c r="L728" s="91" t="s">
        <v>616</v>
      </c>
      <c r="M728" s="2"/>
      <c r="N728" s="2"/>
      <c r="O728" s="4"/>
    </row>
    <row r="729" spans="1:15" x14ac:dyDescent="0.2">
      <c r="A729" s="91" t="s">
        <v>310</v>
      </c>
      <c r="B729" s="91" t="s">
        <v>594</v>
      </c>
      <c r="C729" s="95">
        <v>2541</v>
      </c>
      <c r="D729" s="95">
        <v>4059</v>
      </c>
      <c r="E729" s="95">
        <v>6600</v>
      </c>
      <c r="F729" s="95">
        <v>79790351</v>
      </c>
      <c r="G729" s="95">
        <v>160424874</v>
      </c>
      <c r="H729" s="95">
        <v>240215225</v>
      </c>
      <c r="I729" s="91" t="s">
        <v>171</v>
      </c>
      <c r="J729" s="91" t="s">
        <v>1121</v>
      </c>
      <c r="K729" s="94">
        <v>838383</v>
      </c>
      <c r="L729" s="91" t="s">
        <v>221</v>
      </c>
      <c r="M729" s="2"/>
      <c r="N729" s="2"/>
      <c r="O729" s="4"/>
    </row>
    <row r="730" spans="1:15" x14ac:dyDescent="0.2">
      <c r="A730" s="91" t="s">
        <v>176</v>
      </c>
      <c r="B730" s="91" t="s">
        <v>428</v>
      </c>
      <c r="C730" s="95">
        <v>6513</v>
      </c>
      <c r="D730" s="95">
        <v>4949</v>
      </c>
      <c r="E730" s="95">
        <v>11462</v>
      </c>
      <c r="F730" s="95">
        <v>285531208</v>
      </c>
      <c r="G730" s="95">
        <v>267186698</v>
      </c>
      <c r="H730" s="95">
        <v>552717906</v>
      </c>
      <c r="I730" s="91" t="s">
        <v>171</v>
      </c>
      <c r="J730" s="91" t="s">
        <v>1121</v>
      </c>
      <c r="K730" s="94">
        <v>838441</v>
      </c>
      <c r="L730" s="91" t="s">
        <v>427</v>
      </c>
      <c r="M730" s="2"/>
      <c r="N730" s="2"/>
      <c r="O730" s="4"/>
    </row>
    <row r="731" spans="1:15" x14ac:dyDescent="0.2">
      <c r="A731" s="91" t="s">
        <v>192</v>
      </c>
      <c r="B731" s="91" t="s">
        <v>217</v>
      </c>
      <c r="C731" s="95">
        <v>14</v>
      </c>
      <c r="D731" s="95">
        <v>26</v>
      </c>
      <c r="E731" s="95">
        <v>40</v>
      </c>
      <c r="F731" s="95">
        <v>1123635</v>
      </c>
      <c r="G731" s="95">
        <v>3017420</v>
      </c>
      <c r="H731" s="95">
        <v>4141056</v>
      </c>
      <c r="I731" s="91" t="s">
        <v>171</v>
      </c>
      <c r="J731" s="91" t="s">
        <v>1122</v>
      </c>
      <c r="K731" s="94">
        <v>838730</v>
      </c>
      <c r="L731" s="91" t="s">
        <v>203</v>
      </c>
      <c r="M731" s="2"/>
      <c r="N731" s="2"/>
      <c r="O731" s="4"/>
    </row>
    <row r="732" spans="1:15" x14ac:dyDescent="0.2">
      <c r="A732" s="91" t="s">
        <v>245</v>
      </c>
      <c r="B732" s="91" t="s">
        <v>529</v>
      </c>
      <c r="C732" s="95">
        <v>5043</v>
      </c>
      <c r="D732" s="95">
        <v>6702</v>
      </c>
      <c r="E732" s="95">
        <v>11745</v>
      </c>
      <c r="F732" s="95">
        <v>183868142</v>
      </c>
      <c r="G732" s="95">
        <v>302674836</v>
      </c>
      <c r="H732" s="95">
        <v>486542978</v>
      </c>
      <c r="I732" s="91" t="s">
        <v>171</v>
      </c>
      <c r="J732" s="91" t="s">
        <v>1121</v>
      </c>
      <c r="K732" s="94">
        <v>840033</v>
      </c>
      <c r="L732" s="91" t="s">
        <v>231</v>
      </c>
      <c r="M732" s="2"/>
      <c r="N732" s="2"/>
      <c r="O732" s="4"/>
    </row>
    <row r="733" spans="1:15" x14ac:dyDescent="0.2">
      <c r="A733" s="91" t="s">
        <v>223</v>
      </c>
      <c r="B733" s="91" t="s">
        <v>272</v>
      </c>
      <c r="C733" s="95">
        <v>1278</v>
      </c>
      <c r="D733" s="95">
        <v>1011</v>
      </c>
      <c r="E733" s="95">
        <v>2289</v>
      </c>
      <c r="F733" s="95">
        <v>72456068</v>
      </c>
      <c r="G733" s="95">
        <v>66553224</v>
      </c>
      <c r="H733" s="95">
        <v>139009292</v>
      </c>
      <c r="I733" s="91" t="s">
        <v>71</v>
      </c>
      <c r="J733" s="91" t="s">
        <v>1122</v>
      </c>
      <c r="K733" s="94">
        <v>840090</v>
      </c>
      <c r="L733" s="91" t="s">
        <v>226</v>
      </c>
      <c r="M733" s="2"/>
      <c r="N733" s="2"/>
      <c r="O733" s="4"/>
    </row>
    <row r="734" spans="1:15" x14ac:dyDescent="0.2">
      <c r="A734" s="91" t="s">
        <v>223</v>
      </c>
      <c r="B734" s="91" t="s">
        <v>1151</v>
      </c>
      <c r="C734" s="95">
        <v>56</v>
      </c>
      <c r="D734" s="95">
        <v>69</v>
      </c>
      <c r="E734" s="95">
        <v>125</v>
      </c>
      <c r="F734" s="95">
        <v>2708679</v>
      </c>
      <c r="G734" s="95">
        <v>3350315</v>
      </c>
      <c r="H734" s="95">
        <v>6058993</v>
      </c>
      <c r="I734" s="91" t="s">
        <v>71</v>
      </c>
      <c r="J734" s="91" t="s">
        <v>1122</v>
      </c>
      <c r="K734" s="94">
        <v>842393</v>
      </c>
      <c r="L734" s="91" t="s">
        <v>362</v>
      </c>
      <c r="M734" s="2"/>
      <c r="N734" s="2"/>
      <c r="O734" s="4"/>
    </row>
    <row r="735" spans="1:15" x14ac:dyDescent="0.2">
      <c r="A735" s="91" t="s">
        <v>331</v>
      </c>
      <c r="B735" s="91" t="s">
        <v>631</v>
      </c>
      <c r="C735" s="95">
        <v>38333</v>
      </c>
      <c r="D735" s="95">
        <v>43723</v>
      </c>
      <c r="E735" s="95">
        <v>82056</v>
      </c>
      <c r="F735" s="95">
        <v>1485546173</v>
      </c>
      <c r="G735" s="95">
        <v>2127543536</v>
      </c>
      <c r="H735" s="95">
        <v>3613089709</v>
      </c>
      <c r="I735" s="91" t="s">
        <v>171</v>
      </c>
      <c r="J735" s="91" t="s">
        <v>1121</v>
      </c>
      <c r="K735" s="94">
        <v>842690</v>
      </c>
      <c r="L735" s="91" t="s">
        <v>233</v>
      </c>
      <c r="M735" s="2"/>
      <c r="N735" s="2"/>
      <c r="O735" s="4"/>
    </row>
    <row r="736" spans="1:15" x14ac:dyDescent="0.2">
      <c r="A736" s="91" t="s">
        <v>192</v>
      </c>
      <c r="B736" s="91" t="s">
        <v>248</v>
      </c>
      <c r="C736" s="95">
        <v>2925</v>
      </c>
      <c r="D736" s="95">
        <v>2563</v>
      </c>
      <c r="E736" s="95">
        <v>5488</v>
      </c>
      <c r="F736" s="95">
        <v>108600908</v>
      </c>
      <c r="G736" s="95">
        <v>123984602</v>
      </c>
      <c r="H736" s="95">
        <v>232585511</v>
      </c>
      <c r="I736" s="91" t="s">
        <v>171</v>
      </c>
      <c r="J736" s="91" t="s">
        <v>1122</v>
      </c>
      <c r="K736" s="94">
        <v>843284</v>
      </c>
      <c r="L736" s="91" t="s">
        <v>249</v>
      </c>
      <c r="M736" s="2"/>
      <c r="N736" s="2"/>
      <c r="O736" s="4"/>
    </row>
    <row r="737" spans="1:15" x14ac:dyDescent="0.2">
      <c r="A737" s="91" t="s">
        <v>370</v>
      </c>
      <c r="B737" s="91" t="s">
        <v>819</v>
      </c>
      <c r="C737" s="95">
        <v>199</v>
      </c>
      <c r="D737" s="95">
        <v>322</v>
      </c>
      <c r="E737" s="95">
        <v>521</v>
      </c>
      <c r="F737" s="95">
        <v>5013189</v>
      </c>
      <c r="G737" s="95">
        <v>9774172</v>
      </c>
      <c r="H737" s="95">
        <v>14787360</v>
      </c>
      <c r="I737" s="91" t="s">
        <v>71</v>
      </c>
      <c r="J737" s="91" t="s">
        <v>1121</v>
      </c>
      <c r="K737" s="94">
        <v>843698</v>
      </c>
      <c r="L737" s="91" t="s">
        <v>535</v>
      </c>
      <c r="M737" s="2"/>
      <c r="N737" s="2"/>
      <c r="O737" s="4"/>
    </row>
    <row r="738" spans="1:15" x14ac:dyDescent="0.2">
      <c r="A738" s="91" t="s">
        <v>223</v>
      </c>
      <c r="B738" s="91" t="s">
        <v>1025</v>
      </c>
      <c r="C738" s="95">
        <v>11</v>
      </c>
      <c r="D738" s="95">
        <v>12</v>
      </c>
      <c r="E738" s="95">
        <v>23</v>
      </c>
      <c r="F738" s="95">
        <v>354372</v>
      </c>
      <c r="G738" s="95">
        <v>623451</v>
      </c>
      <c r="H738" s="95">
        <v>977823</v>
      </c>
      <c r="I738" s="91" t="s">
        <v>71</v>
      </c>
      <c r="J738" s="91" t="s">
        <v>1122</v>
      </c>
      <c r="K738" s="94">
        <v>844225</v>
      </c>
      <c r="L738" s="91" t="s">
        <v>1026</v>
      </c>
      <c r="M738" s="2"/>
      <c r="N738" s="2"/>
      <c r="O738" s="4"/>
    </row>
    <row r="739" spans="1:15" x14ac:dyDescent="0.2">
      <c r="A739" s="91" t="s">
        <v>182</v>
      </c>
      <c r="B739" s="91" t="s">
        <v>284</v>
      </c>
      <c r="C739" s="95">
        <v>8349</v>
      </c>
      <c r="D739" s="95">
        <v>7502</v>
      </c>
      <c r="E739" s="95">
        <v>15851</v>
      </c>
      <c r="F739" s="95">
        <v>515962822</v>
      </c>
      <c r="G739" s="95">
        <v>569487414</v>
      </c>
      <c r="H739" s="95">
        <v>1085450235</v>
      </c>
      <c r="I739" s="91" t="s">
        <v>171</v>
      </c>
      <c r="J739" s="91" t="s">
        <v>1115</v>
      </c>
      <c r="K739" s="94">
        <v>844522</v>
      </c>
      <c r="L739" s="91" t="s">
        <v>209</v>
      </c>
      <c r="M739" s="2"/>
      <c r="N739" s="2"/>
      <c r="O739" s="4"/>
    </row>
    <row r="740" spans="1:15" x14ac:dyDescent="0.2">
      <c r="A740" s="91" t="s">
        <v>315</v>
      </c>
      <c r="B740" s="91" t="s">
        <v>896</v>
      </c>
      <c r="C740" s="95">
        <v>3954</v>
      </c>
      <c r="D740" s="95">
        <v>6258</v>
      </c>
      <c r="E740" s="95">
        <v>10212</v>
      </c>
      <c r="F740" s="95">
        <v>121319571</v>
      </c>
      <c r="G740" s="95">
        <v>229894274</v>
      </c>
      <c r="H740" s="95">
        <v>351213845</v>
      </c>
      <c r="I740" s="91" t="s">
        <v>71</v>
      </c>
      <c r="J740" s="91" t="s">
        <v>1121</v>
      </c>
      <c r="K740" s="94">
        <v>848069</v>
      </c>
      <c r="L740" s="91" t="s">
        <v>553</v>
      </c>
      <c r="M740" s="2"/>
      <c r="N740" s="2"/>
      <c r="O740" s="4"/>
    </row>
    <row r="741" spans="1:15" x14ac:dyDescent="0.2">
      <c r="A741" s="91" t="s">
        <v>697</v>
      </c>
      <c r="B741" s="91" t="s">
        <v>828</v>
      </c>
      <c r="C741" s="95">
        <v>134</v>
      </c>
      <c r="D741" s="95">
        <v>181</v>
      </c>
      <c r="E741" s="95">
        <v>315</v>
      </c>
      <c r="F741" s="95">
        <v>3070672</v>
      </c>
      <c r="G741" s="95">
        <v>5003759</v>
      </c>
      <c r="H741" s="95">
        <v>8074430</v>
      </c>
      <c r="I741" s="91" t="s">
        <v>71</v>
      </c>
      <c r="J741" s="91" t="s">
        <v>1121</v>
      </c>
      <c r="K741" s="94">
        <v>848770</v>
      </c>
      <c r="L741" s="91" t="s">
        <v>495</v>
      </c>
      <c r="M741" s="2"/>
      <c r="N741" s="2"/>
      <c r="O741" s="4"/>
    </row>
    <row r="742" spans="1:15" x14ac:dyDescent="0.2">
      <c r="A742" s="91" t="s">
        <v>383</v>
      </c>
      <c r="B742" s="91" t="s">
        <v>790</v>
      </c>
      <c r="C742" s="95">
        <v>51</v>
      </c>
      <c r="D742" s="95">
        <v>71</v>
      </c>
      <c r="E742" s="95">
        <v>122</v>
      </c>
      <c r="F742" s="95">
        <v>1841401</v>
      </c>
      <c r="G742" s="95">
        <v>2799298</v>
      </c>
      <c r="H742" s="95">
        <v>4640699</v>
      </c>
      <c r="I742" s="91" t="s">
        <v>71</v>
      </c>
      <c r="J742" s="91" t="s">
        <v>1121</v>
      </c>
      <c r="K742" s="94">
        <v>849711</v>
      </c>
      <c r="L742" s="91" t="s">
        <v>722</v>
      </c>
      <c r="M742" s="2"/>
      <c r="N742" s="2"/>
      <c r="O742" s="4"/>
    </row>
    <row r="743" spans="1:15" x14ac:dyDescent="0.2">
      <c r="A743" s="91" t="s">
        <v>179</v>
      </c>
      <c r="B743" s="91" t="s">
        <v>325</v>
      </c>
      <c r="C743" s="95">
        <v>16016</v>
      </c>
      <c r="D743" s="95">
        <v>17828</v>
      </c>
      <c r="E743" s="95">
        <v>33844</v>
      </c>
      <c r="F743" s="95">
        <v>443754375</v>
      </c>
      <c r="G743" s="95">
        <v>620708306</v>
      </c>
      <c r="H743" s="95">
        <v>1064462681</v>
      </c>
      <c r="I743" s="91" t="s">
        <v>171</v>
      </c>
      <c r="J743" s="91" t="s">
        <v>1115</v>
      </c>
      <c r="K743" s="94">
        <v>850602</v>
      </c>
      <c r="L743" s="91" t="s">
        <v>203</v>
      </c>
      <c r="M743" s="2"/>
      <c r="N743" s="2"/>
      <c r="O743" s="4"/>
    </row>
    <row r="744" spans="1:15" x14ac:dyDescent="0.2">
      <c r="A744" s="91" t="s">
        <v>413</v>
      </c>
      <c r="B744" s="91" t="s">
        <v>639</v>
      </c>
      <c r="C744" s="95">
        <v>741</v>
      </c>
      <c r="D744" s="95">
        <v>1541</v>
      </c>
      <c r="E744" s="95">
        <v>2282</v>
      </c>
      <c r="F744" s="95">
        <v>9484395</v>
      </c>
      <c r="G744" s="95">
        <v>21674716</v>
      </c>
      <c r="H744" s="95">
        <v>31159111</v>
      </c>
      <c r="I744" s="91" t="s">
        <v>71</v>
      </c>
      <c r="J744" s="91" t="s">
        <v>1121</v>
      </c>
      <c r="K744" s="94">
        <v>851725</v>
      </c>
      <c r="L744" s="91" t="s">
        <v>254</v>
      </c>
      <c r="M744" s="2"/>
      <c r="N744" s="2"/>
      <c r="O744" s="4"/>
    </row>
    <row r="745" spans="1:15" x14ac:dyDescent="0.2">
      <c r="A745" s="91" t="s">
        <v>173</v>
      </c>
      <c r="B745" s="91" t="s">
        <v>304</v>
      </c>
      <c r="C745" s="95">
        <v>142</v>
      </c>
      <c r="D745" s="95">
        <v>156</v>
      </c>
      <c r="E745" s="95">
        <v>298</v>
      </c>
      <c r="F745" s="95">
        <v>9331901</v>
      </c>
      <c r="G745" s="95">
        <v>11165100</v>
      </c>
      <c r="H745" s="95">
        <v>20497001</v>
      </c>
      <c r="I745" s="91" t="s">
        <v>171</v>
      </c>
      <c r="J745" s="91" t="s">
        <v>1118</v>
      </c>
      <c r="K745" s="94">
        <v>853374</v>
      </c>
      <c r="L745" s="91" t="s">
        <v>305</v>
      </c>
      <c r="M745" s="2"/>
      <c r="N745" s="2"/>
      <c r="O745" s="4"/>
    </row>
    <row r="746" spans="1:15" x14ac:dyDescent="0.2">
      <c r="A746" s="91" t="s">
        <v>264</v>
      </c>
      <c r="B746" s="91" t="s">
        <v>420</v>
      </c>
      <c r="C746" s="95">
        <v>18061</v>
      </c>
      <c r="D746" s="95">
        <v>11507</v>
      </c>
      <c r="E746" s="95">
        <v>29568</v>
      </c>
      <c r="F746" s="95">
        <v>688275893</v>
      </c>
      <c r="G746" s="95">
        <v>519281613</v>
      </c>
      <c r="H746" s="95">
        <v>1207557505</v>
      </c>
      <c r="I746" s="91" t="s">
        <v>171</v>
      </c>
      <c r="J746" s="91" t="s">
        <v>1121</v>
      </c>
      <c r="K746" s="94">
        <v>853499</v>
      </c>
      <c r="L746" s="91" t="s">
        <v>200</v>
      </c>
      <c r="M746" s="2"/>
      <c r="N746" s="2"/>
      <c r="O746" s="4"/>
    </row>
    <row r="747" spans="1:15" x14ac:dyDescent="0.2">
      <c r="A747" s="91" t="s">
        <v>223</v>
      </c>
      <c r="B747" s="91" t="s">
        <v>1126</v>
      </c>
      <c r="C747" s="95">
        <v>10</v>
      </c>
      <c r="D747" s="95">
        <v>42</v>
      </c>
      <c r="E747" s="95">
        <v>52</v>
      </c>
      <c r="F747" s="95">
        <v>254297</v>
      </c>
      <c r="G747" s="95">
        <v>1953395</v>
      </c>
      <c r="H747" s="95">
        <v>2207691</v>
      </c>
      <c r="I747" s="91" t="s">
        <v>171</v>
      </c>
      <c r="J747" s="91" t="s">
        <v>1122</v>
      </c>
      <c r="K747" s="94">
        <v>853903</v>
      </c>
      <c r="L747" s="91" t="s">
        <v>462</v>
      </c>
      <c r="M747" s="2"/>
      <c r="N747" s="2"/>
      <c r="O747" s="4"/>
    </row>
    <row r="748" spans="1:15" x14ac:dyDescent="0.2">
      <c r="A748" s="91" t="s">
        <v>179</v>
      </c>
      <c r="B748" s="91" t="s">
        <v>389</v>
      </c>
      <c r="C748" s="95">
        <v>24221</v>
      </c>
      <c r="D748" s="95">
        <v>14680</v>
      </c>
      <c r="E748" s="95">
        <v>38901</v>
      </c>
      <c r="F748" s="95">
        <v>2084360439</v>
      </c>
      <c r="G748" s="95">
        <v>1438964770</v>
      </c>
      <c r="H748" s="95">
        <v>3523325209</v>
      </c>
      <c r="I748" s="91" t="s">
        <v>171</v>
      </c>
      <c r="J748" s="91" t="s">
        <v>1115</v>
      </c>
      <c r="K748" s="94">
        <v>855387</v>
      </c>
      <c r="L748" s="91" t="s">
        <v>200</v>
      </c>
      <c r="M748" s="2"/>
      <c r="N748" s="2"/>
      <c r="O748" s="4"/>
    </row>
    <row r="749" spans="1:15" x14ac:dyDescent="0.2">
      <c r="A749" s="91" t="s">
        <v>173</v>
      </c>
      <c r="B749" s="91" t="s">
        <v>803</v>
      </c>
      <c r="C749" s="95">
        <v>1745</v>
      </c>
      <c r="D749" s="95">
        <v>1882</v>
      </c>
      <c r="E749" s="95">
        <v>3627</v>
      </c>
      <c r="F749" s="95">
        <v>83458207</v>
      </c>
      <c r="G749" s="95">
        <v>112327730</v>
      </c>
      <c r="H749" s="95">
        <v>195785937</v>
      </c>
      <c r="I749" s="91" t="s">
        <v>171</v>
      </c>
      <c r="J749" s="91" t="s">
        <v>1118</v>
      </c>
      <c r="K749" s="94">
        <v>855973</v>
      </c>
      <c r="L749" s="91" t="s">
        <v>365</v>
      </c>
      <c r="M749" s="2"/>
      <c r="N749" s="2"/>
      <c r="O749" s="4"/>
    </row>
    <row r="750" spans="1:15" x14ac:dyDescent="0.2">
      <c r="A750" s="91" t="s">
        <v>331</v>
      </c>
      <c r="B750" s="91" t="s">
        <v>411</v>
      </c>
      <c r="C750" s="95">
        <v>22585</v>
      </c>
      <c r="D750" s="95">
        <v>27649</v>
      </c>
      <c r="E750" s="95">
        <v>50234</v>
      </c>
      <c r="F750" s="95">
        <v>1077430757</v>
      </c>
      <c r="G750" s="95">
        <v>1653402262</v>
      </c>
      <c r="H750" s="95">
        <v>2730833019</v>
      </c>
      <c r="I750" s="91" t="s">
        <v>171</v>
      </c>
      <c r="J750" s="91" t="s">
        <v>1121</v>
      </c>
      <c r="K750" s="94">
        <v>856682</v>
      </c>
      <c r="L750" s="91" t="s">
        <v>200</v>
      </c>
      <c r="M750" s="2"/>
      <c r="N750" s="2"/>
      <c r="O750" s="4"/>
    </row>
    <row r="751" spans="1:15" x14ac:dyDescent="0.2">
      <c r="A751" s="91" t="s">
        <v>173</v>
      </c>
      <c r="B751" s="91" t="s">
        <v>570</v>
      </c>
      <c r="C751" s="95">
        <v>362</v>
      </c>
      <c r="D751" s="95">
        <v>278</v>
      </c>
      <c r="E751" s="95">
        <v>640</v>
      </c>
      <c r="F751" s="95">
        <v>7460246</v>
      </c>
      <c r="G751" s="95">
        <v>6627670</v>
      </c>
      <c r="H751" s="95">
        <v>14087917</v>
      </c>
      <c r="I751" s="91" t="s">
        <v>71</v>
      </c>
      <c r="J751" s="91" t="s">
        <v>1118</v>
      </c>
      <c r="K751" s="94">
        <v>857037</v>
      </c>
      <c r="L751" s="91" t="s">
        <v>495</v>
      </c>
      <c r="M751" s="2"/>
      <c r="N751" s="2"/>
      <c r="O751" s="4"/>
    </row>
    <row r="752" spans="1:15" x14ac:dyDescent="0.2">
      <c r="A752" s="91" t="s">
        <v>410</v>
      </c>
      <c r="B752" s="91" t="s">
        <v>700</v>
      </c>
      <c r="C752" s="95">
        <v>2637</v>
      </c>
      <c r="D752" s="95">
        <v>1956</v>
      </c>
      <c r="E752" s="95">
        <v>4593</v>
      </c>
      <c r="F752" s="95">
        <v>100885410</v>
      </c>
      <c r="G752" s="95">
        <v>90835003</v>
      </c>
      <c r="H752" s="95">
        <v>191720413</v>
      </c>
      <c r="I752" s="91" t="s">
        <v>171</v>
      </c>
      <c r="J752" s="91" t="s">
        <v>1121</v>
      </c>
      <c r="K752" s="94">
        <v>857276</v>
      </c>
      <c r="L752" s="91" t="s">
        <v>194</v>
      </c>
      <c r="M752" s="2"/>
      <c r="N752" s="2"/>
      <c r="O752" s="4"/>
    </row>
    <row r="753" spans="1:15" x14ac:dyDescent="0.2">
      <c r="A753" s="91" t="s">
        <v>223</v>
      </c>
      <c r="B753" s="91" t="s">
        <v>401</v>
      </c>
      <c r="C753" s="95">
        <v>48</v>
      </c>
      <c r="D753" s="95">
        <v>82</v>
      </c>
      <c r="E753" s="95">
        <v>130</v>
      </c>
      <c r="F753" s="95">
        <v>2160299</v>
      </c>
      <c r="G753" s="95">
        <v>4175303</v>
      </c>
      <c r="H753" s="95">
        <v>6335602</v>
      </c>
      <c r="I753" s="91" t="s">
        <v>71</v>
      </c>
      <c r="J753" s="91" t="s">
        <v>1122</v>
      </c>
      <c r="K753" s="94">
        <v>857565</v>
      </c>
      <c r="L753" s="91" t="s">
        <v>178</v>
      </c>
      <c r="M753" s="2"/>
      <c r="N753" s="2"/>
      <c r="O753" s="4"/>
    </row>
    <row r="754" spans="1:15" x14ac:dyDescent="0.2">
      <c r="A754" s="91" t="s">
        <v>410</v>
      </c>
      <c r="B754" s="91" t="s">
        <v>409</v>
      </c>
      <c r="C754" s="95">
        <v>18499</v>
      </c>
      <c r="D754" s="95">
        <v>18290</v>
      </c>
      <c r="E754" s="95">
        <v>36789</v>
      </c>
      <c r="F754" s="95">
        <v>671693158</v>
      </c>
      <c r="G754" s="95">
        <v>815955430</v>
      </c>
      <c r="H754" s="95">
        <v>1487648588</v>
      </c>
      <c r="I754" s="91" t="s">
        <v>171</v>
      </c>
      <c r="J754" s="91" t="s">
        <v>1121</v>
      </c>
      <c r="K754" s="94">
        <v>860932</v>
      </c>
      <c r="L754" s="91" t="s">
        <v>200</v>
      </c>
      <c r="M754" s="2"/>
      <c r="N754" s="2"/>
      <c r="O754" s="4"/>
    </row>
    <row r="755" spans="1:15" x14ac:dyDescent="0.2">
      <c r="A755" s="91" t="s">
        <v>379</v>
      </c>
      <c r="B755" s="91" t="s">
        <v>1043</v>
      </c>
      <c r="C755" s="95">
        <v>17488</v>
      </c>
      <c r="D755" s="95">
        <v>19515</v>
      </c>
      <c r="E755" s="95">
        <v>37003</v>
      </c>
      <c r="F755" s="95">
        <v>316422771</v>
      </c>
      <c r="G755" s="95">
        <v>457695907</v>
      </c>
      <c r="H755" s="95">
        <v>774118678</v>
      </c>
      <c r="I755" s="91" t="s">
        <v>171</v>
      </c>
      <c r="J755" s="91" t="s">
        <v>1121</v>
      </c>
      <c r="K755" s="94">
        <v>861229</v>
      </c>
      <c r="L755" s="91" t="s">
        <v>1044</v>
      </c>
      <c r="M755" s="2"/>
      <c r="N755" s="2"/>
      <c r="O755" s="4"/>
    </row>
    <row r="756" spans="1:15" x14ac:dyDescent="0.2">
      <c r="A756" s="91" t="s">
        <v>260</v>
      </c>
      <c r="B756" s="91" t="s">
        <v>855</v>
      </c>
      <c r="C756" s="95">
        <v>53</v>
      </c>
      <c r="D756" s="95">
        <v>64</v>
      </c>
      <c r="E756" s="95">
        <v>117</v>
      </c>
      <c r="F756" s="95">
        <v>1857225</v>
      </c>
      <c r="G756" s="95">
        <v>2497015</v>
      </c>
      <c r="H756" s="95">
        <v>4354240</v>
      </c>
      <c r="I756" s="91" t="s">
        <v>71</v>
      </c>
      <c r="J756" s="91" t="s">
        <v>1121</v>
      </c>
      <c r="K756" s="94">
        <v>865063</v>
      </c>
      <c r="L756" s="91" t="s">
        <v>553</v>
      </c>
      <c r="M756" s="2"/>
      <c r="N756" s="2"/>
      <c r="O756" s="4"/>
    </row>
    <row r="757" spans="1:15" x14ac:dyDescent="0.2">
      <c r="A757" s="91" t="s">
        <v>192</v>
      </c>
      <c r="B757" s="91" t="s">
        <v>246</v>
      </c>
      <c r="C757" s="95">
        <v>2454</v>
      </c>
      <c r="D757" s="95">
        <v>2507</v>
      </c>
      <c r="E757" s="95">
        <v>4961</v>
      </c>
      <c r="F757" s="95">
        <v>82334263</v>
      </c>
      <c r="G757" s="95">
        <v>109094065</v>
      </c>
      <c r="H757" s="95">
        <v>191428328</v>
      </c>
      <c r="I757" s="91" t="s">
        <v>171</v>
      </c>
      <c r="J757" s="91" t="s">
        <v>1122</v>
      </c>
      <c r="K757" s="94">
        <v>865774</v>
      </c>
      <c r="L757" s="91" t="s">
        <v>247</v>
      </c>
      <c r="M757" s="2"/>
      <c r="N757" s="2"/>
      <c r="O757" s="4"/>
    </row>
    <row r="758" spans="1:15" x14ac:dyDescent="0.2">
      <c r="A758" s="91" t="s">
        <v>245</v>
      </c>
      <c r="B758" s="91" t="s">
        <v>1060</v>
      </c>
      <c r="C758" s="95">
        <v>190</v>
      </c>
      <c r="D758" s="95">
        <v>359</v>
      </c>
      <c r="E758" s="95">
        <v>549</v>
      </c>
      <c r="F758" s="95">
        <v>8310775</v>
      </c>
      <c r="G758" s="95">
        <v>20314888</v>
      </c>
      <c r="H758" s="95">
        <v>28625663</v>
      </c>
      <c r="I758" s="91" t="s">
        <v>71</v>
      </c>
      <c r="J758" s="91" t="s">
        <v>1121</v>
      </c>
      <c r="K758" s="94">
        <v>866715</v>
      </c>
      <c r="L758" s="91" t="s">
        <v>763</v>
      </c>
      <c r="M758" s="2"/>
      <c r="N758" s="2"/>
      <c r="O758" s="4"/>
    </row>
    <row r="759" spans="1:15" x14ac:dyDescent="0.2">
      <c r="A759" s="91" t="s">
        <v>239</v>
      </c>
      <c r="B759" s="91" t="s">
        <v>945</v>
      </c>
      <c r="C759" s="95">
        <v>16</v>
      </c>
      <c r="D759" s="95">
        <v>32</v>
      </c>
      <c r="E759" s="95">
        <v>48</v>
      </c>
      <c r="F759" s="95">
        <v>449121</v>
      </c>
      <c r="G759" s="95">
        <v>1018889</v>
      </c>
      <c r="H759" s="95">
        <v>1468010</v>
      </c>
      <c r="I759" s="91" t="s">
        <v>71</v>
      </c>
      <c r="J759" s="91" t="s">
        <v>1121</v>
      </c>
      <c r="K759" s="94">
        <v>866897</v>
      </c>
      <c r="L759" s="91" t="s">
        <v>454</v>
      </c>
      <c r="M759" s="2"/>
      <c r="N759" s="2"/>
      <c r="O759" s="4"/>
    </row>
    <row r="760" spans="1:15" x14ac:dyDescent="0.2">
      <c r="A760" s="91" t="s">
        <v>188</v>
      </c>
      <c r="B760" s="91" t="s">
        <v>205</v>
      </c>
      <c r="C760" s="95">
        <v>15283</v>
      </c>
      <c r="D760" s="95">
        <v>14285</v>
      </c>
      <c r="E760" s="95">
        <v>29568</v>
      </c>
      <c r="F760" s="95">
        <v>442332397</v>
      </c>
      <c r="G760" s="95">
        <v>501887316</v>
      </c>
      <c r="H760" s="95">
        <v>944219714</v>
      </c>
      <c r="I760" s="91" t="s">
        <v>171</v>
      </c>
      <c r="J760" s="91" t="s">
        <v>1122</v>
      </c>
      <c r="K760" s="94">
        <v>869438</v>
      </c>
      <c r="L760" s="91" t="s">
        <v>200</v>
      </c>
      <c r="M760" s="2"/>
      <c r="N760" s="2"/>
      <c r="O760" s="4"/>
    </row>
    <row r="761" spans="1:15" x14ac:dyDescent="0.2">
      <c r="A761" s="91" t="s">
        <v>192</v>
      </c>
      <c r="B761" s="91" t="s">
        <v>206</v>
      </c>
      <c r="C761" s="95">
        <v>1625</v>
      </c>
      <c r="D761" s="95">
        <v>1812</v>
      </c>
      <c r="E761" s="95">
        <v>3437</v>
      </c>
      <c r="F761" s="95">
        <v>109839020</v>
      </c>
      <c r="G761" s="95">
        <v>142834323</v>
      </c>
      <c r="H761" s="95">
        <v>252673343</v>
      </c>
      <c r="I761" s="91" t="s">
        <v>71</v>
      </c>
      <c r="J761" s="91" t="s">
        <v>1122</v>
      </c>
      <c r="K761" s="94">
        <v>870493</v>
      </c>
      <c r="L761" s="91" t="s">
        <v>207</v>
      </c>
      <c r="M761" s="2"/>
      <c r="N761" s="2"/>
      <c r="O761" s="4"/>
    </row>
    <row r="762" spans="1:15" x14ac:dyDescent="0.2">
      <c r="A762" s="91" t="s">
        <v>212</v>
      </c>
      <c r="B762" s="91" t="s">
        <v>1073</v>
      </c>
      <c r="C762" s="95">
        <v>11</v>
      </c>
      <c r="D762" s="95">
        <v>32</v>
      </c>
      <c r="E762" s="95">
        <v>43</v>
      </c>
      <c r="F762" s="95">
        <v>340774</v>
      </c>
      <c r="G762" s="95">
        <v>1245395</v>
      </c>
      <c r="H762" s="95">
        <v>1586170</v>
      </c>
      <c r="I762" s="91" t="s">
        <v>71</v>
      </c>
      <c r="J762" s="91" t="s">
        <v>1121</v>
      </c>
      <c r="K762" s="94">
        <v>870964</v>
      </c>
      <c r="L762" s="91" t="s">
        <v>763</v>
      </c>
      <c r="M762" s="2"/>
      <c r="N762" s="2"/>
      <c r="O762" s="4"/>
    </row>
    <row r="763" spans="1:15" x14ac:dyDescent="0.2">
      <c r="A763" s="91" t="s">
        <v>212</v>
      </c>
      <c r="B763" s="91" t="s">
        <v>1066</v>
      </c>
      <c r="C763" s="95">
        <v>959</v>
      </c>
      <c r="D763" s="95">
        <v>945</v>
      </c>
      <c r="E763" s="95">
        <v>1904</v>
      </c>
      <c r="F763" s="95">
        <v>32602391</v>
      </c>
      <c r="G763" s="95">
        <v>39009917</v>
      </c>
      <c r="H763" s="95">
        <v>71612308</v>
      </c>
      <c r="I763" s="91" t="s">
        <v>71</v>
      </c>
      <c r="J763" s="91" t="s">
        <v>1121</v>
      </c>
      <c r="K763" s="94">
        <v>872200</v>
      </c>
      <c r="L763" s="91" t="s">
        <v>981</v>
      </c>
      <c r="M763" s="2"/>
      <c r="N763" s="2"/>
      <c r="O763" s="4"/>
    </row>
    <row r="764" spans="1:15" x14ac:dyDescent="0.2">
      <c r="A764" s="91" t="s">
        <v>413</v>
      </c>
      <c r="B764" s="91" t="s">
        <v>946</v>
      </c>
      <c r="C764" s="95">
        <v>3930</v>
      </c>
      <c r="D764" s="95">
        <v>5011</v>
      </c>
      <c r="E764" s="95">
        <v>8941</v>
      </c>
      <c r="F764" s="95">
        <v>93105321</v>
      </c>
      <c r="G764" s="95">
        <v>146298714</v>
      </c>
      <c r="H764" s="95">
        <v>239404034</v>
      </c>
      <c r="I764" s="91" t="s">
        <v>171</v>
      </c>
      <c r="J764" s="91" t="s">
        <v>1121</v>
      </c>
      <c r="K764" s="94">
        <v>872382</v>
      </c>
      <c r="L764" s="91" t="s">
        <v>880</v>
      </c>
      <c r="M764" s="2"/>
      <c r="N764" s="2"/>
      <c r="O764" s="4"/>
    </row>
    <row r="765" spans="1:15" x14ac:dyDescent="0.2">
      <c r="A765" s="91" t="s">
        <v>212</v>
      </c>
      <c r="B765" s="91" t="s">
        <v>655</v>
      </c>
      <c r="C765" s="95">
        <v>213</v>
      </c>
      <c r="D765" s="95">
        <v>197</v>
      </c>
      <c r="E765" s="95">
        <v>410</v>
      </c>
      <c r="F765" s="95">
        <v>6696531</v>
      </c>
      <c r="G765" s="95">
        <v>7704150</v>
      </c>
      <c r="H765" s="95">
        <v>14400681</v>
      </c>
      <c r="I765" s="91" t="s">
        <v>71</v>
      </c>
      <c r="J765" s="91" t="s">
        <v>1121</v>
      </c>
      <c r="K765" s="94">
        <v>872440</v>
      </c>
      <c r="L765" s="91" t="s">
        <v>580</v>
      </c>
      <c r="M765" s="2"/>
      <c r="N765" s="2"/>
      <c r="O765" s="4"/>
    </row>
    <row r="766" spans="1:15" x14ac:dyDescent="0.2">
      <c r="A766" s="91" t="s">
        <v>243</v>
      </c>
      <c r="B766" s="91" t="s">
        <v>1131</v>
      </c>
      <c r="C766" s="95">
        <v>59</v>
      </c>
      <c r="D766" s="95">
        <v>98</v>
      </c>
      <c r="E766" s="95">
        <v>157</v>
      </c>
      <c r="F766" s="95">
        <v>1871501</v>
      </c>
      <c r="G766" s="95">
        <v>4333098</v>
      </c>
      <c r="H766" s="95">
        <v>6204599</v>
      </c>
      <c r="I766" s="91" t="s">
        <v>71</v>
      </c>
      <c r="J766" s="91" t="s">
        <v>1122</v>
      </c>
      <c r="K766" s="94">
        <v>873505</v>
      </c>
      <c r="L766" s="91" t="s">
        <v>635</v>
      </c>
      <c r="M766" s="2"/>
      <c r="N766" s="2"/>
      <c r="O766" s="4"/>
    </row>
    <row r="767" spans="1:15" x14ac:dyDescent="0.2">
      <c r="A767" s="91" t="s">
        <v>173</v>
      </c>
      <c r="B767" s="91" t="s">
        <v>966</v>
      </c>
      <c r="C767" s="95">
        <v>18276</v>
      </c>
      <c r="D767" s="95">
        <v>19424</v>
      </c>
      <c r="E767" s="95">
        <v>37700</v>
      </c>
      <c r="F767" s="95">
        <v>1212972699</v>
      </c>
      <c r="G767" s="95">
        <v>1638354432</v>
      </c>
      <c r="H767" s="95">
        <v>2851327131</v>
      </c>
      <c r="I767" s="91" t="s">
        <v>171</v>
      </c>
      <c r="J767" s="91" t="s">
        <v>1118</v>
      </c>
      <c r="K767" s="94">
        <v>874032</v>
      </c>
      <c r="L767" s="91" t="s">
        <v>967</v>
      </c>
      <c r="M767" s="2"/>
      <c r="N767" s="2"/>
      <c r="O767" s="4"/>
    </row>
    <row r="768" spans="1:15" x14ac:dyDescent="0.2">
      <c r="A768" s="91" t="s">
        <v>223</v>
      </c>
      <c r="B768" s="91" t="s">
        <v>627</v>
      </c>
      <c r="C768" s="95">
        <v>268</v>
      </c>
      <c r="D768" s="95">
        <v>220</v>
      </c>
      <c r="E768" s="95">
        <v>488</v>
      </c>
      <c r="F768" s="95">
        <v>4577282</v>
      </c>
      <c r="G768" s="95">
        <v>4248357</v>
      </c>
      <c r="H768" s="95">
        <v>8825639</v>
      </c>
      <c r="I768" s="91" t="s">
        <v>71</v>
      </c>
      <c r="J768" s="91" t="s">
        <v>1122</v>
      </c>
      <c r="K768" s="94">
        <v>874099</v>
      </c>
      <c r="L768" s="91" t="s">
        <v>616</v>
      </c>
      <c r="M768" s="2"/>
      <c r="N768" s="2"/>
      <c r="O768" s="4"/>
    </row>
    <row r="769" spans="1:15" x14ac:dyDescent="0.2">
      <c r="A769" s="91" t="s">
        <v>383</v>
      </c>
      <c r="B769" s="91" t="s">
        <v>1086</v>
      </c>
      <c r="C769" s="95">
        <v>1155</v>
      </c>
      <c r="D769" s="95">
        <v>1690</v>
      </c>
      <c r="E769" s="95">
        <v>2845</v>
      </c>
      <c r="F769" s="95">
        <v>39550973</v>
      </c>
      <c r="G769" s="95">
        <v>75824364</v>
      </c>
      <c r="H769" s="95">
        <v>115375337</v>
      </c>
      <c r="I769" s="91" t="s">
        <v>71</v>
      </c>
      <c r="J769" s="91" t="s">
        <v>1121</v>
      </c>
      <c r="K769" s="94">
        <v>874271</v>
      </c>
      <c r="L769" s="91" t="s">
        <v>454</v>
      </c>
      <c r="M769" s="2"/>
      <c r="N769" s="2"/>
      <c r="O769" s="4"/>
    </row>
    <row r="770" spans="1:15" x14ac:dyDescent="0.2">
      <c r="A770" s="91" t="s">
        <v>223</v>
      </c>
      <c r="B770" s="91" t="s">
        <v>335</v>
      </c>
      <c r="C770" s="95">
        <v>16</v>
      </c>
      <c r="D770" s="95">
        <v>26</v>
      </c>
      <c r="E770" s="95">
        <v>42</v>
      </c>
      <c r="F770" s="95">
        <v>946467</v>
      </c>
      <c r="G770" s="95">
        <v>1781054</v>
      </c>
      <c r="H770" s="95">
        <v>2727521</v>
      </c>
      <c r="I770" s="91" t="s">
        <v>171</v>
      </c>
      <c r="J770" s="91" t="s">
        <v>1122</v>
      </c>
      <c r="K770" s="94">
        <v>874560</v>
      </c>
      <c r="L770" s="91" t="s">
        <v>203</v>
      </c>
      <c r="M770" s="2"/>
      <c r="N770" s="2"/>
      <c r="O770" s="4"/>
    </row>
    <row r="771" spans="1:15" x14ac:dyDescent="0.2">
      <c r="A771" s="91" t="s">
        <v>379</v>
      </c>
      <c r="B771" s="91" t="s">
        <v>1082</v>
      </c>
      <c r="C771" s="95">
        <v>76</v>
      </c>
      <c r="D771" s="95">
        <v>198</v>
      </c>
      <c r="E771" s="95">
        <v>274</v>
      </c>
      <c r="F771" s="95">
        <v>1937973</v>
      </c>
      <c r="G771" s="95">
        <v>6467065</v>
      </c>
      <c r="H771" s="95">
        <v>8405038</v>
      </c>
      <c r="I771" s="91" t="s">
        <v>171</v>
      </c>
      <c r="J771" s="91" t="s">
        <v>1121</v>
      </c>
      <c r="K771" s="94">
        <v>878223</v>
      </c>
      <c r="L771" s="91" t="s">
        <v>1044</v>
      </c>
      <c r="M771" s="2"/>
      <c r="N771" s="2"/>
      <c r="O771" s="4"/>
    </row>
    <row r="772" spans="1:15" x14ac:dyDescent="0.2">
      <c r="A772" s="91" t="s">
        <v>266</v>
      </c>
      <c r="B772" s="91" t="s">
        <v>630</v>
      </c>
      <c r="C772" s="95">
        <v>6059</v>
      </c>
      <c r="D772" s="95">
        <v>6174</v>
      </c>
      <c r="E772" s="95">
        <v>12233</v>
      </c>
      <c r="F772" s="95">
        <v>274612980</v>
      </c>
      <c r="G772" s="95">
        <v>335408291</v>
      </c>
      <c r="H772" s="95">
        <v>610021272</v>
      </c>
      <c r="I772" s="91" t="s">
        <v>171</v>
      </c>
      <c r="J772" s="91" t="s">
        <v>1118</v>
      </c>
      <c r="K772" s="94">
        <v>878520</v>
      </c>
      <c r="L772" s="91" t="s">
        <v>233</v>
      </c>
      <c r="M772" s="2"/>
      <c r="N772" s="2"/>
      <c r="O772" s="4"/>
    </row>
    <row r="773" spans="1:15" x14ac:dyDescent="0.2">
      <c r="A773" s="91" t="s">
        <v>266</v>
      </c>
      <c r="B773" s="91" t="s">
        <v>474</v>
      </c>
      <c r="C773" s="95">
        <v>5956</v>
      </c>
      <c r="D773" s="95">
        <v>4825</v>
      </c>
      <c r="E773" s="95">
        <v>10781</v>
      </c>
      <c r="F773" s="95">
        <v>292604181</v>
      </c>
      <c r="G773" s="95">
        <v>274226775</v>
      </c>
      <c r="H773" s="95">
        <v>566830956</v>
      </c>
      <c r="I773" s="91" t="s">
        <v>171</v>
      </c>
      <c r="J773" s="91" t="s">
        <v>1118</v>
      </c>
      <c r="K773" s="94">
        <v>879114</v>
      </c>
      <c r="L773" s="91" t="s">
        <v>249</v>
      </c>
      <c r="M773" s="2"/>
      <c r="N773" s="2"/>
      <c r="O773" s="4"/>
    </row>
    <row r="774" spans="1:15" x14ac:dyDescent="0.2">
      <c r="A774" s="91" t="s">
        <v>212</v>
      </c>
      <c r="B774" s="91" t="s">
        <v>926</v>
      </c>
      <c r="C774" s="95">
        <v>196</v>
      </c>
      <c r="D774" s="95">
        <v>155</v>
      </c>
      <c r="E774" s="95">
        <v>351</v>
      </c>
      <c r="F774" s="95">
        <v>5870023</v>
      </c>
      <c r="G774" s="95">
        <v>5116581</v>
      </c>
      <c r="H774" s="95">
        <v>10986604</v>
      </c>
      <c r="I774" s="91" t="s">
        <v>71</v>
      </c>
      <c r="J774" s="91" t="s">
        <v>1121</v>
      </c>
      <c r="K774" s="94">
        <v>882068</v>
      </c>
      <c r="L774" s="91" t="s">
        <v>497</v>
      </c>
      <c r="M774" s="2"/>
      <c r="N774" s="2"/>
      <c r="O774" s="4"/>
    </row>
    <row r="775" spans="1:15" x14ac:dyDescent="0.2">
      <c r="A775" s="91" t="s">
        <v>449</v>
      </c>
      <c r="B775" s="91" t="s">
        <v>1067</v>
      </c>
      <c r="C775" s="95">
        <v>162</v>
      </c>
      <c r="D775" s="95">
        <v>283</v>
      </c>
      <c r="E775" s="95">
        <v>445</v>
      </c>
      <c r="F775" s="95">
        <v>5036282</v>
      </c>
      <c r="G775" s="95">
        <v>12138526</v>
      </c>
      <c r="H775" s="95">
        <v>17174808</v>
      </c>
      <c r="I775" s="91" t="s">
        <v>71</v>
      </c>
      <c r="J775" s="91" t="s">
        <v>1121</v>
      </c>
      <c r="K775" s="94">
        <v>882126</v>
      </c>
      <c r="L775" s="91" t="s">
        <v>454</v>
      </c>
      <c r="M775" s="2"/>
      <c r="N775" s="2"/>
      <c r="O775" s="4"/>
    </row>
    <row r="776" spans="1:15" x14ac:dyDescent="0.2">
      <c r="A776" s="91" t="s">
        <v>245</v>
      </c>
      <c r="B776" s="91" t="s">
        <v>919</v>
      </c>
      <c r="C776" s="95">
        <v>806</v>
      </c>
      <c r="D776" s="95">
        <v>1279</v>
      </c>
      <c r="E776" s="95">
        <v>2085</v>
      </c>
      <c r="F776" s="95">
        <v>23181784</v>
      </c>
      <c r="G776" s="95">
        <v>44401603</v>
      </c>
      <c r="H776" s="95">
        <v>67583387</v>
      </c>
      <c r="I776" s="91" t="s">
        <v>71</v>
      </c>
      <c r="J776" s="91" t="s">
        <v>1121</v>
      </c>
      <c r="K776" s="94">
        <v>882530</v>
      </c>
      <c r="L776" s="91" t="s">
        <v>715</v>
      </c>
      <c r="M776" s="2"/>
      <c r="N776" s="2"/>
      <c r="O776" s="4"/>
    </row>
    <row r="777" spans="1:15" x14ac:dyDescent="0.2">
      <c r="A777" s="91" t="s">
        <v>173</v>
      </c>
      <c r="B777" s="91" t="s">
        <v>1157</v>
      </c>
      <c r="C777" s="95">
        <v>8</v>
      </c>
      <c r="D777" s="95">
        <v>14</v>
      </c>
      <c r="E777" s="95">
        <v>22</v>
      </c>
      <c r="F777" s="95">
        <v>556931</v>
      </c>
      <c r="G777" s="95">
        <v>819006</v>
      </c>
      <c r="H777" s="95">
        <v>1375937</v>
      </c>
      <c r="I777" s="91" t="s">
        <v>71</v>
      </c>
      <c r="J777" s="91" t="s">
        <v>1118</v>
      </c>
      <c r="K777" s="94">
        <v>883710</v>
      </c>
      <c r="L777" s="91" t="s">
        <v>362</v>
      </c>
      <c r="M777" s="2"/>
      <c r="N777" s="2"/>
      <c r="O777" s="4"/>
    </row>
    <row r="778" spans="1:15" x14ac:dyDescent="0.2">
      <c r="A778" s="91" t="s">
        <v>370</v>
      </c>
      <c r="B778" s="91" t="s">
        <v>1062</v>
      </c>
      <c r="C778" s="95">
        <v>196</v>
      </c>
      <c r="D778" s="95">
        <v>386</v>
      </c>
      <c r="E778" s="95">
        <v>582</v>
      </c>
      <c r="F778" s="95">
        <v>4826875</v>
      </c>
      <c r="G778" s="95">
        <v>12603450</v>
      </c>
      <c r="H778" s="95">
        <v>17430324</v>
      </c>
      <c r="I778" s="91" t="s">
        <v>71</v>
      </c>
      <c r="J778" s="91" t="s">
        <v>1121</v>
      </c>
      <c r="K778" s="94">
        <v>887497</v>
      </c>
      <c r="L778" s="91" t="s">
        <v>454</v>
      </c>
      <c r="M778" s="2"/>
      <c r="N778" s="2"/>
      <c r="O778" s="4"/>
    </row>
    <row r="779" spans="1:15" x14ac:dyDescent="0.2">
      <c r="A779" s="91" t="s">
        <v>509</v>
      </c>
      <c r="B779" s="91" t="s">
        <v>508</v>
      </c>
      <c r="C779" s="95">
        <v>203</v>
      </c>
      <c r="D779" s="95">
        <v>246</v>
      </c>
      <c r="E779" s="95">
        <v>449</v>
      </c>
      <c r="F779" s="95">
        <v>6124032</v>
      </c>
      <c r="G779" s="95">
        <v>8930190</v>
      </c>
      <c r="H779" s="95">
        <v>15054223</v>
      </c>
      <c r="I779" s="91" t="s">
        <v>71</v>
      </c>
      <c r="J779" s="91" t="s">
        <v>1118</v>
      </c>
      <c r="K779" s="94">
        <v>887554</v>
      </c>
      <c r="L779" s="91" t="s">
        <v>254</v>
      </c>
      <c r="M779" s="2"/>
      <c r="N779" s="2"/>
      <c r="O779" s="4"/>
    </row>
    <row r="780" spans="1:15" x14ac:dyDescent="0.2">
      <c r="A780" s="91" t="s">
        <v>173</v>
      </c>
      <c r="B780" s="91" t="s">
        <v>311</v>
      </c>
      <c r="C780" s="95">
        <v>1084</v>
      </c>
      <c r="D780" s="95">
        <v>1024</v>
      </c>
      <c r="E780" s="95">
        <v>2108</v>
      </c>
      <c r="F780" s="95">
        <v>21921714</v>
      </c>
      <c r="G780" s="95">
        <v>28152745</v>
      </c>
      <c r="H780" s="95">
        <v>50074458</v>
      </c>
      <c r="I780" s="91" t="s">
        <v>171</v>
      </c>
      <c r="J780" s="91" t="s">
        <v>1118</v>
      </c>
      <c r="K780" s="94">
        <v>889204</v>
      </c>
      <c r="L780" s="91" t="s">
        <v>305</v>
      </c>
      <c r="M780" s="2"/>
      <c r="N780" s="2"/>
      <c r="O780" s="4"/>
    </row>
    <row r="781" spans="1:15" x14ac:dyDescent="0.2">
      <c r="A781" s="91" t="s">
        <v>245</v>
      </c>
      <c r="B781" s="91" t="s">
        <v>755</v>
      </c>
      <c r="C781" s="95">
        <v>512</v>
      </c>
      <c r="D781" s="95">
        <v>574</v>
      </c>
      <c r="E781" s="95">
        <v>1086</v>
      </c>
      <c r="F781" s="95">
        <v>12121239</v>
      </c>
      <c r="G781" s="95">
        <v>18750488</v>
      </c>
      <c r="H781" s="95">
        <v>30871726</v>
      </c>
      <c r="I781" s="91" t="s">
        <v>71</v>
      </c>
      <c r="J781" s="91" t="s">
        <v>1121</v>
      </c>
      <c r="K781" s="94">
        <v>889261</v>
      </c>
      <c r="L781" s="91" t="s">
        <v>535</v>
      </c>
      <c r="M781" s="2"/>
      <c r="N781" s="2"/>
      <c r="O781" s="4"/>
    </row>
    <row r="782" spans="1:15" x14ac:dyDescent="0.2">
      <c r="A782" s="91" t="s">
        <v>487</v>
      </c>
      <c r="B782" s="91" t="s">
        <v>1042</v>
      </c>
      <c r="C782" s="95">
        <v>949</v>
      </c>
      <c r="D782" s="95">
        <v>1409</v>
      </c>
      <c r="E782" s="95">
        <v>2358</v>
      </c>
      <c r="F782" s="95">
        <v>12252374</v>
      </c>
      <c r="G782" s="95">
        <v>24863511</v>
      </c>
      <c r="H782" s="95">
        <v>37115885</v>
      </c>
      <c r="I782" s="91" t="s">
        <v>71</v>
      </c>
      <c r="J782" s="91" t="s">
        <v>1121</v>
      </c>
      <c r="K782" s="94">
        <v>889386</v>
      </c>
      <c r="L782" s="91" t="s">
        <v>235</v>
      </c>
      <c r="M782" s="2"/>
      <c r="N782" s="2"/>
      <c r="O782" s="4"/>
    </row>
    <row r="783" spans="1:15" x14ac:dyDescent="0.2">
      <c r="A783" s="91" t="s">
        <v>408</v>
      </c>
      <c r="B783" s="91" t="s">
        <v>691</v>
      </c>
      <c r="C783" s="95">
        <v>3559</v>
      </c>
      <c r="D783" s="95">
        <v>5179</v>
      </c>
      <c r="E783" s="95">
        <v>8738</v>
      </c>
      <c r="F783" s="95">
        <v>123093412</v>
      </c>
      <c r="G783" s="95">
        <v>207768722</v>
      </c>
      <c r="H783" s="95">
        <v>330862134</v>
      </c>
      <c r="I783" s="91" t="s">
        <v>71</v>
      </c>
      <c r="J783" s="91" t="s">
        <v>1121</v>
      </c>
      <c r="K783" s="94">
        <v>891036</v>
      </c>
      <c r="L783" s="91" t="s">
        <v>489</v>
      </c>
      <c r="M783" s="2"/>
      <c r="N783" s="2"/>
      <c r="O783" s="4"/>
    </row>
    <row r="784" spans="1:15" x14ac:dyDescent="0.2">
      <c r="A784" s="91" t="s">
        <v>265</v>
      </c>
      <c r="B784" s="91" t="s">
        <v>701</v>
      </c>
      <c r="C784" s="95">
        <v>2311</v>
      </c>
      <c r="D784" s="95">
        <v>2241</v>
      </c>
      <c r="E784" s="95">
        <v>4552</v>
      </c>
      <c r="F784" s="95">
        <v>251162757</v>
      </c>
      <c r="G784" s="95">
        <v>260309012</v>
      </c>
      <c r="H784" s="95">
        <v>511471769</v>
      </c>
      <c r="I784" s="91" t="s">
        <v>171</v>
      </c>
      <c r="J784" s="91" t="s">
        <v>1121</v>
      </c>
      <c r="K784" s="94">
        <v>891804</v>
      </c>
      <c r="L784" s="91" t="s">
        <v>247</v>
      </c>
      <c r="M784" s="2"/>
      <c r="N784" s="2"/>
      <c r="O784" s="4"/>
    </row>
    <row r="785" spans="1:15" x14ac:dyDescent="0.2">
      <c r="A785" s="91" t="s">
        <v>176</v>
      </c>
      <c r="B785" s="91" t="s">
        <v>347</v>
      </c>
      <c r="C785" s="95">
        <v>359</v>
      </c>
      <c r="D785" s="95">
        <v>405</v>
      </c>
      <c r="E785" s="95">
        <v>764</v>
      </c>
      <c r="F785" s="95">
        <v>14110384</v>
      </c>
      <c r="G785" s="95">
        <v>18949447</v>
      </c>
      <c r="H785" s="95">
        <v>33059830</v>
      </c>
      <c r="I785" s="91" t="s">
        <v>171</v>
      </c>
      <c r="J785" s="91" t="s">
        <v>1121</v>
      </c>
      <c r="K785" s="94">
        <v>893396</v>
      </c>
      <c r="L785" s="91" t="s">
        <v>231</v>
      </c>
      <c r="M785" s="2"/>
      <c r="N785" s="2"/>
      <c r="O785" s="4"/>
    </row>
    <row r="786" spans="1:15" x14ac:dyDescent="0.2">
      <c r="A786" s="91" t="s">
        <v>223</v>
      </c>
      <c r="B786" s="91" t="s">
        <v>621</v>
      </c>
      <c r="C786" s="95">
        <v>26556</v>
      </c>
      <c r="D786" s="95">
        <v>29894</v>
      </c>
      <c r="E786" s="95">
        <v>56450</v>
      </c>
      <c r="F786" s="95">
        <v>711687110</v>
      </c>
      <c r="G786" s="95">
        <v>905195682</v>
      </c>
      <c r="H786" s="95">
        <v>1616882792</v>
      </c>
      <c r="I786" s="91" t="s">
        <v>71</v>
      </c>
      <c r="J786" s="91" t="s">
        <v>1122</v>
      </c>
      <c r="K786" s="94">
        <v>895227</v>
      </c>
      <c r="L786" s="91" t="s">
        <v>622</v>
      </c>
      <c r="M786" s="2"/>
      <c r="N786" s="2"/>
      <c r="O786" s="4"/>
    </row>
    <row r="787" spans="1:15" x14ac:dyDescent="0.2">
      <c r="A787" s="91" t="s">
        <v>408</v>
      </c>
      <c r="B787" s="91" t="s">
        <v>407</v>
      </c>
      <c r="C787" s="95">
        <v>32309</v>
      </c>
      <c r="D787" s="95">
        <v>31874</v>
      </c>
      <c r="E787" s="95">
        <v>64183</v>
      </c>
      <c r="F787" s="95">
        <v>1112965666</v>
      </c>
      <c r="G787" s="95">
        <v>1365024654</v>
      </c>
      <c r="H787" s="95">
        <v>2477990320</v>
      </c>
      <c r="I787" s="91" t="s">
        <v>171</v>
      </c>
      <c r="J787" s="91" t="s">
        <v>1121</v>
      </c>
      <c r="K787" s="94">
        <v>896761</v>
      </c>
      <c r="L787" s="91" t="s">
        <v>200</v>
      </c>
      <c r="M787" s="2"/>
      <c r="N787" s="2"/>
      <c r="O787" s="4"/>
    </row>
    <row r="788" spans="1:15" x14ac:dyDescent="0.2">
      <c r="A788" s="91" t="s">
        <v>370</v>
      </c>
      <c r="B788" s="91" t="s">
        <v>778</v>
      </c>
      <c r="C788" s="95">
        <v>1008</v>
      </c>
      <c r="D788" s="95">
        <v>1495</v>
      </c>
      <c r="E788" s="95">
        <v>2503</v>
      </c>
      <c r="F788" s="95">
        <v>17962060</v>
      </c>
      <c r="G788" s="95">
        <v>34074489</v>
      </c>
      <c r="H788" s="95">
        <v>52036549</v>
      </c>
      <c r="I788" s="91" t="s">
        <v>71</v>
      </c>
      <c r="J788" s="91" t="s">
        <v>1121</v>
      </c>
      <c r="K788" s="94">
        <v>899120</v>
      </c>
      <c r="L788" s="91" t="s">
        <v>777</v>
      </c>
      <c r="M788" s="2"/>
      <c r="N788" s="2"/>
      <c r="O788" s="4"/>
    </row>
    <row r="789" spans="1:15" x14ac:dyDescent="0.2">
      <c r="A789" s="91" t="s">
        <v>260</v>
      </c>
      <c r="B789" s="91" t="s">
        <v>662</v>
      </c>
      <c r="C789" s="95">
        <v>95</v>
      </c>
      <c r="D789" s="95">
        <v>94</v>
      </c>
      <c r="E789" s="95">
        <v>189</v>
      </c>
      <c r="F789" s="95">
        <v>2206784</v>
      </c>
      <c r="G789" s="95">
        <v>2780100</v>
      </c>
      <c r="H789" s="95">
        <v>4986884</v>
      </c>
      <c r="I789" s="91" t="s">
        <v>71</v>
      </c>
      <c r="J789" s="91" t="s">
        <v>1121</v>
      </c>
      <c r="K789" s="94">
        <v>899773</v>
      </c>
      <c r="L789" s="91" t="s">
        <v>495</v>
      </c>
      <c r="M789" s="2"/>
      <c r="N789" s="2"/>
      <c r="O789" s="4"/>
    </row>
    <row r="790" spans="1:15" x14ac:dyDescent="0.2">
      <c r="A790" s="91" t="s">
        <v>212</v>
      </c>
      <c r="B790" s="91" t="s">
        <v>1048</v>
      </c>
      <c r="C790" s="95">
        <v>1</v>
      </c>
      <c r="D790" s="95">
        <v>3</v>
      </c>
      <c r="E790" s="95">
        <v>4</v>
      </c>
      <c r="F790" s="95">
        <v>92218</v>
      </c>
      <c r="G790" s="95">
        <v>50501</v>
      </c>
      <c r="H790" s="95">
        <v>142719</v>
      </c>
      <c r="I790" s="91" t="s">
        <v>71</v>
      </c>
      <c r="J790" s="91" t="s">
        <v>1121</v>
      </c>
      <c r="K790" s="94">
        <v>900712</v>
      </c>
      <c r="L790" s="91" t="s">
        <v>746</v>
      </c>
      <c r="M790" s="2"/>
      <c r="N790" s="2"/>
      <c r="O790" s="4"/>
    </row>
    <row r="791" spans="1:15" x14ac:dyDescent="0.2">
      <c r="A791" s="91" t="s">
        <v>243</v>
      </c>
      <c r="B791" s="91" t="s">
        <v>667</v>
      </c>
      <c r="C791" s="95">
        <v>639</v>
      </c>
      <c r="D791" s="95">
        <v>851</v>
      </c>
      <c r="E791" s="95">
        <v>1490</v>
      </c>
      <c r="F791" s="95">
        <v>24180895</v>
      </c>
      <c r="G791" s="95">
        <v>36505595</v>
      </c>
      <c r="H791" s="95">
        <v>60686489</v>
      </c>
      <c r="I791" s="91" t="s">
        <v>71</v>
      </c>
      <c r="J791" s="91" t="s">
        <v>1122</v>
      </c>
      <c r="K791" s="94">
        <v>900894</v>
      </c>
      <c r="L791" s="91" t="s">
        <v>553</v>
      </c>
      <c r="M791" s="2"/>
      <c r="N791" s="2"/>
      <c r="O791" s="4"/>
    </row>
    <row r="792" spans="1:15" x14ac:dyDescent="0.2">
      <c r="A792" s="91" t="s">
        <v>185</v>
      </c>
      <c r="B792" s="91" t="s">
        <v>332</v>
      </c>
      <c r="C792" s="95">
        <v>8732</v>
      </c>
      <c r="D792" s="95">
        <v>7538</v>
      </c>
      <c r="E792" s="95">
        <v>16270</v>
      </c>
      <c r="F792" s="95">
        <v>685606488</v>
      </c>
      <c r="G792" s="95">
        <v>701911917</v>
      </c>
      <c r="H792" s="95">
        <v>1387518405</v>
      </c>
      <c r="I792" s="91" t="s">
        <v>171</v>
      </c>
      <c r="J792" s="91" t="s">
        <v>1115</v>
      </c>
      <c r="K792" s="94">
        <v>901017</v>
      </c>
      <c r="L792" s="91" t="s">
        <v>249</v>
      </c>
      <c r="M792" s="2"/>
      <c r="N792" s="2"/>
      <c r="O792" s="4"/>
    </row>
    <row r="793" spans="1:15" x14ac:dyDescent="0.2">
      <c r="A793" s="91" t="s">
        <v>188</v>
      </c>
      <c r="B793" s="91" t="s">
        <v>371</v>
      </c>
      <c r="C793" s="95">
        <v>784</v>
      </c>
      <c r="D793" s="95">
        <v>731</v>
      </c>
      <c r="E793" s="95">
        <v>1515</v>
      </c>
      <c r="F793" s="95">
        <v>25822269</v>
      </c>
      <c r="G793" s="95">
        <v>30339238</v>
      </c>
      <c r="H793" s="95">
        <v>56161507</v>
      </c>
      <c r="I793" s="91" t="s">
        <v>171</v>
      </c>
      <c r="J793" s="91" t="s">
        <v>1122</v>
      </c>
      <c r="K793" s="94">
        <v>901603</v>
      </c>
      <c r="L793" s="91" t="s">
        <v>247</v>
      </c>
      <c r="M793" s="2"/>
      <c r="N793" s="2"/>
      <c r="O793" s="4"/>
    </row>
    <row r="794" spans="1:15" x14ac:dyDescent="0.2">
      <c r="A794" s="91" t="s">
        <v>264</v>
      </c>
      <c r="B794" s="91" t="s">
        <v>318</v>
      </c>
      <c r="C794" s="95">
        <v>5599</v>
      </c>
      <c r="D794" s="95">
        <v>3776</v>
      </c>
      <c r="E794" s="95">
        <v>9375</v>
      </c>
      <c r="F794" s="95">
        <v>244390588</v>
      </c>
      <c r="G794" s="95">
        <v>191378069</v>
      </c>
      <c r="H794" s="95">
        <v>435768657</v>
      </c>
      <c r="I794" s="91" t="s">
        <v>171</v>
      </c>
      <c r="J794" s="91" t="s">
        <v>1121</v>
      </c>
      <c r="K794" s="94">
        <v>902783</v>
      </c>
      <c r="L794" s="91" t="s">
        <v>200</v>
      </c>
      <c r="M794" s="2"/>
      <c r="N794" s="2"/>
      <c r="O794" s="4"/>
    </row>
    <row r="795" spans="1:15" x14ac:dyDescent="0.2">
      <c r="A795" s="91" t="s">
        <v>408</v>
      </c>
      <c r="B795" s="91" t="s">
        <v>993</v>
      </c>
      <c r="C795" s="95">
        <v>807</v>
      </c>
      <c r="D795" s="95">
        <v>988</v>
      </c>
      <c r="E795" s="95">
        <v>1795</v>
      </c>
      <c r="F795" s="95">
        <v>27725027</v>
      </c>
      <c r="G795" s="95">
        <v>40186953</v>
      </c>
      <c r="H795" s="95">
        <v>67911980</v>
      </c>
      <c r="I795" s="91" t="s">
        <v>71</v>
      </c>
      <c r="J795" s="91" t="s">
        <v>1121</v>
      </c>
      <c r="K795" s="94">
        <v>904490</v>
      </c>
      <c r="L795" s="91" t="s">
        <v>994</v>
      </c>
      <c r="M795" s="2"/>
      <c r="N795" s="2"/>
      <c r="O795" s="4"/>
    </row>
    <row r="796" spans="1:15" x14ac:dyDescent="0.2">
      <c r="A796" s="91" t="s">
        <v>264</v>
      </c>
      <c r="B796" s="91" t="s">
        <v>273</v>
      </c>
      <c r="C796" s="95">
        <v>5692</v>
      </c>
      <c r="D796" s="95">
        <v>6500</v>
      </c>
      <c r="E796" s="95">
        <v>12192</v>
      </c>
      <c r="F796" s="95">
        <v>275487380</v>
      </c>
      <c r="G796" s="95">
        <v>398723149</v>
      </c>
      <c r="H796" s="95">
        <v>674210529</v>
      </c>
      <c r="I796" s="91" t="s">
        <v>171</v>
      </c>
      <c r="J796" s="91" t="s">
        <v>1121</v>
      </c>
      <c r="K796" s="94">
        <v>905265</v>
      </c>
      <c r="L796" s="91" t="s">
        <v>200</v>
      </c>
      <c r="M796" s="2"/>
      <c r="N796" s="2"/>
      <c r="O796" s="4"/>
    </row>
    <row r="797" spans="1:15" x14ac:dyDescent="0.2">
      <c r="A797" s="91" t="s">
        <v>223</v>
      </c>
      <c r="B797" s="91" t="s">
        <v>950</v>
      </c>
      <c r="C797" s="95">
        <v>18</v>
      </c>
      <c r="D797" s="95">
        <v>48</v>
      </c>
      <c r="E797" s="95">
        <v>66</v>
      </c>
      <c r="F797" s="95">
        <v>980936</v>
      </c>
      <c r="G797" s="95">
        <v>2323636</v>
      </c>
      <c r="H797" s="95">
        <v>3304572</v>
      </c>
      <c r="I797" s="91" t="s">
        <v>71</v>
      </c>
      <c r="J797" s="91" t="s">
        <v>1122</v>
      </c>
      <c r="K797" s="94">
        <v>906792</v>
      </c>
      <c r="L797" s="91" t="s">
        <v>763</v>
      </c>
      <c r="M797" s="2"/>
      <c r="N797" s="2"/>
      <c r="O797" s="4"/>
    </row>
    <row r="798" spans="1:15" x14ac:dyDescent="0.2">
      <c r="A798" s="91" t="s">
        <v>239</v>
      </c>
      <c r="B798" s="91" t="s">
        <v>1036</v>
      </c>
      <c r="C798" s="95">
        <v>1126</v>
      </c>
      <c r="D798" s="95">
        <v>1225</v>
      </c>
      <c r="E798" s="95">
        <v>2351</v>
      </c>
      <c r="F798" s="95">
        <v>14275431</v>
      </c>
      <c r="G798" s="95">
        <v>21642842</v>
      </c>
      <c r="H798" s="95">
        <v>35918273</v>
      </c>
      <c r="I798" s="91" t="s">
        <v>71</v>
      </c>
      <c r="J798" s="91" t="s">
        <v>1121</v>
      </c>
      <c r="K798" s="94">
        <v>908038</v>
      </c>
      <c r="L798" s="91" t="s">
        <v>981</v>
      </c>
      <c r="M798" s="2"/>
      <c r="N798" s="2"/>
      <c r="O798" s="4"/>
    </row>
    <row r="799" spans="1:15" x14ac:dyDescent="0.2">
      <c r="A799" s="91" t="s">
        <v>212</v>
      </c>
      <c r="B799" s="91" t="s">
        <v>261</v>
      </c>
      <c r="C799" s="95">
        <v>6570</v>
      </c>
      <c r="D799" s="95">
        <v>7149</v>
      </c>
      <c r="E799" s="95">
        <v>13719</v>
      </c>
      <c r="F799" s="95">
        <v>333229730</v>
      </c>
      <c r="G799" s="95">
        <v>435155569</v>
      </c>
      <c r="H799" s="95">
        <v>768385299</v>
      </c>
      <c r="I799" s="91" t="s">
        <v>171</v>
      </c>
      <c r="J799" s="91" t="s">
        <v>1121</v>
      </c>
      <c r="K799" s="94">
        <v>908277</v>
      </c>
      <c r="L799" s="91" t="s">
        <v>196</v>
      </c>
      <c r="M799" s="2"/>
      <c r="N799" s="2"/>
      <c r="O799" s="4"/>
    </row>
    <row r="800" spans="1:15" x14ac:dyDescent="0.2">
      <c r="A800" s="91" t="s">
        <v>449</v>
      </c>
      <c r="B800" s="91" t="s">
        <v>908</v>
      </c>
      <c r="C800" s="95">
        <v>921</v>
      </c>
      <c r="D800" s="95">
        <v>1323</v>
      </c>
      <c r="E800" s="95">
        <v>2244</v>
      </c>
      <c r="F800" s="95">
        <v>29032662</v>
      </c>
      <c r="G800" s="95">
        <v>54151873</v>
      </c>
      <c r="H800" s="95">
        <v>83184535</v>
      </c>
      <c r="I800" s="91" t="s">
        <v>71</v>
      </c>
      <c r="J800" s="91" t="s">
        <v>1121</v>
      </c>
      <c r="K800" s="94">
        <v>908806</v>
      </c>
      <c r="L800" s="91" t="s">
        <v>535</v>
      </c>
      <c r="M800" s="2"/>
      <c r="N800" s="2"/>
      <c r="O800" s="4"/>
    </row>
    <row r="801" spans="1:15" x14ac:dyDescent="0.2">
      <c r="A801" s="91" t="s">
        <v>223</v>
      </c>
      <c r="B801" s="91" t="s">
        <v>1132</v>
      </c>
      <c r="C801" s="95">
        <v>473</v>
      </c>
      <c r="D801" s="95">
        <v>788</v>
      </c>
      <c r="E801" s="95">
        <v>1261</v>
      </c>
      <c r="F801" s="95">
        <v>14106105</v>
      </c>
      <c r="G801" s="95">
        <v>28713086</v>
      </c>
      <c r="H801" s="95">
        <v>42819191</v>
      </c>
      <c r="I801" s="91" t="s">
        <v>71</v>
      </c>
      <c r="J801" s="91" t="s">
        <v>1122</v>
      </c>
      <c r="K801" s="94">
        <v>909333</v>
      </c>
      <c r="L801" s="91" t="s">
        <v>635</v>
      </c>
      <c r="M801" s="2"/>
      <c r="N801" s="2"/>
      <c r="O801" s="4"/>
    </row>
    <row r="802" spans="1:15" x14ac:dyDescent="0.2">
      <c r="A802" s="91" t="s">
        <v>239</v>
      </c>
      <c r="B802" s="91" t="s">
        <v>944</v>
      </c>
      <c r="C802" s="95">
        <v>151</v>
      </c>
      <c r="D802" s="95">
        <v>258</v>
      </c>
      <c r="E802" s="95">
        <v>409</v>
      </c>
      <c r="F802" s="95">
        <v>3680854</v>
      </c>
      <c r="G802" s="95">
        <v>8421569</v>
      </c>
      <c r="H802" s="95">
        <v>12102423</v>
      </c>
      <c r="I802" s="91" t="s">
        <v>71</v>
      </c>
      <c r="J802" s="91" t="s">
        <v>1121</v>
      </c>
      <c r="K802" s="94">
        <v>910109</v>
      </c>
      <c r="L802" s="91" t="s">
        <v>454</v>
      </c>
      <c r="M802" s="2"/>
      <c r="N802" s="2"/>
      <c r="O802" s="4"/>
    </row>
    <row r="803" spans="1:15" x14ac:dyDescent="0.2">
      <c r="A803" s="91" t="s">
        <v>173</v>
      </c>
      <c r="B803" s="91" t="s">
        <v>1006</v>
      </c>
      <c r="C803" s="95">
        <v>19</v>
      </c>
      <c r="D803" s="95">
        <v>21</v>
      </c>
      <c r="E803" s="95">
        <v>40</v>
      </c>
      <c r="F803" s="95">
        <v>425373</v>
      </c>
      <c r="G803" s="95">
        <v>687217</v>
      </c>
      <c r="H803" s="95">
        <v>1112590</v>
      </c>
      <c r="I803" s="91" t="s">
        <v>171</v>
      </c>
      <c r="J803" s="91" t="s">
        <v>1118</v>
      </c>
      <c r="K803" s="94">
        <v>910398</v>
      </c>
      <c r="L803" s="91" t="s">
        <v>172</v>
      </c>
      <c r="M803" s="2"/>
      <c r="N803" s="2"/>
      <c r="O803" s="4"/>
    </row>
    <row r="804" spans="1:15" x14ac:dyDescent="0.2">
      <c r="A804" s="91" t="s">
        <v>173</v>
      </c>
      <c r="B804" s="91" t="s">
        <v>1024</v>
      </c>
      <c r="C804" s="95">
        <v>630</v>
      </c>
      <c r="D804" s="95">
        <v>943</v>
      </c>
      <c r="E804" s="95">
        <v>1573</v>
      </c>
      <c r="F804" s="95">
        <v>96180317</v>
      </c>
      <c r="G804" s="95">
        <v>180646625</v>
      </c>
      <c r="H804" s="95">
        <v>276826943</v>
      </c>
      <c r="I804" s="91" t="s">
        <v>71</v>
      </c>
      <c r="J804" s="91" t="s">
        <v>1118</v>
      </c>
      <c r="K804" s="94">
        <v>910455</v>
      </c>
      <c r="L804" s="91" t="s">
        <v>978</v>
      </c>
      <c r="M804" s="2"/>
      <c r="N804" s="2"/>
      <c r="O804" s="4"/>
    </row>
    <row r="805" spans="1:15" x14ac:dyDescent="0.2">
      <c r="A805" s="91" t="s">
        <v>212</v>
      </c>
      <c r="B805" s="91" t="s">
        <v>357</v>
      </c>
      <c r="C805" s="95">
        <v>83</v>
      </c>
      <c r="D805" s="95">
        <v>118</v>
      </c>
      <c r="E805" s="95">
        <v>201</v>
      </c>
      <c r="F805" s="95">
        <v>3697059</v>
      </c>
      <c r="G805" s="95">
        <v>6771741</v>
      </c>
      <c r="H805" s="95">
        <v>10468800</v>
      </c>
      <c r="I805" s="91" t="s">
        <v>171</v>
      </c>
      <c r="J805" s="91" t="s">
        <v>1121</v>
      </c>
      <c r="K805" s="94">
        <v>912220</v>
      </c>
      <c r="L805" s="91" t="s">
        <v>209</v>
      </c>
      <c r="M805" s="2"/>
      <c r="N805" s="2"/>
      <c r="O805" s="4"/>
    </row>
    <row r="806" spans="1:15" x14ac:dyDescent="0.2">
      <c r="A806" s="91" t="s">
        <v>173</v>
      </c>
      <c r="B806" s="91" t="s">
        <v>649</v>
      </c>
      <c r="C806" s="95">
        <v>15969</v>
      </c>
      <c r="D806" s="95">
        <v>18919</v>
      </c>
      <c r="E806" s="95">
        <v>34888</v>
      </c>
      <c r="F806" s="95">
        <v>2140026836</v>
      </c>
      <c r="G806" s="95">
        <v>3080519068</v>
      </c>
      <c r="H806" s="95">
        <v>5220545903</v>
      </c>
      <c r="I806" s="91" t="s">
        <v>71</v>
      </c>
      <c r="J806" s="91" t="s">
        <v>1118</v>
      </c>
      <c r="K806" s="94">
        <v>912287</v>
      </c>
      <c r="L806" s="91" t="s">
        <v>368</v>
      </c>
      <c r="M806" s="2"/>
      <c r="N806" s="2"/>
      <c r="O806" s="4"/>
    </row>
    <row r="807" spans="1:15" x14ac:dyDescent="0.2">
      <c r="A807" s="91" t="s">
        <v>310</v>
      </c>
      <c r="B807" s="91" t="s">
        <v>574</v>
      </c>
      <c r="C807" s="95">
        <v>3666</v>
      </c>
      <c r="D807" s="95">
        <v>4706</v>
      </c>
      <c r="E807" s="95">
        <v>8372</v>
      </c>
      <c r="F807" s="95">
        <v>117700607</v>
      </c>
      <c r="G807" s="95">
        <v>189990520</v>
      </c>
      <c r="H807" s="95">
        <v>307691127</v>
      </c>
      <c r="I807" s="91" t="s">
        <v>171</v>
      </c>
      <c r="J807" s="91" t="s">
        <v>1121</v>
      </c>
      <c r="K807" s="94">
        <v>914945</v>
      </c>
      <c r="L807" s="91" t="s">
        <v>249</v>
      </c>
      <c r="M807" s="2"/>
      <c r="N807" s="2"/>
      <c r="O807" s="4"/>
    </row>
    <row r="808" spans="1:15" x14ac:dyDescent="0.2">
      <c r="A808" s="91" t="s">
        <v>697</v>
      </c>
      <c r="B808" s="91" t="s">
        <v>784</v>
      </c>
      <c r="C808" s="95">
        <v>211</v>
      </c>
      <c r="D808" s="95">
        <v>304</v>
      </c>
      <c r="E808" s="95">
        <v>515</v>
      </c>
      <c r="F808" s="95">
        <v>5833053</v>
      </c>
      <c r="G808" s="95">
        <v>10977055</v>
      </c>
      <c r="H808" s="95">
        <v>16810108</v>
      </c>
      <c r="I808" s="91" t="s">
        <v>71</v>
      </c>
      <c r="J808" s="91" t="s">
        <v>1121</v>
      </c>
      <c r="K808" s="94">
        <v>916122</v>
      </c>
      <c r="L808" s="91" t="s">
        <v>768</v>
      </c>
      <c r="M808" s="2"/>
      <c r="N808" s="2"/>
      <c r="O808" s="4"/>
    </row>
    <row r="809" spans="1:15" x14ac:dyDescent="0.2">
      <c r="A809" s="91" t="s">
        <v>264</v>
      </c>
      <c r="B809" s="91" t="s">
        <v>472</v>
      </c>
      <c r="C809" s="95">
        <v>10588</v>
      </c>
      <c r="D809" s="95">
        <v>12655</v>
      </c>
      <c r="E809" s="95">
        <v>23243</v>
      </c>
      <c r="F809" s="95">
        <v>495973765</v>
      </c>
      <c r="G809" s="95">
        <v>727373274</v>
      </c>
      <c r="H809" s="95">
        <v>1223347039</v>
      </c>
      <c r="I809" s="91" t="s">
        <v>171</v>
      </c>
      <c r="J809" s="91" t="s">
        <v>1121</v>
      </c>
      <c r="K809" s="94">
        <v>916189</v>
      </c>
      <c r="L809" s="91" t="s">
        <v>231</v>
      </c>
      <c r="M809" s="2"/>
      <c r="N809" s="2"/>
      <c r="O809" s="4"/>
    </row>
    <row r="810" spans="1:15" x14ac:dyDescent="0.2">
      <c r="A810" s="91" t="s">
        <v>379</v>
      </c>
      <c r="B810" s="91" t="s">
        <v>1010</v>
      </c>
      <c r="C810" s="95">
        <v>1133</v>
      </c>
      <c r="D810" s="95">
        <v>1610</v>
      </c>
      <c r="E810" s="95">
        <v>2743</v>
      </c>
      <c r="F810" s="95">
        <v>61039432</v>
      </c>
      <c r="G810" s="95">
        <v>97520756</v>
      </c>
      <c r="H810" s="95">
        <v>158560188</v>
      </c>
      <c r="I810" s="91" t="s">
        <v>71</v>
      </c>
      <c r="J810" s="91" t="s">
        <v>1121</v>
      </c>
      <c r="K810" s="94">
        <v>917716</v>
      </c>
      <c r="L810" s="91" t="s">
        <v>861</v>
      </c>
      <c r="M810" s="2"/>
      <c r="N810" s="2"/>
      <c r="O810" s="4"/>
    </row>
    <row r="811" spans="1:15" x14ac:dyDescent="0.2">
      <c r="A811" s="91" t="s">
        <v>243</v>
      </c>
      <c r="B811" s="91" t="s">
        <v>730</v>
      </c>
      <c r="C811" s="95">
        <v>698</v>
      </c>
      <c r="D811" s="95">
        <v>805</v>
      </c>
      <c r="E811" s="95">
        <v>1503</v>
      </c>
      <c r="F811" s="95">
        <v>21942437</v>
      </c>
      <c r="G811" s="95">
        <v>29463791</v>
      </c>
      <c r="H811" s="95">
        <v>51406229</v>
      </c>
      <c r="I811" s="91" t="s">
        <v>71</v>
      </c>
      <c r="J811" s="91" t="s">
        <v>1122</v>
      </c>
      <c r="K811" s="94">
        <v>917898</v>
      </c>
      <c r="L811" s="91" t="s">
        <v>497</v>
      </c>
      <c r="M811" s="2"/>
      <c r="N811" s="2"/>
      <c r="O811" s="4"/>
    </row>
    <row r="812" spans="1:15" x14ac:dyDescent="0.2">
      <c r="A812" s="91" t="s">
        <v>310</v>
      </c>
      <c r="B812" s="91" t="s">
        <v>1069</v>
      </c>
      <c r="C812" s="95">
        <v>204</v>
      </c>
      <c r="D812" s="95">
        <v>248</v>
      </c>
      <c r="E812" s="95">
        <v>452</v>
      </c>
      <c r="F812" s="95">
        <v>5725947</v>
      </c>
      <c r="G812" s="95">
        <v>8829040</v>
      </c>
      <c r="H812" s="95">
        <v>14554987</v>
      </c>
      <c r="I812" s="91" t="s">
        <v>71</v>
      </c>
      <c r="J812" s="91" t="s">
        <v>1121</v>
      </c>
      <c r="K812" s="94">
        <v>917955</v>
      </c>
      <c r="L812" s="91" t="s">
        <v>454</v>
      </c>
      <c r="M812" s="2"/>
      <c r="N812" s="2"/>
      <c r="O812" s="4"/>
    </row>
    <row r="813" spans="1:15" x14ac:dyDescent="0.2">
      <c r="A813" s="91" t="s">
        <v>370</v>
      </c>
      <c r="B813" s="91" t="s">
        <v>972</v>
      </c>
      <c r="C813" s="95">
        <v>67</v>
      </c>
      <c r="D813" s="95">
        <v>94</v>
      </c>
      <c r="E813" s="95">
        <v>161</v>
      </c>
      <c r="F813" s="95">
        <v>1243271</v>
      </c>
      <c r="G813" s="95">
        <v>2368287</v>
      </c>
      <c r="H813" s="95">
        <v>3611558</v>
      </c>
      <c r="I813" s="91" t="s">
        <v>71</v>
      </c>
      <c r="J813" s="91" t="s">
        <v>1121</v>
      </c>
      <c r="K813" s="94">
        <v>918367</v>
      </c>
      <c r="L813" s="91" t="s">
        <v>715</v>
      </c>
      <c r="M813" s="2"/>
      <c r="N813" s="2"/>
      <c r="O813" s="4"/>
    </row>
    <row r="814" spans="1:15" x14ac:dyDescent="0.2">
      <c r="A814" s="91" t="s">
        <v>310</v>
      </c>
      <c r="B814" s="91" t="s">
        <v>513</v>
      </c>
      <c r="C814" s="95">
        <v>2517</v>
      </c>
      <c r="D814" s="95">
        <v>3568</v>
      </c>
      <c r="E814" s="95">
        <v>6085</v>
      </c>
      <c r="F814" s="95">
        <v>58443780</v>
      </c>
      <c r="G814" s="95">
        <v>103813976</v>
      </c>
      <c r="H814" s="95">
        <v>162257756</v>
      </c>
      <c r="I814" s="91" t="s">
        <v>71</v>
      </c>
      <c r="J814" s="91" t="s">
        <v>1121</v>
      </c>
      <c r="K814" s="94">
        <v>919787</v>
      </c>
      <c r="L814" s="91" t="s">
        <v>231</v>
      </c>
      <c r="M814" s="2"/>
      <c r="N814" s="2"/>
      <c r="O814" s="4"/>
    </row>
    <row r="815" spans="1:15" x14ac:dyDescent="0.2">
      <c r="A815" s="91" t="s">
        <v>408</v>
      </c>
      <c r="B815" s="91" t="s">
        <v>982</v>
      </c>
      <c r="C815" s="95">
        <v>249</v>
      </c>
      <c r="D815" s="95">
        <v>357</v>
      </c>
      <c r="E815" s="95">
        <v>606</v>
      </c>
      <c r="F815" s="95">
        <v>8350711</v>
      </c>
      <c r="G815" s="95">
        <v>13518350</v>
      </c>
      <c r="H815" s="95">
        <v>21869061</v>
      </c>
      <c r="I815" s="91" t="s">
        <v>71</v>
      </c>
      <c r="J815" s="91" t="s">
        <v>1121</v>
      </c>
      <c r="K815" s="94">
        <v>920371</v>
      </c>
      <c r="L815" s="91" t="s">
        <v>1133</v>
      </c>
      <c r="M815" s="2"/>
      <c r="N815" s="2"/>
      <c r="O815" s="4"/>
    </row>
    <row r="816" spans="1:15" x14ac:dyDescent="0.2">
      <c r="A816" s="91" t="s">
        <v>239</v>
      </c>
      <c r="B816" s="91" t="s">
        <v>813</v>
      </c>
      <c r="C816" s="95">
        <v>320</v>
      </c>
      <c r="D816" s="95">
        <v>444</v>
      </c>
      <c r="E816" s="95">
        <v>764</v>
      </c>
      <c r="F816" s="95">
        <v>6040735</v>
      </c>
      <c r="G816" s="95">
        <v>11168653</v>
      </c>
      <c r="H816" s="95">
        <v>17209388</v>
      </c>
      <c r="I816" s="91" t="s">
        <v>71</v>
      </c>
      <c r="J816" s="91" t="s">
        <v>1121</v>
      </c>
      <c r="K816" s="94">
        <v>920439</v>
      </c>
      <c r="L816" s="91" t="s">
        <v>495</v>
      </c>
      <c r="M816" s="2"/>
      <c r="N816" s="2"/>
      <c r="O816" s="4"/>
    </row>
    <row r="817" spans="1:15" x14ac:dyDescent="0.2">
      <c r="A817" s="91" t="s">
        <v>212</v>
      </c>
      <c r="B817" s="91" t="s">
        <v>1065</v>
      </c>
      <c r="C817" s="95">
        <v>203</v>
      </c>
      <c r="D817" s="95">
        <v>289</v>
      </c>
      <c r="E817" s="95">
        <v>492</v>
      </c>
      <c r="F817" s="95">
        <v>6734972</v>
      </c>
      <c r="G817" s="95">
        <v>11423677</v>
      </c>
      <c r="H817" s="95">
        <v>18158650</v>
      </c>
      <c r="I817" s="91" t="s">
        <v>71</v>
      </c>
      <c r="J817" s="91" t="s">
        <v>1121</v>
      </c>
      <c r="K817" s="94">
        <v>923383</v>
      </c>
      <c r="L817" s="91" t="s">
        <v>454</v>
      </c>
      <c r="M817" s="2"/>
      <c r="N817" s="2"/>
      <c r="O817" s="4"/>
    </row>
    <row r="818" spans="1:15" x14ac:dyDescent="0.2">
      <c r="A818" s="91" t="s">
        <v>487</v>
      </c>
      <c r="B818" s="91" t="s">
        <v>1079</v>
      </c>
      <c r="C818" s="95">
        <v>198</v>
      </c>
      <c r="D818" s="95">
        <v>305</v>
      </c>
      <c r="E818" s="95">
        <v>503</v>
      </c>
      <c r="F818" s="95">
        <v>3962355</v>
      </c>
      <c r="G818" s="95">
        <v>8176927</v>
      </c>
      <c r="H818" s="95">
        <v>12139282</v>
      </c>
      <c r="I818" s="91" t="s">
        <v>71</v>
      </c>
      <c r="J818" s="91" t="s">
        <v>1121</v>
      </c>
      <c r="K818" s="94">
        <v>925099</v>
      </c>
      <c r="L818" s="91" t="s">
        <v>454</v>
      </c>
      <c r="M818" s="2"/>
      <c r="N818" s="2"/>
      <c r="O818" s="4"/>
    </row>
    <row r="819" spans="1:15" x14ac:dyDescent="0.2">
      <c r="A819" s="91" t="s">
        <v>223</v>
      </c>
      <c r="B819" s="91" t="s">
        <v>961</v>
      </c>
      <c r="C819" s="95">
        <v>5997</v>
      </c>
      <c r="D819" s="95">
        <v>7310</v>
      </c>
      <c r="E819" s="95">
        <v>13307</v>
      </c>
      <c r="F819" s="95">
        <v>575518813</v>
      </c>
      <c r="G819" s="95">
        <v>755928503</v>
      </c>
      <c r="H819" s="95">
        <v>1331447316</v>
      </c>
      <c r="I819" s="91" t="s">
        <v>171</v>
      </c>
      <c r="J819" s="91" t="s">
        <v>1122</v>
      </c>
      <c r="K819" s="94">
        <v>925628</v>
      </c>
      <c r="L819" s="91" t="s">
        <v>962</v>
      </c>
      <c r="M819" s="2"/>
      <c r="N819" s="2"/>
      <c r="O819" s="4"/>
    </row>
    <row r="820" spans="1:15" x14ac:dyDescent="0.2">
      <c r="A820" s="91" t="s">
        <v>266</v>
      </c>
      <c r="B820" s="91" t="s">
        <v>596</v>
      </c>
      <c r="C820" s="95">
        <v>969</v>
      </c>
      <c r="D820" s="95">
        <v>863</v>
      </c>
      <c r="E820" s="95">
        <v>1832</v>
      </c>
      <c r="F820" s="95">
        <v>75130359</v>
      </c>
      <c r="G820" s="95">
        <v>70918642</v>
      </c>
      <c r="H820" s="95">
        <v>146049001</v>
      </c>
      <c r="I820" s="91" t="s">
        <v>171</v>
      </c>
      <c r="J820" s="91" t="s">
        <v>1118</v>
      </c>
      <c r="K820" s="94">
        <v>927632</v>
      </c>
      <c r="L820" s="91" t="s">
        <v>247</v>
      </c>
      <c r="M820" s="2"/>
      <c r="N820" s="2"/>
      <c r="O820" s="4"/>
    </row>
    <row r="821" spans="1:15" x14ac:dyDescent="0.2">
      <c r="A821" s="91" t="s">
        <v>404</v>
      </c>
      <c r="B821" s="91" t="s">
        <v>63</v>
      </c>
      <c r="C821" s="95">
        <v>66686</v>
      </c>
      <c r="D821" s="95">
        <v>63079</v>
      </c>
      <c r="E821" s="95">
        <v>129765</v>
      </c>
      <c r="F821" s="95">
        <v>2356394391</v>
      </c>
      <c r="G821" s="95">
        <v>2882937252</v>
      </c>
      <c r="H821" s="95">
        <v>5239331643</v>
      </c>
      <c r="I821" s="91" t="s">
        <v>171</v>
      </c>
      <c r="J821" s="91" t="s">
        <v>1121</v>
      </c>
      <c r="K821" s="94">
        <v>928341</v>
      </c>
      <c r="L821" s="91" t="s">
        <v>200</v>
      </c>
      <c r="M821" s="2"/>
      <c r="N821" s="2"/>
      <c r="O821" s="4"/>
    </row>
    <row r="822" spans="1:15" x14ac:dyDescent="0.2">
      <c r="A822" s="91" t="s">
        <v>264</v>
      </c>
      <c r="B822" s="91" t="s">
        <v>560</v>
      </c>
      <c r="C822" s="95">
        <v>2130</v>
      </c>
      <c r="D822" s="95">
        <v>2083</v>
      </c>
      <c r="E822" s="95">
        <v>4213</v>
      </c>
      <c r="F822" s="95">
        <v>89942312</v>
      </c>
      <c r="G822" s="95">
        <v>99823374</v>
      </c>
      <c r="H822" s="95">
        <v>189765686</v>
      </c>
      <c r="I822" s="91" t="s">
        <v>171</v>
      </c>
      <c r="J822" s="91" t="s">
        <v>1121</v>
      </c>
      <c r="K822" s="94">
        <v>928937</v>
      </c>
      <c r="L822" s="91" t="s">
        <v>194</v>
      </c>
      <c r="M822" s="2"/>
      <c r="N822" s="2"/>
      <c r="O822" s="4"/>
    </row>
    <row r="823" spans="1:15" x14ac:dyDescent="0.2">
      <c r="A823" s="91" t="s">
        <v>245</v>
      </c>
      <c r="B823" s="91" t="s">
        <v>294</v>
      </c>
      <c r="C823" s="95">
        <v>442</v>
      </c>
      <c r="D823" s="95">
        <v>844</v>
      </c>
      <c r="E823" s="95">
        <v>1286</v>
      </c>
      <c r="F823" s="95">
        <v>19894439</v>
      </c>
      <c r="G823" s="95">
        <v>44916781</v>
      </c>
      <c r="H823" s="95">
        <v>64811221</v>
      </c>
      <c r="I823" s="91" t="s">
        <v>171</v>
      </c>
      <c r="J823" s="91" t="s">
        <v>1121</v>
      </c>
      <c r="K823" s="94">
        <v>929224</v>
      </c>
      <c r="L823" s="91" t="s">
        <v>231</v>
      </c>
      <c r="M823" s="2"/>
      <c r="N823" s="2"/>
      <c r="O823" s="4"/>
    </row>
    <row r="824" spans="1:15" x14ac:dyDescent="0.2">
      <c r="A824" s="91" t="s">
        <v>243</v>
      </c>
      <c r="B824" s="91" t="s">
        <v>629</v>
      </c>
      <c r="C824" s="95">
        <v>128</v>
      </c>
      <c r="D824" s="95">
        <v>196</v>
      </c>
      <c r="E824" s="95">
        <v>324</v>
      </c>
      <c r="F824" s="95">
        <v>4194481</v>
      </c>
      <c r="G824" s="95">
        <v>7924262</v>
      </c>
      <c r="H824" s="95">
        <v>12118743</v>
      </c>
      <c r="I824" s="91" t="s">
        <v>71</v>
      </c>
      <c r="J824" s="91" t="s">
        <v>1122</v>
      </c>
      <c r="K824" s="94">
        <v>930768</v>
      </c>
      <c r="L824" s="91" t="s">
        <v>616</v>
      </c>
      <c r="M824" s="2"/>
      <c r="N824" s="2"/>
      <c r="O824" s="4"/>
    </row>
    <row r="825" spans="1:15" x14ac:dyDescent="0.2">
      <c r="A825" s="91" t="s">
        <v>223</v>
      </c>
      <c r="B825" s="91" t="s">
        <v>539</v>
      </c>
      <c r="C825" s="95">
        <v>58</v>
      </c>
      <c r="D825" s="95">
        <v>86</v>
      </c>
      <c r="E825" s="95">
        <v>144</v>
      </c>
      <c r="F825" s="95">
        <v>2358506</v>
      </c>
      <c r="G825" s="95">
        <v>4686164</v>
      </c>
      <c r="H825" s="95">
        <v>7044670</v>
      </c>
      <c r="I825" s="91" t="s">
        <v>171</v>
      </c>
      <c r="J825" s="91" t="s">
        <v>1122</v>
      </c>
      <c r="K825" s="94">
        <v>934711</v>
      </c>
      <c r="L825" s="91" t="s">
        <v>216</v>
      </c>
      <c r="M825" s="2"/>
      <c r="N825" s="2"/>
      <c r="O825" s="4"/>
    </row>
    <row r="826" spans="1:15" x14ac:dyDescent="0.2">
      <c r="A826" s="91" t="s">
        <v>212</v>
      </c>
      <c r="B826" s="91" t="s">
        <v>572</v>
      </c>
      <c r="C826" s="95">
        <v>991</v>
      </c>
      <c r="D826" s="95">
        <v>1390</v>
      </c>
      <c r="E826" s="95">
        <v>2381</v>
      </c>
      <c r="F826" s="95">
        <v>29911134</v>
      </c>
      <c r="G826" s="95">
        <v>49716884</v>
      </c>
      <c r="H826" s="95">
        <v>79628018</v>
      </c>
      <c r="I826" s="91" t="s">
        <v>171</v>
      </c>
      <c r="J826" s="91" t="s">
        <v>1121</v>
      </c>
      <c r="K826" s="94">
        <v>936781</v>
      </c>
      <c r="L826" s="91" t="s">
        <v>361</v>
      </c>
      <c r="M826" s="2"/>
      <c r="N826" s="2"/>
      <c r="O826" s="4"/>
    </row>
    <row r="827" spans="1:15" x14ac:dyDescent="0.2">
      <c r="A827" s="91" t="s">
        <v>260</v>
      </c>
      <c r="B827" s="91" t="s">
        <v>657</v>
      </c>
      <c r="C827" s="95">
        <v>3662</v>
      </c>
      <c r="D827" s="95">
        <v>3646</v>
      </c>
      <c r="E827" s="95">
        <v>7308</v>
      </c>
      <c r="F827" s="95">
        <v>177451993</v>
      </c>
      <c r="G827" s="95">
        <v>211400841</v>
      </c>
      <c r="H827" s="95">
        <v>388852834</v>
      </c>
      <c r="I827" s="91" t="s">
        <v>171</v>
      </c>
      <c r="J827" s="91" t="s">
        <v>1121</v>
      </c>
      <c r="K827" s="94">
        <v>937433</v>
      </c>
      <c r="L827" s="91" t="s">
        <v>247</v>
      </c>
      <c r="M827" s="2"/>
      <c r="N827" s="2"/>
      <c r="O827" s="4"/>
    </row>
    <row r="828" spans="1:15" x14ac:dyDescent="0.2">
      <c r="A828" s="91" t="s">
        <v>370</v>
      </c>
      <c r="B828" s="91" t="s">
        <v>1090</v>
      </c>
      <c r="C828" s="95">
        <v>838</v>
      </c>
      <c r="D828" s="95">
        <v>1198</v>
      </c>
      <c r="E828" s="95">
        <v>2036</v>
      </c>
      <c r="F828" s="95">
        <v>12112515</v>
      </c>
      <c r="G828" s="95">
        <v>23131929</v>
      </c>
      <c r="H828" s="95">
        <v>35244445</v>
      </c>
      <c r="I828" s="91" t="s">
        <v>71</v>
      </c>
      <c r="J828" s="91" t="s">
        <v>1121</v>
      </c>
      <c r="K828" s="94">
        <v>938498</v>
      </c>
      <c r="L828" s="91" t="s">
        <v>811</v>
      </c>
      <c r="M828" s="2"/>
      <c r="N828" s="2"/>
      <c r="O828" s="4"/>
    </row>
    <row r="829" spans="1:15" x14ac:dyDescent="0.2">
      <c r="A829" s="91" t="s">
        <v>264</v>
      </c>
      <c r="B829" s="91" t="s">
        <v>421</v>
      </c>
      <c r="C829" s="95">
        <v>6288</v>
      </c>
      <c r="D829" s="95">
        <v>7265</v>
      </c>
      <c r="E829" s="95">
        <v>13553</v>
      </c>
      <c r="F829" s="95">
        <v>229817259</v>
      </c>
      <c r="G829" s="95">
        <v>337406247</v>
      </c>
      <c r="H829" s="95">
        <v>567223506</v>
      </c>
      <c r="I829" s="91" t="s">
        <v>171</v>
      </c>
      <c r="J829" s="91" t="s">
        <v>1121</v>
      </c>
      <c r="K829" s="94">
        <v>939850</v>
      </c>
      <c r="L829" s="91" t="s">
        <v>200</v>
      </c>
      <c r="M829" s="2"/>
      <c r="N829" s="2"/>
      <c r="O829" s="4"/>
    </row>
    <row r="830" spans="1:15" x14ac:dyDescent="0.2">
      <c r="A830" s="91" t="s">
        <v>212</v>
      </c>
      <c r="B830" s="91" t="s">
        <v>279</v>
      </c>
      <c r="C830" s="95">
        <v>40660</v>
      </c>
      <c r="D830" s="95">
        <v>39702</v>
      </c>
      <c r="E830" s="95">
        <v>80362</v>
      </c>
      <c r="F830" s="95">
        <v>1714615699</v>
      </c>
      <c r="G830" s="95">
        <v>2080135126</v>
      </c>
      <c r="H830" s="95">
        <v>3794750825</v>
      </c>
      <c r="I830" s="91" t="s">
        <v>171</v>
      </c>
      <c r="J830" s="91" t="s">
        <v>1121</v>
      </c>
      <c r="K830" s="94">
        <v>941096</v>
      </c>
      <c r="L830" s="91" t="s">
        <v>200</v>
      </c>
      <c r="M830" s="2"/>
      <c r="N830" s="2"/>
      <c r="O830" s="4"/>
    </row>
    <row r="831" spans="1:15" x14ac:dyDescent="0.2">
      <c r="A831" s="91" t="s">
        <v>370</v>
      </c>
      <c r="B831" s="91" t="s">
        <v>837</v>
      </c>
      <c r="C831" s="95">
        <v>103</v>
      </c>
      <c r="D831" s="95">
        <v>254</v>
      </c>
      <c r="E831" s="95">
        <v>357</v>
      </c>
      <c r="F831" s="95">
        <v>2639749</v>
      </c>
      <c r="G831" s="95">
        <v>8358910</v>
      </c>
      <c r="H831" s="95">
        <v>10998659</v>
      </c>
      <c r="I831" s="91" t="s">
        <v>71</v>
      </c>
      <c r="J831" s="91" t="s">
        <v>1121</v>
      </c>
      <c r="K831" s="94">
        <v>942094</v>
      </c>
      <c r="L831" s="91" t="s">
        <v>838</v>
      </c>
      <c r="M831" s="2"/>
      <c r="N831" s="2"/>
      <c r="O831" s="4"/>
    </row>
    <row r="832" spans="1:15" x14ac:dyDescent="0.2">
      <c r="A832" s="91" t="s">
        <v>260</v>
      </c>
      <c r="B832" s="91" t="s">
        <v>1074</v>
      </c>
      <c r="C832" s="95">
        <v>25</v>
      </c>
      <c r="D832" s="95">
        <v>51</v>
      </c>
      <c r="E832" s="95">
        <v>76</v>
      </c>
      <c r="F832" s="95">
        <v>700664</v>
      </c>
      <c r="G832" s="95">
        <v>1608017</v>
      </c>
      <c r="H832" s="95">
        <v>2308681</v>
      </c>
      <c r="I832" s="91" t="s">
        <v>71</v>
      </c>
      <c r="J832" s="91" t="s">
        <v>1121</v>
      </c>
      <c r="K832" s="94">
        <v>942623</v>
      </c>
      <c r="L832" s="91" t="s">
        <v>763</v>
      </c>
      <c r="M832" s="2"/>
      <c r="N832" s="2"/>
      <c r="O832" s="4"/>
    </row>
    <row r="833" spans="1:15" x14ac:dyDescent="0.2">
      <c r="A833" s="91" t="s">
        <v>239</v>
      </c>
      <c r="B833" s="91" t="s">
        <v>739</v>
      </c>
      <c r="C833" s="95">
        <v>978</v>
      </c>
      <c r="D833" s="95">
        <v>1485</v>
      </c>
      <c r="E833" s="95">
        <v>2463</v>
      </c>
      <c r="F833" s="95">
        <v>55350520</v>
      </c>
      <c r="G833" s="95">
        <v>106669621</v>
      </c>
      <c r="H833" s="95">
        <v>162020140</v>
      </c>
      <c r="I833" s="91" t="s">
        <v>71</v>
      </c>
      <c r="J833" s="91" t="s">
        <v>1121</v>
      </c>
      <c r="K833" s="94">
        <v>944637</v>
      </c>
      <c r="L833" s="91" t="s">
        <v>535</v>
      </c>
      <c r="M833" s="2"/>
      <c r="N833" s="2"/>
      <c r="O833" s="4"/>
    </row>
    <row r="834" spans="1:15" x14ac:dyDescent="0.2">
      <c r="A834" s="91" t="s">
        <v>223</v>
      </c>
      <c r="B834" s="91" t="s">
        <v>1129</v>
      </c>
      <c r="C834" s="95">
        <v>117</v>
      </c>
      <c r="D834" s="95">
        <v>166</v>
      </c>
      <c r="E834" s="95">
        <v>283</v>
      </c>
      <c r="F834" s="95">
        <v>4608620</v>
      </c>
      <c r="G834" s="95">
        <v>8706376</v>
      </c>
      <c r="H834" s="95">
        <v>13314996</v>
      </c>
      <c r="I834" s="91" t="s">
        <v>71</v>
      </c>
      <c r="J834" s="91" t="s">
        <v>1122</v>
      </c>
      <c r="K834" s="94">
        <v>945162</v>
      </c>
      <c r="L834" s="91" t="s">
        <v>635</v>
      </c>
      <c r="M834" s="2"/>
      <c r="N834" s="2"/>
      <c r="O834" s="4"/>
    </row>
    <row r="835" spans="1:15" x14ac:dyDescent="0.2">
      <c r="A835" s="91" t="s">
        <v>173</v>
      </c>
      <c r="B835" s="91" t="s">
        <v>169</v>
      </c>
      <c r="C835" s="95">
        <v>232</v>
      </c>
      <c r="D835" s="95">
        <v>572</v>
      </c>
      <c r="E835" s="95">
        <v>804</v>
      </c>
      <c r="F835" s="95">
        <v>7595752</v>
      </c>
      <c r="G835" s="95">
        <v>25006216</v>
      </c>
      <c r="H835" s="95">
        <v>32601968</v>
      </c>
      <c r="I835" s="91" t="s">
        <v>171</v>
      </c>
      <c r="J835" s="91" t="s">
        <v>1118</v>
      </c>
      <c r="K835" s="94">
        <v>946228</v>
      </c>
      <c r="L835" s="91" t="s">
        <v>172</v>
      </c>
      <c r="M835" s="2"/>
      <c r="N835" s="2"/>
      <c r="O835" s="4"/>
    </row>
    <row r="836" spans="1:15" x14ac:dyDescent="0.2">
      <c r="A836" s="91" t="s">
        <v>173</v>
      </c>
      <c r="B836" s="91" t="s">
        <v>977</v>
      </c>
      <c r="C836" s="95">
        <v>2969</v>
      </c>
      <c r="D836" s="95">
        <v>5568</v>
      </c>
      <c r="E836" s="95">
        <v>8537</v>
      </c>
      <c r="F836" s="95">
        <v>506577719</v>
      </c>
      <c r="G836" s="95">
        <v>1139057688</v>
      </c>
      <c r="H836" s="95">
        <v>1645635406</v>
      </c>
      <c r="I836" s="91" t="s">
        <v>71</v>
      </c>
      <c r="J836" s="91" t="s">
        <v>1118</v>
      </c>
      <c r="K836" s="94">
        <v>946285</v>
      </c>
      <c r="L836" s="91" t="s">
        <v>978</v>
      </c>
      <c r="M836" s="2"/>
      <c r="N836" s="2"/>
      <c r="O836" s="4"/>
    </row>
    <row r="837" spans="1:15" x14ac:dyDescent="0.2">
      <c r="A837" s="91" t="s">
        <v>173</v>
      </c>
      <c r="B837" s="91" t="s">
        <v>716</v>
      </c>
      <c r="C837" s="95">
        <v>1587</v>
      </c>
      <c r="D837" s="95">
        <v>2944</v>
      </c>
      <c r="E837" s="95">
        <v>4531</v>
      </c>
      <c r="F837" s="95">
        <v>129997028</v>
      </c>
      <c r="G837" s="95">
        <v>315883728</v>
      </c>
      <c r="H837" s="95">
        <v>445880756</v>
      </c>
      <c r="I837" s="91" t="s">
        <v>71</v>
      </c>
      <c r="J837" s="91" t="s">
        <v>1118</v>
      </c>
      <c r="K837" s="94">
        <v>948117</v>
      </c>
      <c r="L837" s="91" t="s">
        <v>368</v>
      </c>
      <c r="M837" s="2"/>
      <c r="N837" s="2"/>
      <c r="O837" s="4"/>
    </row>
    <row r="838" spans="1:15" x14ac:dyDescent="0.2">
      <c r="A838" s="91" t="s">
        <v>413</v>
      </c>
      <c r="B838" s="91" t="s">
        <v>925</v>
      </c>
      <c r="C838" s="95">
        <v>6</v>
      </c>
      <c r="D838" s="95">
        <v>18</v>
      </c>
      <c r="E838" s="95">
        <v>24</v>
      </c>
      <c r="F838" s="95">
        <v>102015</v>
      </c>
      <c r="G838" s="95">
        <v>413407</v>
      </c>
      <c r="H838" s="95">
        <v>515422</v>
      </c>
      <c r="I838" s="91" t="s">
        <v>71</v>
      </c>
      <c r="J838" s="91" t="s">
        <v>1121</v>
      </c>
      <c r="K838" s="94">
        <v>949941</v>
      </c>
      <c r="L838" s="91" t="s">
        <v>722</v>
      </c>
      <c r="M838" s="2"/>
      <c r="N838" s="2"/>
      <c r="O838" s="4"/>
    </row>
    <row r="839" spans="1:15" x14ac:dyDescent="0.2">
      <c r="A839" s="91" t="s">
        <v>379</v>
      </c>
      <c r="B839" s="91" t="s">
        <v>575</v>
      </c>
      <c r="C839" s="95">
        <v>6329</v>
      </c>
      <c r="D839" s="95">
        <v>7260</v>
      </c>
      <c r="E839" s="95">
        <v>13589</v>
      </c>
      <c r="F839" s="95">
        <v>155063221</v>
      </c>
      <c r="G839" s="95">
        <v>239489168</v>
      </c>
      <c r="H839" s="95">
        <v>394552389</v>
      </c>
      <c r="I839" s="91" t="s">
        <v>171</v>
      </c>
      <c r="J839" s="91" t="s">
        <v>1121</v>
      </c>
      <c r="K839" s="94">
        <v>950774</v>
      </c>
      <c r="L839" s="91" t="s">
        <v>249</v>
      </c>
      <c r="M839" s="2"/>
      <c r="N839" s="2"/>
      <c r="O839" s="4"/>
    </row>
    <row r="840" spans="1:15" x14ac:dyDescent="0.2">
      <c r="A840" s="91" t="s">
        <v>331</v>
      </c>
      <c r="B840" s="91" t="s">
        <v>492</v>
      </c>
      <c r="C840" s="95">
        <v>21843</v>
      </c>
      <c r="D840" s="95">
        <v>25922</v>
      </c>
      <c r="E840" s="95">
        <v>47765</v>
      </c>
      <c r="F840" s="95">
        <v>1237284446</v>
      </c>
      <c r="G840" s="95">
        <v>1795602559</v>
      </c>
      <c r="H840" s="95">
        <v>3032887005</v>
      </c>
      <c r="I840" s="91" t="s">
        <v>171</v>
      </c>
      <c r="J840" s="91" t="s">
        <v>1121</v>
      </c>
      <c r="K840" s="94">
        <v>952010</v>
      </c>
      <c r="L840" s="91" t="s">
        <v>231</v>
      </c>
      <c r="M840" s="2"/>
      <c r="N840" s="2"/>
      <c r="O840" s="4"/>
    </row>
    <row r="841" spans="1:15" x14ac:dyDescent="0.2">
      <c r="A841" s="91" t="s">
        <v>243</v>
      </c>
      <c r="B841" s="91" t="s">
        <v>519</v>
      </c>
      <c r="C841" s="95">
        <v>553</v>
      </c>
      <c r="D841" s="95">
        <v>687</v>
      </c>
      <c r="E841" s="95">
        <v>1240</v>
      </c>
      <c r="F841" s="95">
        <v>17619977</v>
      </c>
      <c r="G841" s="95">
        <v>27638243</v>
      </c>
      <c r="H841" s="95">
        <v>45258220</v>
      </c>
      <c r="I841" s="91" t="s">
        <v>71</v>
      </c>
      <c r="J841" s="91" t="s">
        <v>1122</v>
      </c>
      <c r="K841" s="94">
        <v>955435</v>
      </c>
      <c r="L841" s="91" t="s">
        <v>415</v>
      </c>
      <c r="M841" s="2"/>
      <c r="N841" s="2"/>
      <c r="O841" s="4"/>
    </row>
    <row r="842" spans="1:15" x14ac:dyDescent="0.2">
      <c r="A842" s="91" t="s">
        <v>471</v>
      </c>
      <c r="B842" s="91" t="s">
        <v>904</v>
      </c>
      <c r="C842" s="95">
        <v>1924</v>
      </c>
      <c r="D842" s="95">
        <v>3296</v>
      </c>
      <c r="E842" s="95">
        <v>5220</v>
      </c>
      <c r="F842" s="95">
        <v>48734177</v>
      </c>
      <c r="G842" s="95">
        <v>102314436</v>
      </c>
      <c r="H842" s="95">
        <v>151048614</v>
      </c>
      <c r="I842" s="91" t="s">
        <v>71</v>
      </c>
      <c r="J842" s="91" t="s">
        <v>1121</v>
      </c>
      <c r="K842" s="94">
        <v>956268</v>
      </c>
      <c r="L842" s="91" t="s">
        <v>495</v>
      </c>
      <c r="M842" s="2"/>
      <c r="N842" s="2"/>
      <c r="O842" s="4"/>
    </row>
    <row r="843" spans="1:15" x14ac:dyDescent="0.2">
      <c r="A843" s="91" t="s">
        <v>265</v>
      </c>
      <c r="B843" s="91" t="s">
        <v>889</v>
      </c>
      <c r="C843" s="95">
        <v>25319</v>
      </c>
      <c r="D843" s="95">
        <v>24469</v>
      </c>
      <c r="E843" s="95">
        <v>49788</v>
      </c>
      <c r="F843" s="95">
        <v>2704962860</v>
      </c>
      <c r="G843" s="95">
        <v>3271086318</v>
      </c>
      <c r="H843" s="95">
        <v>5976049178</v>
      </c>
      <c r="I843" s="91" t="s">
        <v>71</v>
      </c>
      <c r="J843" s="91" t="s">
        <v>1121</v>
      </c>
      <c r="K843" s="94">
        <v>961458</v>
      </c>
      <c r="L843" s="91" t="s">
        <v>708</v>
      </c>
      <c r="M843" s="2"/>
      <c r="N843" s="2"/>
      <c r="O843" s="4"/>
    </row>
    <row r="844" spans="1:15" x14ac:dyDescent="0.2">
      <c r="A844" s="91" t="s">
        <v>173</v>
      </c>
      <c r="B844" s="91" t="s">
        <v>860</v>
      </c>
      <c r="C844" s="95">
        <v>840</v>
      </c>
      <c r="D844" s="95">
        <v>467</v>
      </c>
      <c r="E844" s="95">
        <v>1307</v>
      </c>
      <c r="F844" s="95">
        <v>82887763</v>
      </c>
      <c r="G844" s="95">
        <v>49435327</v>
      </c>
      <c r="H844" s="95">
        <v>132323089</v>
      </c>
      <c r="I844" s="91" t="s">
        <v>71</v>
      </c>
      <c r="J844" s="91" t="s">
        <v>1118</v>
      </c>
      <c r="K844" s="94">
        <v>961573</v>
      </c>
      <c r="L844" s="91" t="s">
        <v>861</v>
      </c>
      <c r="M844" s="2"/>
      <c r="N844" s="2"/>
      <c r="O844" s="4"/>
    </row>
    <row r="845" spans="1:15" x14ac:dyDescent="0.2">
      <c r="A845" s="91" t="s">
        <v>266</v>
      </c>
      <c r="B845" s="91" t="s">
        <v>546</v>
      </c>
      <c r="C845" s="95">
        <v>412</v>
      </c>
      <c r="D845" s="95">
        <v>533</v>
      </c>
      <c r="E845" s="95">
        <v>945</v>
      </c>
      <c r="F845" s="95">
        <v>24075794</v>
      </c>
      <c r="G845" s="95">
        <v>31962245</v>
      </c>
      <c r="H845" s="95">
        <v>56038039</v>
      </c>
      <c r="I845" s="91" t="s">
        <v>171</v>
      </c>
      <c r="J845" s="91" t="s">
        <v>1118</v>
      </c>
      <c r="K845" s="94">
        <v>963462</v>
      </c>
      <c r="L845" s="91" t="s">
        <v>247</v>
      </c>
      <c r="M845" s="2"/>
      <c r="N845" s="2"/>
      <c r="O845" s="4"/>
    </row>
    <row r="846" spans="1:15" x14ac:dyDescent="0.2">
      <c r="A846" s="91" t="s">
        <v>260</v>
      </c>
      <c r="B846" s="91" t="s">
        <v>299</v>
      </c>
      <c r="C846" s="95">
        <v>31034</v>
      </c>
      <c r="D846" s="95">
        <v>28087</v>
      </c>
      <c r="E846" s="95">
        <v>59121</v>
      </c>
      <c r="F846" s="95">
        <v>862355315</v>
      </c>
      <c r="G846" s="95">
        <v>944475660</v>
      </c>
      <c r="H846" s="95">
        <v>1806830975</v>
      </c>
      <c r="I846" s="91" t="s">
        <v>171</v>
      </c>
      <c r="J846" s="91" t="s">
        <v>1121</v>
      </c>
      <c r="K846" s="94">
        <v>964171</v>
      </c>
      <c r="L846" s="91" t="s">
        <v>200</v>
      </c>
      <c r="M846" s="2"/>
      <c r="N846" s="2"/>
      <c r="O846" s="4"/>
    </row>
    <row r="847" spans="1:15" x14ac:dyDescent="0.2">
      <c r="A847" s="91" t="s">
        <v>212</v>
      </c>
      <c r="B847" s="91" t="s">
        <v>1161</v>
      </c>
      <c r="C847" s="95">
        <v>2000</v>
      </c>
      <c r="D847" s="95">
        <v>1886</v>
      </c>
      <c r="E847" s="95">
        <v>3886</v>
      </c>
      <c r="F847" s="95">
        <v>73503820</v>
      </c>
      <c r="G847" s="95">
        <v>81698730</v>
      </c>
      <c r="H847" s="95">
        <v>155202551</v>
      </c>
      <c r="I847" s="91" t="s">
        <v>171</v>
      </c>
      <c r="J847" s="91" t="s">
        <v>1121</v>
      </c>
      <c r="K847" s="94">
        <v>964767</v>
      </c>
      <c r="L847" s="91" t="s">
        <v>194</v>
      </c>
      <c r="M847" s="2"/>
      <c r="N847" s="2"/>
      <c r="O847" s="4"/>
    </row>
    <row r="848" spans="1:15" x14ac:dyDescent="0.2">
      <c r="A848" s="91" t="s">
        <v>243</v>
      </c>
      <c r="B848" s="91" t="s">
        <v>628</v>
      </c>
      <c r="C848" s="95">
        <v>131</v>
      </c>
      <c r="D848" s="95">
        <v>115</v>
      </c>
      <c r="E848" s="95">
        <v>246</v>
      </c>
      <c r="F848" s="95">
        <v>3011215</v>
      </c>
      <c r="G848" s="95">
        <v>3280316</v>
      </c>
      <c r="H848" s="95">
        <v>6291530</v>
      </c>
      <c r="I848" s="91" t="s">
        <v>71</v>
      </c>
      <c r="J848" s="91" t="s">
        <v>1122</v>
      </c>
      <c r="K848" s="94">
        <v>966598</v>
      </c>
      <c r="L848" s="91" t="s">
        <v>616</v>
      </c>
      <c r="M848" s="2"/>
      <c r="N848" s="2"/>
      <c r="O848" s="4"/>
    </row>
    <row r="849" spans="1:15" x14ac:dyDescent="0.2">
      <c r="A849" s="91" t="s">
        <v>370</v>
      </c>
      <c r="B849" s="91" t="s">
        <v>406</v>
      </c>
      <c r="C849" s="95">
        <v>10137</v>
      </c>
      <c r="D849" s="95">
        <v>10443</v>
      </c>
      <c r="E849" s="95">
        <v>20580</v>
      </c>
      <c r="F849" s="95">
        <v>434538662</v>
      </c>
      <c r="G849" s="95">
        <v>547822806</v>
      </c>
      <c r="H849" s="95">
        <v>982361468</v>
      </c>
      <c r="I849" s="91" t="s">
        <v>171</v>
      </c>
      <c r="J849" s="91" t="s">
        <v>1121</v>
      </c>
      <c r="K849" s="94">
        <v>968420</v>
      </c>
      <c r="L849" s="91" t="s">
        <v>200</v>
      </c>
      <c r="M849" s="2"/>
      <c r="N849" s="2"/>
      <c r="O849" s="4"/>
    </row>
    <row r="850" spans="1:15" x14ac:dyDescent="0.2">
      <c r="A850" s="91" t="s">
        <v>370</v>
      </c>
      <c r="B850" s="91" t="s">
        <v>1064</v>
      </c>
      <c r="C850" s="95">
        <v>42</v>
      </c>
      <c r="D850" s="95">
        <v>85</v>
      </c>
      <c r="E850" s="95">
        <v>127</v>
      </c>
      <c r="F850" s="95">
        <v>1416475</v>
      </c>
      <c r="G850" s="95">
        <v>3947775</v>
      </c>
      <c r="H850" s="95">
        <v>5364251</v>
      </c>
      <c r="I850" s="91" t="s">
        <v>71</v>
      </c>
      <c r="J850" s="91" t="s">
        <v>1121</v>
      </c>
      <c r="K850" s="94">
        <v>968891</v>
      </c>
      <c r="L850" s="91" t="s">
        <v>454</v>
      </c>
      <c r="M850" s="2"/>
      <c r="N850" s="2"/>
      <c r="O850" s="4"/>
    </row>
    <row r="851" spans="1:15" x14ac:dyDescent="0.2">
      <c r="A851" s="91" t="s">
        <v>192</v>
      </c>
      <c r="B851" s="91" t="s">
        <v>190</v>
      </c>
      <c r="C851" s="95">
        <v>5468</v>
      </c>
      <c r="D851" s="95">
        <v>7927</v>
      </c>
      <c r="E851" s="95">
        <v>13395</v>
      </c>
      <c r="F851" s="95">
        <v>268565724</v>
      </c>
      <c r="G851" s="95">
        <v>475260375</v>
      </c>
      <c r="H851" s="95">
        <v>743826099</v>
      </c>
      <c r="I851" s="91" t="s">
        <v>171</v>
      </c>
      <c r="J851" s="91" t="s">
        <v>1122</v>
      </c>
      <c r="K851" s="94">
        <v>972497</v>
      </c>
      <c r="L851" s="91" t="s">
        <v>191</v>
      </c>
      <c r="M851" s="2"/>
      <c r="N851" s="2"/>
      <c r="O851" s="4"/>
    </row>
    <row r="852" spans="1:15" x14ac:dyDescent="0.2">
      <c r="A852" s="91" t="s">
        <v>179</v>
      </c>
      <c r="B852" s="91" t="s">
        <v>334</v>
      </c>
      <c r="C852" s="95">
        <v>7788</v>
      </c>
      <c r="D852" s="95">
        <v>6827</v>
      </c>
      <c r="E852" s="95">
        <v>14615</v>
      </c>
      <c r="F852" s="95">
        <v>473057738</v>
      </c>
      <c r="G852" s="95">
        <v>485266046</v>
      </c>
      <c r="H852" s="95">
        <v>958323784</v>
      </c>
      <c r="I852" s="91" t="s">
        <v>171</v>
      </c>
      <c r="J852" s="91" t="s">
        <v>1115</v>
      </c>
      <c r="K852" s="94">
        <v>972679</v>
      </c>
      <c r="L852" s="91" t="s">
        <v>249</v>
      </c>
      <c r="M852" s="2"/>
      <c r="N852" s="2"/>
      <c r="O852" s="4"/>
    </row>
    <row r="853" spans="1:15" x14ac:dyDescent="0.2">
      <c r="A853" s="91" t="s">
        <v>264</v>
      </c>
      <c r="B853" s="91" t="s">
        <v>605</v>
      </c>
      <c r="C853" s="95">
        <v>1957</v>
      </c>
      <c r="D853" s="95">
        <v>2237</v>
      </c>
      <c r="E853" s="95">
        <v>4194</v>
      </c>
      <c r="F853" s="95">
        <v>85068128</v>
      </c>
      <c r="G853" s="95">
        <v>116490634</v>
      </c>
      <c r="H853" s="95">
        <v>201558762</v>
      </c>
      <c r="I853" s="91" t="s">
        <v>171</v>
      </c>
      <c r="J853" s="91" t="s">
        <v>1121</v>
      </c>
      <c r="K853" s="94">
        <v>973263</v>
      </c>
      <c r="L853" s="91" t="s">
        <v>247</v>
      </c>
      <c r="M853" s="2"/>
      <c r="N853" s="2"/>
      <c r="O853" s="4"/>
    </row>
    <row r="854" spans="1:15" x14ac:dyDescent="0.2">
      <c r="A854" s="91" t="s">
        <v>264</v>
      </c>
      <c r="B854" s="91" t="s">
        <v>278</v>
      </c>
      <c r="C854" s="95">
        <v>41070</v>
      </c>
      <c r="D854" s="95">
        <v>42115</v>
      </c>
      <c r="E854" s="95">
        <v>83185</v>
      </c>
      <c r="F854" s="95">
        <v>2307615451</v>
      </c>
      <c r="G854" s="95">
        <v>2976729881</v>
      </c>
      <c r="H854" s="95">
        <v>5284345333</v>
      </c>
      <c r="I854" s="91" t="s">
        <v>171</v>
      </c>
      <c r="J854" s="91" t="s">
        <v>1121</v>
      </c>
      <c r="K854" s="94">
        <v>976928</v>
      </c>
      <c r="L854" s="91" t="s">
        <v>200</v>
      </c>
      <c r="M854" s="2"/>
      <c r="N854" s="2"/>
      <c r="O854" s="4"/>
    </row>
    <row r="855" spans="1:15" x14ac:dyDescent="0.2">
      <c r="A855" s="91" t="s">
        <v>379</v>
      </c>
      <c r="B855" s="91" t="s">
        <v>1076</v>
      </c>
      <c r="C855" s="95">
        <v>34</v>
      </c>
      <c r="D855" s="95">
        <v>88</v>
      </c>
      <c r="E855" s="95">
        <v>122</v>
      </c>
      <c r="F855" s="95">
        <v>1141051</v>
      </c>
      <c r="G855" s="95">
        <v>3365153</v>
      </c>
      <c r="H855" s="95">
        <v>4506204</v>
      </c>
      <c r="I855" s="91" t="s">
        <v>71</v>
      </c>
      <c r="J855" s="91" t="s">
        <v>1121</v>
      </c>
      <c r="K855" s="94">
        <v>978452</v>
      </c>
      <c r="L855" s="91" t="s">
        <v>763</v>
      </c>
      <c r="M855" s="2"/>
      <c r="N855" s="2"/>
      <c r="O855" s="4"/>
    </row>
    <row r="856" spans="1:15" x14ac:dyDescent="0.2">
      <c r="A856" s="91" t="s">
        <v>223</v>
      </c>
      <c r="B856" s="91" t="s">
        <v>461</v>
      </c>
      <c r="C856" s="95">
        <v>13</v>
      </c>
      <c r="D856" s="95">
        <v>12</v>
      </c>
      <c r="E856" s="95">
        <v>25</v>
      </c>
      <c r="F856" s="95">
        <v>975950</v>
      </c>
      <c r="G856" s="95">
        <v>910115</v>
      </c>
      <c r="H856" s="95">
        <v>1886065</v>
      </c>
      <c r="I856" s="91" t="s">
        <v>71</v>
      </c>
      <c r="J856" s="91" t="s">
        <v>1122</v>
      </c>
      <c r="K856" s="94">
        <v>980284</v>
      </c>
      <c r="L856" s="91" t="s">
        <v>462</v>
      </c>
      <c r="M856" s="2"/>
      <c r="N856" s="2"/>
      <c r="O856" s="4"/>
    </row>
    <row r="857" spans="1:15" x14ac:dyDescent="0.2">
      <c r="A857" s="91" t="s">
        <v>266</v>
      </c>
      <c r="B857" s="91" t="s">
        <v>396</v>
      </c>
      <c r="C857" s="95">
        <v>2865</v>
      </c>
      <c r="D857" s="95">
        <v>1404</v>
      </c>
      <c r="E857" s="95">
        <v>4269</v>
      </c>
      <c r="F857" s="95">
        <v>64570226</v>
      </c>
      <c r="G857" s="95">
        <v>31922906</v>
      </c>
      <c r="H857" s="95">
        <v>96493133</v>
      </c>
      <c r="I857" s="91" t="s">
        <v>171</v>
      </c>
      <c r="J857" s="91" t="s">
        <v>1118</v>
      </c>
      <c r="K857" s="94">
        <v>981175</v>
      </c>
      <c r="L857" s="91" t="s">
        <v>361</v>
      </c>
      <c r="M857" s="2"/>
      <c r="N857" s="2"/>
      <c r="O857" s="4"/>
    </row>
    <row r="858" spans="1:15" x14ac:dyDescent="0.2">
      <c r="A858" s="91" t="s">
        <v>173</v>
      </c>
      <c r="B858" s="91" t="s">
        <v>979</v>
      </c>
      <c r="C858" s="95">
        <v>11552</v>
      </c>
      <c r="D858" s="95">
        <v>10984</v>
      </c>
      <c r="E858" s="95">
        <v>22536</v>
      </c>
      <c r="F858" s="95">
        <v>1658189439</v>
      </c>
      <c r="G858" s="95">
        <v>1926412400</v>
      </c>
      <c r="H858" s="95">
        <v>3584601839</v>
      </c>
      <c r="I858" s="91" t="s">
        <v>71</v>
      </c>
      <c r="J858" s="91" t="s">
        <v>1118</v>
      </c>
      <c r="K858" s="94">
        <v>982116</v>
      </c>
      <c r="L858" s="91" t="s">
        <v>978</v>
      </c>
      <c r="M858" s="2"/>
      <c r="N858" s="2"/>
      <c r="O858" s="4"/>
    </row>
    <row r="859" spans="1:15" x14ac:dyDescent="0.2">
      <c r="A859" s="91" t="s">
        <v>413</v>
      </c>
      <c r="B859" s="91" t="s">
        <v>839</v>
      </c>
      <c r="C859" s="95">
        <v>3737</v>
      </c>
      <c r="D859" s="95">
        <v>5647</v>
      </c>
      <c r="E859" s="95">
        <v>9384</v>
      </c>
      <c r="F859" s="95">
        <v>82698927</v>
      </c>
      <c r="G859" s="95">
        <v>159367188</v>
      </c>
      <c r="H859" s="95">
        <v>242066115</v>
      </c>
      <c r="I859" s="91" t="s">
        <v>71</v>
      </c>
      <c r="J859" s="91" t="s">
        <v>1121</v>
      </c>
      <c r="K859" s="94">
        <v>983593</v>
      </c>
      <c r="L859" s="91" t="s">
        <v>580</v>
      </c>
      <c r="M859" s="4"/>
      <c r="N859" s="4"/>
      <c r="O859" s="4"/>
    </row>
    <row r="860" spans="1:15" x14ac:dyDescent="0.2">
      <c r="A860" s="91" t="s">
        <v>173</v>
      </c>
      <c r="B860" s="91" t="s">
        <v>611</v>
      </c>
      <c r="C860" s="95">
        <v>11856</v>
      </c>
      <c r="D860" s="95">
        <v>10103</v>
      </c>
      <c r="E860" s="95">
        <v>21959</v>
      </c>
      <c r="F860" s="95">
        <v>1497971433</v>
      </c>
      <c r="G860" s="95">
        <v>1577171628</v>
      </c>
      <c r="H860" s="95">
        <v>3075143061</v>
      </c>
      <c r="I860" s="91" t="s">
        <v>71</v>
      </c>
      <c r="J860" s="91" t="s">
        <v>1118</v>
      </c>
      <c r="K860" s="94">
        <v>983940</v>
      </c>
      <c r="L860" s="91" t="s">
        <v>368</v>
      </c>
      <c r="M860" s="4"/>
      <c r="N860" s="4"/>
      <c r="O860" s="4"/>
    </row>
    <row r="861" spans="1:15" x14ac:dyDescent="0.2">
      <c r="A861" s="91" t="s">
        <v>212</v>
      </c>
      <c r="B861" s="91" t="s">
        <v>468</v>
      </c>
      <c r="C861" s="95">
        <v>42033</v>
      </c>
      <c r="D861" s="95">
        <v>47938</v>
      </c>
      <c r="E861" s="95">
        <v>89971</v>
      </c>
      <c r="F861" s="95">
        <v>1682650447</v>
      </c>
      <c r="G861" s="95">
        <v>2313430933</v>
      </c>
      <c r="H861" s="95">
        <v>3996081380</v>
      </c>
      <c r="I861" s="91" t="s">
        <v>71</v>
      </c>
      <c r="J861" s="91" t="s">
        <v>1121</v>
      </c>
      <c r="K861" s="94">
        <v>984187</v>
      </c>
      <c r="L861" s="91" t="s">
        <v>207</v>
      </c>
      <c r="M861" s="4"/>
      <c r="N861" s="4"/>
      <c r="O861" s="4"/>
    </row>
    <row r="862" spans="1:15" x14ac:dyDescent="0.2">
      <c r="A862" s="91" t="s">
        <v>487</v>
      </c>
      <c r="B862" s="91" t="s">
        <v>941</v>
      </c>
      <c r="C862" s="95">
        <v>15</v>
      </c>
      <c r="D862" s="95">
        <v>29</v>
      </c>
      <c r="E862" s="95">
        <v>44</v>
      </c>
      <c r="F862" s="95">
        <v>243196</v>
      </c>
      <c r="G862" s="95">
        <v>703529</v>
      </c>
      <c r="H862" s="95">
        <v>946726</v>
      </c>
      <c r="I862" s="91" t="s">
        <v>71</v>
      </c>
      <c r="J862" s="91" t="s">
        <v>1121</v>
      </c>
      <c r="K862" s="94">
        <v>985770</v>
      </c>
      <c r="L862" s="91" t="s">
        <v>722</v>
      </c>
      <c r="M862" s="4"/>
      <c r="N862" s="4"/>
      <c r="O862" s="4"/>
    </row>
    <row r="863" spans="1:15" x14ac:dyDescent="0.2">
      <c r="A863" s="91" t="s">
        <v>212</v>
      </c>
      <c r="B863" s="91" t="s">
        <v>669</v>
      </c>
      <c r="C863" s="95">
        <v>944</v>
      </c>
      <c r="D863" s="95">
        <v>1128</v>
      </c>
      <c r="E863" s="95">
        <v>2072</v>
      </c>
      <c r="F863" s="95">
        <v>26846401</v>
      </c>
      <c r="G863" s="95">
        <v>38476113</v>
      </c>
      <c r="H863" s="95">
        <v>65322514</v>
      </c>
      <c r="I863" s="91" t="s">
        <v>71</v>
      </c>
      <c r="J863" s="91" t="s">
        <v>1121</v>
      </c>
      <c r="K863" s="94">
        <v>985895</v>
      </c>
      <c r="L863" s="91" t="s">
        <v>431</v>
      </c>
      <c r="M863" s="4"/>
      <c r="N863" s="4"/>
      <c r="O863" s="4"/>
    </row>
    <row r="864" spans="1:15" x14ac:dyDescent="0.2">
      <c r="A864" s="91" t="s">
        <v>266</v>
      </c>
      <c r="B864" s="91" t="s">
        <v>433</v>
      </c>
      <c r="C864" s="95">
        <v>3798</v>
      </c>
      <c r="D864" s="95">
        <v>1796</v>
      </c>
      <c r="E864" s="95">
        <v>5594</v>
      </c>
      <c r="F864" s="95">
        <v>340828710</v>
      </c>
      <c r="G864" s="95">
        <v>175508791</v>
      </c>
      <c r="H864" s="95">
        <v>516337501</v>
      </c>
      <c r="I864" s="91" t="s">
        <v>171</v>
      </c>
      <c r="J864" s="91" t="s">
        <v>1118</v>
      </c>
      <c r="K864" s="94">
        <v>985952</v>
      </c>
      <c r="L864" s="91" t="s">
        <v>200</v>
      </c>
      <c r="M864" s="4"/>
      <c r="N864" s="4"/>
      <c r="O864" s="4"/>
    </row>
    <row r="865" spans="1:15" x14ac:dyDescent="0.2">
      <c r="A865" s="91" t="s">
        <v>245</v>
      </c>
      <c r="B865" s="91" t="s">
        <v>547</v>
      </c>
      <c r="C865" s="95">
        <v>3274</v>
      </c>
      <c r="D865" s="95">
        <v>4032</v>
      </c>
      <c r="E865" s="95">
        <v>7306</v>
      </c>
      <c r="F865" s="95">
        <v>118870296</v>
      </c>
      <c r="G865" s="95">
        <v>186080723</v>
      </c>
      <c r="H865" s="95">
        <v>304951019</v>
      </c>
      <c r="I865" s="91" t="s">
        <v>171</v>
      </c>
      <c r="J865" s="91" t="s">
        <v>1121</v>
      </c>
      <c r="K865" s="94">
        <v>986604</v>
      </c>
      <c r="L865" s="91" t="s">
        <v>249</v>
      </c>
      <c r="M865" s="4"/>
      <c r="N865" s="4"/>
      <c r="O865" s="4"/>
    </row>
    <row r="866" spans="1:15" x14ac:dyDescent="0.2">
      <c r="A866" s="6" t="s">
        <v>413</v>
      </c>
      <c r="B866" s="81" t="s">
        <v>891</v>
      </c>
      <c r="C866" s="9">
        <v>557</v>
      </c>
      <c r="D866" s="9">
        <v>738</v>
      </c>
      <c r="E866" s="9">
        <v>1295</v>
      </c>
      <c r="F866" s="9">
        <v>11361568</v>
      </c>
      <c r="G866" s="9">
        <v>19256065</v>
      </c>
      <c r="H866" s="9">
        <v>30617632</v>
      </c>
      <c r="I866" s="81" t="s">
        <v>71</v>
      </c>
      <c r="J866" s="81" t="s">
        <v>1121</v>
      </c>
      <c r="K866" s="4">
        <v>987784</v>
      </c>
      <c r="L866" s="81" t="s">
        <v>768</v>
      </c>
      <c r="M866" s="4"/>
      <c r="N866" s="4"/>
      <c r="O866" s="4"/>
    </row>
    <row r="867" spans="1:15" x14ac:dyDescent="0.2">
      <c r="A867" s="6" t="s">
        <v>379</v>
      </c>
      <c r="B867" s="81" t="s">
        <v>525</v>
      </c>
      <c r="C867" s="9">
        <v>17287</v>
      </c>
      <c r="D867" s="9">
        <v>19694</v>
      </c>
      <c r="E867" s="9">
        <v>36981</v>
      </c>
      <c r="F867" s="9">
        <v>591805070</v>
      </c>
      <c r="G867" s="9">
        <v>864373363</v>
      </c>
      <c r="H867" s="9">
        <v>1456178433</v>
      </c>
      <c r="I867" s="81" t="s">
        <v>171</v>
      </c>
      <c r="J867" s="81" t="s">
        <v>1121</v>
      </c>
      <c r="K867" s="4">
        <v>987842</v>
      </c>
      <c r="L867" s="81" t="s">
        <v>231</v>
      </c>
      <c r="M867" s="4"/>
      <c r="N867" s="4"/>
      <c r="O867" s="4"/>
    </row>
    <row r="868" spans="1:15" x14ac:dyDescent="0.2">
      <c r="A868" s="6" t="s">
        <v>212</v>
      </c>
      <c r="B868" s="81" t="s">
        <v>864</v>
      </c>
      <c r="C868" s="9">
        <v>844</v>
      </c>
      <c r="D868" s="9">
        <v>1051</v>
      </c>
      <c r="E868" s="9">
        <v>1895</v>
      </c>
      <c r="F868" s="9">
        <v>22451871</v>
      </c>
      <c r="G868" s="9">
        <v>32529873</v>
      </c>
      <c r="H868" s="9">
        <v>54981744</v>
      </c>
      <c r="I868" s="81" t="s">
        <v>71</v>
      </c>
      <c r="J868" s="81" t="s">
        <v>1121</v>
      </c>
      <c r="K868" s="4">
        <v>989491</v>
      </c>
      <c r="L868" s="81" t="s">
        <v>770</v>
      </c>
      <c r="M868" s="4"/>
      <c r="N868" s="4"/>
      <c r="O868" s="4"/>
    </row>
    <row r="869" spans="1:15" x14ac:dyDescent="0.2">
      <c r="A869" s="6" t="s">
        <v>223</v>
      </c>
      <c r="B869" s="81" t="s">
        <v>585</v>
      </c>
      <c r="C869" s="9">
        <v>5</v>
      </c>
      <c r="D869" s="9">
        <v>3</v>
      </c>
      <c r="E869" s="9">
        <v>8</v>
      </c>
      <c r="F869" s="9">
        <v>143186</v>
      </c>
      <c r="G869" s="9">
        <v>84046</v>
      </c>
      <c r="H869" s="9">
        <v>227232</v>
      </c>
      <c r="I869" s="81" t="s">
        <v>71</v>
      </c>
      <c r="J869" s="81" t="s">
        <v>1122</v>
      </c>
      <c r="K869" s="4">
        <v>989962</v>
      </c>
      <c r="L869" s="81" t="s">
        <v>586</v>
      </c>
      <c r="M869" s="4"/>
      <c r="N869" s="4"/>
      <c r="O869" s="4"/>
    </row>
    <row r="870" spans="1:15" x14ac:dyDescent="0.2">
      <c r="A870" s="6" t="s">
        <v>310</v>
      </c>
      <c r="B870" s="81" t="s">
        <v>901</v>
      </c>
      <c r="C870" s="9">
        <v>670</v>
      </c>
      <c r="D870" s="9">
        <v>916</v>
      </c>
      <c r="E870" s="9">
        <v>1586</v>
      </c>
      <c r="F870" s="9">
        <v>20406778</v>
      </c>
      <c r="G870" s="9">
        <v>34890208</v>
      </c>
      <c r="H870" s="9">
        <v>55296986</v>
      </c>
      <c r="I870" s="81" t="s">
        <v>71</v>
      </c>
      <c r="J870" s="81" t="s">
        <v>1121</v>
      </c>
      <c r="K870" s="4">
        <v>992099</v>
      </c>
      <c r="L870" s="81" t="s">
        <v>495</v>
      </c>
      <c r="M870" s="4"/>
      <c r="N870" s="4"/>
      <c r="O870" s="4"/>
    </row>
    <row r="871" spans="1:15" x14ac:dyDescent="0.2">
      <c r="A871" s="6" t="s">
        <v>212</v>
      </c>
      <c r="B871" s="81" t="s">
        <v>1052</v>
      </c>
      <c r="C871" s="96">
        <v>489</v>
      </c>
      <c r="D871" s="96">
        <v>419</v>
      </c>
      <c r="E871" s="9">
        <v>908</v>
      </c>
      <c r="F871" s="9">
        <v>34870561</v>
      </c>
      <c r="G871" s="9">
        <v>34668374</v>
      </c>
      <c r="H871" s="9">
        <v>69538935</v>
      </c>
      <c r="I871" s="81" t="s">
        <v>171</v>
      </c>
      <c r="J871" s="81" t="s">
        <v>1121</v>
      </c>
      <c r="K871" s="4">
        <v>993097</v>
      </c>
      <c r="L871" s="81" t="s">
        <v>749</v>
      </c>
      <c r="M871" s="4"/>
      <c r="N871" s="4"/>
      <c r="O871" s="4"/>
    </row>
    <row r="872" spans="1:15" x14ac:dyDescent="0.2">
      <c r="A872" s="6" t="s">
        <v>379</v>
      </c>
      <c r="B872" s="81" t="s">
        <v>520</v>
      </c>
      <c r="C872" s="9">
        <v>9041</v>
      </c>
      <c r="D872" s="9">
        <v>9623</v>
      </c>
      <c r="E872" s="9">
        <v>18664</v>
      </c>
      <c r="F872" s="9">
        <v>192307481</v>
      </c>
      <c r="G872" s="9">
        <v>255045973</v>
      </c>
      <c r="H872" s="9">
        <v>447353454</v>
      </c>
      <c r="I872" s="81" t="s">
        <v>71</v>
      </c>
      <c r="J872" s="81" t="s">
        <v>1121</v>
      </c>
      <c r="K872" s="4">
        <v>995571</v>
      </c>
      <c r="L872" s="81" t="s">
        <v>226</v>
      </c>
      <c r="M872" s="4"/>
      <c r="N872" s="4"/>
      <c r="O872" s="4"/>
    </row>
    <row r="873" spans="1:15" x14ac:dyDescent="0.2">
      <c r="A873" s="6" t="s">
        <v>173</v>
      </c>
      <c r="B873" s="81" t="s">
        <v>810</v>
      </c>
      <c r="C873" s="9">
        <v>1134</v>
      </c>
      <c r="D873" s="9">
        <v>1055</v>
      </c>
      <c r="E873" s="9">
        <v>2189</v>
      </c>
      <c r="F873" s="9">
        <v>29938502</v>
      </c>
      <c r="G873" s="9">
        <v>33004463</v>
      </c>
      <c r="H873" s="9">
        <v>62942965</v>
      </c>
      <c r="I873" s="81" t="s">
        <v>71</v>
      </c>
      <c r="J873" s="81" t="s">
        <v>1118</v>
      </c>
      <c r="K873" s="4">
        <v>996348</v>
      </c>
      <c r="L873" s="81" t="s">
        <v>811</v>
      </c>
      <c r="M873" s="4"/>
      <c r="N873" s="4"/>
      <c r="O873" s="4"/>
    </row>
    <row r="874" spans="1:15" x14ac:dyDescent="0.2">
      <c r="A874" s="6" t="s">
        <v>173</v>
      </c>
      <c r="B874" s="81" t="s">
        <v>707</v>
      </c>
      <c r="C874" s="9">
        <v>26425</v>
      </c>
      <c r="D874" s="9">
        <v>25277</v>
      </c>
      <c r="E874" s="9">
        <v>51702</v>
      </c>
      <c r="F874" s="9">
        <v>665778227</v>
      </c>
      <c r="G874" s="9">
        <v>700227579</v>
      </c>
      <c r="H874" s="9">
        <v>1366005806</v>
      </c>
      <c r="I874" s="81" t="s">
        <v>71</v>
      </c>
      <c r="J874" s="81" t="s">
        <v>1118</v>
      </c>
      <c r="K874" s="4">
        <v>997288</v>
      </c>
      <c r="L874" s="81" t="s">
        <v>708</v>
      </c>
      <c r="M874" s="4"/>
      <c r="N874" s="4"/>
      <c r="O874" s="4"/>
    </row>
    <row r="875" spans="1:15" x14ac:dyDescent="0.2">
      <c r="A875" s="6" t="s">
        <v>173</v>
      </c>
      <c r="B875" s="81" t="s">
        <v>490</v>
      </c>
      <c r="C875" s="96">
        <v>950</v>
      </c>
      <c r="D875" s="96">
        <v>814</v>
      </c>
      <c r="E875" s="9">
        <v>1764</v>
      </c>
      <c r="F875" s="9">
        <v>108973804</v>
      </c>
      <c r="G875" s="9">
        <v>101095381</v>
      </c>
      <c r="H875" s="9">
        <v>210069185</v>
      </c>
      <c r="I875" s="81" t="s">
        <v>71</v>
      </c>
      <c r="J875" s="81" t="s">
        <v>1118</v>
      </c>
      <c r="K875" s="4">
        <v>997403</v>
      </c>
      <c r="L875" s="81" t="s">
        <v>289</v>
      </c>
      <c r="M875" s="4"/>
      <c r="N875" s="4"/>
      <c r="O875" s="4"/>
    </row>
    <row r="876" spans="1:15" x14ac:dyDescent="0.2">
      <c r="A876" s="6" t="s">
        <v>310</v>
      </c>
      <c r="B876" s="81" t="s">
        <v>393</v>
      </c>
      <c r="C876" s="96">
        <v>125</v>
      </c>
      <c r="D876" s="96">
        <v>202</v>
      </c>
      <c r="E876" s="96">
        <v>327</v>
      </c>
      <c r="F876" s="9">
        <v>3115465</v>
      </c>
      <c r="G876" s="9">
        <v>6714335</v>
      </c>
      <c r="H876" s="9">
        <v>9829800</v>
      </c>
      <c r="I876" s="81" t="s">
        <v>71</v>
      </c>
      <c r="J876" s="81" t="s">
        <v>1121</v>
      </c>
      <c r="K876" s="4">
        <v>997460</v>
      </c>
      <c r="L876" s="81" t="s">
        <v>242</v>
      </c>
      <c r="M876" s="4"/>
      <c r="N876" s="4"/>
      <c r="O876" s="4"/>
    </row>
    <row r="877" spans="1:15" x14ac:dyDescent="0.2">
      <c r="A877" s="6" t="s">
        <v>173</v>
      </c>
      <c r="B877" s="81" t="s">
        <v>1094</v>
      </c>
      <c r="C877" s="9">
        <v>1345</v>
      </c>
      <c r="D877" s="9">
        <v>1628</v>
      </c>
      <c r="E877" s="9">
        <v>2973</v>
      </c>
      <c r="F877" s="9">
        <v>182161305</v>
      </c>
      <c r="G877" s="9">
        <v>259539946</v>
      </c>
      <c r="H877" s="9">
        <v>441701251</v>
      </c>
      <c r="I877" s="81" t="s">
        <v>71</v>
      </c>
      <c r="J877" s="81" t="s">
        <v>1118</v>
      </c>
      <c r="K877" s="4">
        <v>999110</v>
      </c>
      <c r="L877" s="81" t="s">
        <v>368</v>
      </c>
      <c r="M877" s="4"/>
      <c r="N877" s="4"/>
      <c r="O877" s="4"/>
    </row>
    <row r="878" spans="1:15" x14ac:dyDescent="0.2">
      <c r="A878" s="6" t="s">
        <v>173</v>
      </c>
      <c r="B878" s="81" t="s">
        <v>858</v>
      </c>
      <c r="C878" s="96">
        <v>80</v>
      </c>
      <c r="D878" s="96">
        <v>94</v>
      </c>
      <c r="E878" s="96">
        <v>174</v>
      </c>
      <c r="F878" s="9">
        <v>2188614</v>
      </c>
      <c r="G878" s="9">
        <v>3087612</v>
      </c>
      <c r="H878" s="9">
        <v>5276226</v>
      </c>
      <c r="I878" s="81" t="s">
        <v>71</v>
      </c>
      <c r="J878" s="81" t="s">
        <v>1118</v>
      </c>
      <c r="K878" s="4">
        <v>999359</v>
      </c>
      <c r="L878" s="81" t="s">
        <v>695</v>
      </c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3"/>
      <c r="B899" s="80"/>
      <c r="C899" s="97"/>
      <c r="D899" s="97"/>
      <c r="E899" s="97"/>
      <c r="F899" s="97"/>
      <c r="G899" s="97"/>
      <c r="H899" s="97"/>
      <c r="I899" s="80"/>
      <c r="J899" s="10"/>
      <c r="K899" s="7"/>
      <c r="L899" s="83"/>
      <c r="M899" s="4"/>
      <c r="N899" s="4"/>
      <c r="O899" s="4"/>
    </row>
    <row r="900" spans="1:16" x14ac:dyDescent="0.2">
      <c r="A900" s="34"/>
      <c r="B900" s="82"/>
      <c r="C900" s="7"/>
      <c r="D900" s="7"/>
      <c r="E900" s="98"/>
      <c r="F900" s="7"/>
      <c r="G900" s="7"/>
      <c r="H900" s="7"/>
      <c r="I900" s="93"/>
      <c r="J900" s="83"/>
      <c r="K900" s="7"/>
      <c r="L900" s="83"/>
      <c r="M900" s="6"/>
      <c r="N900" s="6"/>
      <c r="O900" s="8"/>
      <c r="P900" s="6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34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4"/>
      <c r="N914" s="6"/>
      <c r="O914" s="6"/>
      <c r="P914" s="8"/>
      <c r="Q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4"/>
      <c r="O925" s="4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2"/>
      <c r="L942" s="10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2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5"/>
      <c r="L957" s="83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5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7"/>
      <c r="B1034" s="7"/>
      <c r="C1034" s="7"/>
      <c r="D1034" s="7"/>
      <c r="E1034" s="7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20"/>
      <c r="J1049" s="5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7"/>
      <c r="L1091" s="82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14"/>
      <c r="B1112" s="15"/>
      <c r="D1112" s="16"/>
      <c r="E1112" s="17"/>
      <c r="F1112" s="14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7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1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3"/>
      <c r="B2344" s="14"/>
      <c r="C2344" s="15"/>
      <c r="D2344" s="14"/>
      <c r="E2344" s="16"/>
      <c r="F2344" s="17"/>
      <c r="G2344" s="14"/>
      <c r="H2344" s="7"/>
      <c r="J2344" s="20"/>
      <c r="K2344" s="15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N2345" s="5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/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1158</v>
      </c>
      <c r="C5" s="24" t="s">
        <v>1159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23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72</v>
      </c>
      <c r="C10" s="360" t="s">
        <v>115</v>
      </c>
      <c r="D10" s="361"/>
      <c r="E10" s="361"/>
      <c r="F10" s="361" t="s">
        <v>75</v>
      </c>
      <c r="G10" s="361"/>
      <c r="H10" s="361"/>
      <c r="I10" s="195" t="s">
        <v>88</v>
      </c>
      <c r="J10" s="169"/>
    </row>
    <row r="11" spans="1:10" ht="15" customHeight="1" x14ac:dyDescent="0.2">
      <c r="A11" s="172"/>
      <c r="B11" s="194"/>
      <c r="C11" s="196" t="s">
        <v>78</v>
      </c>
      <c r="D11" s="197" t="s">
        <v>79</v>
      </c>
      <c r="E11" s="197" t="s">
        <v>80</v>
      </c>
      <c r="F11" s="197" t="s">
        <v>78</v>
      </c>
      <c r="G11" s="197" t="s">
        <v>79</v>
      </c>
      <c r="H11" s="197" t="s">
        <v>80</v>
      </c>
      <c r="I11" s="198">
        <v>2014</v>
      </c>
      <c r="J11" s="166"/>
    </row>
    <row r="12" spans="1:10" ht="12.75" customHeight="1" x14ac:dyDescent="0.2">
      <c r="A12" s="172"/>
      <c r="B12" s="91" t="s">
        <v>12</v>
      </c>
      <c r="C12" s="180">
        <v>1521482</v>
      </c>
      <c r="D12" s="180">
        <v>1636779</v>
      </c>
      <c r="E12" s="180">
        <v>3158261</v>
      </c>
      <c r="F12" s="180">
        <v>108552327794</v>
      </c>
      <c r="G12" s="180">
        <v>137127933777</v>
      </c>
      <c r="H12" s="180">
        <v>245680261571</v>
      </c>
      <c r="I12" s="181"/>
      <c r="J12" s="166"/>
    </row>
    <row r="13" spans="1:10" ht="12.75" customHeight="1" x14ac:dyDescent="0.2">
      <c r="A13" s="172"/>
      <c r="B13" s="91" t="s">
        <v>136</v>
      </c>
      <c r="C13" s="180">
        <v>124385</v>
      </c>
      <c r="D13" s="180">
        <v>129217</v>
      </c>
      <c r="E13" s="180">
        <v>253602</v>
      </c>
      <c r="F13" s="180">
        <v>4568087251</v>
      </c>
      <c r="G13" s="180">
        <v>6066069604</v>
      </c>
      <c r="H13" s="180">
        <v>10634156855</v>
      </c>
      <c r="I13" s="181">
        <f>VLOOKUP($B$12:$B$21,Fondstatistik!$A$22:$R$720,2,FALSE)</f>
        <v>43</v>
      </c>
      <c r="J13" s="166"/>
    </row>
    <row r="14" spans="1:10" ht="12.75" customHeight="1" x14ac:dyDescent="0.2">
      <c r="A14" s="172"/>
      <c r="B14" s="91" t="s">
        <v>112</v>
      </c>
      <c r="C14" s="180">
        <v>121653</v>
      </c>
      <c r="D14" s="180">
        <v>129523</v>
      </c>
      <c r="E14" s="180">
        <v>251176</v>
      </c>
      <c r="F14" s="180">
        <v>7216037685</v>
      </c>
      <c r="G14" s="180">
        <v>9621835555</v>
      </c>
      <c r="H14" s="180">
        <v>16837873240</v>
      </c>
      <c r="I14" s="181">
        <f>VLOOKUP($B$12:$B$21,Fondstatistik!$A$22:$R$720,2,FALSE)</f>
        <v>16</v>
      </c>
      <c r="J14" s="166"/>
    </row>
    <row r="15" spans="1:10" ht="12.75" customHeight="1" x14ac:dyDescent="0.2">
      <c r="A15" s="172"/>
      <c r="B15" s="91" t="s">
        <v>101</v>
      </c>
      <c r="C15" s="180">
        <v>114225</v>
      </c>
      <c r="D15" s="180">
        <v>124752</v>
      </c>
      <c r="E15" s="180">
        <v>238977</v>
      </c>
      <c r="F15" s="180">
        <v>7782640043</v>
      </c>
      <c r="G15" s="180">
        <v>10283149144</v>
      </c>
      <c r="H15" s="180">
        <v>18065789187</v>
      </c>
      <c r="I15" s="181">
        <f>VLOOKUP($B$12:$B$21,Fondstatistik!$A$22:$R$720,2,FALSE)</f>
        <v>19</v>
      </c>
      <c r="J15" s="166"/>
    </row>
    <row r="16" spans="1:10" ht="12.75" customHeight="1" x14ac:dyDescent="0.2">
      <c r="A16" s="172"/>
      <c r="B16" s="91" t="s">
        <v>111</v>
      </c>
      <c r="C16" s="180">
        <v>110174</v>
      </c>
      <c r="D16" s="180">
        <v>113452</v>
      </c>
      <c r="E16" s="180">
        <v>223626</v>
      </c>
      <c r="F16" s="180">
        <v>5866296421</v>
      </c>
      <c r="G16" s="180">
        <v>7669605241</v>
      </c>
      <c r="H16" s="180">
        <v>13535901662</v>
      </c>
      <c r="I16" s="181">
        <f>VLOOKUP($B$12:$B$21,Fondstatistik!$A$22:$R$720,2,FALSE)</f>
        <v>20</v>
      </c>
      <c r="J16" s="166"/>
    </row>
    <row r="17" spans="1:10" ht="12.75" customHeight="1" x14ac:dyDescent="0.2">
      <c r="A17" s="172"/>
      <c r="B17" s="91" t="s">
        <v>62</v>
      </c>
      <c r="C17" s="180">
        <v>83014</v>
      </c>
      <c r="D17" s="180">
        <v>70284</v>
      </c>
      <c r="E17" s="180">
        <v>153298</v>
      </c>
      <c r="F17" s="180">
        <v>5216800242</v>
      </c>
      <c r="G17" s="180">
        <v>5383334220</v>
      </c>
      <c r="H17" s="180">
        <v>10600134462</v>
      </c>
      <c r="I17" s="181">
        <f>VLOOKUP($B$12:$B$21,Fondstatistik!$A$22:$R$720,2,FALSE)</f>
        <v>22</v>
      </c>
      <c r="J17" s="166"/>
    </row>
    <row r="18" spans="1:10" ht="12.75" customHeight="1" x14ac:dyDescent="0.2">
      <c r="A18" s="172"/>
      <c r="B18" s="91" t="s">
        <v>60</v>
      </c>
      <c r="C18" s="180">
        <v>65941</v>
      </c>
      <c r="D18" s="180">
        <v>67752</v>
      </c>
      <c r="E18" s="180">
        <v>133693</v>
      </c>
      <c r="F18" s="180">
        <v>7065187848</v>
      </c>
      <c r="G18" s="180">
        <v>8994579661</v>
      </c>
      <c r="H18" s="180">
        <v>16059767509</v>
      </c>
      <c r="I18" s="181">
        <f>VLOOKUP($B$12:$B$21,Fondstatistik!$A$22:$R$720,2,FALSE)</f>
        <v>14</v>
      </c>
      <c r="J18" s="166"/>
    </row>
    <row r="19" spans="1:10" ht="12.75" customHeight="1" x14ac:dyDescent="0.2">
      <c r="A19" s="172"/>
      <c r="B19" s="91" t="s">
        <v>63</v>
      </c>
      <c r="C19" s="180">
        <v>66686</v>
      </c>
      <c r="D19" s="180">
        <v>63079</v>
      </c>
      <c r="E19" s="180">
        <v>129765</v>
      </c>
      <c r="F19" s="180">
        <v>2356394391</v>
      </c>
      <c r="G19" s="180">
        <v>2882937252</v>
      </c>
      <c r="H19" s="180">
        <v>5239331643</v>
      </c>
      <c r="I19" s="181">
        <f>VLOOKUP($B$12:$B$21,Fondstatistik!$A$22:$R$720,2,FALSE)</f>
        <v>38</v>
      </c>
      <c r="J19" s="166"/>
    </row>
    <row r="20" spans="1:10" ht="12.75" customHeight="1" x14ac:dyDescent="0.2">
      <c r="A20" s="172"/>
      <c r="B20" s="91" t="s">
        <v>110</v>
      </c>
      <c r="C20" s="180">
        <v>65872</v>
      </c>
      <c r="D20" s="180">
        <v>59902</v>
      </c>
      <c r="E20" s="180">
        <v>125774</v>
      </c>
      <c r="F20" s="180">
        <v>3466748340</v>
      </c>
      <c r="G20" s="180">
        <v>3921219903</v>
      </c>
      <c r="H20" s="180">
        <v>7387968243</v>
      </c>
      <c r="I20" s="181">
        <f>VLOOKUP($B$12:$B$21,Fondstatistik!$A$22:$R$720,2,FALSE)</f>
        <v>15</v>
      </c>
      <c r="J20" s="166"/>
    </row>
    <row r="21" spans="1:10" ht="12.75" customHeight="1" x14ac:dyDescent="0.2">
      <c r="A21" s="172"/>
      <c r="B21" s="331" t="s">
        <v>61</v>
      </c>
      <c r="C21" s="332">
        <v>69230</v>
      </c>
      <c r="D21" s="332">
        <v>53782</v>
      </c>
      <c r="E21" s="332">
        <v>123012</v>
      </c>
      <c r="F21" s="332">
        <v>8042430885</v>
      </c>
      <c r="G21" s="332">
        <v>7416909072</v>
      </c>
      <c r="H21" s="332">
        <v>15459339958</v>
      </c>
      <c r="I21" s="333">
        <f>VLOOKUP($B$12:$B$21,Fondstatistik!$A$22:$R$720,2,FALSE)</f>
        <v>12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24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72</v>
      </c>
      <c r="C24" s="360" t="s">
        <v>115</v>
      </c>
      <c r="D24" s="361"/>
      <c r="E24" s="361"/>
      <c r="F24" s="361" t="s">
        <v>75</v>
      </c>
      <c r="G24" s="361"/>
      <c r="H24" s="361"/>
      <c r="I24" s="195" t="s">
        <v>88</v>
      </c>
      <c r="J24" s="166"/>
    </row>
    <row r="25" spans="1:10" x14ac:dyDescent="0.2">
      <c r="A25" s="172"/>
      <c r="B25" s="194"/>
      <c r="C25" s="196" t="s">
        <v>78</v>
      </c>
      <c r="D25" s="197" t="s">
        <v>79</v>
      </c>
      <c r="E25" s="197" t="s">
        <v>80</v>
      </c>
      <c r="F25" s="197" t="s">
        <v>78</v>
      </c>
      <c r="G25" s="197" t="s">
        <v>79</v>
      </c>
      <c r="H25" s="197" t="s">
        <v>80</v>
      </c>
      <c r="I25" s="198">
        <v>2014</v>
      </c>
      <c r="J25" s="166"/>
    </row>
    <row r="26" spans="1:10" ht="12.75" customHeight="1" x14ac:dyDescent="0.2">
      <c r="A26" s="172"/>
      <c r="B26" s="91" t="s">
        <v>12</v>
      </c>
      <c r="C26" s="180">
        <v>1521482</v>
      </c>
      <c r="D26" s="180">
        <v>1636779</v>
      </c>
      <c r="E26" s="180">
        <v>3158261</v>
      </c>
      <c r="F26" s="180">
        <v>108552327794</v>
      </c>
      <c r="G26" s="180">
        <v>137127933777</v>
      </c>
      <c r="H26" s="180">
        <v>245680261571</v>
      </c>
      <c r="I26" s="181"/>
      <c r="J26" s="166"/>
    </row>
    <row r="27" spans="1:10" ht="12.75" customHeight="1" x14ac:dyDescent="0.2">
      <c r="A27" s="172"/>
      <c r="B27" s="91" t="s">
        <v>101</v>
      </c>
      <c r="C27" s="180">
        <v>114225</v>
      </c>
      <c r="D27" s="180">
        <v>124752</v>
      </c>
      <c r="E27" s="180">
        <v>238977</v>
      </c>
      <c r="F27" s="180">
        <v>7782640043</v>
      </c>
      <c r="G27" s="180">
        <v>10283149144</v>
      </c>
      <c r="H27" s="180">
        <v>18065789187</v>
      </c>
      <c r="I27" s="181">
        <f>VLOOKUP($B$26:$B$35,Fondstatistik!$A$22:$R$720,2,FALSE)</f>
        <v>19</v>
      </c>
      <c r="J27" s="166"/>
    </row>
    <row r="28" spans="1:10" ht="12.75" customHeight="1" x14ac:dyDescent="0.2">
      <c r="A28" s="172"/>
      <c r="B28" s="91" t="s">
        <v>112</v>
      </c>
      <c r="C28" s="180">
        <v>121653</v>
      </c>
      <c r="D28" s="180">
        <v>129523</v>
      </c>
      <c r="E28" s="180">
        <v>251176</v>
      </c>
      <c r="F28" s="180">
        <v>7216037685</v>
      </c>
      <c r="G28" s="180">
        <v>9621835555</v>
      </c>
      <c r="H28" s="180">
        <v>16837873240</v>
      </c>
      <c r="I28" s="181">
        <f>VLOOKUP($B$26:$B$35,Fondstatistik!$A$22:$R$720,2,FALSE)</f>
        <v>16</v>
      </c>
      <c r="J28" s="166"/>
    </row>
    <row r="29" spans="1:10" ht="12.75" customHeight="1" x14ac:dyDescent="0.2">
      <c r="A29" s="172"/>
      <c r="B29" s="91" t="s">
        <v>60</v>
      </c>
      <c r="C29" s="180">
        <v>65941</v>
      </c>
      <c r="D29" s="180">
        <v>67752</v>
      </c>
      <c r="E29" s="180">
        <v>133693</v>
      </c>
      <c r="F29" s="180">
        <v>7065187848</v>
      </c>
      <c r="G29" s="180">
        <v>8994579661</v>
      </c>
      <c r="H29" s="180">
        <v>16059767509</v>
      </c>
      <c r="I29" s="181">
        <f>VLOOKUP($B$26:$B$35,Fondstatistik!$A$22:$R$720,2,FALSE)</f>
        <v>14</v>
      </c>
      <c r="J29" s="166"/>
    </row>
    <row r="30" spans="1:10" ht="12.75" customHeight="1" x14ac:dyDescent="0.2">
      <c r="A30" s="172"/>
      <c r="B30" s="91" t="s">
        <v>61</v>
      </c>
      <c r="C30" s="180">
        <v>69230</v>
      </c>
      <c r="D30" s="180">
        <v>53782</v>
      </c>
      <c r="E30" s="180">
        <v>123012</v>
      </c>
      <c r="F30" s="180">
        <v>8042430885</v>
      </c>
      <c r="G30" s="180">
        <v>7416909072</v>
      </c>
      <c r="H30" s="180">
        <v>15459339958</v>
      </c>
      <c r="I30" s="181">
        <f>VLOOKUP($B$26:$B$35,Fondstatistik!$A$22:$R$720,2,FALSE)</f>
        <v>12</v>
      </c>
      <c r="J30" s="166"/>
    </row>
    <row r="31" spans="1:10" ht="12.75" customHeight="1" x14ac:dyDescent="0.2">
      <c r="A31" s="172"/>
      <c r="B31" s="91" t="s">
        <v>111</v>
      </c>
      <c r="C31" s="180">
        <v>110174</v>
      </c>
      <c r="D31" s="180">
        <v>113452</v>
      </c>
      <c r="E31" s="180">
        <v>223626</v>
      </c>
      <c r="F31" s="180">
        <v>5866296421</v>
      </c>
      <c r="G31" s="180">
        <v>7669605241</v>
      </c>
      <c r="H31" s="180">
        <v>13535901662</v>
      </c>
      <c r="I31" s="181">
        <f>VLOOKUP($B$26:$B$35,Fondstatistik!$A$22:$R$720,2,FALSE)</f>
        <v>20</v>
      </c>
      <c r="J31" s="166"/>
    </row>
    <row r="32" spans="1:10" ht="12.75" customHeight="1" x14ac:dyDescent="0.2">
      <c r="A32" s="172"/>
      <c r="B32" s="91" t="s">
        <v>136</v>
      </c>
      <c r="C32" s="180">
        <v>124385</v>
      </c>
      <c r="D32" s="180">
        <v>129217</v>
      </c>
      <c r="E32" s="180">
        <v>253602</v>
      </c>
      <c r="F32" s="180">
        <v>4568087251</v>
      </c>
      <c r="G32" s="180">
        <v>6066069604</v>
      </c>
      <c r="H32" s="180">
        <v>10634156855</v>
      </c>
      <c r="I32" s="181">
        <f>VLOOKUP($B$26:$B$35,Fondstatistik!$A$22:$R$720,2,FALSE)</f>
        <v>43</v>
      </c>
      <c r="J32" s="166"/>
    </row>
    <row r="33" spans="1:13" ht="12.75" customHeight="1" x14ac:dyDescent="0.2">
      <c r="A33" s="172"/>
      <c r="B33" s="91" t="s">
        <v>62</v>
      </c>
      <c r="C33" s="180">
        <v>83014</v>
      </c>
      <c r="D33" s="180">
        <v>70284</v>
      </c>
      <c r="E33" s="180">
        <v>153298</v>
      </c>
      <c r="F33" s="180">
        <v>5216800242</v>
      </c>
      <c r="G33" s="180">
        <v>5383334220</v>
      </c>
      <c r="H33" s="180">
        <v>10600134462</v>
      </c>
      <c r="I33" s="181">
        <f>VLOOKUP($B$26:$B$35,Fondstatistik!$A$22:$R$720,2,FALSE)</f>
        <v>22</v>
      </c>
      <c r="J33" s="166"/>
    </row>
    <row r="34" spans="1:13" ht="12.75" customHeight="1" x14ac:dyDescent="0.2">
      <c r="A34" s="172"/>
      <c r="B34" s="91" t="s">
        <v>138</v>
      </c>
      <c r="C34" s="180">
        <v>27226</v>
      </c>
      <c r="D34" s="180">
        <v>29106</v>
      </c>
      <c r="E34" s="180">
        <v>56332</v>
      </c>
      <c r="F34" s="180">
        <v>4446983699</v>
      </c>
      <c r="G34" s="180">
        <v>5812087909</v>
      </c>
      <c r="H34" s="180">
        <v>10259071607</v>
      </c>
      <c r="I34" s="181">
        <f>VLOOKUP($B$26:$B$35,Fondstatistik!$A$22:$R$720,2,FALSE)</f>
        <v>22</v>
      </c>
      <c r="J34" s="166"/>
    </row>
    <row r="35" spans="1:13" ht="12.75" customHeight="1" x14ac:dyDescent="0.2">
      <c r="A35" s="172"/>
      <c r="B35" s="331" t="s">
        <v>140</v>
      </c>
      <c r="C35" s="332">
        <v>39182</v>
      </c>
      <c r="D35" s="332">
        <v>30853</v>
      </c>
      <c r="E35" s="332">
        <v>70035</v>
      </c>
      <c r="F35" s="332">
        <v>4686541928</v>
      </c>
      <c r="G35" s="332">
        <v>4347368007</v>
      </c>
      <c r="H35" s="332">
        <v>9033909935</v>
      </c>
      <c r="I35" s="333">
        <f>VLOOKUP($B$26:$B$35,Fondstatistik!$A$22:$R$720,2,FALSE)</f>
        <v>21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50" t="s">
        <v>25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72</v>
      </c>
      <c r="C39" s="200">
        <v>2014</v>
      </c>
      <c r="D39" s="201" t="s">
        <v>39</v>
      </c>
      <c r="E39" s="201" t="s">
        <v>40</v>
      </c>
      <c r="F39" s="201" t="s">
        <v>41</v>
      </c>
      <c r="G39" s="201" t="s">
        <v>42</v>
      </c>
      <c r="H39" s="201" t="s">
        <v>43</v>
      </c>
      <c r="I39" s="198" t="s">
        <v>108</v>
      </c>
      <c r="J39" s="191"/>
    </row>
    <row r="40" spans="1:13" ht="12.75" customHeight="1" x14ac:dyDescent="0.2">
      <c r="A40" s="172"/>
      <c r="B40" s="92" t="s">
        <v>144</v>
      </c>
      <c r="C40" s="69">
        <v>75</v>
      </c>
      <c r="D40" s="69">
        <v>21</v>
      </c>
      <c r="E40" s="69">
        <v>47</v>
      </c>
      <c r="F40" s="69">
        <v>74</v>
      </c>
      <c r="G40" s="69">
        <v>237</v>
      </c>
      <c r="H40" s="69">
        <v>274</v>
      </c>
      <c r="I40" s="69">
        <v>30.2</v>
      </c>
      <c r="J40" s="166"/>
    </row>
    <row r="41" spans="1:13" ht="12.75" customHeight="1" x14ac:dyDescent="0.2">
      <c r="A41" s="172"/>
      <c r="B41" s="92" t="s">
        <v>142</v>
      </c>
      <c r="C41" s="69">
        <v>43</v>
      </c>
      <c r="D41" s="69">
        <v>1</v>
      </c>
      <c r="E41" s="69">
        <v>18</v>
      </c>
      <c r="F41" s="69">
        <v>42</v>
      </c>
      <c r="G41" s="69">
        <v>85</v>
      </c>
      <c r="H41" s="69">
        <v>182</v>
      </c>
      <c r="I41" s="69">
        <v>23.1</v>
      </c>
      <c r="J41" s="166"/>
    </row>
    <row r="42" spans="1:13" ht="12.75" customHeight="1" x14ac:dyDescent="0.2">
      <c r="A42" s="172"/>
      <c r="B42" s="92" t="s">
        <v>1061</v>
      </c>
      <c r="C42" s="69">
        <v>51</v>
      </c>
      <c r="D42" s="69">
        <v>21</v>
      </c>
      <c r="E42" s="69">
        <v>35</v>
      </c>
      <c r="F42" s="69">
        <v>51</v>
      </c>
      <c r="G42" s="69">
        <v>177</v>
      </c>
      <c r="H42" s="69">
        <v>155</v>
      </c>
      <c r="I42" s="69">
        <v>20.6</v>
      </c>
      <c r="J42" s="192"/>
    </row>
    <row r="43" spans="1:13" ht="12.75" customHeight="1" x14ac:dyDescent="0.2">
      <c r="A43" s="172"/>
      <c r="B43" s="92" t="s">
        <v>21</v>
      </c>
      <c r="C43" s="69">
        <v>40</v>
      </c>
      <c r="D43" s="69">
        <v>15</v>
      </c>
      <c r="E43" s="69">
        <v>12</v>
      </c>
      <c r="F43" s="69">
        <v>40</v>
      </c>
      <c r="G43" s="69">
        <v>100</v>
      </c>
      <c r="H43" s="69">
        <v>152</v>
      </c>
      <c r="I43" s="69">
        <v>20.3</v>
      </c>
      <c r="J43" s="184"/>
      <c r="K43" s="175"/>
    </row>
    <row r="44" spans="1:13" ht="12.75" customHeight="1" x14ac:dyDescent="0.2">
      <c r="A44" s="172"/>
      <c r="B44" s="92" t="s">
        <v>148</v>
      </c>
      <c r="C44" s="69">
        <v>34</v>
      </c>
      <c r="D44" s="69">
        <v>8</v>
      </c>
      <c r="E44" s="69">
        <v>14</v>
      </c>
      <c r="F44" s="69">
        <v>34</v>
      </c>
      <c r="G44" s="69">
        <v>99</v>
      </c>
      <c r="H44" s="69">
        <v>148</v>
      </c>
      <c r="I44" s="69">
        <v>19.899999999999999</v>
      </c>
      <c r="J44" s="169"/>
      <c r="K44" s="173"/>
      <c r="M44" s="173"/>
    </row>
    <row r="45" spans="1:13" ht="12.75" customHeight="1" x14ac:dyDescent="0.2">
      <c r="A45" s="172"/>
      <c r="B45" s="92" t="s">
        <v>64</v>
      </c>
      <c r="C45" s="69">
        <v>50</v>
      </c>
      <c r="D45" s="69">
        <v>15</v>
      </c>
      <c r="E45" s="69">
        <v>29</v>
      </c>
      <c r="F45" s="69">
        <v>50</v>
      </c>
      <c r="G45" s="69">
        <v>134</v>
      </c>
      <c r="H45" s="69">
        <v>140</v>
      </c>
      <c r="I45" s="69">
        <v>19.2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139</v>
      </c>
      <c r="C46" s="69">
        <v>27</v>
      </c>
      <c r="D46" s="69">
        <v>13</v>
      </c>
      <c r="E46" s="69">
        <v>5</v>
      </c>
      <c r="F46" s="69">
        <v>27</v>
      </c>
      <c r="G46" s="69">
        <v>95</v>
      </c>
      <c r="H46" s="69">
        <v>134</v>
      </c>
      <c r="I46" s="69">
        <v>18.5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19</v>
      </c>
      <c r="C47" s="69">
        <v>40</v>
      </c>
      <c r="D47" s="69">
        <v>9</v>
      </c>
      <c r="E47" s="69">
        <v>21</v>
      </c>
      <c r="F47" s="69">
        <v>40</v>
      </c>
      <c r="G47" s="69">
        <v>107</v>
      </c>
      <c r="H47" s="69">
        <v>133</v>
      </c>
      <c r="I47" s="69">
        <v>18.399999999999999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443</v>
      </c>
      <c r="C48" s="69">
        <v>26</v>
      </c>
      <c r="D48" s="69">
        <v>10</v>
      </c>
      <c r="E48" s="69">
        <v>10</v>
      </c>
      <c r="F48" s="69">
        <v>26</v>
      </c>
      <c r="G48" s="69">
        <v>90</v>
      </c>
      <c r="H48" s="69">
        <v>130</v>
      </c>
      <c r="I48" s="69">
        <v>18.100000000000001</v>
      </c>
      <c r="J48" s="169"/>
      <c r="K48" s="176"/>
      <c r="L48" s="173"/>
      <c r="M48" s="173"/>
    </row>
    <row r="49" spans="1:14" x14ac:dyDescent="0.2">
      <c r="A49" s="172"/>
      <c r="B49" s="334" t="s">
        <v>131</v>
      </c>
      <c r="C49" s="335">
        <v>23</v>
      </c>
      <c r="D49" s="335">
        <v>10</v>
      </c>
      <c r="E49" s="335">
        <v>4</v>
      </c>
      <c r="F49" s="335">
        <v>23</v>
      </c>
      <c r="G49" s="335">
        <v>100</v>
      </c>
      <c r="H49" s="335">
        <v>130</v>
      </c>
      <c r="I49" s="335">
        <v>18.100000000000001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B1" sqref="B1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1158</v>
      </c>
      <c r="B5" s="24" t="s">
        <v>1159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135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52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51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62" t="s">
        <v>82</v>
      </c>
      <c r="C20" s="363"/>
      <c r="D20" s="363"/>
      <c r="E20" s="363"/>
      <c r="F20" s="363"/>
      <c r="G20" s="363"/>
      <c r="H20" s="364"/>
      <c r="I20" s="362" t="s">
        <v>98</v>
      </c>
      <c r="J20" s="363"/>
      <c r="K20" s="125"/>
      <c r="L20" s="126" t="s">
        <v>83</v>
      </c>
      <c r="M20" s="127" t="s">
        <v>86</v>
      </c>
      <c r="N20" s="127"/>
      <c r="O20" s="127" t="s">
        <v>97</v>
      </c>
      <c r="P20" s="128"/>
      <c r="Q20" s="129"/>
      <c r="R20" s="129"/>
      <c r="S20" s="129"/>
    </row>
    <row r="21" spans="1:19" s="1" customFormat="1" x14ac:dyDescent="0.2">
      <c r="A21" s="130" t="s">
        <v>72</v>
      </c>
      <c r="B21" s="131" t="s">
        <v>38</v>
      </c>
      <c r="C21" s="132" t="s">
        <v>39</v>
      </c>
      <c r="D21" s="132" t="s">
        <v>40</v>
      </c>
      <c r="E21" s="132" t="s">
        <v>41</v>
      </c>
      <c r="F21" s="132" t="s">
        <v>42</v>
      </c>
      <c r="G21" s="132" t="s">
        <v>43</v>
      </c>
      <c r="H21" s="133" t="s">
        <v>108</v>
      </c>
      <c r="I21" s="132" t="s">
        <v>49</v>
      </c>
      <c r="J21" s="132" t="s">
        <v>50</v>
      </c>
      <c r="K21" s="134" t="s">
        <v>74</v>
      </c>
      <c r="L21" s="135" t="s">
        <v>84</v>
      </c>
      <c r="M21" s="132" t="s">
        <v>85</v>
      </c>
      <c r="N21" s="132" t="s">
        <v>130</v>
      </c>
      <c r="O21" s="132" t="s">
        <v>71</v>
      </c>
      <c r="P21" s="136" t="s">
        <v>87</v>
      </c>
      <c r="Q21" s="136" t="s">
        <v>76</v>
      </c>
      <c r="R21" s="133" t="s">
        <v>73</v>
      </c>
      <c r="S21" s="133" t="s">
        <v>15</v>
      </c>
    </row>
    <row r="22" spans="1:19" x14ac:dyDescent="0.2">
      <c r="A22" s="92" t="s">
        <v>174</v>
      </c>
      <c r="B22" s="90">
        <v>14</v>
      </c>
      <c r="C22" s="90">
        <v>4</v>
      </c>
      <c r="D22" s="90">
        <v>6</v>
      </c>
      <c r="E22" s="90">
        <v>14</v>
      </c>
      <c r="F22" s="69">
        <v>66</v>
      </c>
      <c r="G22" s="69">
        <v>83</v>
      </c>
      <c r="H22" s="69">
        <v>12.9</v>
      </c>
      <c r="I22" s="70">
        <v>0</v>
      </c>
      <c r="J22" s="70">
        <v>0</v>
      </c>
      <c r="K22" s="69">
        <v>10.4</v>
      </c>
      <c r="L22" s="69">
        <v>1.6</v>
      </c>
      <c r="M22" s="69" t="s">
        <v>170</v>
      </c>
      <c r="N22" s="69">
        <v>2006</v>
      </c>
      <c r="O22" s="69" t="s">
        <v>171</v>
      </c>
      <c r="P22" s="69">
        <v>734491</v>
      </c>
      <c r="Q22" s="92" t="s">
        <v>175</v>
      </c>
      <c r="R22" s="92" t="s">
        <v>176</v>
      </c>
      <c r="S22" s="87"/>
    </row>
    <row r="23" spans="1:19" x14ac:dyDescent="0.2">
      <c r="A23" s="91" t="s">
        <v>169</v>
      </c>
      <c r="B23" s="90">
        <v>33</v>
      </c>
      <c r="C23" s="90">
        <v>6</v>
      </c>
      <c r="D23" s="90">
        <v>16</v>
      </c>
      <c r="E23" s="90">
        <v>30</v>
      </c>
      <c r="F23" s="69"/>
      <c r="G23" s="69"/>
      <c r="H23" s="69"/>
      <c r="I23" s="70">
        <v>0</v>
      </c>
      <c r="J23" s="70">
        <v>0</v>
      </c>
      <c r="K23" s="69"/>
      <c r="L23" s="69"/>
      <c r="M23" s="69" t="s">
        <v>170</v>
      </c>
      <c r="N23" s="69">
        <v>2014</v>
      </c>
      <c r="O23" s="69" t="s">
        <v>171</v>
      </c>
      <c r="P23" s="69">
        <v>946228</v>
      </c>
      <c r="Q23" s="92" t="s">
        <v>172</v>
      </c>
      <c r="R23" s="92" t="s">
        <v>173</v>
      </c>
      <c r="S23" s="92"/>
    </row>
    <row r="24" spans="1:19" x14ac:dyDescent="0.2">
      <c r="A24" s="92" t="s">
        <v>177</v>
      </c>
      <c r="B24" s="90">
        <v>9</v>
      </c>
      <c r="C24" s="90">
        <v>2</v>
      </c>
      <c r="D24" s="90">
        <v>4</v>
      </c>
      <c r="E24" s="90">
        <v>9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170</v>
      </c>
      <c r="N24" s="69">
        <v>2012</v>
      </c>
      <c r="O24" s="69" t="s">
        <v>71</v>
      </c>
      <c r="P24" s="69">
        <v>167114</v>
      </c>
      <c r="Q24" s="92" t="s">
        <v>178</v>
      </c>
      <c r="R24" s="92" t="s">
        <v>179</v>
      </c>
      <c r="S24" s="87"/>
    </row>
    <row r="25" spans="1:19" x14ac:dyDescent="0.2">
      <c r="A25" s="92" t="s">
        <v>180</v>
      </c>
      <c r="B25" s="69">
        <v>16</v>
      </c>
      <c r="C25" s="69">
        <v>5</v>
      </c>
      <c r="D25" s="69">
        <v>7</v>
      </c>
      <c r="E25" s="69">
        <v>16</v>
      </c>
      <c r="F25" s="69"/>
      <c r="G25" s="69"/>
      <c r="H25" s="69"/>
      <c r="I25" s="70">
        <v>0.01</v>
      </c>
      <c r="J25" s="70">
        <v>0.01</v>
      </c>
      <c r="K25" s="69"/>
      <c r="L25" s="69"/>
      <c r="M25" s="69" t="s">
        <v>170</v>
      </c>
      <c r="N25" s="69">
        <v>2012</v>
      </c>
      <c r="O25" s="69" t="s">
        <v>71</v>
      </c>
      <c r="P25" s="69">
        <v>314682</v>
      </c>
      <c r="Q25" s="92" t="s">
        <v>178</v>
      </c>
      <c r="R25" s="92" t="s">
        <v>179</v>
      </c>
      <c r="S25" s="92"/>
    </row>
    <row r="26" spans="1:19" x14ac:dyDescent="0.2">
      <c r="A26" s="92" t="s">
        <v>181</v>
      </c>
      <c r="B26" s="69">
        <v>21</v>
      </c>
      <c r="C26" s="69">
        <v>7</v>
      </c>
      <c r="D26" s="69">
        <v>10</v>
      </c>
      <c r="E26" s="69">
        <v>22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170</v>
      </c>
      <c r="N26" s="69">
        <v>2012</v>
      </c>
      <c r="O26" s="69" t="s">
        <v>71</v>
      </c>
      <c r="P26" s="69">
        <v>243022</v>
      </c>
      <c r="Q26" s="92" t="s">
        <v>178</v>
      </c>
      <c r="R26" s="92" t="s">
        <v>182</v>
      </c>
      <c r="S26" s="92"/>
    </row>
    <row r="27" spans="1:19" x14ac:dyDescent="0.2">
      <c r="A27" s="92" t="s">
        <v>183</v>
      </c>
      <c r="B27" s="69">
        <v>21</v>
      </c>
      <c r="C27" s="69">
        <v>7</v>
      </c>
      <c r="D27" s="69">
        <v>10</v>
      </c>
      <c r="E27" s="69">
        <v>22</v>
      </c>
      <c r="F27" s="69"/>
      <c r="G27" s="69"/>
      <c r="H27" s="69"/>
      <c r="I27" s="70">
        <v>0.01</v>
      </c>
      <c r="J27" s="70">
        <v>0.01</v>
      </c>
      <c r="K27" s="69"/>
      <c r="L27" s="69"/>
      <c r="M27" s="69" t="s">
        <v>170</v>
      </c>
      <c r="N27" s="69">
        <v>2012</v>
      </c>
      <c r="O27" s="69" t="s">
        <v>71</v>
      </c>
      <c r="P27" s="69">
        <v>278853</v>
      </c>
      <c r="Q27" s="92" t="s">
        <v>178</v>
      </c>
      <c r="R27" s="92" t="s">
        <v>182</v>
      </c>
      <c r="S27" s="92"/>
    </row>
    <row r="28" spans="1:19" x14ac:dyDescent="0.2">
      <c r="A28" s="92" t="s">
        <v>184</v>
      </c>
      <c r="B28" s="69">
        <v>21</v>
      </c>
      <c r="C28" s="69">
        <v>7</v>
      </c>
      <c r="D28" s="69">
        <v>10</v>
      </c>
      <c r="E28" s="69">
        <v>22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170</v>
      </c>
      <c r="N28" s="69">
        <v>2012</v>
      </c>
      <c r="O28" s="69" t="s">
        <v>71</v>
      </c>
      <c r="P28" s="69">
        <v>350512</v>
      </c>
      <c r="Q28" s="92" t="s">
        <v>178</v>
      </c>
      <c r="R28" s="92" t="s">
        <v>185</v>
      </c>
      <c r="S28" s="92"/>
    </row>
    <row r="29" spans="1:19" x14ac:dyDescent="0.2">
      <c r="A29" s="92" t="s">
        <v>186</v>
      </c>
      <c r="B29" s="69">
        <v>3</v>
      </c>
      <c r="C29" s="69">
        <v>0</v>
      </c>
      <c r="D29" s="69">
        <v>1</v>
      </c>
      <c r="E29" s="69">
        <v>3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1.5</v>
      </c>
      <c r="M29" s="69" t="s">
        <v>170</v>
      </c>
      <c r="N29" s="69">
        <v>2010</v>
      </c>
      <c r="O29" s="69" t="s">
        <v>171</v>
      </c>
      <c r="P29" s="69">
        <v>545541</v>
      </c>
      <c r="Q29" s="92" t="s">
        <v>187</v>
      </c>
      <c r="R29" s="92" t="s">
        <v>188</v>
      </c>
      <c r="S29" s="87" t="s">
        <v>189</v>
      </c>
    </row>
    <row r="30" spans="1:19" x14ac:dyDescent="0.2">
      <c r="A30" s="91" t="s">
        <v>190</v>
      </c>
      <c r="B30" s="90">
        <v>2</v>
      </c>
      <c r="C30" s="90">
        <v>0</v>
      </c>
      <c r="D30" s="90">
        <v>0</v>
      </c>
      <c r="E30" s="90">
        <v>2</v>
      </c>
      <c r="F30" s="69">
        <v>9</v>
      </c>
      <c r="G30" s="69">
        <v>13</v>
      </c>
      <c r="H30" s="69">
        <v>2.5</v>
      </c>
      <c r="I30" s="70">
        <v>0.1</v>
      </c>
      <c r="J30" s="70">
        <v>0.11</v>
      </c>
      <c r="K30" s="69">
        <v>0.4</v>
      </c>
      <c r="L30" s="69">
        <v>5.0999999999999996</v>
      </c>
      <c r="M30" s="69" t="s">
        <v>170</v>
      </c>
      <c r="N30" s="69">
        <v>2008</v>
      </c>
      <c r="O30" s="69" t="s">
        <v>171</v>
      </c>
      <c r="P30" s="69">
        <v>972497</v>
      </c>
      <c r="Q30" s="92" t="s">
        <v>191</v>
      </c>
      <c r="R30" s="92" t="s">
        <v>192</v>
      </c>
      <c r="S30" s="92"/>
    </row>
    <row r="31" spans="1:19" x14ac:dyDescent="0.2">
      <c r="A31" s="91" t="s">
        <v>193</v>
      </c>
      <c r="B31" s="90">
        <v>0</v>
      </c>
      <c r="C31" s="90">
        <v>0</v>
      </c>
      <c r="D31" s="90">
        <v>0</v>
      </c>
      <c r="E31" s="90">
        <v>0</v>
      </c>
      <c r="F31" s="69">
        <v>2</v>
      </c>
      <c r="G31" s="69">
        <v>4</v>
      </c>
      <c r="H31" s="69">
        <v>0.9</v>
      </c>
      <c r="I31" s="70">
        <v>0.1</v>
      </c>
      <c r="J31" s="70">
        <v>0.11</v>
      </c>
      <c r="K31" s="69">
        <v>0.1</v>
      </c>
      <c r="L31" s="69">
        <v>-4</v>
      </c>
      <c r="M31" s="69" t="s">
        <v>170</v>
      </c>
      <c r="N31" s="69">
        <v>2001</v>
      </c>
      <c r="O31" s="69" t="s">
        <v>171</v>
      </c>
      <c r="P31" s="69">
        <v>294918</v>
      </c>
      <c r="Q31" s="92" t="s">
        <v>194</v>
      </c>
      <c r="R31" s="92" t="s">
        <v>192</v>
      </c>
      <c r="S31" s="92"/>
    </row>
    <row r="32" spans="1:19" x14ac:dyDescent="0.2">
      <c r="A32" s="92" t="s">
        <v>197</v>
      </c>
      <c r="B32" s="90">
        <v>7</v>
      </c>
      <c r="C32" s="90">
        <v>2</v>
      </c>
      <c r="D32" s="90">
        <v>3</v>
      </c>
      <c r="E32" s="90">
        <v>7</v>
      </c>
      <c r="F32" s="69">
        <v>10</v>
      </c>
      <c r="G32" s="69">
        <v>21</v>
      </c>
      <c r="H32" s="69">
        <v>3.9</v>
      </c>
      <c r="I32" s="70">
        <v>0.11</v>
      </c>
      <c r="J32" s="70">
        <v>0.13</v>
      </c>
      <c r="K32" s="69">
        <v>2</v>
      </c>
      <c r="L32" s="69">
        <v>1</v>
      </c>
      <c r="M32" s="69" t="s">
        <v>170</v>
      </c>
      <c r="N32" s="69">
        <v>2001</v>
      </c>
      <c r="O32" s="69" t="s">
        <v>171</v>
      </c>
      <c r="P32" s="69">
        <v>330746</v>
      </c>
      <c r="Q32" s="92" t="s">
        <v>194</v>
      </c>
      <c r="R32" s="92" t="s">
        <v>188</v>
      </c>
      <c r="S32" s="92"/>
    </row>
    <row r="33" spans="1:19" x14ac:dyDescent="0.2">
      <c r="A33" s="91" t="s">
        <v>198</v>
      </c>
      <c r="B33" s="90">
        <v>8</v>
      </c>
      <c r="C33" s="90">
        <v>2</v>
      </c>
      <c r="D33" s="90">
        <v>4</v>
      </c>
      <c r="E33" s="90">
        <v>8</v>
      </c>
      <c r="F33" s="69">
        <v>13</v>
      </c>
      <c r="G33" s="69">
        <v>31</v>
      </c>
      <c r="H33" s="69">
        <v>5.6</v>
      </c>
      <c r="I33" s="70">
        <v>0.11</v>
      </c>
      <c r="J33" s="70">
        <v>0.15</v>
      </c>
      <c r="K33" s="69">
        <v>2.9</v>
      </c>
      <c r="L33" s="69">
        <v>1</v>
      </c>
      <c r="M33" s="69" t="s">
        <v>170</v>
      </c>
      <c r="N33" s="69">
        <v>2000</v>
      </c>
      <c r="O33" s="69" t="s">
        <v>171</v>
      </c>
      <c r="P33" s="69">
        <v>574293</v>
      </c>
      <c r="Q33" s="92" t="s">
        <v>196</v>
      </c>
      <c r="R33" s="92" t="s">
        <v>188</v>
      </c>
      <c r="S33" s="92"/>
    </row>
    <row r="34" spans="1:19" x14ac:dyDescent="0.2">
      <c r="A34" s="91" t="s">
        <v>195</v>
      </c>
      <c r="B34" s="90">
        <v>2</v>
      </c>
      <c r="C34" s="90">
        <v>0</v>
      </c>
      <c r="D34" s="90">
        <v>1</v>
      </c>
      <c r="E34" s="90">
        <v>2</v>
      </c>
      <c r="F34" s="69">
        <v>7</v>
      </c>
      <c r="G34" s="69">
        <v>11</v>
      </c>
      <c r="H34" s="69">
        <v>2.1</v>
      </c>
      <c r="I34" s="70">
        <v>0.11</v>
      </c>
      <c r="J34" s="70">
        <v>0.15</v>
      </c>
      <c r="K34" s="69">
        <v>0.3</v>
      </c>
      <c r="L34" s="69">
        <v>6.5</v>
      </c>
      <c r="M34" s="69" t="s">
        <v>170</v>
      </c>
      <c r="N34" s="69">
        <v>2004</v>
      </c>
      <c r="O34" s="69" t="s">
        <v>171</v>
      </c>
      <c r="P34" s="69">
        <v>305185</v>
      </c>
      <c r="Q34" s="92" t="s">
        <v>196</v>
      </c>
      <c r="R34" s="92" t="s">
        <v>192</v>
      </c>
      <c r="S34" s="92"/>
    </row>
    <row r="35" spans="1:19" x14ac:dyDescent="0.2">
      <c r="A35" s="91" t="s">
        <v>202</v>
      </c>
      <c r="B35" s="90">
        <v>1</v>
      </c>
      <c r="C35" s="90">
        <v>0</v>
      </c>
      <c r="D35" s="90">
        <v>0</v>
      </c>
      <c r="E35" s="90">
        <v>1</v>
      </c>
      <c r="F35" s="69">
        <v>4</v>
      </c>
      <c r="G35" s="69">
        <v>6</v>
      </c>
      <c r="H35" s="69">
        <v>1.2</v>
      </c>
      <c r="I35" s="70">
        <v>0.12</v>
      </c>
      <c r="J35" s="70">
        <v>0.2</v>
      </c>
      <c r="K35" s="69">
        <v>0.2</v>
      </c>
      <c r="L35" s="69">
        <v>-0.2</v>
      </c>
      <c r="M35" s="69" t="s">
        <v>170</v>
      </c>
      <c r="N35" s="69">
        <v>2000</v>
      </c>
      <c r="O35" s="69" t="s">
        <v>171</v>
      </c>
      <c r="P35" s="69">
        <v>420646</v>
      </c>
      <c r="Q35" s="92" t="s">
        <v>203</v>
      </c>
      <c r="R35" s="92" t="s">
        <v>192</v>
      </c>
      <c r="S35" s="92"/>
    </row>
    <row r="36" spans="1:19" x14ac:dyDescent="0.2">
      <c r="A36" s="91" t="s">
        <v>204</v>
      </c>
      <c r="B36" s="90">
        <v>7</v>
      </c>
      <c r="C36" s="90">
        <v>2</v>
      </c>
      <c r="D36" s="90">
        <v>3</v>
      </c>
      <c r="E36" s="90">
        <v>7</v>
      </c>
      <c r="F36" s="69">
        <v>9</v>
      </c>
      <c r="G36" s="69">
        <v>20</v>
      </c>
      <c r="H36" s="69">
        <v>3.7</v>
      </c>
      <c r="I36" s="70">
        <v>0.12</v>
      </c>
      <c r="J36" s="70">
        <v>0.16</v>
      </c>
      <c r="K36" s="69">
        <v>1.9</v>
      </c>
      <c r="L36" s="69">
        <v>0.9</v>
      </c>
      <c r="M36" s="69" t="s">
        <v>170</v>
      </c>
      <c r="N36" s="69">
        <v>2009</v>
      </c>
      <c r="O36" s="69" t="s">
        <v>171</v>
      </c>
      <c r="P36" s="69">
        <v>617209</v>
      </c>
      <c r="Q36" s="92" t="s">
        <v>194</v>
      </c>
      <c r="R36" s="92" t="s">
        <v>188</v>
      </c>
      <c r="S36" s="92"/>
    </row>
    <row r="37" spans="1:19" x14ac:dyDescent="0.2">
      <c r="A37" s="92" t="s">
        <v>208</v>
      </c>
      <c r="B37" s="90">
        <v>9</v>
      </c>
      <c r="C37" s="90">
        <v>2</v>
      </c>
      <c r="D37" s="90">
        <v>4</v>
      </c>
      <c r="E37" s="90">
        <v>9</v>
      </c>
      <c r="F37" s="69">
        <v>14</v>
      </c>
      <c r="G37" s="69">
        <v>28</v>
      </c>
      <c r="H37" s="69">
        <v>5.0999999999999996</v>
      </c>
      <c r="I37" s="70">
        <v>0.12</v>
      </c>
      <c r="J37" s="70">
        <v>0.21</v>
      </c>
      <c r="K37" s="69">
        <v>2.7</v>
      </c>
      <c r="L37" s="69">
        <v>1.1000000000000001</v>
      </c>
      <c r="M37" s="69" t="s">
        <v>170</v>
      </c>
      <c r="N37" s="69">
        <v>2000</v>
      </c>
      <c r="O37" s="69" t="s">
        <v>171</v>
      </c>
      <c r="P37" s="69">
        <v>534800</v>
      </c>
      <c r="Q37" s="92" t="s">
        <v>209</v>
      </c>
      <c r="R37" s="92" t="s">
        <v>188</v>
      </c>
      <c r="S37" s="92" t="s">
        <v>189</v>
      </c>
    </row>
    <row r="38" spans="1:19" x14ac:dyDescent="0.2">
      <c r="A38" s="92" t="s">
        <v>210</v>
      </c>
      <c r="B38" s="90">
        <v>1</v>
      </c>
      <c r="C38" s="90">
        <v>0</v>
      </c>
      <c r="D38" s="90">
        <v>0</v>
      </c>
      <c r="E38" s="90">
        <v>1</v>
      </c>
      <c r="F38" s="69">
        <v>5</v>
      </c>
      <c r="G38" s="69">
        <v>9</v>
      </c>
      <c r="H38" s="69">
        <v>1.8</v>
      </c>
      <c r="I38" s="70">
        <v>0.12</v>
      </c>
      <c r="J38" s="70">
        <v>0.21</v>
      </c>
      <c r="K38" s="69">
        <v>0.3</v>
      </c>
      <c r="L38" s="69">
        <v>3.9</v>
      </c>
      <c r="M38" s="69" t="s">
        <v>170</v>
      </c>
      <c r="N38" s="69">
        <v>2010</v>
      </c>
      <c r="O38" s="69" t="s">
        <v>171</v>
      </c>
      <c r="P38" s="69">
        <v>442897</v>
      </c>
      <c r="Q38" s="92" t="s">
        <v>209</v>
      </c>
      <c r="R38" s="92" t="s">
        <v>192</v>
      </c>
      <c r="S38" s="92" t="s">
        <v>189</v>
      </c>
    </row>
    <row r="39" spans="1:19" x14ac:dyDescent="0.2">
      <c r="A39" s="92" t="s">
        <v>206</v>
      </c>
      <c r="B39" s="90">
        <v>3</v>
      </c>
      <c r="C39" s="90">
        <v>2</v>
      </c>
      <c r="D39" s="90">
        <v>3</v>
      </c>
      <c r="E39" s="90">
        <v>3</v>
      </c>
      <c r="F39" s="69">
        <v>12</v>
      </c>
      <c r="G39" s="69">
        <v>16</v>
      </c>
      <c r="H39" s="69">
        <v>3.1</v>
      </c>
      <c r="I39" s="70">
        <v>0.12</v>
      </c>
      <c r="J39" s="70">
        <v>0.2</v>
      </c>
      <c r="K39" s="69">
        <v>1.7</v>
      </c>
      <c r="L39" s="69">
        <v>1.5</v>
      </c>
      <c r="M39" s="69" t="s">
        <v>170</v>
      </c>
      <c r="N39" s="69">
        <v>2007</v>
      </c>
      <c r="O39" s="69" t="s">
        <v>71</v>
      </c>
      <c r="P39" s="69">
        <v>870493</v>
      </c>
      <c r="Q39" s="92" t="s">
        <v>207</v>
      </c>
      <c r="R39" s="92" t="s">
        <v>192</v>
      </c>
      <c r="S39" s="92"/>
    </row>
    <row r="40" spans="1:19" x14ac:dyDescent="0.2">
      <c r="A40" s="92" t="s">
        <v>199</v>
      </c>
      <c r="B40" s="90">
        <v>8</v>
      </c>
      <c r="C40" s="90">
        <v>2</v>
      </c>
      <c r="D40" s="90">
        <v>3</v>
      </c>
      <c r="E40" s="90">
        <v>8</v>
      </c>
      <c r="F40" s="69">
        <v>10</v>
      </c>
      <c r="G40" s="69">
        <v>23</v>
      </c>
      <c r="H40" s="69">
        <v>4.3</v>
      </c>
      <c r="I40" s="70">
        <v>0.12</v>
      </c>
      <c r="J40" s="70">
        <v>0.3</v>
      </c>
      <c r="K40" s="69">
        <v>2.8</v>
      </c>
      <c r="L40" s="69">
        <v>0.7</v>
      </c>
      <c r="M40" s="69" t="s">
        <v>170</v>
      </c>
      <c r="N40" s="69">
        <v>2000</v>
      </c>
      <c r="O40" s="69" t="s">
        <v>171</v>
      </c>
      <c r="P40" s="69">
        <v>578542</v>
      </c>
      <c r="Q40" s="92" t="s">
        <v>200</v>
      </c>
      <c r="R40" s="92" t="s">
        <v>188</v>
      </c>
      <c r="S40" s="92" t="s">
        <v>189</v>
      </c>
    </row>
    <row r="41" spans="1:19" x14ac:dyDescent="0.2">
      <c r="A41" s="92" t="s">
        <v>201</v>
      </c>
      <c r="B41" s="69">
        <v>1</v>
      </c>
      <c r="C41" s="69">
        <v>0</v>
      </c>
      <c r="D41" s="69">
        <v>0</v>
      </c>
      <c r="E41" s="69">
        <v>1</v>
      </c>
      <c r="F41" s="69">
        <v>4</v>
      </c>
      <c r="G41" s="69">
        <v>7</v>
      </c>
      <c r="H41" s="69">
        <v>1.3</v>
      </c>
      <c r="I41" s="70">
        <v>0.12</v>
      </c>
      <c r="J41" s="70">
        <v>0.3</v>
      </c>
      <c r="K41" s="69">
        <v>0.2</v>
      </c>
      <c r="L41" s="69">
        <v>0.1</v>
      </c>
      <c r="M41" s="69" t="s">
        <v>170</v>
      </c>
      <c r="N41" s="69">
        <v>2000</v>
      </c>
      <c r="O41" s="69" t="s">
        <v>171</v>
      </c>
      <c r="P41" s="69">
        <v>614370</v>
      </c>
      <c r="Q41" s="92" t="s">
        <v>200</v>
      </c>
      <c r="R41" s="92" t="s">
        <v>192</v>
      </c>
      <c r="S41" s="92" t="s">
        <v>189</v>
      </c>
    </row>
    <row r="42" spans="1:19" x14ac:dyDescent="0.2">
      <c r="A42" s="92" t="s">
        <v>211</v>
      </c>
      <c r="B42" s="90">
        <v>31</v>
      </c>
      <c r="C42" s="90">
        <v>10</v>
      </c>
      <c r="D42" s="90">
        <v>14</v>
      </c>
      <c r="E42" s="90">
        <v>31</v>
      </c>
      <c r="F42" s="69">
        <v>108</v>
      </c>
      <c r="G42" s="69"/>
      <c r="H42" s="69"/>
      <c r="I42" s="70">
        <v>0.12</v>
      </c>
      <c r="J42" s="70">
        <v>0.12</v>
      </c>
      <c r="K42" s="69">
        <v>10.6</v>
      </c>
      <c r="L42" s="69">
        <v>2.2999999999999998</v>
      </c>
      <c r="M42" s="69" t="s">
        <v>170</v>
      </c>
      <c r="N42" s="69">
        <v>2010</v>
      </c>
      <c r="O42" s="69" t="s">
        <v>171</v>
      </c>
      <c r="P42" s="69">
        <v>581371</v>
      </c>
      <c r="Q42" s="92" t="s">
        <v>187</v>
      </c>
      <c r="R42" s="92" t="s">
        <v>212</v>
      </c>
      <c r="S42" s="92" t="s">
        <v>189</v>
      </c>
    </row>
    <row r="43" spans="1:19" x14ac:dyDescent="0.2">
      <c r="A43" s="92" t="s">
        <v>205</v>
      </c>
      <c r="B43" s="90">
        <v>8</v>
      </c>
      <c r="C43" s="90">
        <v>2</v>
      </c>
      <c r="D43" s="90">
        <v>3</v>
      </c>
      <c r="E43" s="90">
        <v>8</v>
      </c>
      <c r="F43" s="69">
        <v>10</v>
      </c>
      <c r="G43" s="69">
        <v>23</v>
      </c>
      <c r="H43" s="69">
        <v>4.3</v>
      </c>
      <c r="I43" s="70">
        <v>0.12</v>
      </c>
      <c r="J43" s="70">
        <v>0.3</v>
      </c>
      <c r="K43" s="69">
        <v>2.8</v>
      </c>
      <c r="L43" s="69">
        <v>0.7</v>
      </c>
      <c r="M43" s="69" t="s">
        <v>170</v>
      </c>
      <c r="N43" s="69">
        <v>2000</v>
      </c>
      <c r="O43" s="69" t="s">
        <v>171</v>
      </c>
      <c r="P43" s="69">
        <v>869438</v>
      </c>
      <c r="Q43" s="92" t="s">
        <v>200</v>
      </c>
      <c r="R43" s="92" t="s">
        <v>188</v>
      </c>
      <c r="S43" s="92" t="s">
        <v>189</v>
      </c>
    </row>
    <row r="44" spans="1:19" x14ac:dyDescent="0.2">
      <c r="A44" s="91" t="s">
        <v>217</v>
      </c>
      <c r="B44" s="90">
        <v>1</v>
      </c>
      <c r="C44" s="90">
        <v>0</v>
      </c>
      <c r="D44" s="90">
        <v>0</v>
      </c>
      <c r="E44" s="90">
        <v>1</v>
      </c>
      <c r="F44" s="69"/>
      <c r="G44" s="69"/>
      <c r="H44" s="69"/>
      <c r="I44" s="70">
        <v>0.13</v>
      </c>
      <c r="J44" s="70">
        <v>0.3</v>
      </c>
      <c r="K44" s="69"/>
      <c r="L44" s="69"/>
      <c r="M44" s="69" t="s">
        <v>170</v>
      </c>
      <c r="N44" s="69">
        <v>2014</v>
      </c>
      <c r="O44" s="69" t="s">
        <v>171</v>
      </c>
      <c r="P44" s="69">
        <v>838730</v>
      </c>
      <c r="Q44" s="92" t="s">
        <v>203</v>
      </c>
      <c r="R44" s="92" t="s">
        <v>192</v>
      </c>
      <c r="S44" s="92"/>
    </row>
    <row r="45" spans="1:19" x14ac:dyDescent="0.2">
      <c r="A45" s="92" t="s">
        <v>213</v>
      </c>
      <c r="B45" s="90">
        <v>11</v>
      </c>
      <c r="C45" s="90">
        <v>3</v>
      </c>
      <c r="D45" s="90">
        <v>6</v>
      </c>
      <c r="E45" s="90">
        <v>11</v>
      </c>
      <c r="F45" s="69"/>
      <c r="G45" s="69"/>
      <c r="H45" s="69"/>
      <c r="I45" s="70">
        <v>0.13</v>
      </c>
      <c r="J45" s="70">
        <v>0.3</v>
      </c>
      <c r="K45" s="69"/>
      <c r="L45" s="69"/>
      <c r="M45" s="69" t="s">
        <v>170</v>
      </c>
      <c r="N45" s="69">
        <v>2012</v>
      </c>
      <c r="O45" s="69" t="s">
        <v>171</v>
      </c>
      <c r="P45" s="69">
        <v>265512</v>
      </c>
      <c r="Q45" s="92" t="s">
        <v>196</v>
      </c>
      <c r="R45" s="92" t="s">
        <v>188</v>
      </c>
      <c r="S45" s="92"/>
    </row>
    <row r="46" spans="1:19" x14ac:dyDescent="0.2">
      <c r="A46" s="91" t="s">
        <v>215</v>
      </c>
      <c r="B46" s="90">
        <v>1</v>
      </c>
      <c r="C46" s="90">
        <v>0</v>
      </c>
      <c r="D46" s="90">
        <v>0</v>
      </c>
      <c r="E46" s="90">
        <v>1</v>
      </c>
      <c r="F46" s="69">
        <v>5</v>
      </c>
      <c r="G46" s="69">
        <v>8</v>
      </c>
      <c r="H46" s="69">
        <v>1.6</v>
      </c>
      <c r="I46" s="70">
        <v>0.13</v>
      </c>
      <c r="J46" s="70">
        <v>0.18</v>
      </c>
      <c r="K46" s="69">
        <v>0.2</v>
      </c>
      <c r="L46" s="69">
        <v>5.2</v>
      </c>
      <c r="M46" s="69" t="s">
        <v>170</v>
      </c>
      <c r="N46" s="69">
        <v>2006</v>
      </c>
      <c r="O46" s="69" t="s">
        <v>171</v>
      </c>
      <c r="P46" s="69">
        <v>418699</v>
      </c>
      <c r="Q46" s="92" t="s">
        <v>216</v>
      </c>
      <c r="R46" s="92" t="s">
        <v>188</v>
      </c>
      <c r="S46" s="92"/>
    </row>
    <row r="47" spans="1:19" x14ac:dyDescent="0.2">
      <c r="A47" s="92" t="s">
        <v>218</v>
      </c>
      <c r="B47" s="69">
        <v>0</v>
      </c>
      <c r="C47" s="69">
        <v>0</v>
      </c>
      <c r="D47" s="69">
        <v>0</v>
      </c>
      <c r="E47" s="69">
        <v>0</v>
      </c>
      <c r="F47" s="69">
        <v>3</v>
      </c>
      <c r="G47" s="69">
        <v>6</v>
      </c>
      <c r="H47" s="69">
        <v>1.2</v>
      </c>
      <c r="I47" s="70">
        <v>0.13</v>
      </c>
      <c r="J47" s="70">
        <v>0.4</v>
      </c>
      <c r="K47" s="69">
        <v>0.2</v>
      </c>
      <c r="L47" s="69">
        <v>-1</v>
      </c>
      <c r="M47" s="69" t="s">
        <v>170</v>
      </c>
      <c r="N47" s="69">
        <v>2000</v>
      </c>
      <c r="O47" s="69" t="s">
        <v>171</v>
      </c>
      <c r="P47" s="69">
        <v>188664</v>
      </c>
      <c r="Q47" s="92" t="s">
        <v>200</v>
      </c>
      <c r="R47" s="92" t="s">
        <v>192</v>
      </c>
      <c r="S47" s="92" t="s">
        <v>189</v>
      </c>
    </row>
    <row r="48" spans="1:19" x14ac:dyDescent="0.2">
      <c r="A48" s="91" t="s">
        <v>214</v>
      </c>
      <c r="B48" s="90">
        <v>8</v>
      </c>
      <c r="C48" s="90">
        <v>2</v>
      </c>
      <c r="D48" s="90">
        <v>3</v>
      </c>
      <c r="E48" s="90">
        <v>8</v>
      </c>
      <c r="F48" s="69">
        <v>9</v>
      </c>
      <c r="G48" s="69">
        <v>23</v>
      </c>
      <c r="H48" s="69">
        <v>4.2</v>
      </c>
      <c r="I48" s="70">
        <v>0.13</v>
      </c>
      <c r="J48" s="70">
        <v>0.4</v>
      </c>
      <c r="K48" s="69">
        <v>2.8</v>
      </c>
      <c r="L48" s="69">
        <v>0.6</v>
      </c>
      <c r="M48" s="69" t="s">
        <v>170</v>
      </c>
      <c r="N48" s="69">
        <v>2000</v>
      </c>
      <c r="O48" s="69" t="s">
        <v>171</v>
      </c>
      <c r="P48" s="69">
        <v>761940</v>
      </c>
      <c r="Q48" s="92" t="s">
        <v>200</v>
      </c>
      <c r="R48" s="92" t="s">
        <v>188</v>
      </c>
      <c r="S48" s="92" t="s">
        <v>189</v>
      </c>
    </row>
    <row r="49" spans="1:19" x14ac:dyDescent="0.2">
      <c r="A49" s="92" t="s">
        <v>219</v>
      </c>
      <c r="B49" s="90">
        <v>6</v>
      </c>
      <c r="C49" s="90">
        <v>2</v>
      </c>
      <c r="D49" s="90">
        <v>3</v>
      </c>
      <c r="E49" s="90">
        <v>6</v>
      </c>
      <c r="F49" s="69">
        <v>10</v>
      </c>
      <c r="G49" s="69">
        <v>21</v>
      </c>
      <c r="H49" s="69">
        <v>3.9</v>
      </c>
      <c r="I49" s="70">
        <v>0.14000000000000001</v>
      </c>
      <c r="J49" s="70">
        <v>0.4</v>
      </c>
      <c r="K49" s="69">
        <v>2</v>
      </c>
      <c r="L49" s="69">
        <v>1</v>
      </c>
      <c r="M49" s="69" t="s">
        <v>170</v>
      </c>
      <c r="N49" s="69">
        <v>2000</v>
      </c>
      <c r="O49" s="69" t="s">
        <v>171</v>
      </c>
      <c r="P49" s="69">
        <v>677534</v>
      </c>
      <c r="Q49" s="92" t="s">
        <v>200</v>
      </c>
      <c r="R49" s="92" t="s">
        <v>188</v>
      </c>
      <c r="S49" s="92"/>
    </row>
    <row r="50" spans="1:19" x14ac:dyDescent="0.2">
      <c r="A50" s="92" t="s">
        <v>222</v>
      </c>
      <c r="B50" s="90">
        <v>3</v>
      </c>
      <c r="C50" s="90">
        <v>0</v>
      </c>
      <c r="D50" s="90">
        <v>1</v>
      </c>
      <c r="E50" s="90">
        <v>3</v>
      </c>
      <c r="F50" s="69"/>
      <c r="G50" s="69"/>
      <c r="H50" s="69"/>
      <c r="I50" s="70">
        <v>0.14000000000000001</v>
      </c>
      <c r="J50" s="70">
        <v>0.41</v>
      </c>
      <c r="K50" s="69"/>
      <c r="L50" s="69"/>
      <c r="M50" s="69" t="s">
        <v>170</v>
      </c>
      <c r="N50" s="69">
        <v>2012</v>
      </c>
      <c r="O50" s="69" t="s">
        <v>171</v>
      </c>
      <c r="P50" s="69">
        <v>331686</v>
      </c>
      <c r="Q50" s="92" t="s">
        <v>209</v>
      </c>
      <c r="R50" s="92" t="s">
        <v>223</v>
      </c>
      <c r="S50" s="92" t="s">
        <v>189</v>
      </c>
    </row>
    <row r="51" spans="1:19" x14ac:dyDescent="0.2">
      <c r="A51" s="92" t="s">
        <v>220</v>
      </c>
      <c r="B51" s="90">
        <v>1</v>
      </c>
      <c r="C51" s="90">
        <v>0</v>
      </c>
      <c r="D51" s="90">
        <v>1</v>
      </c>
      <c r="E51" s="90">
        <v>1</v>
      </c>
      <c r="F51" s="69">
        <v>7</v>
      </c>
      <c r="G51" s="69">
        <v>12</v>
      </c>
      <c r="H51" s="69">
        <v>2.2000000000000002</v>
      </c>
      <c r="I51" s="70">
        <v>0.14000000000000001</v>
      </c>
      <c r="J51" s="70">
        <v>0.3</v>
      </c>
      <c r="K51" s="69">
        <v>0.3</v>
      </c>
      <c r="L51" s="69">
        <v>6.5</v>
      </c>
      <c r="M51" s="69" t="s">
        <v>170</v>
      </c>
      <c r="N51" s="69">
        <v>2000</v>
      </c>
      <c r="O51" s="69" t="s">
        <v>171</v>
      </c>
      <c r="P51" s="69">
        <v>214163</v>
      </c>
      <c r="Q51" s="92" t="s">
        <v>221</v>
      </c>
      <c r="R51" s="92" t="s">
        <v>192</v>
      </c>
      <c r="S51" s="92"/>
    </row>
    <row r="52" spans="1:19" x14ac:dyDescent="0.2">
      <c r="A52" s="92" t="s">
        <v>224</v>
      </c>
      <c r="B52" s="90">
        <v>0</v>
      </c>
      <c r="C52" s="90">
        <v>0</v>
      </c>
      <c r="D52" s="90">
        <v>0</v>
      </c>
      <c r="E52" s="90">
        <v>0</v>
      </c>
      <c r="F52" s="69">
        <v>3</v>
      </c>
      <c r="G52" s="69">
        <v>6</v>
      </c>
      <c r="H52" s="69">
        <v>1.2</v>
      </c>
      <c r="I52" s="70">
        <v>0.15</v>
      </c>
      <c r="J52" s="70">
        <v>0.4</v>
      </c>
      <c r="K52" s="69">
        <v>0.2</v>
      </c>
      <c r="L52" s="69">
        <v>-1.7</v>
      </c>
      <c r="M52" s="69" t="s">
        <v>170</v>
      </c>
      <c r="N52" s="69">
        <v>2000</v>
      </c>
      <c r="O52" s="69" t="s">
        <v>171</v>
      </c>
      <c r="P52" s="69">
        <v>717611</v>
      </c>
      <c r="Q52" s="92" t="s">
        <v>200</v>
      </c>
      <c r="R52" s="92" t="s">
        <v>192</v>
      </c>
      <c r="S52" s="92"/>
    </row>
    <row r="53" spans="1:19" x14ac:dyDescent="0.2">
      <c r="A53" s="91" t="s">
        <v>230</v>
      </c>
      <c r="B53" s="90">
        <v>1</v>
      </c>
      <c r="C53" s="90">
        <v>0</v>
      </c>
      <c r="D53" s="90">
        <v>0</v>
      </c>
      <c r="E53" s="90">
        <v>1</v>
      </c>
      <c r="F53" s="69">
        <v>5</v>
      </c>
      <c r="G53" s="69">
        <v>8</v>
      </c>
      <c r="H53" s="69">
        <v>1.5</v>
      </c>
      <c r="I53" s="70">
        <v>0.15</v>
      </c>
      <c r="J53" s="70">
        <v>0.41</v>
      </c>
      <c r="K53" s="69">
        <v>0.3</v>
      </c>
      <c r="L53" s="69">
        <v>3</v>
      </c>
      <c r="M53" s="69" t="s">
        <v>170</v>
      </c>
      <c r="N53" s="69">
        <v>2000</v>
      </c>
      <c r="O53" s="69" t="s">
        <v>71</v>
      </c>
      <c r="P53" s="69">
        <v>718205</v>
      </c>
      <c r="Q53" s="92" t="s">
        <v>231</v>
      </c>
      <c r="R53" s="92" t="s">
        <v>192</v>
      </c>
      <c r="S53" s="92"/>
    </row>
    <row r="54" spans="1:19" x14ac:dyDescent="0.2">
      <c r="A54" s="91" t="s">
        <v>225</v>
      </c>
      <c r="B54" s="90">
        <v>1</v>
      </c>
      <c r="C54" s="90">
        <v>0</v>
      </c>
      <c r="D54" s="90">
        <v>0</v>
      </c>
      <c r="E54" s="90">
        <v>1</v>
      </c>
      <c r="F54" s="69">
        <v>5</v>
      </c>
      <c r="G54" s="69">
        <v>8</v>
      </c>
      <c r="H54" s="69">
        <v>1.5</v>
      </c>
      <c r="I54" s="70">
        <v>0.15</v>
      </c>
      <c r="J54" s="70">
        <v>0.5</v>
      </c>
      <c r="K54" s="69">
        <v>0.2</v>
      </c>
      <c r="L54" s="69">
        <v>2.9</v>
      </c>
      <c r="M54" s="69" t="s">
        <v>170</v>
      </c>
      <c r="N54" s="69">
        <v>2001</v>
      </c>
      <c r="O54" s="69" t="s">
        <v>171</v>
      </c>
      <c r="P54" s="69">
        <v>613133</v>
      </c>
      <c r="Q54" s="92" t="s">
        <v>226</v>
      </c>
      <c r="R54" s="92" t="s">
        <v>192</v>
      </c>
      <c r="S54" s="92"/>
    </row>
    <row r="55" spans="1:19" x14ac:dyDescent="0.2">
      <c r="A55" s="91" t="s">
        <v>228</v>
      </c>
      <c r="B55" s="90">
        <v>7</v>
      </c>
      <c r="C55" s="90">
        <v>-1</v>
      </c>
      <c r="D55" s="90">
        <v>2</v>
      </c>
      <c r="E55" s="90">
        <v>7</v>
      </c>
      <c r="F55" s="69">
        <v>2</v>
      </c>
      <c r="G55" s="69">
        <v>19</v>
      </c>
      <c r="H55" s="69">
        <v>3.5</v>
      </c>
      <c r="I55" s="70">
        <v>0.15</v>
      </c>
      <c r="J55" s="70">
        <v>0.26</v>
      </c>
      <c r="K55" s="69">
        <v>3.7</v>
      </c>
      <c r="L55" s="69">
        <v>-0.2</v>
      </c>
      <c r="M55" s="69" t="s">
        <v>170</v>
      </c>
      <c r="N55" s="69">
        <v>2003</v>
      </c>
      <c r="O55" s="69" t="s">
        <v>171</v>
      </c>
      <c r="P55" s="69">
        <v>787382</v>
      </c>
      <c r="Q55" s="92" t="s">
        <v>194</v>
      </c>
      <c r="R55" s="92" t="s">
        <v>229</v>
      </c>
      <c r="S55" s="92"/>
    </row>
    <row r="56" spans="1:19" x14ac:dyDescent="0.2">
      <c r="A56" s="92" t="s">
        <v>227</v>
      </c>
      <c r="B56" s="90">
        <v>8</v>
      </c>
      <c r="C56" s="90">
        <v>2</v>
      </c>
      <c r="D56" s="90">
        <v>4</v>
      </c>
      <c r="E56" s="90">
        <v>8</v>
      </c>
      <c r="F56" s="69">
        <v>10</v>
      </c>
      <c r="G56" s="69">
        <v>26</v>
      </c>
      <c r="H56" s="69">
        <v>4.7</v>
      </c>
      <c r="I56" s="70">
        <v>0.15</v>
      </c>
      <c r="J56" s="70">
        <v>0.4</v>
      </c>
      <c r="K56" s="69">
        <v>3.3</v>
      </c>
      <c r="L56" s="69">
        <v>0.6</v>
      </c>
      <c r="M56" s="69" t="s">
        <v>170</v>
      </c>
      <c r="N56" s="69">
        <v>2000</v>
      </c>
      <c r="O56" s="69" t="s">
        <v>171</v>
      </c>
      <c r="P56" s="69">
        <v>178335</v>
      </c>
      <c r="Q56" s="92" t="s">
        <v>221</v>
      </c>
      <c r="R56" s="92" t="s">
        <v>188</v>
      </c>
      <c r="S56" s="92"/>
    </row>
    <row r="57" spans="1:19" x14ac:dyDescent="0.2">
      <c r="A57" s="92" t="s">
        <v>232</v>
      </c>
      <c r="B57" s="69">
        <v>1</v>
      </c>
      <c r="C57" s="69">
        <v>0</v>
      </c>
      <c r="D57" s="69">
        <v>1</v>
      </c>
      <c r="E57" s="69">
        <v>1</v>
      </c>
      <c r="F57" s="69">
        <v>8</v>
      </c>
      <c r="G57" s="69">
        <v>12</v>
      </c>
      <c r="H57" s="69">
        <v>2.2999999999999998</v>
      </c>
      <c r="I57" s="70">
        <v>0.15</v>
      </c>
      <c r="J57" s="70">
        <v>0.3</v>
      </c>
      <c r="K57" s="69">
        <v>0.3</v>
      </c>
      <c r="L57" s="69">
        <v>6.3</v>
      </c>
      <c r="M57" s="69" t="s">
        <v>170</v>
      </c>
      <c r="N57" s="69">
        <v>2001</v>
      </c>
      <c r="O57" s="69" t="s">
        <v>171</v>
      </c>
      <c r="P57" s="69">
        <v>478313</v>
      </c>
      <c r="Q57" s="92" t="s">
        <v>233</v>
      </c>
      <c r="R57" s="92" t="s">
        <v>192</v>
      </c>
      <c r="S57" s="92"/>
    </row>
    <row r="58" spans="1:19" x14ac:dyDescent="0.2">
      <c r="A58" s="92" t="s">
        <v>246</v>
      </c>
      <c r="B58" s="69">
        <v>1</v>
      </c>
      <c r="C58" s="69">
        <v>0</v>
      </c>
      <c r="D58" s="69">
        <v>1</v>
      </c>
      <c r="E58" s="69">
        <v>1</v>
      </c>
      <c r="F58" s="69">
        <v>8</v>
      </c>
      <c r="G58" s="69">
        <v>11</v>
      </c>
      <c r="H58" s="69">
        <v>2.2000000000000002</v>
      </c>
      <c r="I58" s="70">
        <v>0.16</v>
      </c>
      <c r="J58" s="70">
        <v>0.3</v>
      </c>
      <c r="K58" s="69">
        <v>0.4</v>
      </c>
      <c r="L58" s="69">
        <v>5</v>
      </c>
      <c r="M58" s="69" t="s">
        <v>170</v>
      </c>
      <c r="N58" s="69">
        <v>2000</v>
      </c>
      <c r="O58" s="69" t="s">
        <v>171</v>
      </c>
      <c r="P58" s="69">
        <v>865774</v>
      </c>
      <c r="Q58" s="92" t="s">
        <v>247</v>
      </c>
      <c r="R58" s="92" t="s">
        <v>192</v>
      </c>
      <c r="S58" s="92"/>
    </row>
    <row r="59" spans="1:19" x14ac:dyDescent="0.2">
      <c r="A59" s="92" t="s">
        <v>234</v>
      </c>
      <c r="B59" s="90">
        <v>2</v>
      </c>
      <c r="C59" s="90">
        <v>0</v>
      </c>
      <c r="D59" s="90">
        <v>1</v>
      </c>
      <c r="E59" s="90">
        <v>2</v>
      </c>
      <c r="F59" s="69"/>
      <c r="G59" s="69"/>
      <c r="H59" s="69"/>
      <c r="I59" s="70">
        <v>0.16</v>
      </c>
      <c r="J59" s="70">
        <v>0.3</v>
      </c>
      <c r="K59" s="69"/>
      <c r="L59" s="69"/>
      <c r="M59" s="69" t="s">
        <v>170</v>
      </c>
      <c r="N59" s="69">
        <v>2013</v>
      </c>
      <c r="O59" s="69" t="s">
        <v>71</v>
      </c>
      <c r="P59" s="69">
        <v>574582</v>
      </c>
      <c r="Q59" s="92" t="s">
        <v>235</v>
      </c>
      <c r="R59" s="92" t="s">
        <v>223</v>
      </c>
      <c r="S59" s="92"/>
    </row>
    <row r="60" spans="1:19" x14ac:dyDescent="0.2">
      <c r="A60" s="92" t="s">
        <v>240</v>
      </c>
      <c r="B60" s="69">
        <v>21</v>
      </c>
      <c r="C60" s="69">
        <v>6</v>
      </c>
      <c r="D60" s="69">
        <v>9</v>
      </c>
      <c r="E60" s="69">
        <v>21</v>
      </c>
      <c r="F60" s="69">
        <v>37</v>
      </c>
      <c r="G60" s="69">
        <v>26</v>
      </c>
      <c r="H60" s="69">
        <v>4.7</v>
      </c>
      <c r="I60" s="70">
        <v>0.16</v>
      </c>
      <c r="J60" s="70">
        <v>0.28000000000000003</v>
      </c>
      <c r="K60" s="69">
        <v>5.9</v>
      </c>
      <c r="L60" s="69">
        <v>1.6</v>
      </c>
      <c r="M60" s="69" t="s">
        <v>241</v>
      </c>
      <c r="N60" s="69">
        <v>2000</v>
      </c>
      <c r="O60" s="69" t="s">
        <v>71</v>
      </c>
      <c r="P60" s="69">
        <v>443721</v>
      </c>
      <c r="Q60" s="92" t="s">
        <v>242</v>
      </c>
      <c r="R60" s="92" t="s">
        <v>243</v>
      </c>
      <c r="S60" s="92"/>
    </row>
    <row r="61" spans="1:19" x14ac:dyDescent="0.2">
      <c r="A61" s="92" t="s">
        <v>248</v>
      </c>
      <c r="B61" s="69">
        <v>1</v>
      </c>
      <c r="C61" s="69">
        <v>0</v>
      </c>
      <c r="D61" s="69">
        <v>0</v>
      </c>
      <c r="E61" s="69">
        <v>1</v>
      </c>
      <c r="F61" s="69">
        <v>4</v>
      </c>
      <c r="G61" s="69">
        <v>6</v>
      </c>
      <c r="H61" s="69">
        <v>1.2</v>
      </c>
      <c r="I61" s="70">
        <v>0.16</v>
      </c>
      <c r="J61" s="70">
        <v>0.4</v>
      </c>
      <c r="K61" s="69">
        <v>0.2</v>
      </c>
      <c r="L61" s="69">
        <v>-0.7</v>
      </c>
      <c r="M61" s="69" t="s">
        <v>170</v>
      </c>
      <c r="N61" s="69">
        <v>2002</v>
      </c>
      <c r="O61" s="69" t="s">
        <v>171</v>
      </c>
      <c r="P61" s="69">
        <v>843284</v>
      </c>
      <c r="Q61" s="92" t="s">
        <v>249</v>
      </c>
      <c r="R61" s="92" t="s">
        <v>192</v>
      </c>
      <c r="S61" s="92"/>
    </row>
    <row r="62" spans="1:19" x14ac:dyDescent="0.2">
      <c r="A62" s="92" t="s">
        <v>238</v>
      </c>
      <c r="B62" s="69">
        <v>17</v>
      </c>
      <c r="C62" s="69">
        <v>6</v>
      </c>
      <c r="D62" s="69">
        <v>12</v>
      </c>
      <c r="E62" s="69">
        <v>17</v>
      </c>
      <c r="F62" s="69">
        <v>49</v>
      </c>
      <c r="G62" s="69">
        <v>27</v>
      </c>
      <c r="H62" s="69">
        <v>4.8</v>
      </c>
      <c r="I62" s="70">
        <v>0.16</v>
      </c>
      <c r="J62" s="70">
        <v>0.21</v>
      </c>
      <c r="K62" s="69">
        <v>10.8</v>
      </c>
      <c r="L62" s="69">
        <v>1.2</v>
      </c>
      <c r="M62" s="69" t="s">
        <v>170</v>
      </c>
      <c r="N62" s="69">
        <v>2000</v>
      </c>
      <c r="O62" s="69" t="s">
        <v>171</v>
      </c>
      <c r="P62" s="69">
        <v>176503</v>
      </c>
      <c r="Q62" s="92" t="s">
        <v>209</v>
      </c>
      <c r="R62" s="92" t="s">
        <v>239</v>
      </c>
      <c r="S62" s="92" t="s">
        <v>189</v>
      </c>
    </row>
    <row r="63" spans="1:19" x14ac:dyDescent="0.2">
      <c r="A63" s="92" t="s">
        <v>250</v>
      </c>
      <c r="B63" s="69">
        <v>16</v>
      </c>
      <c r="C63" s="69">
        <v>7</v>
      </c>
      <c r="D63" s="69">
        <v>7</v>
      </c>
      <c r="E63" s="69">
        <v>16</v>
      </c>
      <c r="F63" s="69">
        <v>72</v>
      </c>
      <c r="G63" s="69">
        <v>86</v>
      </c>
      <c r="H63" s="69">
        <v>13.2</v>
      </c>
      <c r="I63" s="70">
        <v>0.16</v>
      </c>
      <c r="J63" s="70">
        <v>0.21</v>
      </c>
      <c r="K63" s="69">
        <v>10.8</v>
      </c>
      <c r="L63" s="69">
        <v>1.6</v>
      </c>
      <c r="M63" s="69" t="s">
        <v>170</v>
      </c>
      <c r="N63" s="69">
        <v>2000</v>
      </c>
      <c r="O63" s="69" t="s">
        <v>171</v>
      </c>
      <c r="P63" s="69">
        <v>212332</v>
      </c>
      <c r="Q63" s="92" t="s">
        <v>209</v>
      </c>
      <c r="R63" s="92" t="s">
        <v>176</v>
      </c>
      <c r="S63" s="92" t="s">
        <v>189</v>
      </c>
    </row>
    <row r="64" spans="1:19" x14ac:dyDescent="0.2">
      <c r="A64" s="92" t="s">
        <v>244</v>
      </c>
      <c r="B64" s="90">
        <v>37</v>
      </c>
      <c r="C64" s="90">
        <v>13</v>
      </c>
      <c r="D64" s="90">
        <v>23</v>
      </c>
      <c r="E64" s="90">
        <v>37</v>
      </c>
      <c r="F64" s="69">
        <v>94</v>
      </c>
      <c r="G64" s="69">
        <v>114</v>
      </c>
      <c r="H64" s="69">
        <v>16.399999999999999</v>
      </c>
      <c r="I64" s="70">
        <v>0.16</v>
      </c>
      <c r="J64" s="70">
        <v>0.21</v>
      </c>
      <c r="K64" s="69">
        <v>8</v>
      </c>
      <c r="L64" s="69">
        <v>2.7</v>
      </c>
      <c r="M64" s="69" t="s">
        <v>170</v>
      </c>
      <c r="N64" s="69">
        <v>2000</v>
      </c>
      <c r="O64" s="69" t="s">
        <v>171</v>
      </c>
      <c r="P64" s="69">
        <v>248161</v>
      </c>
      <c r="Q64" s="92" t="s">
        <v>209</v>
      </c>
      <c r="R64" s="92" t="s">
        <v>245</v>
      </c>
      <c r="S64" s="92" t="s">
        <v>189</v>
      </c>
    </row>
    <row r="65" spans="1:19" x14ac:dyDescent="0.2">
      <c r="A65" s="92" t="s">
        <v>236</v>
      </c>
      <c r="B65" s="69">
        <v>13</v>
      </c>
      <c r="C65" s="69">
        <v>3</v>
      </c>
      <c r="D65" s="69">
        <v>3</v>
      </c>
      <c r="E65" s="69">
        <v>13</v>
      </c>
      <c r="F65" s="69">
        <v>54</v>
      </c>
      <c r="G65" s="69">
        <v>34</v>
      </c>
      <c r="H65" s="69">
        <v>6</v>
      </c>
      <c r="I65" s="70">
        <v>0.16</v>
      </c>
      <c r="J65" s="70">
        <v>0.21</v>
      </c>
      <c r="K65" s="69">
        <v>8.5</v>
      </c>
      <c r="L65" s="69">
        <v>1.6</v>
      </c>
      <c r="M65" s="69" t="s">
        <v>170</v>
      </c>
      <c r="N65" s="69">
        <v>2000</v>
      </c>
      <c r="O65" s="69" t="s">
        <v>171</v>
      </c>
      <c r="P65" s="69">
        <v>140673</v>
      </c>
      <c r="Q65" s="92" t="s">
        <v>209</v>
      </c>
      <c r="R65" s="92" t="s">
        <v>237</v>
      </c>
      <c r="S65" s="92" t="s">
        <v>189</v>
      </c>
    </row>
    <row r="66" spans="1:19" x14ac:dyDescent="0.2">
      <c r="A66" s="92" t="s">
        <v>252</v>
      </c>
      <c r="B66" s="90">
        <v>7</v>
      </c>
      <c r="C66" s="90">
        <v>2</v>
      </c>
      <c r="D66" s="90">
        <v>3</v>
      </c>
      <c r="E66" s="90">
        <v>7</v>
      </c>
      <c r="F66" s="69">
        <v>10</v>
      </c>
      <c r="G66" s="69">
        <v>20</v>
      </c>
      <c r="H66" s="69">
        <v>3.7</v>
      </c>
      <c r="I66" s="70">
        <v>0.17</v>
      </c>
      <c r="J66" s="70">
        <v>0.51</v>
      </c>
      <c r="K66" s="69">
        <v>2.2999999999999998</v>
      </c>
      <c r="L66" s="69">
        <v>0.8</v>
      </c>
      <c r="M66" s="69" t="s">
        <v>170</v>
      </c>
      <c r="N66" s="69">
        <v>2001</v>
      </c>
      <c r="O66" s="69" t="s">
        <v>171</v>
      </c>
      <c r="P66" s="69">
        <v>242081</v>
      </c>
      <c r="Q66" s="92" t="s">
        <v>203</v>
      </c>
      <c r="R66" s="92" t="s">
        <v>188</v>
      </c>
      <c r="S66" s="92"/>
    </row>
    <row r="67" spans="1:19" x14ac:dyDescent="0.2">
      <c r="A67" s="92" t="s">
        <v>251</v>
      </c>
      <c r="B67" s="69">
        <v>6</v>
      </c>
      <c r="C67" s="69">
        <v>-1</v>
      </c>
      <c r="D67" s="69">
        <v>2</v>
      </c>
      <c r="E67" s="69">
        <v>6</v>
      </c>
      <c r="F67" s="69">
        <v>1</v>
      </c>
      <c r="G67" s="69">
        <v>18</v>
      </c>
      <c r="H67" s="69">
        <v>3.4</v>
      </c>
      <c r="I67" s="70">
        <v>0.17</v>
      </c>
      <c r="J67" s="70">
        <v>0.5</v>
      </c>
      <c r="K67" s="69">
        <v>3.6</v>
      </c>
      <c r="L67" s="69">
        <v>-0.2</v>
      </c>
      <c r="M67" s="69" t="s">
        <v>170</v>
      </c>
      <c r="N67" s="69">
        <v>2003</v>
      </c>
      <c r="O67" s="69" t="s">
        <v>171</v>
      </c>
      <c r="P67" s="69">
        <v>666552</v>
      </c>
      <c r="Q67" s="92" t="s">
        <v>200</v>
      </c>
      <c r="R67" s="92" t="s">
        <v>229</v>
      </c>
      <c r="S67" s="92"/>
    </row>
    <row r="68" spans="1:19" x14ac:dyDescent="0.2">
      <c r="A68" s="92" t="s">
        <v>256</v>
      </c>
      <c r="B68" s="69">
        <v>26</v>
      </c>
      <c r="C68" s="69">
        <v>9</v>
      </c>
      <c r="D68" s="69">
        <v>14</v>
      </c>
      <c r="E68" s="69">
        <v>26</v>
      </c>
      <c r="F68" s="69">
        <v>67</v>
      </c>
      <c r="G68" s="69">
        <v>55</v>
      </c>
      <c r="H68" s="69">
        <v>9.1</v>
      </c>
      <c r="I68" s="70">
        <v>0.17</v>
      </c>
      <c r="J68" s="70">
        <v>0.31</v>
      </c>
      <c r="K68" s="69">
        <v>6.7</v>
      </c>
      <c r="L68" s="69">
        <v>2.4</v>
      </c>
      <c r="M68" s="69" t="s">
        <v>170</v>
      </c>
      <c r="N68" s="69">
        <v>2010</v>
      </c>
      <c r="O68" s="69" t="s">
        <v>171</v>
      </c>
      <c r="P68" s="69">
        <v>407064</v>
      </c>
      <c r="Q68" s="92" t="s">
        <v>209</v>
      </c>
      <c r="R68" s="92" t="s">
        <v>212</v>
      </c>
      <c r="S68" s="92" t="s">
        <v>189</v>
      </c>
    </row>
    <row r="69" spans="1:19" x14ac:dyDescent="0.2">
      <c r="A69" s="92" t="s">
        <v>253</v>
      </c>
      <c r="B69" s="69">
        <v>4</v>
      </c>
      <c r="C69" s="69">
        <v>1</v>
      </c>
      <c r="D69" s="69">
        <v>1</v>
      </c>
      <c r="E69" s="69">
        <v>4</v>
      </c>
      <c r="F69" s="69">
        <v>9</v>
      </c>
      <c r="G69" s="69">
        <v>19</v>
      </c>
      <c r="H69" s="69">
        <v>3.5</v>
      </c>
      <c r="I69" s="70">
        <v>0.17</v>
      </c>
      <c r="J69" s="70">
        <v>0.5</v>
      </c>
      <c r="K69" s="69">
        <v>1.1000000000000001</v>
      </c>
      <c r="L69" s="69">
        <v>1.5</v>
      </c>
      <c r="M69" s="69" t="s">
        <v>170</v>
      </c>
      <c r="N69" s="69">
        <v>2010</v>
      </c>
      <c r="O69" s="69" t="s">
        <v>71</v>
      </c>
      <c r="P69" s="69">
        <v>756866</v>
      </c>
      <c r="Q69" s="92" t="s">
        <v>254</v>
      </c>
      <c r="R69" s="92" t="s">
        <v>188</v>
      </c>
      <c r="S69" s="92"/>
    </row>
    <row r="70" spans="1:19" x14ac:dyDescent="0.2">
      <c r="A70" s="92" t="s">
        <v>255</v>
      </c>
      <c r="B70" s="69">
        <v>1</v>
      </c>
      <c r="C70" s="69">
        <v>0</v>
      </c>
      <c r="D70" s="69">
        <v>0</v>
      </c>
      <c r="E70" s="69">
        <v>1</v>
      </c>
      <c r="F70" s="69">
        <v>5</v>
      </c>
      <c r="G70" s="69">
        <v>8</v>
      </c>
      <c r="H70" s="69">
        <v>1.6</v>
      </c>
      <c r="I70" s="70">
        <v>0.17</v>
      </c>
      <c r="J70" s="70">
        <v>0.5</v>
      </c>
      <c r="K70" s="69">
        <v>0.3</v>
      </c>
      <c r="L70" s="69">
        <v>2.5</v>
      </c>
      <c r="M70" s="69" t="s">
        <v>170</v>
      </c>
      <c r="N70" s="69">
        <v>2005</v>
      </c>
      <c r="O70" s="69" t="s">
        <v>71</v>
      </c>
      <c r="P70" s="69">
        <v>815894</v>
      </c>
      <c r="Q70" s="92" t="s">
        <v>254</v>
      </c>
      <c r="R70" s="92" t="s">
        <v>192</v>
      </c>
      <c r="S70" s="92"/>
    </row>
    <row r="71" spans="1:19" x14ac:dyDescent="0.2">
      <c r="A71" s="92" t="s">
        <v>257</v>
      </c>
      <c r="B71" s="90">
        <v>16</v>
      </c>
      <c r="C71" s="90">
        <v>6</v>
      </c>
      <c r="D71" s="90">
        <v>8</v>
      </c>
      <c r="E71" s="90">
        <v>16</v>
      </c>
      <c r="F71" s="69">
        <v>38</v>
      </c>
      <c r="G71" s="69">
        <v>44</v>
      </c>
      <c r="H71" s="69">
        <v>7.5</v>
      </c>
      <c r="I71" s="70">
        <v>0.18</v>
      </c>
      <c r="J71" s="70">
        <v>0.42</v>
      </c>
      <c r="K71" s="69">
        <v>3.9</v>
      </c>
      <c r="L71" s="69">
        <v>2.4</v>
      </c>
      <c r="M71" s="69" t="s">
        <v>170</v>
      </c>
      <c r="N71" s="69">
        <v>2000</v>
      </c>
      <c r="O71" s="69" t="s">
        <v>171</v>
      </c>
      <c r="P71" s="69">
        <v>749192</v>
      </c>
      <c r="Q71" s="92" t="s">
        <v>200</v>
      </c>
      <c r="R71" s="92" t="s">
        <v>173</v>
      </c>
      <c r="S71" s="92"/>
    </row>
    <row r="72" spans="1:19" x14ac:dyDescent="0.2">
      <c r="A72" s="92" t="s">
        <v>258</v>
      </c>
      <c r="B72" s="69">
        <v>7</v>
      </c>
      <c r="C72" s="69">
        <v>2</v>
      </c>
      <c r="D72" s="69">
        <v>3</v>
      </c>
      <c r="E72" s="69">
        <v>7</v>
      </c>
      <c r="F72" s="69">
        <v>10</v>
      </c>
      <c r="G72" s="69">
        <v>19</v>
      </c>
      <c r="H72" s="69">
        <v>3.6</v>
      </c>
      <c r="I72" s="70">
        <v>0.18</v>
      </c>
      <c r="J72" s="70">
        <v>0.5</v>
      </c>
      <c r="K72" s="69">
        <v>2.1</v>
      </c>
      <c r="L72" s="69">
        <v>0.9</v>
      </c>
      <c r="M72" s="69" t="s">
        <v>170</v>
      </c>
      <c r="N72" s="69">
        <v>2002</v>
      </c>
      <c r="O72" s="69" t="s">
        <v>171</v>
      </c>
      <c r="P72" s="69">
        <v>807453</v>
      </c>
      <c r="Q72" s="92" t="s">
        <v>249</v>
      </c>
      <c r="R72" s="92" t="s">
        <v>188</v>
      </c>
      <c r="S72" s="92"/>
    </row>
    <row r="73" spans="1:19" x14ac:dyDescent="0.2">
      <c r="A73" s="92" t="s">
        <v>278</v>
      </c>
      <c r="B73" s="90">
        <v>16</v>
      </c>
      <c r="C73" s="90">
        <v>7</v>
      </c>
      <c r="D73" s="90">
        <v>6</v>
      </c>
      <c r="E73" s="90">
        <v>16</v>
      </c>
      <c r="F73" s="69">
        <v>71</v>
      </c>
      <c r="G73" s="69">
        <v>82</v>
      </c>
      <c r="H73" s="69">
        <v>12.7</v>
      </c>
      <c r="I73" s="70">
        <v>0.18</v>
      </c>
      <c r="J73" s="70">
        <v>0.4</v>
      </c>
      <c r="K73" s="69">
        <v>10.9</v>
      </c>
      <c r="L73" s="69">
        <v>1.6</v>
      </c>
      <c r="M73" s="69" t="s">
        <v>170</v>
      </c>
      <c r="N73" s="69">
        <v>2000</v>
      </c>
      <c r="O73" s="69" t="s">
        <v>171</v>
      </c>
      <c r="P73" s="69">
        <v>976928</v>
      </c>
      <c r="Q73" s="92" t="s">
        <v>200</v>
      </c>
      <c r="R73" s="92" t="s">
        <v>264</v>
      </c>
      <c r="S73" s="92" t="s">
        <v>189</v>
      </c>
    </row>
    <row r="74" spans="1:19" x14ac:dyDescent="0.2">
      <c r="A74" s="92" t="s">
        <v>279</v>
      </c>
      <c r="B74" s="69">
        <v>25</v>
      </c>
      <c r="C74" s="69">
        <v>8</v>
      </c>
      <c r="D74" s="69">
        <v>14</v>
      </c>
      <c r="E74" s="69">
        <v>25</v>
      </c>
      <c r="F74" s="69">
        <v>66</v>
      </c>
      <c r="G74" s="69">
        <v>68</v>
      </c>
      <c r="H74" s="69">
        <v>10.9</v>
      </c>
      <c r="I74" s="70">
        <v>0.18</v>
      </c>
      <c r="J74" s="70">
        <v>0.4</v>
      </c>
      <c r="K74" s="69">
        <v>6.3</v>
      </c>
      <c r="L74" s="69">
        <v>2.5</v>
      </c>
      <c r="M74" s="69" t="s">
        <v>170</v>
      </c>
      <c r="N74" s="69">
        <v>2000</v>
      </c>
      <c r="O74" s="69" t="s">
        <v>171</v>
      </c>
      <c r="P74" s="69">
        <v>941096</v>
      </c>
      <c r="Q74" s="92" t="s">
        <v>200</v>
      </c>
      <c r="R74" s="92" t="s">
        <v>212</v>
      </c>
      <c r="S74" s="92" t="s">
        <v>189</v>
      </c>
    </row>
    <row r="75" spans="1:19" x14ac:dyDescent="0.2">
      <c r="A75" s="92" t="s">
        <v>273</v>
      </c>
      <c r="B75" s="69">
        <v>15</v>
      </c>
      <c r="C75" s="69">
        <v>7</v>
      </c>
      <c r="D75" s="69">
        <v>6</v>
      </c>
      <c r="E75" s="69">
        <v>15</v>
      </c>
      <c r="F75" s="69">
        <v>70</v>
      </c>
      <c r="G75" s="69">
        <v>80</v>
      </c>
      <c r="H75" s="69">
        <v>12.5</v>
      </c>
      <c r="I75" s="70">
        <v>0.18</v>
      </c>
      <c r="J75" s="70">
        <v>0.4</v>
      </c>
      <c r="K75" s="69">
        <v>10.8</v>
      </c>
      <c r="L75" s="69">
        <v>1.6</v>
      </c>
      <c r="M75" s="69" t="s">
        <v>170</v>
      </c>
      <c r="N75" s="69">
        <v>2000</v>
      </c>
      <c r="O75" s="69" t="s">
        <v>171</v>
      </c>
      <c r="P75" s="69">
        <v>905265</v>
      </c>
      <c r="Q75" s="92" t="s">
        <v>200</v>
      </c>
      <c r="R75" s="92" t="s">
        <v>264</v>
      </c>
      <c r="S75" s="92" t="s">
        <v>189</v>
      </c>
    </row>
    <row r="76" spans="1:19" x14ac:dyDescent="0.2">
      <c r="A76" s="92" t="s">
        <v>267</v>
      </c>
      <c r="B76" s="69">
        <v>16</v>
      </c>
      <c r="C76" s="69">
        <v>7</v>
      </c>
      <c r="D76" s="69">
        <v>6</v>
      </c>
      <c r="E76" s="69">
        <v>16</v>
      </c>
      <c r="F76" s="69">
        <v>71</v>
      </c>
      <c r="G76" s="69">
        <v>82</v>
      </c>
      <c r="H76" s="69">
        <v>12.8</v>
      </c>
      <c r="I76" s="70">
        <v>0.18</v>
      </c>
      <c r="J76" s="70">
        <v>0.4</v>
      </c>
      <c r="K76" s="69">
        <v>10.9</v>
      </c>
      <c r="L76" s="69">
        <v>1.6</v>
      </c>
      <c r="M76" s="69" t="s">
        <v>170</v>
      </c>
      <c r="N76" s="69">
        <v>2000</v>
      </c>
      <c r="O76" s="69" t="s">
        <v>171</v>
      </c>
      <c r="P76" s="69">
        <v>833608</v>
      </c>
      <c r="Q76" s="92" t="s">
        <v>200</v>
      </c>
      <c r="R76" s="92" t="s">
        <v>264</v>
      </c>
      <c r="S76" s="92" t="s">
        <v>189</v>
      </c>
    </row>
    <row r="77" spans="1:19" x14ac:dyDescent="0.2">
      <c r="A77" s="92" t="s">
        <v>268</v>
      </c>
      <c r="B77" s="90">
        <v>25</v>
      </c>
      <c r="C77" s="90">
        <v>8</v>
      </c>
      <c r="D77" s="90">
        <v>14</v>
      </c>
      <c r="E77" s="90">
        <v>25</v>
      </c>
      <c r="F77" s="69">
        <v>65</v>
      </c>
      <c r="G77" s="69">
        <v>70</v>
      </c>
      <c r="H77" s="69">
        <v>11.2</v>
      </c>
      <c r="I77" s="70">
        <v>0.18</v>
      </c>
      <c r="J77" s="70">
        <v>0.4</v>
      </c>
      <c r="K77" s="69">
        <v>6.3</v>
      </c>
      <c r="L77" s="69">
        <v>2.5</v>
      </c>
      <c r="M77" s="69" t="s">
        <v>170</v>
      </c>
      <c r="N77" s="69">
        <v>2000</v>
      </c>
      <c r="O77" s="69" t="s">
        <v>171</v>
      </c>
      <c r="P77" s="69">
        <v>797779</v>
      </c>
      <c r="Q77" s="92" t="s">
        <v>200</v>
      </c>
      <c r="R77" s="92" t="s">
        <v>212</v>
      </c>
      <c r="S77" s="92" t="s">
        <v>189</v>
      </c>
    </row>
    <row r="78" spans="1:19" x14ac:dyDescent="0.2">
      <c r="A78" s="92" t="s">
        <v>269</v>
      </c>
      <c r="B78" s="69">
        <v>21</v>
      </c>
      <c r="C78" s="69">
        <v>7</v>
      </c>
      <c r="D78" s="69">
        <v>11</v>
      </c>
      <c r="E78" s="69">
        <v>21</v>
      </c>
      <c r="F78" s="69">
        <v>73</v>
      </c>
      <c r="G78" s="69">
        <v>76</v>
      </c>
      <c r="H78" s="69">
        <v>12</v>
      </c>
      <c r="I78" s="70">
        <v>0.18</v>
      </c>
      <c r="J78" s="70">
        <v>0.4</v>
      </c>
      <c r="K78" s="69">
        <v>7.5</v>
      </c>
      <c r="L78" s="69">
        <v>2.2999999999999998</v>
      </c>
      <c r="M78" s="69" t="s">
        <v>170</v>
      </c>
      <c r="N78" s="69">
        <v>2000</v>
      </c>
      <c r="O78" s="69" t="s">
        <v>171</v>
      </c>
      <c r="P78" s="69">
        <v>296152</v>
      </c>
      <c r="Q78" s="92" t="s">
        <v>200</v>
      </c>
      <c r="R78" s="92" t="s">
        <v>265</v>
      </c>
      <c r="S78" s="92" t="s">
        <v>189</v>
      </c>
    </row>
    <row r="79" spans="1:19" x14ac:dyDescent="0.2">
      <c r="A79" s="92" t="s">
        <v>270</v>
      </c>
      <c r="B79" s="90">
        <v>13</v>
      </c>
      <c r="C79" s="90">
        <v>5</v>
      </c>
      <c r="D79" s="90">
        <v>7</v>
      </c>
      <c r="E79" s="90">
        <v>13</v>
      </c>
      <c r="F79" s="69">
        <v>37</v>
      </c>
      <c r="G79" s="69">
        <v>50</v>
      </c>
      <c r="H79" s="69">
        <v>8.4</v>
      </c>
      <c r="I79" s="70">
        <v>0.18</v>
      </c>
      <c r="J79" s="70">
        <v>0.4</v>
      </c>
      <c r="K79" s="69">
        <v>4.0999999999999996</v>
      </c>
      <c r="L79" s="69">
        <v>2.2000000000000002</v>
      </c>
      <c r="M79" s="69" t="s">
        <v>170</v>
      </c>
      <c r="N79" s="69">
        <v>2000</v>
      </c>
      <c r="O79" s="69" t="s">
        <v>171</v>
      </c>
      <c r="P79" s="69">
        <v>260323</v>
      </c>
      <c r="Q79" s="92" t="s">
        <v>200</v>
      </c>
      <c r="R79" s="92" t="s">
        <v>266</v>
      </c>
      <c r="S79" s="92" t="s">
        <v>189</v>
      </c>
    </row>
    <row r="80" spans="1:19" x14ac:dyDescent="0.2">
      <c r="A80" s="92" t="s">
        <v>271</v>
      </c>
      <c r="B80" s="69">
        <v>18</v>
      </c>
      <c r="C80" s="69">
        <v>7</v>
      </c>
      <c r="D80" s="69">
        <v>10</v>
      </c>
      <c r="E80" s="69">
        <v>18</v>
      </c>
      <c r="F80" s="69">
        <v>52</v>
      </c>
      <c r="G80" s="69">
        <v>61</v>
      </c>
      <c r="H80" s="69">
        <v>10</v>
      </c>
      <c r="I80" s="70">
        <v>0.18</v>
      </c>
      <c r="J80" s="70">
        <v>0.4</v>
      </c>
      <c r="K80" s="69">
        <v>5</v>
      </c>
      <c r="L80" s="69">
        <v>2.6</v>
      </c>
      <c r="M80" s="69" t="s">
        <v>170</v>
      </c>
      <c r="N80" s="69">
        <v>2000</v>
      </c>
      <c r="O80" s="69" t="s">
        <v>171</v>
      </c>
      <c r="P80" s="69">
        <v>224493</v>
      </c>
      <c r="Q80" s="92" t="s">
        <v>200</v>
      </c>
      <c r="R80" s="92" t="s">
        <v>266</v>
      </c>
      <c r="S80" s="92" t="s">
        <v>189</v>
      </c>
    </row>
    <row r="81" spans="1:19" x14ac:dyDescent="0.2">
      <c r="A81" s="92" t="s">
        <v>62</v>
      </c>
      <c r="B81" s="69">
        <v>22</v>
      </c>
      <c r="C81" s="69">
        <v>9</v>
      </c>
      <c r="D81" s="69">
        <v>12</v>
      </c>
      <c r="E81" s="69">
        <v>22</v>
      </c>
      <c r="F81" s="69">
        <v>63</v>
      </c>
      <c r="G81" s="69">
        <v>71</v>
      </c>
      <c r="H81" s="69">
        <v>11.3</v>
      </c>
      <c r="I81" s="70">
        <v>0.18</v>
      </c>
      <c r="J81" s="70">
        <v>0.42</v>
      </c>
      <c r="K81" s="69">
        <v>7.9</v>
      </c>
      <c r="L81" s="69">
        <v>2</v>
      </c>
      <c r="M81" s="69" t="s">
        <v>170</v>
      </c>
      <c r="N81" s="69">
        <v>2000</v>
      </c>
      <c r="O81" s="69" t="s">
        <v>171</v>
      </c>
      <c r="P81" s="69">
        <v>785022</v>
      </c>
      <c r="Q81" s="92" t="s">
        <v>200</v>
      </c>
      <c r="R81" s="92" t="s">
        <v>265</v>
      </c>
      <c r="S81" s="92"/>
    </row>
    <row r="82" spans="1:19" x14ac:dyDescent="0.2">
      <c r="A82" s="92" t="s">
        <v>281</v>
      </c>
      <c r="B82" s="69">
        <v>1</v>
      </c>
      <c r="C82" s="69">
        <v>0</v>
      </c>
      <c r="D82" s="69">
        <v>0</v>
      </c>
      <c r="E82" s="69">
        <v>1</v>
      </c>
      <c r="F82" s="69">
        <v>3</v>
      </c>
      <c r="G82" s="69">
        <v>5</v>
      </c>
      <c r="H82" s="69">
        <v>0.9</v>
      </c>
      <c r="I82" s="70">
        <v>0.18</v>
      </c>
      <c r="J82" s="70">
        <v>0.35</v>
      </c>
      <c r="K82" s="69">
        <v>0.2</v>
      </c>
      <c r="L82" s="69">
        <v>-1.4</v>
      </c>
      <c r="M82" s="69" t="s">
        <v>170</v>
      </c>
      <c r="N82" s="69">
        <v>2000</v>
      </c>
      <c r="O82" s="69" t="s">
        <v>171</v>
      </c>
      <c r="P82" s="69">
        <v>361733</v>
      </c>
      <c r="Q82" s="92" t="s">
        <v>282</v>
      </c>
      <c r="R82" s="92" t="s">
        <v>192</v>
      </c>
      <c r="S82" s="92"/>
    </row>
    <row r="83" spans="1:19" x14ac:dyDescent="0.2">
      <c r="A83" s="92" t="s">
        <v>259</v>
      </c>
      <c r="B83" s="69">
        <v>15</v>
      </c>
      <c r="C83" s="69">
        <v>3</v>
      </c>
      <c r="D83" s="69">
        <v>5</v>
      </c>
      <c r="E83" s="69">
        <v>15</v>
      </c>
      <c r="F83" s="69">
        <v>72</v>
      </c>
      <c r="G83" s="69">
        <v>35</v>
      </c>
      <c r="H83" s="69">
        <v>6.1</v>
      </c>
      <c r="I83" s="70">
        <v>0.18</v>
      </c>
      <c r="J83" s="70">
        <v>0.4</v>
      </c>
      <c r="K83" s="69">
        <v>10.199999999999999</v>
      </c>
      <c r="L83" s="69">
        <v>1.7</v>
      </c>
      <c r="M83" s="69" t="s">
        <v>170</v>
      </c>
      <c r="N83" s="69">
        <v>2000</v>
      </c>
      <c r="O83" s="69" t="s">
        <v>171</v>
      </c>
      <c r="P83" s="69">
        <v>538462</v>
      </c>
      <c r="Q83" s="92" t="s">
        <v>196</v>
      </c>
      <c r="R83" s="92" t="s">
        <v>260</v>
      </c>
      <c r="S83" s="92"/>
    </row>
    <row r="84" spans="1:19" x14ac:dyDescent="0.2">
      <c r="A84" s="92" t="s">
        <v>261</v>
      </c>
      <c r="B84" s="69">
        <v>25</v>
      </c>
      <c r="C84" s="69">
        <v>9</v>
      </c>
      <c r="D84" s="69">
        <v>15</v>
      </c>
      <c r="E84" s="69">
        <v>25</v>
      </c>
      <c r="F84" s="69">
        <v>72</v>
      </c>
      <c r="G84" s="69">
        <v>65</v>
      </c>
      <c r="H84" s="69">
        <v>10.5</v>
      </c>
      <c r="I84" s="70">
        <v>0.18</v>
      </c>
      <c r="J84" s="70">
        <v>0.4</v>
      </c>
      <c r="K84" s="69">
        <v>6.5</v>
      </c>
      <c r="L84" s="69">
        <v>2.6</v>
      </c>
      <c r="M84" s="69" t="s">
        <v>170</v>
      </c>
      <c r="N84" s="69">
        <v>2001</v>
      </c>
      <c r="O84" s="69" t="s">
        <v>171</v>
      </c>
      <c r="P84" s="69">
        <v>908277</v>
      </c>
      <c r="Q84" s="92" t="s">
        <v>196</v>
      </c>
      <c r="R84" s="92" t="s">
        <v>212</v>
      </c>
      <c r="S84" s="92"/>
    </row>
    <row r="85" spans="1:19" x14ac:dyDescent="0.2">
      <c r="A85" s="92" t="s">
        <v>262</v>
      </c>
      <c r="B85" s="69">
        <v>18</v>
      </c>
      <c r="C85" s="69">
        <v>7</v>
      </c>
      <c r="D85" s="69">
        <v>10</v>
      </c>
      <c r="E85" s="69">
        <v>18</v>
      </c>
      <c r="F85" s="69"/>
      <c r="G85" s="69"/>
      <c r="H85" s="69"/>
      <c r="I85" s="70">
        <v>0.18</v>
      </c>
      <c r="J85" s="70">
        <v>0.4</v>
      </c>
      <c r="K85" s="69"/>
      <c r="L85" s="69"/>
      <c r="M85" s="69" t="s">
        <v>170</v>
      </c>
      <c r="N85" s="69">
        <v>2012</v>
      </c>
      <c r="O85" s="69" t="s">
        <v>171</v>
      </c>
      <c r="P85" s="69">
        <v>229682</v>
      </c>
      <c r="Q85" s="92" t="s">
        <v>196</v>
      </c>
      <c r="R85" s="92" t="s">
        <v>212</v>
      </c>
      <c r="S85" s="92"/>
    </row>
    <row r="86" spans="1:19" x14ac:dyDescent="0.2">
      <c r="A86" s="92" t="s">
        <v>263</v>
      </c>
      <c r="B86" s="90">
        <v>37</v>
      </c>
      <c r="C86" s="90">
        <v>13</v>
      </c>
      <c r="D86" s="90">
        <v>23</v>
      </c>
      <c r="E86" s="90">
        <v>37</v>
      </c>
      <c r="F86" s="69">
        <v>90</v>
      </c>
      <c r="G86" s="69">
        <v>96</v>
      </c>
      <c r="H86" s="69">
        <v>14.4</v>
      </c>
      <c r="I86" s="70">
        <v>0.18</v>
      </c>
      <c r="J86" s="70">
        <v>0.4</v>
      </c>
      <c r="K86" s="69">
        <v>8.1999999999999993</v>
      </c>
      <c r="L86" s="69">
        <v>2.5</v>
      </c>
      <c r="M86" s="69" t="s">
        <v>170</v>
      </c>
      <c r="N86" s="69">
        <v>2007</v>
      </c>
      <c r="O86" s="69" t="s">
        <v>171</v>
      </c>
      <c r="P86" s="69">
        <v>520692</v>
      </c>
      <c r="Q86" s="92" t="s">
        <v>196</v>
      </c>
      <c r="R86" s="92" t="s">
        <v>245</v>
      </c>
      <c r="S86" s="92"/>
    </row>
    <row r="87" spans="1:19" x14ac:dyDescent="0.2">
      <c r="A87" s="92" t="s">
        <v>112</v>
      </c>
      <c r="B87" s="69">
        <v>16</v>
      </c>
      <c r="C87" s="69">
        <v>7</v>
      </c>
      <c r="D87" s="69">
        <v>7</v>
      </c>
      <c r="E87" s="69">
        <v>16</v>
      </c>
      <c r="F87" s="69">
        <v>73</v>
      </c>
      <c r="G87" s="69">
        <v>86</v>
      </c>
      <c r="H87" s="69">
        <v>13.2</v>
      </c>
      <c r="I87" s="70">
        <v>0.18</v>
      </c>
      <c r="J87" s="70">
        <v>0.4</v>
      </c>
      <c r="K87" s="69">
        <v>10.8</v>
      </c>
      <c r="L87" s="69">
        <v>1.6</v>
      </c>
      <c r="M87" s="69" t="s">
        <v>170</v>
      </c>
      <c r="N87" s="69">
        <v>2000</v>
      </c>
      <c r="O87" s="69" t="s">
        <v>171</v>
      </c>
      <c r="P87" s="69">
        <v>681783</v>
      </c>
      <c r="Q87" s="92" t="s">
        <v>196</v>
      </c>
      <c r="R87" s="92" t="s">
        <v>264</v>
      </c>
      <c r="S87" s="92"/>
    </row>
    <row r="88" spans="1:19" x14ac:dyDescent="0.2">
      <c r="A88" s="92" t="s">
        <v>111</v>
      </c>
      <c r="B88" s="90">
        <v>20</v>
      </c>
      <c r="C88" s="90">
        <v>8</v>
      </c>
      <c r="D88" s="90">
        <v>10</v>
      </c>
      <c r="E88" s="90">
        <v>20</v>
      </c>
      <c r="F88" s="69">
        <v>72</v>
      </c>
      <c r="G88" s="69">
        <v>72</v>
      </c>
      <c r="H88" s="69">
        <v>11.5</v>
      </c>
      <c r="I88" s="70">
        <v>0.18</v>
      </c>
      <c r="J88" s="70">
        <v>0.4</v>
      </c>
      <c r="K88" s="69">
        <v>8.6</v>
      </c>
      <c r="L88" s="69">
        <v>2</v>
      </c>
      <c r="M88" s="69" t="s">
        <v>170</v>
      </c>
      <c r="N88" s="69">
        <v>2000</v>
      </c>
      <c r="O88" s="69" t="s">
        <v>171</v>
      </c>
      <c r="P88" s="69">
        <v>645952</v>
      </c>
      <c r="Q88" s="92" t="s">
        <v>196</v>
      </c>
      <c r="R88" s="92" t="s">
        <v>265</v>
      </c>
      <c r="S88" s="92"/>
    </row>
    <row r="89" spans="1:19" x14ac:dyDescent="0.2">
      <c r="A89" s="92" t="s">
        <v>110</v>
      </c>
      <c r="B89" s="69">
        <v>15</v>
      </c>
      <c r="C89" s="69">
        <v>5</v>
      </c>
      <c r="D89" s="69">
        <v>7</v>
      </c>
      <c r="E89" s="69">
        <v>15</v>
      </c>
      <c r="F89" s="69">
        <v>47</v>
      </c>
      <c r="G89" s="69">
        <v>61</v>
      </c>
      <c r="H89" s="69">
        <v>10</v>
      </c>
      <c r="I89" s="70">
        <v>0.18</v>
      </c>
      <c r="J89" s="70">
        <v>0.4</v>
      </c>
      <c r="K89" s="69">
        <v>5.4</v>
      </c>
      <c r="L89" s="69">
        <v>2.2000000000000002</v>
      </c>
      <c r="M89" s="69" t="s">
        <v>170</v>
      </c>
      <c r="N89" s="69">
        <v>2000</v>
      </c>
      <c r="O89" s="69" t="s">
        <v>171</v>
      </c>
      <c r="P89" s="69">
        <v>610121</v>
      </c>
      <c r="Q89" s="92" t="s">
        <v>196</v>
      </c>
      <c r="R89" s="92" t="s">
        <v>266</v>
      </c>
      <c r="S89" s="92"/>
    </row>
    <row r="90" spans="1:19" x14ac:dyDescent="0.2">
      <c r="A90" s="92" t="s">
        <v>276</v>
      </c>
      <c r="B90" s="69">
        <v>1</v>
      </c>
      <c r="C90" s="69">
        <v>0</v>
      </c>
      <c r="D90" s="69">
        <v>0</v>
      </c>
      <c r="E90" s="69">
        <v>1</v>
      </c>
      <c r="F90" s="69">
        <v>3</v>
      </c>
      <c r="G90" s="69">
        <v>6</v>
      </c>
      <c r="H90" s="69">
        <v>1.1000000000000001</v>
      </c>
      <c r="I90" s="70">
        <v>0.18</v>
      </c>
      <c r="J90" s="70">
        <v>0.4</v>
      </c>
      <c r="K90" s="69">
        <v>0.2</v>
      </c>
      <c r="L90" s="69">
        <v>-0.9</v>
      </c>
      <c r="M90" s="69" t="s">
        <v>170</v>
      </c>
      <c r="N90" s="69">
        <v>2000</v>
      </c>
      <c r="O90" s="69" t="s">
        <v>171</v>
      </c>
      <c r="P90" s="69">
        <v>331983</v>
      </c>
      <c r="Q90" s="92" t="s">
        <v>277</v>
      </c>
      <c r="R90" s="92" t="s">
        <v>192</v>
      </c>
      <c r="S90" s="92" t="s">
        <v>189</v>
      </c>
    </row>
    <row r="91" spans="1:19" x14ac:dyDescent="0.2">
      <c r="A91" s="92" t="s">
        <v>272</v>
      </c>
      <c r="B91" s="69">
        <v>7</v>
      </c>
      <c r="C91" s="69">
        <v>1</v>
      </c>
      <c r="D91" s="69">
        <v>3</v>
      </c>
      <c r="E91" s="69">
        <v>7</v>
      </c>
      <c r="F91" s="69">
        <v>18</v>
      </c>
      <c r="G91" s="69"/>
      <c r="H91" s="69"/>
      <c r="I91" s="70">
        <v>0.18</v>
      </c>
      <c r="J91" s="70">
        <v>0.7</v>
      </c>
      <c r="K91" s="69">
        <v>2.2999999999999998</v>
      </c>
      <c r="L91" s="69">
        <v>1.9</v>
      </c>
      <c r="M91" s="69" t="s">
        <v>170</v>
      </c>
      <c r="N91" s="69">
        <v>2013</v>
      </c>
      <c r="O91" s="69" t="s">
        <v>71</v>
      </c>
      <c r="P91" s="69">
        <v>840090</v>
      </c>
      <c r="Q91" s="92" t="s">
        <v>226</v>
      </c>
      <c r="R91" s="92" t="s">
        <v>223</v>
      </c>
      <c r="S91" s="92"/>
    </row>
    <row r="92" spans="1:19" x14ac:dyDescent="0.2">
      <c r="A92" s="92" t="s">
        <v>280</v>
      </c>
      <c r="B92" s="69">
        <v>1</v>
      </c>
      <c r="C92" s="69">
        <v>0</v>
      </c>
      <c r="D92" s="69">
        <v>0</v>
      </c>
      <c r="E92" s="69">
        <v>1</v>
      </c>
      <c r="F92" s="69">
        <v>5</v>
      </c>
      <c r="G92" s="69">
        <v>7</v>
      </c>
      <c r="H92" s="69">
        <v>1.3</v>
      </c>
      <c r="I92" s="70">
        <v>0.18</v>
      </c>
      <c r="J92" s="70">
        <v>0.5</v>
      </c>
      <c r="K92" s="69">
        <v>0.5</v>
      </c>
      <c r="L92" s="69">
        <v>0.8</v>
      </c>
      <c r="M92" s="69" t="s">
        <v>170</v>
      </c>
      <c r="N92" s="69">
        <v>2005</v>
      </c>
      <c r="O92" s="69" t="s">
        <v>171</v>
      </c>
      <c r="P92" s="69">
        <v>413260</v>
      </c>
      <c r="Q92" s="92" t="s">
        <v>249</v>
      </c>
      <c r="R92" s="92" t="s">
        <v>188</v>
      </c>
      <c r="S92" s="92"/>
    </row>
    <row r="93" spans="1:19" x14ac:dyDescent="0.2">
      <c r="A93" s="92" t="s">
        <v>274</v>
      </c>
      <c r="B93" s="69">
        <v>1</v>
      </c>
      <c r="C93" s="69">
        <v>0</v>
      </c>
      <c r="D93" s="69">
        <v>0</v>
      </c>
      <c r="E93" s="69">
        <v>1</v>
      </c>
      <c r="F93" s="69">
        <v>3</v>
      </c>
      <c r="G93" s="69">
        <v>6</v>
      </c>
      <c r="H93" s="69">
        <v>1.1000000000000001</v>
      </c>
      <c r="I93" s="70">
        <v>0.18</v>
      </c>
      <c r="J93" s="70">
        <v>0.38</v>
      </c>
      <c r="K93" s="69">
        <v>0.2</v>
      </c>
      <c r="L93" s="69">
        <v>-1</v>
      </c>
      <c r="M93" s="69" t="s">
        <v>170</v>
      </c>
      <c r="N93" s="69">
        <v>2003</v>
      </c>
      <c r="O93" s="69" t="s">
        <v>71</v>
      </c>
      <c r="P93" s="69">
        <v>770388</v>
      </c>
      <c r="Q93" s="92" t="s">
        <v>275</v>
      </c>
      <c r="R93" s="92" t="s">
        <v>192</v>
      </c>
      <c r="S93" s="92"/>
    </row>
    <row r="94" spans="1:19" x14ac:dyDescent="0.2">
      <c r="A94" s="92" t="s">
        <v>283</v>
      </c>
      <c r="B94" s="69">
        <v>15</v>
      </c>
      <c r="C94" s="69">
        <v>6</v>
      </c>
      <c r="D94" s="69">
        <v>4</v>
      </c>
      <c r="E94" s="69">
        <v>15</v>
      </c>
      <c r="F94" s="69">
        <v>71</v>
      </c>
      <c r="G94" s="69">
        <v>79</v>
      </c>
      <c r="H94" s="69">
        <v>12.3</v>
      </c>
      <c r="I94" s="70">
        <v>0.19</v>
      </c>
      <c r="J94" s="70">
        <v>0.52</v>
      </c>
      <c r="K94" s="69">
        <v>11.2</v>
      </c>
      <c r="L94" s="69">
        <v>1.6</v>
      </c>
      <c r="M94" s="69" t="s">
        <v>170</v>
      </c>
      <c r="N94" s="69">
        <v>2000</v>
      </c>
      <c r="O94" s="69" t="s">
        <v>171</v>
      </c>
      <c r="P94" s="69">
        <v>789271</v>
      </c>
      <c r="Q94" s="92" t="s">
        <v>200</v>
      </c>
      <c r="R94" s="92" t="s">
        <v>264</v>
      </c>
      <c r="S94" s="92"/>
    </row>
    <row r="95" spans="1:19" x14ac:dyDescent="0.2">
      <c r="A95" s="92" t="s">
        <v>288</v>
      </c>
      <c r="B95" s="69">
        <v>6</v>
      </c>
      <c r="C95" s="69">
        <v>-1</v>
      </c>
      <c r="D95" s="69">
        <v>3</v>
      </c>
      <c r="E95" s="69">
        <v>6</v>
      </c>
      <c r="F95" s="69">
        <v>1</v>
      </c>
      <c r="G95" s="69">
        <v>16</v>
      </c>
      <c r="H95" s="69">
        <v>3</v>
      </c>
      <c r="I95" s="70">
        <v>0.19</v>
      </c>
      <c r="J95" s="70">
        <v>0.55000000000000004</v>
      </c>
      <c r="K95" s="69">
        <v>3.7</v>
      </c>
      <c r="L95" s="69">
        <v>-0.2</v>
      </c>
      <c r="M95" s="69" t="s">
        <v>170</v>
      </c>
      <c r="N95" s="69">
        <v>2003</v>
      </c>
      <c r="O95" s="69" t="s">
        <v>71</v>
      </c>
      <c r="P95" s="69">
        <v>496497</v>
      </c>
      <c r="Q95" s="92" t="s">
        <v>289</v>
      </c>
      <c r="R95" s="92" t="s">
        <v>229</v>
      </c>
      <c r="S95" s="92"/>
    </row>
    <row r="96" spans="1:19" x14ac:dyDescent="0.2">
      <c r="A96" s="92" t="s">
        <v>290</v>
      </c>
      <c r="B96" s="90">
        <v>15</v>
      </c>
      <c r="C96" s="90">
        <v>6</v>
      </c>
      <c r="D96" s="90">
        <v>6</v>
      </c>
      <c r="E96" s="90">
        <v>15</v>
      </c>
      <c r="F96" s="69">
        <v>67</v>
      </c>
      <c r="G96" s="69"/>
      <c r="H96" s="69"/>
      <c r="I96" s="70">
        <v>0.19</v>
      </c>
      <c r="J96" s="70">
        <v>0.4</v>
      </c>
      <c r="K96" s="69">
        <v>10.5</v>
      </c>
      <c r="L96" s="69">
        <v>1.6</v>
      </c>
      <c r="M96" s="69" t="s">
        <v>170</v>
      </c>
      <c r="N96" s="69">
        <v>2012</v>
      </c>
      <c r="O96" s="69" t="s">
        <v>171</v>
      </c>
      <c r="P96" s="69">
        <v>465914</v>
      </c>
      <c r="Q96" s="92" t="s">
        <v>231</v>
      </c>
      <c r="R96" s="92" t="s">
        <v>176</v>
      </c>
      <c r="S96" s="92"/>
    </row>
    <row r="97" spans="1:19" x14ac:dyDescent="0.2">
      <c r="A97" s="92" t="s">
        <v>291</v>
      </c>
      <c r="B97" s="90">
        <v>14</v>
      </c>
      <c r="C97" s="90">
        <v>4</v>
      </c>
      <c r="D97" s="90">
        <v>3</v>
      </c>
      <c r="E97" s="90">
        <v>14</v>
      </c>
      <c r="F97" s="69">
        <v>58</v>
      </c>
      <c r="G97" s="69">
        <v>39</v>
      </c>
      <c r="H97" s="69">
        <v>6.8</v>
      </c>
      <c r="I97" s="70">
        <v>0.19</v>
      </c>
      <c r="J97" s="70">
        <v>0.4</v>
      </c>
      <c r="K97" s="69">
        <v>8.5</v>
      </c>
      <c r="L97" s="69">
        <v>1.7</v>
      </c>
      <c r="M97" s="69" t="s">
        <v>170</v>
      </c>
      <c r="N97" s="69">
        <v>2000</v>
      </c>
      <c r="O97" s="69" t="s">
        <v>171</v>
      </c>
      <c r="P97" s="69">
        <v>629543</v>
      </c>
      <c r="Q97" s="92" t="s">
        <v>231</v>
      </c>
      <c r="R97" s="92" t="s">
        <v>237</v>
      </c>
      <c r="S97" s="92"/>
    </row>
    <row r="98" spans="1:19" x14ac:dyDescent="0.2">
      <c r="A98" s="92" t="s">
        <v>292</v>
      </c>
      <c r="B98" s="69">
        <v>1</v>
      </c>
      <c r="C98" s="69">
        <v>0</v>
      </c>
      <c r="D98" s="69">
        <v>0</v>
      </c>
      <c r="E98" s="69">
        <v>1</v>
      </c>
      <c r="F98" s="69">
        <v>4</v>
      </c>
      <c r="G98" s="69">
        <v>7</v>
      </c>
      <c r="H98" s="69">
        <v>1.4</v>
      </c>
      <c r="I98" s="70">
        <v>0.19</v>
      </c>
      <c r="J98" s="70">
        <v>0.35</v>
      </c>
      <c r="K98" s="69">
        <v>0.2</v>
      </c>
      <c r="L98" s="69">
        <v>1.4</v>
      </c>
      <c r="M98" s="69" t="s">
        <v>170</v>
      </c>
      <c r="N98" s="69">
        <v>2001</v>
      </c>
      <c r="O98" s="69" t="s">
        <v>171</v>
      </c>
      <c r="P98" s="69">
        <v>134593</v>
      </c>
      <c r="Q98" s="92" t="s">
        <v>293</v>
      </c>
      <c r="R98" s="92" t="s">
        <v>192</v>
      </c>
      <c r="S98" s="92"/>
    </row>
    <row r="99" spans="1:19" x14ac:dyDescent="0.2">
      <c r="A99" s="92" t="s">
        <v>284</v>
      </c>
      <c r="B99" s="69">
        <v>22</v>
      </c>
      <c r="C99" s="69">
        <v>8</v>
      </c>
      <c r="D99" s="69">
        <v>12</v>
      </c>
      <c r="E99" s="69">
        <v>22</v>
      </c>
      <c r="F99" s="69">
        <v>64</v>
      </c>
      <c r="G99" s="69">
        <v>62</v>
      </c>
      <c r="H99" s="69">
        <v>10.1</v>
      </c>
      <c r="I99" s="70">
        <v>0.19</v>
      </c>
      <c r="J99" s="70">
        <v>0.41</v>
      </c>
      <c r="K99" s="69">
        <v>6.6</v>
      </c>
      <c r="L99" s="69">
        <v>2.2999999999999998</v>
      </c>
      <c r="M99" s="69" t="s">
        <v>170</v>
      </c>
      <c r="N99" s="69">
        <v>2000</v>
      </c>
      <c r="O99" s="69" t="s">
        <v>171</v>
      </c>
      <c r="P99" s="69">
        <v>844522</v>
      </c>
      <c r="Q99" s="92" t="s">
        <v>209</v>
      </c>
      <c r="R99" s="92" t="s">
        <v>182</v>
      </c>
      <c r="S99" s="92" t="s">
        <v>189</v>
      </c>
    </row>
    <row r="100" spans="1:19" x14ac:dyDescent="0.2">
      <c r="A100" s="92" t="s">
        <v>299</v>
      </c>
      <c r="B100" s="69">
        <v>13</v>
      </c>
      <c r="C100" s="69">
        <v>3</v>
      </c>
      <c r="D100" s="69">
        <v>4</v>
      </c>
      <c r="E100" s="69">
        <v>13</v>
      </c>
      <c r="F100" s="69">
        <v>57</v>
      </c>
      <c r="G100" s="69">
        <v>34</v>
      </c>
      <c r="H100" s="69">
        <v>6.1</v>
      </c>
      <c r="I100" s="70">
        <v>0.19</v>
      </c>
      <c r="J100" s="70">
        <v>0.53</v>
      </c>
      <c r="K100" s="69">
        <v>8.5</v>
      </c>
      <c r="L100" s="69">
        <v>1.7</v>
      </c>
      <c r="M100" s="69" t="s">
        <v>170</v>
      </c>
      <c r="N100" s="69">
        <v>2000</v>
      </c>
      <c r="O100" s="69" t="s">
        <v>171</v>
      </c>
      <c r="P100" s="69">
        <v>964171</v>
      </c>
      <c r="Q100" s="92" t="s">
        <v>200</v>
      </c>
      <c r="R100" s="92" t="s">
        <v>260</v>
      </c>
      <c r="S100" s="92"/>
    </row>
    <row r="101" spans="1:19" x14ac:dyDescent="0.2">
      <c r="A101" s="92" t="s">
        <v>285</v>
      </c>
      <c r="B101" s="69">
        <v>24</v>
      </c>
      <c r="C101" s="69">
        <v>8</v>
      </c>
      <c r="D101" s="69">
        <v>12</v>
      </c>
      <c r="E101" s="69">
        <v>24</v>
      </c>
      <c r="F101" s="69">
        <v>67</v>
      </c>
      <c r="G101" s="69">
        <v>67</v>
      </c>
      <c r="H101" s="69">
        <v>10.8</v>
      </c>
      <c r="I101" s="70">
        <v>0.19</v>
      </c>
      <c r="J101" s="70">
        <v>0.52</v>
      </c>
      <c r="K101" s="69">
        <v>6.8</v>
      </c>
      <c r="L101" s="69">
        <v>2.4</v>
      </c>
      <c r="M101" s="69" t="s">
        <v>170</v>
      </c>
      <c r="N101" s="69">
        <v>2000</v>
      </c>
      <c r="O101" s="69" t="s">
        <v>171</v>
      </c>
      <c r="P101" s="69">
        <v>753442</v>
      </c>
      <c r="Q101" s="92" t="s">
        <v>200</v>
      </c>
      <c r="R101" s="92" t="s">
        <v>212</v>
      </c>
      <c r="S101" s="92"/>
    </row>
    <row r="102" spans="1:19" x14ac:dyDescent="0.2">
      <c r="A102" s="92" t="s">
        <v>295</v>
      </c>
      <c r="B102" s="69">
        <v>11</v>
      </c>
      <c r="C102" s="69">
        <v>3</v>
      </c>
      <c r="D102" s="69">
        <v>6</v>
      </c>
      <c r="E102" s="69">
        <v>11</v>
      </c>
      <c r="F102" s="69">
        <v>26</v>
      </c>
      <c r="G102" s="69">
        <v>34</v>
      </c>
      <c r="H102" s="69">
        <v>6</v>
      </c>
      <c r="I102" s="70">
        <v>0.19</v>
      </c>
      <c r="J102" s="70">
        <v>0.41</v>
      </c>
      <c r="K102" s="69">
        <v>2.4</v>
      </c>
      <c r="L102" s="69">
        <v>2.7</v>
      </c>
      <c r="M102" s="69" t="s">
        <v>170</v>
      </c>
      <c r="N102" s="69">
        <v>2000</v>
      </c>
      <c r="O102" s="69" t="s">
        <v>171</v>
      </c>
      <c r="P102" s="69">
        <v>391482</v>
      </c>
      <c r="Q102" s="92" t="s">
        <v>209</v>
      </c>
      <c r="R102" s="92" t="s">
        <v>179</v>
      </c>
      <c r="S102" s="92" t="s">
        <v>189</v>
      </c>
    </row>
    <row r="103" spans="1:19" x14ac:dyDescent="0.2">
      <c r="A103" s="92" t="s">
        <v>296</v>
      </c>
      <c r="B103" s="69">
        <v>17</v>
      </c>
      <c r="C103" s="69">
        <v>5</v>
      </c>
      <c r="D103" s="69">
        <v>9</v>
      </c>
      <c r="E103" s="69">
        <v>17</v>
      </c>
      <c r="F103" s="69">
        <v>47</v>
      </c>
      <c r="G103" s="69">
        <v>51</v>
      </c>
      <c r="H103" s="69">
        <v>8.6</v>
      </c>
      <c r="I103" s="70">
        <v>0.19</v>
      </c>
      <c r="J103" s="70">
        <v>0.41</v>
      </c>
      <c r="K103" s="69">
        <v>4.8</v>
      </c>
      <c r="L103" s="69">
        <v>2.4</v>
      </c>
      <c r="M103" s="69" t="s">
        <v>170</v>
      </c>
      <c r="N103" s="69">
        <v>2000</v>
      </c>
      <c r="O103" s="69" t="s">
        <v>171</v>
      </c>
      <c r="P103" s="69">
        <v>427310</v>
      </c>
      <c r="Q103" s="92" t="s">
        <v>209</v>
      </c>
      <c r="R103" s="92" t="s">
        <v>179</v>
      </c>
      <c r="S103" s="92" t="s">
        <v>189</v>
      </c>
    </row>
    <row r="104" spans="1:19" x14ac:dyDescent="0.2">
      <c r="A104" s="92" t="s">
        <v>297</v>
      </c>
      <c r="B104" s="69">
        <v>22</v>
      </c>
      <c r="C104" s="69">
        <v>7</v>
      </c>
      <c r="D104" s="69">
        <v>11</v>
      </c>
      <c r="E104" s="69">
        <v>22</v>
      </c>
      <c r="F104" s="69">
        <v>62</v>
      </c>
      <c r="G104" s="69">
        <v>63</v>
      </c>
      <c r="H104" s="69">
        <v>10.199999999999999</v>
      </c>
      <c r="I104" s="70">
        <v>0.19</v>
      </c>
      <c r="J104" s="70">
        <v>0.41</v>
      </c>
      <c r="K104" s="69">
        <v>6.3</v>
      </c>
      <c r="L104" s="69">
        <v>2.4</v>
      </c>
      <c r="M104" s="69" t="s">
        <v>170</v>
      </c>
      <c r="N104" s="69">
        <v>2000</v>
      </c>
      <c r="O104" s="69" t="s">
        <v>171</v>
      </c>
      <c r="P104" s="69">
        <v>463141</v>
      </c>
      <c r="Q104" s="92" t="s">
        <v>209</v>
      </c>
      <c r="R104" s="92" t="s">
        <v>185</v>
      </c>
      <c r="S104" s="92" t="s">
        <v>189</v>
      </c>
    </row>
    <row r="105" spans="1:19" x14ac:dyDescent="0.2">
      <c r="A105" s="92" t="s">
        <v>298</v>
      </c>
      <c r="B105" s="69">
        <v>22</v>
      </c>
      <c r="C105" s="69">
        <v>7</v>
      </c>
      <c r="D105" s="69">
        <v>12</v>
      </c>
      <c r="E105" s="69">
        <v>22</v>
      </c>
      <c r="F105" s="69">
        <v>64</v>
      </c>
      <c r="G105" s="69">
        <v>62</v>
      </c>
      <c r="H105" s="69">
        <v>10.1</v>
      </c>
      <c r="I105" s="70">
        <v>0.19</v>
      </c>
      <c r="J105" s="70">
        <v>0.41</v>
      </c>
      <c r="K105" s="69">
        <v>6.5</v>
      </c>
      <c r="L105" s="69">
        <v>2.4</v>
      </c>
      <c r="M105" s="69" t="s">
        <v>170</v>
      </c>
      <c r="N105" s="69">
        <v>2000</v>
      </c>
      <c r="O105" s="69" t="s">
        <v>171</v>
      </c>
      <c r="P105" s="69">
        <v>498972</v>
      </c>
      <c r="Q105" s="92" t="s">
        <v>209</v>
      </c>
      <c r="R105" s="92" t="s">
        <v>182</v>
      </c>
      <c r="S105" s="92" t="s">
        <v>189</v>
      </c>
    </row>
    <row r="106" spans="1:19" x14ac:dyDescent="0.2">
      <c r="A106" s="92" t="s">
        <v>286</v>
      </c>
      <c r="B106" s="69">
        <v>11</v>
      </c>
      <c r="C106" s="69">
        <v>3</v>
      </c>
      <c r="D106" s="69">
        <v>6</v>
      </c>
      <c r="E106" s="69">
        <v>11</v>
      </c>
      <c r="F106" s="69">
        <v>10</v>
      </c>
      <c r="G106" s="69">
        <v>27</v>
      </c>
      <c r="H106" s="69">
        <v>4.9000000000000004</v>
      </c>
      <c r="I106" s="70">
        <v>0.19</v>
      </c>
      <c r="J106" s="70">
        <v>0.75</v>
      </c>
      <c r="K106" s="69">
        <v>4.0999999999999996</v>
      </c>
      <c r="L106" s="69">
        <v>0.5</v>
      </c>
      <c r="M106" s="69" t="s">
        <v>170</v>
      </c>
      <c r="N106" s="69">
        <v>2001</v>
      </c>
      <c r="O106" s="69" t="s">
        <v>171</v>
      </c>
      <c r="P106" s="69">
        <v>648964</v>
      </c>
      <c r="Q106" s="92" t="s">
        <v>226</v>
      </c>
      <c r="R106" s="92" t="s">
        <v>188</v>
      </c>
      <c r="S106" s="92"/>
    </row>
    <row r="107" spans="1:19" x14ac:dyDescent="0.2">
      <c r="A107" s="92" t="s">
        <v>287</v>
      </c>
      <c r="B107" s="69">
        <v>8</v>
      </c>
      <c r="C107" s="69">
        <v>0</v>
      </c>
      <c r="D107" s="69">
        <v>3</v>
      </c>
      <c r="E107" s="69">
        <v>8</v>
      </c>
      <c r="F107" s="69">
        <v>3</v>
      </c>
      <c r="G107" s="69">
        <v>20</v>
      </c>
      <c r="H107" s="69">
        <v>3.7</v>
      </c>
      <c r="I107" s="70">
        <v>0.19</v>
      </c>
      <c r="J107" s="70">
        <v>0.75</v>
      </c>
      <c r="K107" s="69">
        <v>3.8</v>
      </c>
      <c r="L107" s="69">
        <v>0</v>
      </c>
      <c r="M107" s="69" t="s">
        <v>170</v>
      </c>
      <c r="N107" s="69">
        <v>2008</v>
      </c>
      <c r="O107" s="69" t="s">
        <v>71</v>
      </c>
      <c r="P107" s="69">
        <v>131409</v>
      </c>
      <c r="Q107" s="92" t="s">
        <v>226</v>
      </c>
      <c r="R107" s="92" t="s">
        <v>229</v>
      </c>
      <c r="S107" s="87"/>
    </row>
    <row r="108" spans="1:19" x14ac:dyDescent="0.2">
      <c r="A108" s="92" t="s">
        <v>294</v>
      </c>
      <c r="B108" s="69">
        <v>37</v>
      </c>
      <c r="C108" s="69">
        <v>14</v>
      </c>
      <c r="D108" s="69">
        <v>23</v>
      </c>
      <c r="E108" s="69">
        <v>37</v>
      </c>
      <c r="F108" s="69">
        <v>92</v>
      </c>
      <c r="G108" s="69"/>
      <c r="H108" s="69"/>
      <c r="I108" s="70">
        <v>0.19</v>
      </c>
      <c r="J108" s="70">
        <v>0.4</v>
      </c>
      <c r="K108" s="69">
        <v>7.9</v>
      </c>
      <c r="L108" s="69">
        <v>2.6</v>
      </c>
      <c r="M108" s="69" t="s">
        <v>170</v>
      </c>
      <c r="N108" s="69">
        <v>2013</v>
      </c>
      <c r="O108" s="69" t="s">
        <v>171</v>
      </c>
      <c r="P108" s="69">
        <v>929224</v>
      </c>
      <c r="Q108" s="92" t="s">
        <v>231</v>
      </c>
      <c r="R108" s="92" t="s">
        <v>245</v>
      </c>
      <c r="S108" s="92"/>
    </row>
    <row r="109" spans="1:19" x14ac:dyDescent="0.2">
      <c r="A109" s="92" t="s">
        <v>302</v>
      </c>
      <c r="B109" s="90">
        <v>10</v>
      </c>
      <c r="C109" s="90">
        <v>3</v>
      </c>
      <c r="D109" s="90">
        <v>5</v>
      </c>
      <c r="E109" s="90">
        <v>10</v>
      </c>
      <c r="F109" s="69">
        <v>32</v>
      </c>
      <c r="G109" s="69">
        <v>39</v>
      </c>
      <c r="H109" s="69">
        <v>6.8</v>
      </c>
      <c r="I109" s="70">
        <v>0.2</v>
      </c>
      <c r="J109" s="70">
        <v>0.5</v>
      </c>
      <c r="K109" s="69">
        <v>4.2</v>
      </c>
      <c r="L109" s="69">
        <v>2</v>
      </c>
      <c r="M109" s="69" t="s">
        <v>170</v>
      </c>
      <c r="N109" s="69">
        <v>2000</v>
      </c>
      <c r="O109" s="69" t="s">
        <v>171</v>
      </c>
      <c r="P109" s="69">
        <v>466805</v>
      </c>
      <c r="Q109" s="92" t="s">
        <v>226</v>
      </c>
      <c r="R109" s="92" t="s">
        <v>179</v>
      </c>
      <c r="S109" s="92"/>
    </row>
    <row r="110" spans="1:19" x14ac:dyDescent="0.2">
      <c r="A110" s="92" t="s">
        <v>303</v>
      </c>
      <c r="B110" s="90">
        <v>16</v>
      </c>
      <c r="C110" s="90">
        <v>6</v>
      </c>
      <c r="D110" s="90">
        <v>8</v>
      </c>
      <c r="E110" s="90">
        <v>16</v>
      </c>
      <c r="F110" s="69">
        <v>52</v>
      </c>
      <c r="G110" s="69">
        <v>53</v>
      </c>
      <c r="H110" s="69">
        <v>8.9</v>
      </c>
      <c r="I110" s="70">
        <v>0.2</v>
      </c>
      <c r="J110" s="70">
        <v>0.5</v>
      </c>
      <c r="K110" s="69">
        <v>7.3</v>
      </c>
      <c r="L110" s="69">
        <v>1.8</v>
      </c>
      <c r="M110" s="69" t="s">
        <v>170</v>
      </c>
      <c r="N110" s="69">
        <v>2000</v>
      </c>
      <c r="O110" s="69" t="s">
        <v>171</v>
      </c>
      <c r="P110" s="69">
        <v>430975</v>
      </c>
      <c r="Q110" s="92" t="s">
        <v>226</v>
      </c>
      <c r="R110" s="92" t="s">
        <v>179</v>
      </c>
      <c r="S110" s="92"/>
    </row>
    <row r="111" spans="1:19" x14ac:dyDescent="0.2">
      <c r="A111" s="92" t="s">
        <v>140</v>
      </c>
      <c r="B111" s="69">
        <v>21</v>
      </c>
      <c r="C111" s="69">
        <v>8</v>
      </c>
      <c r="D111" s="69">
        <v>11</v>
      </c>
      <c r="E111" s="69">
        <v>21</v>
      </c>
      <c r="F111" s="69">
        <v>60</v>
      </c>
      <c r="G111" s="69">
        <v>60</v>
      </c>
      <c r="H111" s="69">
        <v>9.9</v>
      </c>
      <c r="I111" s="70">
        <v>0.2</v>
      </c>
      <c r="J111" s="70">
        <v>0.5</v>
      </c>
      <c r="K111" s="69">
        <v>7.9</v>
      </c>
      <c r="L111" s="69">
        <v>1.9</v>
      </c>
      <c r="M111" s="69" t="s">
        <v>170</v>
      </c>
      <c r="N111" s="69">
        <v>2000</v>
      </c>
      <c r="O111" s="69" t="s">
        <v>171</v>
      </c>
      <c r="P111" s="69">
        <v>359315</v>
      </c>
      <c r="Q111" s="92" t="s">
        <v>226</v>
      </c>
      <c r="R111" s="92" t="s">
        <v>185</v>
      </c>
      <c r="S111" s="92"/>
    </row>
    <row r="112" spans="1:19" x14ac:dyDescent="0.2">
      <c r="A112" s="92" t="s">
        <v>308</v>
      </c>
      <c r="B112" s="69"/>
      <c r="C112" s="69">
        <v>8</v>
      </c>
      <c r="D112" s="69">
        <v>10</v>
      </c>
      <c r="E112" s="69"/>
      <c r="F112" s="69"/>
      <c r="G112" s="69"/>
      <c r="H112" s="69"/>
      <c r="I112" s="70">
        <v>0.2</v>
      </c>
      <c r="J112" s="70">
        <v>0.54</v>
      </c>
      <c r="K112" s="69"/>
      <c r="L112" s="69"/>
      <c r="M112" s="69" t="s">
        <v>170</v>
      </c>
      <c r="N112" s="69">
        <v>2014</v>
      </c>
      <c r="O112" s="69" t="s">
        <v>171</v>
      </c>
      <c r="P112" s="69">
        <v>596429</v>
      </c>
      <c r="Q112" s="92" t="s">
        <v>226</v>
      </c>
      <c r="R112" s="92" t="s">
        <v>182</v>
      </c>
      <c r="S112" s="87"/>
    </row>
    <row r="113" spans="1:19" x14ac:dyDescent="0.2">
      <c r="A113" s="92" t="s">
        <v>307</v>
      </c>
      <c r="B113" s="69">
        <v>21</v>
      </c>
      <c r="C113" s="69">
        <v>8</v>
      </c>
      <c r="D113" s="69">
        <v>10</v>
      </c>
      <c r="E113" s="69">
        <v>21</v>
      </c>
      <c r="F113" s="69">
        <v>59</v>
      </c>
      <c r="G113" s="69">
        <v>53</v>
      </c>
      <c r="H113" s="69">
        <v>8.9</v>
      </c>
      <c r="I113" s="70">
        <v>0.2</v>
      </c>
      <c r="J113" s="70">
        <v>0.5</v>
      </c>
      <c r="K113" s="69">
        <v>7.7</v>
      </c>
      <c r="L113" s="69">
        <v>1.9</v>
      </c>
      <c r="M113" s="69" t="s">
        <v>170</v>
      </c>
      <c r="N113" s="69">
        <v>2000</v>
      </c>
      <c r="O113" s="69" t="s">
        <v>171</v>
      </c>
      <c r="P113" s="69">
        <v>215996</v>
      </c>
      <c r="Q113" s="92" t="s">
        <v>226</v>
      </c>
      <c r="R113" s="92" t="s">
        <v>182</v>
      </c>
      <c r="S113" s="92"/>
    </row>
    <row r="114" spans="1:19" x14ac:dyDescent="0.2">
      <c r="A114" s="92" t="s">
        <v>300</v>
      </c>
      <c r="B114" s="69">
        <v>14</v>
      </c>
      <c r="C114" s="69">
        <v>4</v>
      </c>
      <c r="D114" s="69">
        <v>6</v>
      </c>
      <c r="E114" s="69">
        <v>14</v>
      </c>
      <c r="F114" s="69">
        <v>65</v>
      </c>
      <c r="G114" s="69">
        <v>81</v>
      </c>
      <c r="H114" s="69">
        <v>12.6</v>
      </c>
      <c r="I114" s="70">
        <v>0.2</v>
      </c>
      <c r="J114" s="70">
        <v>0.31</v>
      </c>
      <c r="K114" s="69">
        <v>10.3</v>
      </c>
      <c r="L114" s="69">
        <v>1.6</v>
      </c>
      <c r="M114" s="69" t="s">
        <v>170</v>
      </c>
      <c r="N114" s="69">
        <v>2000</v>
      </c>
      <c r="O114" s="69" t="s">
        <v>171</v>
      </c>
      <c r="P114" s="69">
        <v>290072</v>
      </c>
      <c r="Q114" s="92" t="s">
        <v>301</v>
      </c>
      <c r="R114" s="92" t="s">
        <v>176</v>
      </c>
      <c r="S114" s="92"/>
    </row>
    <row r="115" spans="1:19" x14ac:dyDescent="0.2">
      <c r="A115" s="92" t="s">
        <v>304</v>
      </c>
      <c r="B115" s="69">
        <v>16</v>
      </c>
      <c r="C115" s="69">
        <v>7</v>
      </c>
      <c r="D115" s="69">
        <v>8</v>
      </c>
      <c r="E115" s="69">
        <v>16</v>
      </c>
      <c r="F115" s="69">
        <v>40</v>
      </c>
      <c r="G115" s="69"/>
      <c r="H115" s="69"/>
      <c r="I115" s="70">
        <v>0.2</v>
      </c>
      <c r="J115" s="70">
        <v>0.45</v>
      </c>
      <c r="K115" s="69">
        <v>4.9000000000000004</v>
      </c>
      <c r="L115" s="69">
        <v>2</v>
      </c>
      <c r="M115" s="69" t="s">
        <v>170</v>
      </c>
      <c r="N115" s="69">
        <v>2011</v>
      </c>
      <c r="O115" s="69" t="s">
        <v>171</v>
      </c>
      <c r="P115" s="69">
        <v>853374</v>
      </c>
      <c r="Q115" s="92" t="s">
        <v>305</v>
      </c>
      <c r="R115" s="92" t="s">
        <v>173</v>
      </c>
      <c r="S115" s="92"/>
    </row>
    <row r="116" spans="1:19" x14ac:dyDescent="0.2">
      <c r="A116" s="92" t="s">
        <v>306</v>
      </c>
      <c r="B116" s="69">
        <v>21</v>
      </c>
      <c r="C116" s="69">
        <v>8</v>
      </c>
      <c r="D116" s="69">
        <v>11</v>
      </c>
      <c r="E116" s="69">
        <v>21</v>
      </c>
      <c r="F116" s="69">
        <v>60</v>
      </c>
      <c r="G116" s="69">
        <v>61</v>
      </c>
      <c r="H116" s="69">
        <v>10</v>
      </c>
      <c r="I116" s="70">
        <v>0.2</v>
      </c>
      <c r="J116" s="70">
        <v>0.5</v>
      </c>
      <c r="K116" s="69">
        <v>7.9</v>
      </c>
      <c r="L116" s="69">
        <v>1.9</v>
      </c>
      <c r="M116" s="69" t="s">
        <v>170</v>
      </c>
      <c r="N116" s="69">
        <v>2000</v>
      </c>
      <c r="O116" s="69" t="s">
        <v>171</v>
      </c>
      <c r="P116" s="69">
        <v>287656</v>
      </c>
      <c r="Q116" s="92" t="s">
        <v>226</v>
      </c>
      <c r="R116" s="92" t="s">
        <v>182</v>
      </c>
      <c r="S116" s="92"/>
    </row>
    <row r="117" spans="1:19" x14ac:dyDescent="0.2">
      <c r="A117" s="92" t="s">
        <v>322</v>
      </c>
      <c r="B117" s="69">
        <v>0</v>
      </c>
      <c r="C117" s="69">
        <v>0</v>
      </c>
      <c r="D117" s="69">
        <v>0</v>
      </c>
      <c r="E117" s="69">
        <v>0</v>
      </c>
      <c r="F117" s="69">
        <v>4</v>
      </c>
      <c r="G117" s="69">
        <v>-7</v>
      </c>
      <c r="H117" s="69">
        <v>-1.5</v>
      </c>
      <c r="I117" s="70">
        <v>0.21</v>
      </c>
      <c r="J117" s="70">
        <v>0.75</v>
      </c>
      <c r="K117" s="69">
        <v>4</v>
      </c>
      <c r="L117" s="69">
        <v>0.1</v>
      </c>
      <c r="M117" s="69" t="s">
        <v>170</v>
      </c>
      <c r="N117" s="69">
        <v>2013</v>
      </c>
      <c r="O117" s="69" t="s">
        <v>171</v>
      </c>
      <c r="P117" s="69">
        <v>212621</v>
      </c>
      <c r="Q117" s="92" t="s">
        <v>203</v>
      </c>
      <c r="R117" s="92" t="s">
        <v>223</v>
      </c>
      <c r="S117" s="92"/>
    </row>
    <row r="118" spans="1:19" x14ac:dyDescent="0.2">
      <c r="A118" s="92" t="s">
        <v>321</v>
      </c>
      <c r="B118" s="69">
        <v>8</v>
      </c>
      <c r="C118" s="69">
        <v>3</v>
      </c>
      <c r="D118" s="69">
        <v>4</v>
      </c>
      <c r="E118" s="69">
        <v>8</v>
      </c>
      <c r="F118" s="69">
        <v>20</v>
      </c>
      <c r="G118" s="69">
        <v>30</v>
      </c>
      <c r="H118" s="69">
        <v>5.4</v>
      </c>
      <c r="I118" s="70">
        <v>0.21</v>
      </c>
      <c r="J118" s="70">
        <v>0.56000000000000005</v>
      </c>
      <c r="K118" s="69">
        <v>2.2000000000000002</v>
      </c>
      <c r="L118" s="69">
        <v>2.2000000000000002</v>
      </c>
      <c r="M118" s="69" t="s">
        <v>170</v>
      </c>
      <c r="N118" s="69">
        <v>2000</v>
      </c>
      <c r="O118" s="69" t="s">
        <v>171</v>
      </c>
      <c r="P118" s="69">
        <v>502633</v>
      </c>
      <c r="Q118" s="92" t="s">
        <v>226</v>
      </c>
      <c r="R118" s="92" t="s">
        <v>179</v>
      </c>
      <c r="S118" s="92"/>
    </row>
    <row r="119" spans="1:19" x14ac:dyDescent="0.2">
      <c r="A119" s="92" t="s">
        <v>324</v>
      </c>
      <c r="B119" s="69">
        <v>28</v>
      </c>
      <c r="C119" s="69">
        <v>9</v>
      </c>
      <c r="D119" s="69">
        <v>15</v>
      </c>
      <c r="E119" s="69">
        <v>28</v>
      </c>
      <c r="F119" s="69"/>
      <c r="G119" s="69"/>
      <c r="H119" s="69"/>
      <c r="I119" s="70">
        <v>0.21</v>
      </c>
      <c r="J119" s="70">
        <v>0.5</v>
      </c>
      <c r="K119" s="69"/>
      <c r="L119" s="69"/>
      <c r="M119" s="69" t="s">
        <v>170</v>
      </c>
      <c r="N119" s="69">
        <v>2013</v>
      </c>
      <c r="O119" s="69" t="s">
        <v>171</v>
      </c>
      <c r="P119" s="69">
        <v>658997</v>
      </c>
      <c r="Q119" s="92" t="s">
        <v>203</v>
      </c>
      <c r="R119" s="92" t="s">
        <v>212</v>
      </c>
      <c r="S119" s="92"/>
    </row>
    <row r="120" spans="1:19" x14ac:dyDescent="0.2">
      <c r="A120" s="92" t="s">
        <v>325</v>
      </c>
      <c r="B120" s="69">
        <v>14</v>
      </c>
      <c r="C120" s="69">
        <v>5</v>
      </c>
      <c r="D120" s="69">
        <v>7</v>
      </c>
      <c r="E120" s="69">
        <v>14</v>
      </c>
      <c r="F120" s="69">
        <v>35</v>
      </c>
      <c r="G120" s="69">
        <v>38</v>
      </c>
      <c r="H120" s="69">
        <v>6.6</v>
      </c>
      <c r="I120" s="70">
        <v>0.21</v>
      </c>
      <c r="J120" s="70">
        <v>0.51</v>
      </c>
      <c r="K120" s="69">
        <v>3.3</v>
      </c>
      <c r="L120" s="69">
        <v>2.7</v>
      </c>
      <c r="M120" s="69" t="s">
        <v>170</v>
      </c>
      <c r="N120" s="69">
        <v>2000</v>
      </c>
      <c r="O120" s="69" t="s">
        <v>171</v>
      </c>
      <c r="P120" s="69">
        <v>850602</v>
      </c>
      <c r="Q120" s="92" t="s">
        <v>203</v>
      </c>
      <c r="R120" s="92" t="s">
        <v>179</v>
      </c>
      <c r="S120" s="92"/>
    </row>
    <row r="121" spans="1:19" x14ac:dyDescent="0.2">
      <c r="A121" s="92" t="s">
        <v>319</v>
      </c>
      <c r="B121" s="69">
        <v>15</v>
      </c>
      <c r="C121" s="69">
        <v>6</v>
      </c>
      <c r="D121" s="69">
        <v>6</v>
      </c>
      <c r="E121" s="69">
        <v>15</v>
      </c>
      <c r="F121" s="69">
        <v>67</v>
      </c>
      <c r="G121" s="69">
        <v>78</v>
      </c>
      <c r="H121" s="69">
        <v>12.2</v>
      </c>
      <c r="I121" s="70">
        <v>0.21</v>
      </c>
      <c r="J121" s="70">
        <v>0.51</v>
      </c>
      <c r="K121" s="69">
        <v>10.6</v>
      </c>
      <c r="L121" s="69">
        <v>1.6</v>
      </c>
      <c r="M121" s="69" t="s">
        <v>170</v>
      </c>
      <c r="N121" s="69">
        <v>2013</v>
      </c>
      <c r="O121" s="69" t="s">
        <v>171</v>
      </c>
      <c r="P121" s="69">
        <v>587337</v>
      </c>
      <c r="Q121" s="92" t="s">
        <v>203</v>
      </c>
      <c r="R121" s="92" t="s">
        <v>176</v>
      </c>
      <c r="S121" s="92"/>
    </row>
    <row r="122" spans="1:19" x14ac:dyDescent="0.2">
      <c r="A122" s="92" t="s">
        <v>320</v>
      </c>
      <c r="B122" s="69">
        <v>37</v>
      </c>
      <c r="C122" s="69">
        <v>14</v>
      </c>
      <c r="D122" s="69">
        <v>24</v>
      </c>
      <c r="E122" s="69">
        <v>37</v>
      </c>
      <c r="F122" s="69">
        <v>92</v>
      </c>
      <c r="G122" s="69">
        <v>112</v>
      </c>
      <c r="H122" s="69">
        <v>16.2</v>
      </c>
      <c r="I122" s="70">
        <v>0.21</v>
      </c>
      <c r="J122" s="70">
        <v>0.51</v>
      </c>
      <c r="K122" s="69">
        <v>8.1</v>
      </c>
      <c r="L122" s="69">
        <v>2.6</v>
      </c>
      <c r="M122" s="69" t="s">
        <v>170</v>
      </c>
      <c r="N122" s="69">
        <v>2013</v>
      </c>
      <c r="O122" s="69" t="s">
        <v>171</v>
      </c>
      <c r="P122" s="69">
        <v>551507</v>
      </c>
      <c r="Q122" s="92" t="s">
        <v>203</v>
      </c>
      <c r="R122" s="92" t="s">
        <v>245</v>
      </c>
      <c r="S122" s="92"/>
    </row>
    <row r="123" spans="1:19" x14ac:dyDescent="0.2">
      <c r="A123" s="92" t="s">
        <v>326</v>
      </c>
      <c r="B123" s="69">
        <v>20</v>
      </c>
      <c r="C123" s="69">
        <v>7</v>
      </c>
      <c r="D123" s="69">
        <v>12</v>
      </c>
      <c r="E123" s="69">
        <v>20</v>
      </c>
      <c r="F123" s="69">
        <v>43</v>
      </c>
      <c r="G123" s="69">
        <v>35</v>
      </c>
      <c r="H123" s="69">
        <v>6.2</v>
      </c>
      <c r="I123" s="70">
        <v>0.21</v>
      </c>
      <c r="J123" s="70">
        <v>0.7</v>
      </c>
      <c r="K123" s="69">
        <v>11</v>
      </c>
      <c r="L123" s="69">
        <v>1</v>
      </c>
      <c r="M123" s="69" t="s">
        <v>170</v>
      </c>
      <c r="N123" s="69">
        <v>2000</v>
      </c>
      <c r="O123" s="69" t="s">
        <v>171</v>
      </c>
      <c r="P123" s="69">
        <v>471052</v>
      </c>
      <c r="Q123" s="92" t="s">
        <v>200</v>
      </c>
      <c r="R123" s="92" t="s">
        <v>310</v>
      </c>
      <c r="S123" s="92" t="s">
        <v>189</v>
      </c>
    </row>
    <row r="124" spans="1:19" x14ac:dyDescent="0.2">
      <c r="A124" s="92" t="s">
        <v>327</v>
      </c>
      <c r="B124" s="90">
        <v>11</v>
      </c>
      <c r="C124" s="90">
        <v>3</v>
      </c>
      <c r="D124" s="90">
        <v>3</v>
      </c>
      <c r="E124" s="90">
        <v>11</v>
      </c>
      <c r="F124" s="69">
        <v>55</v>
      </c>
      <c r="G124" s="69">
        <v>32</v>
      </c>
      <c r="H124" s="69">
        <v>5.7</v>
      </c>
      <c r="I124" s="70">
        <v>0.21</v>
      </c>
      <c r="J124" s="70">
        <v>0.7</v>
      </c>
      <c r="K124" s="69">
        <v>8.4</v>
      </c>
      <c r="L124" s="69">
        <v>1.6</v>
      </c>
      <c r="M124" s="69" t="s">
        <v>170</v>
      </c>
      <c r="N124" s="69">
        <v>2000</v>
      </c>
      <c r="O124" s="69" t="s">
        <v>171</v>
      </c>
      <c r="P124" s="69">
        <v>686030</v>
      </c>
      <c r="Q124" s="92" t="s">
        <v>200</v>
      </c>
      <c r="R124" s="92" t="s">
        <v>260</v>
      </c>
      <c r="S124" s="92" t="s">
        <v>189</v>
      </c>
    </row>
    <row r="125" spans="1:19" x14ac:dyDescent="0.2">
      <c r="A125" s="92" t="s">
        <v>328</v>
      </c>
      <c r="B125" s="69">
        <v>12</v>
      </c>
      <c r="C125" s="69">
        <v>5</v>
      </c>
      <c r="D125" s="69">
        <v>10</v>
      </c>
      <c r="E125" s="69">
        <v>12</v>
      </c>
      <c r="F125" s="69">
        <v>43</v>
      </c>
      <c r="G125" s="69">
        <v>23</v>
      </c>
      <c r="H125" s="69">
        <v>4.2</v>
      </c>
      <c r="I125" s="70">
        <v>0.21</v>
      </c>
      <c r="J125" s="70">
        <v>0.7</v>
      </c>
      <c r="K125" s="69">
        <v>11.2</v>
      </c>
      <c r="L125" s="69">
        <v>1</v>
      </c>
      <c r="M125" s="69" t="s">
        <v>170</v>
      </c>
      <c r="N125" s="69">
        <v>2000</v>
      </c>
      <c r="O125" s="69" t="s">
        <v>171</v>
      </c>
      <c r="P125" s="69">
        <v>506881</v>
      </c>
      <c r="Q125" s="92" t="s">
        <v>200</v>
      </c>
      <c r="R125" s="92" t="s">
        <v>239</v>
      </c>
      <c r="S125" s="92" t="s">
        <v>189</v>
      </c>
    </row>
    <row r="126" spans="1:19" x14ac:dyDescent="0.2">
      <c r="A126" s="92" t="s">
        <v>312</v>
      </c>
      <c r="B126" s="90">
        <v>16</v>
      </c>
      <c r="C126" s="90">
        <v>7</v>
      </c>
      <c r="D126" s="90">
        <v>6</v>
      </c>
      <c r="E126" s="90">
        <v>16</v>
      </c>
      <c r="F126" s="69">
        <v>70</v>
      </c>
      <c r="G126" s="69">
        <v>80</v>
      </c>
      <c r="H126" s="69">
        <v>12.5</v>
      </c>
      <c r="I126" s="70">
        <v>0.21</v>
      </c>
      <c r="J126" s="70">
        <v>0.7</v>
      </c>
      <c r="K126" s="69">
        <v>10.9</v>
      </c>
      <c r="L126" s="69">
        <v>1.6</v>
      </c>
      <c r="M126" s="69" t="s">
        <v>170</v>
      </c>
      <c r="N126" s="69">
        <v>2000</v>
      </c>
      <c r="O126" s="69" t="s">
        <v>171</v>
      </c>
      <c r="P126" s="69">
        <v>721860</v>
      </c>
      <c r="Q126" s="92" t="s">
        <v>200</v>
      </c>
      <c r="R126" s="92" t="s">
        <v>264</v>
      </c>
      <c r="S126" s="92" t="s">
        <v>189</v>
      </c>
    </row>
    <row r="127" spans="1:19" x14ac:dyDescent="0.2">
      <c r="A127" s="92" t="s">
        <v>313</v>
      </c>
      <c r="B127" s="90">
        <v>33</v>
      </c>
      <c r="C127" s="90">
        <v>14</v>
      </c>
      <c r="D127" s="90">
        <v>20</v>
      </c>
      <c r="E127" s="90">
        <v>33</v>
      </c>
      <c r="F127" s="69">
        <v>78</v>
      </c>
      <c r="G127" s="69">
        <v>98</v>
      </c>
      <c r="H127" s="69">
        <v>14.7</v>
      </c>
      <c r="I127" s="70">
        <v>0.21</v>
      </c>
      <c r="J127" s="70">
        <v>0.7</v>
      </c>
      <c r="K127" s="69">
        <v>8.1999999999999993</v>
      </c>
      <c r="L127" s="69">
        <v>2.2000000000000002</v>
      </c>
      <c r="M127" s="69" t="s">
        <v>170</v>
      </c>
      <c r="N127" s="69">
        <v>2000</v>
      </c>
      <c r="O127" s="69" t="s">
        <v>171</v>
      </c>
      <c r="P127" s="69">
        <v>650200</v>
      </c>
      <c r="Q127" s="92" t="s">
        <v>200</v>
      </c>
      <c r="R127" s="92" t="s">
        <v>245</v>
      </c>
      <c r="S127" s="92" t="s">
        <v>189</v>
      </c>
    </row>
    <row r="128" spans="1:19" x14ac:dyDescent="0.2">
      <c r="A128" s="92" t="s">
        <v>314</v>
      </c>
      <c r="B128" s="69">
        <v>36</v>
      </c>
      <c r="C128" s="69">
        <v>12</v>
      </c>
      <c r="D128" s="69">
        <v>23</v>
      </c>
      <c r="E128" s="69">
        <v>36</v>
      </c>
      <c r="F128" s="69">
        <v>93</v>
      </c>
      <c r="G128" s="69">
        <v>109</v>
      </c>
      <c r="H128" s="69">
        <v>15.8</v>
      </c>
      <c r="I128" s="70">
        <v>0.21</v>
      </c>
      <c r="J128" s="70">
        <v>0.7</v>
      </c>
      <c r="K128" s="69">
        <v>8.5</v>
      </c>
      <c r="L128" s="69">
        <v>2.5</v>
      </c>
      <c r="M128" s="69" t="s">
        <v>170</v>
      </c>
      <c r="N128" s="69">
        <v>2000</v>
      </c>
      <c r="O128" s="69" t="s">
        <v>171</v>
      </c>
      <c r="P128" s="69">
        <v>435222</v>
      </c>
      <c r="Q128" s="92" t="s">
        <v>200</v>
      </c>
      <c r="R128" s="92" t="s">
        <v>315</v>
      </c>
      <c r="S128" s="92" t="s">
        <v>189</v>
      </c>
    </row>
    <row r="129" spans="1:19" x14ac:dyDescent="0.2">
      <c r="A129" s="92" t="s">
        <v>316</v>
      </c>
      <c r="B129" s="69">
        <v>17</v>
      </c>
      <c r="C129" s="69">
        <v>6</v>
      </c>
      <c r="D129" s="69">
        <v>9</v>
      </c>
      <c r="E129" s="69">
        <v>17</v>
      </c>
      <c r="F129" s="69">
        <v>48</v>
      </c>
      <c r="G129" s="69">
        <v>57</v>
      </c>
      <c r="H129" s="69">
        <v>9.5</v>
      </c>
      <c r="I129" s="70">
        <v>0.21</v>
      </c>
      <c r="J129" s="70">
        <v>0.7</v>
      </c>
      <c r="K129" s="69">
        <v>5.2</v>
      </c>
      <c r="L129" s="69">
        <v>2.2999999999999998</v>
      </c>
      <c r="M129" s="69" t="s">
        <v>170</v>
      </c>
      <c r="N129" s="69">
        <v>2000</v>
      </c>
      <c r="O129" s="69" t="s">
        <v>171</v>
      </c>
      <c r="P129" s="69">
        <v>542712</v>
      </c>
      <c r="Q129" s="92" t="s">
        <v>200</v>
      </c>
      <c r="R129" s="92" t="s">
        <v>266</v>
      </c>
      <c r="S129" s="92" t="s">
        <v>189</v>
      </c>
    </row>
    <row r="130" spans="1:19" x14ac:dyDescent="0.2">
      <c r="A130" s="92" t="s">
        <v>317</v>
      </c>
      <c r="B130" s="69">
        <v>22</v>
      </c>
      <c r="C130" s="69">
        <v>6</v>
      </c>
      <c r="D130" s="69">
        <v>9</v>
      </c>
      <c r="E130" s="69">
        <v>22</v>
      </c>
      <c r="F130" s="69">
        <v>57</v>
      </c>
      <c r="G130" s="69">
        <v>56</v>
      </c>
      <c r="H130" s="69">
        <v>9.3000000000000007</v>
      </c>
      <c r="I130" s="70">
        <v>0.21</v>
      </c>
      <c r="J130" s="70">
        <v>0.7</v>
      </c>
      <c r="K130" s="69">
        <v>7.2</v>
      </c>
      <c r="L130" s="69">
        <v>1.9</v>
      </c>
      <c r="M130" s="69" t="s">
        <v>170</v>
      </c>
      <c r="N130" s="69">
        <v>2000</v>
      </c>
      <c r="O130" s="69" t="s">
        <v>171</v>
      </c>
      <c r="P130" s="69">
        <v>399394</v>
      </c>
      <c r="Q130" s="92" t="s">
        <v>200</v>
      </c>
      <c r="R130" s="92" t="s">
        <v>212</v>
      </c>
      <c r="S130" s="92" t="s">
        <v>189</v>
      </c>
    </row>
    <row r="131" spans="1:19" x14ac:dyDescent="0.2">
      <c r="A131" s="92" t="s">
        <v>318</v>
      </c>
      <c r="B131" s="69">
        <v>13</v>
      </c>
      <c r="C131" s="69">
        <v>5</v>
      </c>
      <c r="D131" s="69">
        <v>4</v>
      </c>
      <c r="E131" s="69">
        <v>13</v>
      </c>
      <c r="F131" s="69">
        <v>66</v>
      </c>
      <c r="G131" s="69">
        <v>69</v>
      </c>
      <c r="H131" s="69">
        <v>11.1</v>
      </c>
      <c r="I131" s="70">
        <v>0.21</v>
      </c>
      <c r="J131" s="70">
        <v>0.72</v>
      </c>
      <c r="K131" s="69">
        <v>11</v>
      </c>
      <c r="L131" s="69">
        <v>1.5</v>
      </c>
      <c r="M131" s="69" t="s">
        <v>170</v>
      </c>
      <c r="N131" s="69">
        <v>2003</v>
      </c>
      <c r="O131" s="69" t="s">
        <v>171</v>
      </c>
      <c r="P131" s="69">
        <v>902783</v>
      </c>
      <c r="Q131" s="92" t="s">
        <v>200</v>
      </c>
      <c r="R131" s="92" t="s">
        <v>264</v>
      </c>
      <c r="S131" s="92" t="s">
        <v>189</v>
      </c>
    </row>
    <row r="132" spans="1:19" x14ac:dyDescent="0.2">
      <c r="A132" s="92" t="s">
        <v>309</v>
      </c>
      <c r="B132" s="69">
        <v>14</v>
      </c>
      <c r="C132" s="69">
        <v>5</v>
      </c>
      <c r="D132" s="69">
        <v>8</v>
      </c>
      <c r="E132" s="69">
        <v>14</v>
      </c>
      <c r="F132" s="69">
        <v>41</v>
      </c>
      <c r="G132" s="69">
        <v>35</v>
      </c>
      <c r="H132" s="69">
        <v>6.2</v>
      </c>
      <c r="I132" s="70">
        <v>0.21</v>
      </c>
      <c r="J132" s="70">
        <v>0.6</v>
      </c>
      <c r="K132" s="69">
        <v>8.4</v>
      </c>
      <c r="L132" s="69">
        <v>1.3</v>
      </c>
      <c r="M132" s="69" t="s">
        <v>170</v>
      </c>
      <c r="N132" s="69">
        <v>2008</v>
      </c>
      <c r="O132" s="69" t="s">
        <v>171</v>
      </c>
      <c r="P132" s="69">
        <v>823096</v>
      </c>
      <c r="Q132" s="92" t="s">
        <v>196</v>
      </c>
      <c r="R132" s="92" t="s">
        <v>310</v>
      </c>
      <c r="S132" s="92"/>
    </row>
    <row r="133" spans="1:19" x14ac:dyDescent="0.2">
      <c r="A133" s="91" t="s">
        <v>330</v>
      </c>
      <c r="B133" s="90">
        <v>12</v>
      </c>
      <c r="C133" s="90">
        <v>7</v>
      </c>
      <c r="D133" s="90">
        <v>-1</v>
      </c>
      <c r="E133" s="90">
        <v>12</v>
      </c>
      <c r="F133" s="69">
        <v>73</v>
      </c>
      <c r="G133" s="69">
        <v>99</v>
      </c>
      <c r="H133" s="69">
        <v>14.7</v>
      </c>
      <c r="I133" s="70">
        <v>0.21</v>
      </c>
      <c r="J133" s="70">
        <v>0.6</v>
      </c>
      <c r="K133" s="69">
        <v>12.4</v>
      </c>
      <c r="L133" s="69">
        <v>1.5</v>
      </c>
      <c r="M133" s="69" t="s">
        <v>170</v>
      </c>
      <c r="N133" s="69">
        <v>2004</v>
      </c>
      <c r="O133" s="69" t="s">
        <v>171</v>
      </c>
      <c r="P133" s="69">
        <v>269357</v>
      </c>
      <c r="Q133" s="92" t="s">
        <v>196</v>
      </c>
      <c r="R133" s="92" t="s">
        <v>331</v>
      </c>
      <c r="S133" s="92"/>
    </row>
    <row r="134" spans="1:19" x14ac:dyDescent="0.2">
      <c r="A134" s="92" t="s">
        <v>329</v>
      </c>
      <c r="B134" s="69">
        <v>15</v>
      </c>
      <c r="C134" s="69">
        <v>6</v>
      </c>
      <c r="D134" s="69">
        <v>6</v>
      </c>
      <c r="E134" s="69">
        <v>15</v>
      </c>
      <c r="F134" s="69"/>
      <c r="G134" s="69"/>
      <c r="H134" s="69"/>
      <c r="I134" s="70">
        <v>0.21</v>
      </c>
      <c r="J134" s="70">
        <v>0.4</v>
      </c>
      <c r="K134" s="69"/>
      <c r="L134" s="69"/>
      <c r="M134" s="69" t="s">
        <v>170</v>
      </c>
      <c r="N134" s="69">
        <v>2013</v>
      </c>
      <c r="O134" s="69" t="s">
        <v>171</v>
      </c>
      <c r="P134" s="69">
        <v>292193</v>
      </c>
      <c r="Q134" s="92" t="s">
        <v>277</v>
      </c>
      <c r="R134" s="92" t="s">
        <v>176</v>
      </c>
      <c r="S134" s="92" t="s">
        <v>189</v>
      </c>
    </row>
    <row r="135" spans="1:19" x14ac:dyDescent="0.2">
      <c r="A135" s="92" t="s">
        <v>311</v>
      </c>
      <c r="B135" s="69">
        <v>21</v>
      </c>
      <c r="C135" s="69">
        <v>9</v>
      </c>
      <c r="D135" s="69">
        <v>10</v>
      </c>
      <c r="E135" s="69">
        <v>21</v>
      </c>
      <c r="F135" s="69">
        <v>64</v>
      </c>
      <c r="G135" s="69"/>
      <c r="H135" s="69"/>
      <c r="I135" s="70">
        <v>0.21</v>
      </c>
      <c r="J135" s="70">
        <v>0.5</v>
      </c>
      <c r="K135" s="69">
        <v>6.5</v>
      </c>
      <c r="L135" s="69">
        <v>2.4</v>
      </c>
      <c r="M135" s="69" t="s">
        <v>170</v>
      </c>
      <c r="N135" s="69">
        <v>2011</v>
      </c>
      <c r="O135" s="69" t="s">
        <v>171</v>
      </c>
      <c r="P135" s="69">
        <v>889204</v>
      </c>
      <c r="Q135" s="92" t="s">
        <v>305</v>
      </c>
      <c r="R135" s="92" t="s">
        <v>173</v>
      </c>
      <c r="S135" s="92"/>
    </row>
    <row r="136" spans="1:19" x14ac:dyDescent="0.2">
      <c r="A136" s="92" t="s">
        <v>323</v>
      </c>
      <c r="B136" s="69">
        <v>14</v>
      </c>
      <c r="C136" s="69">
        <v>4</v>
      </c>
      <c r="D136" s="69">
        <v>3</v>
      </c>
      <c r="E136" s="69">
        <v>14</v>
      </c>
      <c r="F136" s="69">
        <v>58</v>
      </c>
      <c r="G136" s="69">
        <v>38</v>
      </c>
      <c r="H136" s="69">
        <v>6.7</v>
      </c>
      <c r="I136" s="70">
        <v>0.21</v>
      </c>
      <c r="J136" s="70">
        <v>0.51</v>
      </c>
      <c r="K136" s="69">
        <v>8.5</v>
      </c>
      <c r="L136" s="69">
        <v>1.7</v>
      </c>
      <c r="M136" s="69" t="s">
        <v>170</v>
      </c>
      <c r="N136" s="69">
        <v>2013</v>
      </c>
      <c r="O136" s="69" t="s">
        <v>171</v>
      </c>
      <c r="P136" s="69">
        <v>479840</v>
      </c>
      <c r="Q136" s="92" t="s">
        <v>203</v>
      </c>
      <c r="R136" s="92" t="s">
        <v>237</v>
      </c>
      <c r="S136" s="92"/>
    </row>
    <row r="137" spans="1:19" x14ac:dyDescent="0.2">
      <c r="A137" s="92" t="s">
        <v>335</v>
      </c>
      <c r="B137" s="69">
        <v>3</v>
      </c>
      <c r="C137" s="69">
        <v>0</v>
      </c>
      <c r="D137" s="69">
        <v>0</v>
      </c>
      <c r="E137" s="69">
        <v>3</v>
      </c>
      <c r="F137" s="69"/>
      <c r="G137" s="69"/>
      <c r="H137" s="69"/>
      <c r="I137" s="70">
        <v>0.22</v>
      </c>
      <c r="J137" s="70">
        <v>0.81</v>
      </c>
      <c r="K137" s="69"/>
      <c r="L137" s="69"/>
      <c r="M137" s="69" t="s">
        <v>170</v>
      </c>
      <c r="N137" s="69">
        <v>2014</v>
      </c>
      <c r="O137" s="69" t="s">
        <v>171</v>
      </c>
      <c r="P137" s="69">
        <v>874560</v>
      </c>
      <c r="Q137" s="92" t="s">
        <v>203</v>
      </c>
      <c r="R137" s="92" t="s">
        <v>223</v>
      </c>
      <c r="S137" s="92"/>
    </row>
    <row r="138" spans="1:19" x14ac:dyDescent="0.2">
      <c r="A138" s="92" t="s">
        <v>336</v>
      </c>
      <c r="B138" s="69">
        <v>15</v>
      </c>
      <c r="C138" s="69">
        <v>5</v>
      </c>
      <c r="D138" s="69">
        <v>8</v>
      </c>
      <c r="E138" s="69">
        <v>15</v>
      </c>
      <c r="F138" s="69">
        <v>40</v>
      </c>
      <c r="G138" s="69">
        <v>39</v>
      </c>
      <c r="H138" s="69">
        <v>6.7</v>
      </c>
      <c r="I138" s="70">
        <v>0.22</v>
      </c>
      <c r="J138" s="70">
        <v>0.54</v>
      </c>
      <c r="K138" s="69">
        <v>4</v>
      </c>
      <c r="L138" s="69">
        <v>2.5</v>
      </c>
      <c r="M138" s="69" t="s">
        <v>170</v>
      </c>
      <c r="N138" s="69">
        <v>2000</v>
      </c>
      <c r="O138" s="69" t="s">
        <v>171</v>
      </c>
      <c r="P138" s="69">
        <v>814772</v>
      </c>
      <c r="Q138" s="92" t="s">
        <v>203</v>
      </c>
      <c r="R138" s="92" t="s">
        <v>179</v>
      </c>
      <c r="S138" s="92"/>
    </row>
    <row r="139" spans="1:19" x14ac:dyDescent="0.2">
      <c r="A139" s="92" t="s">
        <v>337</v>
      </c>
      <c r="B139" s="69">
        <v>19</v>
      </c>
      <c r="C139" s="69">
        <v>7</v>
      </c>
      <c r="D139" s="69">
        <v>10</v>
      </c>
      <c r="E139" s="69">
        <v>19</v>
      </c>
      <c r="F139" s="69">
        <v>54</v>
      </c>
      <c r="G139" s="69">
        <v>48</v>
      </c>
      <c r="H139" s="69">
        <v>8.1999999999999993</v>
      </c>
      <c r="I139" s="70">
        <v>0.22</v>
      </c>
      <c r="J139" s="70">
        <v>0.56999999999999995</v>
      </c>
      <c r="K139" s="69">
        <v>5.9</v>
      </c>
      <c r="L139" s="69">
        <v>2.2999999999999998</v>
      </c>
      <c r="M139" s="69" t="s">
        <v>170</v>
      </c>
      <c r="N139" s="69">
        <v>2000</v>
      </c>
      <c r="O139" s="69" t="s">
        <v>171</v>
      </c>
      <c r="P139" s="69">
        <v>778944</v>
      </c>
      <c r="Q139" s="92" t="s">
        <v>203</v>
      </c>
      <c r="R139" s="92" t="s">
        <v>179</v>
      </c>
      <c r="S139" s="92"/>
    </row>
    <row r="140" spans="1:19" x14ac:dyDescent="0.2">
      <c r="A140" s="92" t="s">
        <v>340</v>
      </c>
      <c r="B140" s="69">
        <v>6</v>
      </c>
      <c r="C140" s="69">
        <v>1</v>
      </c>
      <c r="D140" s="69">
        <v>3</v>
      </c>
      <c r="E140" s="69">
        <v>6</v>
      </c>
      <c r="F140" s="69">
        <v>12</v>
      </c>
      <c r="G140" s="69">
        <v>23</v>
      </c>
      <c r="H140" s="69">
        <v>4.3</v>
      </c>
      <c r="I140" s="70">
        <v>0.22</v>
      </c>
      <c r="J140" s="70">
        <v>0.8</v>
      </c>
      <c r="K140" s="69">
        <v>2.2000000000000002</v>
      </c>
      <c r="L140" s="69">
        <v>1.1000000000000001</v>
      </c>
      <c r="M140" s="69" t="s">
        <v>170</v>
      </c>
      <c r="N140" s="69">
        <v>2000</v>
      </c>
      <c r="O140" s="69" t="s">
        <v>71</v>
      </c>
      <c r="P140" s="69">
        <v>682377</v>
      </c>
      <c r="Q140" s="92" t="s">
        <v>231</v>
      </c>
      <c r="R140" s="92" t="s">
        <v>188</v>
      </c>
      <c r="S140" s="92"/>
    </row>
    <row r="141" spans="1:19" x14ac:dyDescent="0.2">
      <c r="A141" s="92" t="s">
        <v>344</v>
      </c>
      <c r="B141" s="69">
        <v>36</v>
      </c>
      <c r="C141" s="69">
        <v>13</v>
      </c>
      <c r="D141" s="69">
        <v>22</v>
      </c>
      <c r="E141" s="69">
        <v>36</v>
      </c>
      <c r="F141" s="69"/>
      <c r="G141" s="69"/>
      <c r="H141" s="69"/>
      <c r="I141" s="70">
        <v>0.22</v>
      </c>
      <c r="J141" s="70">
        <v>0.42</v>
      </c>
      <c r="K141" s="69"/>
      <c r="L141" s="69"/>
      <c r="M141" s="69" t="s">
        <v>170</v>
      </c>
      <c r="N141" s="69">
        <v>2012</v>
      </c>
      <c r="O141" s="69" t="s">
        <v>171</v>
      </c>
      <c r="P141" s="69">
        <v>316513</v>
      </c>
      <c r="Q141" s="92" t="s">
        <v>194</v>
      </c>
      <c r="R141" s="92" t="s">
        <v>245</v>
      </c>
      <c r="S141" s="92"/>
    </row>
    <row r="142" spans="1:19" x14ac:dyDescent="0.2">
      <c r="A142" s="92" t="s">
        <v>339</v>
      </c>
      <c r="B142" s="69">
        <v>14</v>
      </c>
      <c r="C142" s="69">
        <v>5</v>
      </c>
      <c r="D142" s="69">
        <v>6</v>
      </c>
      <c r="E142" s="69">
        <v>14</v>
      </c>
      <c r="F142" s="69"/>
      <c r="G142" s="69"/>
      <c r="H142" s="69"/>
      <c r="I142" s="70">
        <v>0.22</v>
      </c>
      <c r="J142" s="70">
        <v>0.41</v>
      </c>
      <c r="K142" s="69"/>
      <c r="L142" s="69"/>
      <c r="M142" s="69" t="s">
        <v>170</v>
      </c>
      <c r="N142" s="69">
        <v>2012</v>
      </c>
      <c r="O142" s="69" t="s">
        <v>171</v>
      </c>
      <c r="P142" s="69">
        <v>683318</v>
      </c>
      <c r="Q142" s="92" t="s">
        <v>194</v>
      </c>
      <c r="R142" s="92" t="s">
        <v>176</v>
      </c>
      <c r="S142" s="92"/>
    </row>
    <row r="143" spans="1:19" x14ac:dyDescent="0.2">
      <c r="A143" s="92" t="s">
        <v>333</v>
      </c>
      <c r="B143" s="69">
        <v>26</v>
      </c>
      <c r="C143" s="69">
        <v>8</v>
      </c>
      <c r="D143" s="69">
        <v>13</v>
      </c>
      <c r="E143" s="69">
        <v>26</v>
      </c>
      <c r="F143" s="69">
        <v>69</v>
      </c>
      <c r="G143" s="69">
        <v>74</v>
      </c>
      <c r="H143" s="69">
        <v>11.7</v>
      </c>
      <c r="I143" s="70">
        <v>0.22</v>
      </c>
      <c r="J143" s="70">
        <v>0.52</v>
      </c>
      <c r="K143" s="69">
        <v>6.3</v>
      </c>
      <c r="L143" s="69">
        <v>2.6</v>
      </c>
      <c r="M143" s="69" t="s">
        <v>170</v>
      </c>
      <c r="N143" s="69">
        <v>2000</v>
      </c>
      <c r="O143" s="69" t="s">
        <v>171</v>
      </c>
      <c r="P143" s="69">
        <v>829358</v>
      </c>
      <c r="Q143" s="92" t="s">
        <v>249</v>
      </c>
      <c r="R143" s="92" t="s">
        <v>182</v>
      </c>
      <c r="S143" s="92"/>
    </row>
    <row r="144" spans="1:19" x14ac:dyDescent="0.2">
      <c r="A144" s="92" t="s">
        <v>342</v>
      </c>
      <c r="B144" s="69">
        <v>27</v>
      </c>
      <c r="C144" s="69">
        <v>9</v>
      </c>
      <c r="D144" s="69">
        <v>15</v>
      </c>
      <c r="E144" s="69">
        <v>27</v>
      </c>
      <c r="F144" s="69"/>
      <c r="G144" s="69"/>
      <c r="H144" s="69"/>
      <c r="I144" s="70">
        <v>0.22</v>
      </c>
      <c r="J144" s="70">
        <v>0.44</v>
      </c>
      <c r="K144" s="69"/>
      <c r="L144" s="69"/>
      <c r="M144" s="69" t="s">
        <v>170</v>
      </c>
      <c r="N144" s="69">
        <v>2013</v>
      </c>
      <c r="O144" s="69" t="s">
        <v>171</v>
      </c>
      <c r="P144" s="69">
        <v>545426</v>
      </c>
      <c r="Q144" s="92" t="s">
        <v>277</v>
      </c>
      <c r="R144" s="92" t="s">
        <v>212</v>
      </c>
      <c r="S144" s="92" t="s">
        <v>189</v>
      </c>
    </row>
    <row r="145" spans="1:19" x14ac:dyDescent="0.2">
      <c r="A145" s="92" t="s">
        <v>343</v>
      </c>
      <c r="B145" s="69">
        <v>18</v>
      </c>
      <c r="C145" s="69">
        <v>5</v>
      </c>
      <c r="D145" s="69">
        <v>11</v>
      </c>
      <c r="E145" s="69">
        <v>18</v>
      </c>
      <c r="F145" s="69">
        <v>42</v>
      </c>
      <c r="G145" s="69">
        <v>29</v>
      </c>
      <c r="H145" s="69">
        <v>5.2</v>
      </c>
      <c r="I145" s="70">
        <v>0.22</v>
      </c>
      <c r="J145" s="70">
        <v>0.43</v>
      </c>
      <c r="K145" s="69">
        <v>10.8</v>
      </c>
      <c r="L145" s="69">
        <v>1</v>
      </c>
      <c r="M145" s="69" t="s">
        <v>170</v>
      </c>
      <c r="N145" s="69">
        <v>2000</v>
      </c>
      <c r="O145" s="69" t="s">
        <v>171</v>
      </c>
      <c r="P145" s="69">
        <v>582791</v>
      </c>
      <c r="Q145" s="92" t="s">
        <v>277</v>
      </c>
      <c r="R145" s="92" t="s">
        <v>239</v>
      </c>
      <c r="S145" s="92" t="s">
        <v>189</v>
      </c>
    </row>
    <row r="146" spans="1:19" x14ac:dyDescent="0.2">
      <c r="A146" s="92" t="s">
        <v>338</v>
      </c>
      <c r="B146" s="69">
        <v>36</v>
      </c>
      <c r="C146" s="69">
        <v>12</v>
      </c>
      <c r="D146" s="69">
        <v>22</v>
      </c>
      <c r="E146" s="69">
        <v>36</v>
      </c>
      <c r="F146" s="69"/>
      <c r="G146" s="69"/>
      <c r="H146" s="69"/>
      <c r="I146" s="70">
        <v>0.22</v>
      </c>
      <c r="J146" s="70">
        <v>0.41</v>
      </c>
      <c r="K146" s="69"/>
      <c r="L146" s="69"/>
      <c r="M146" s="69" t="s">
        <v>170</v>
      </c>
      <c r="N146" s="69">
        <v>2013</v>
      </c>
      <c r="O146" s="69" t="s">
        <v>171</v>
      </c>
      <c r="P146" s="69">
        <v>256362</v>
      </c>
      <c r="Q146" s="92" t="s">
        <v>277</v>
      </c>
      <c r="R146" s="92" t="s">
        <v>245</v>
      </c>
      <c r="S146" s="92" t="s">
        <v>189</v>
      </c>
    </row>
    <row r="147" spans="1:19" x14ac:dyDescent="0.2">
      <c r="A147" s="92" t="s">
        <v>334</v>
      </c>
      <c r="B147" s="69">
        <v>16</v>
      </c>
      <c r="C147" s="69">
        <v>5</v>
      </c>
      <c r="D147" s="69">
        <v>8</v>
      </c>
      <c r="E147" s="69">
        <v>16</v>
      </c>
      <c r="F147" s="69">
        <v>41</v>
      </c>
      <c r="G147" s="69">
        <v>49</v>
      </c>
      <c r="H147" s="69">
        <v>8.3000000000000007</v>
      </c>
      <c r="I147" s="70">
        <v>0.22</v>
      </c>
      <c r="J147" s="70">
        <v>0.53</v>
      </c>
      <c r="K147" s="69">
        <v>4</v>
      </c>
      <c r="L147" s="69">
        <v>2.6</v>
      </c>
      <c r="M147" s="69" t="s">
        <v>170</v>
      </c>
      <c r="N147" s="69">
        <v>2000</v>
      </c>
      <c r="O147" s="69" t="s">
        <v>171</v>
      </c>
      <c r="P147" s="69">
        <v>972679</v>
      </c>
      <c r="Q147" s="92" t="s">
        <v>249</v>
      </c>
      <c r="R147" s="92" t="s">
        <v>179</v>
      </c>
      <c r="S147" s="92"/>
    </row>
    <row r="148" spans="1:19" x14ac:dyDescent="0.2">
      <c r="A148" s="92" t="s">
        <v>332</v>
      </c>
      <c r="B148" s="69">
        <v>26</v>
      </c>
      <c r="C148" s="69">
        <v>8</v>
      </c>
      <c r="D148" s="69">
        <v>13</v>
      </c>
      <c r="E148" s="69">
        <v>26</v>
      </c>
      <c r="F148" s="69">
        <v>69</v>
      </c>
      <c r="G148" s="69">
        <v>74</v>
      </c>
      <c r="H148" s="69">
        <v>11.7</v>
      </c>
      <c r="I148" s="70">
        <v>0.22</v>
      </c>
      <c r="J148" s="70">
        <v>0.52</v>
      </c>
      <c r="K148" s="69">
        <v>6.3</v>
      </c>
      <c r="L148" s="69">
        <v>2.6</v>
      </c>
      <c r="M148" s="69" t="s">
        <v>170</v>
      </c>
      <c r="N148" s="69">
        <v>2000</v>
      </c>
      <c r="O148" s="69" t="s">
        <v>171</v>
      </c>
      <c r="P148" s="69">
        <v>901017</v>
      </c>
      <c r="Q148" s="92" t="s">
        <v>249</v>
      </c>
      <c r="R148" s="92" t="s">
        <v>185</v>
      </c>
      <c r="S148" s="92"/>
    </row>
    <row r="149" spans="1:19" x14ac:dyDescent="0.2">
      <c r="A149" s="92" t="s">
        <v>341</v>
      </c>
      <c r="B149" s="69">
        <v>13</v>
      </c>
      <c r="C149" s="69">
        <v>3</v>
      </c>
      <c r="D149" s="69">
        <v>3</v>
      </c>
      <c r="E149" s="69">
        <v>13</v>
      </c>
      <c r="F149" s="69">
        <v>56</v>
      </c>
      <c r="G149" s="69">
        <v>30</v>
      </c>
      <c r="H149" s="69">
        <v>5.5</v>
      </c>
      <c r="I149" s="70">
        <v>0.22</v>
      </c>
      <c r="J149" s="70">
        <v>0.44</v>
      </c>
      <c r="K149" s="69">
        <v>9.1</v>
      </c>
      <c r="L149" s="69">
        <v>1.5</v>
      </c>
      <c r="M149" s="69" t="s">
        <v>170</v>
      </c>
      <c r="N149" s="69">
        <v>2000</v>
      </c>
      <c r="O149" s="69" t="s">
        <v>171</v>
      </c>
      <c r="P149" s="69">
        <v>654459</v>
      </c>
      <c r="Q149" s="92" t="s">
        <v>277</v>
      </c>
      <c r="R149" s="92" t="s">
        <v>237</v>
      </c>
      <c r="S149" s="92" t="s">
        <v>189</v>
      </c>
    </row>
    <row r="150" spans="1:19" x14ac:dyDescent="0.2">
      <c r="A150" s="92" t="s">
        <v>349</v>
      </c>
      <c r="B150" s="69">
        <v>23</v>
      </c>
      <c r="C150" s="69">
        <v>8</v>
      </c>
      <c r="D150" s="69">
        <v>12</v>
      </c>
      <c r="E150" s="69">
        <v>23</v>
      </c>
      <c r="F150" s="69">
        <v>64</v>
      </c>
      <c r="G150" s="69">
        <v>56</v>
      </c>
      <c r="H150" s="69">
        <v>9.3000000000000007</v>
      </c>
      <c r="I150" s="70">
        <v>0.23</v>
      </c>
      <c r="J150" s="70">
        <v>0.57999999999999996</v>
      </c>
      <c r="K150" s="69">
        <v>7</v>
      </c>
      <c r="L150" s="69">
        <v>2.2000000000000002</v>
      </c>
      <c r="M150" s="69" t="s">
        <v>170</v>
      </c>
      <c r="N150" s="69">
        <v>2000</v>
      </c>
      <c r="O150" s="69" t="s">
        <v>171</v>
      </c>
      <c r="P150" s="69">
        <v>743112</v>
      </c>
      <c r="Q150" s="92" t="s">
        <v>203</v>
      </c>
      <c r="R150" s="92" t="s">
        <v>185</v>
      </c>
      <c r="S150" s="92"/>
    </row>
    <row r="151" spans="1:19" x14ac:dyDescent="0.2">
      <c r="A151" s="92" t="s">
        <v>346</v>
      </c>
      <c r="B151" s="69">
        <v>26</v>
      </c>
      <c r="C151" s="69">
        <v>9</v>
      </c>
      <c r="D151" s="69">
        <v>13</v>
      </c>
      <c r="E151" s="69">
        <v>26</v>
      </c>
      <c r="F151" s="69">
        <v>69</v>
      </c>
      <c r="G151" s="69">
        <v>67</v>
      </c>
      <c r="H151" s="69">
        <v>10.8</v>
      </c>
      <c r="I151" s="70">
        <v>0.23</v>
      </c>
      <c r="J151" s="70">
        <v>0.56000000000000005</v>
      </c>
      <c r="K151" s="69">
        <v>6.7</v>
      </c>
      <c r="L151" s="69">
        <v>2.5</v>
      </c>
      <c r="M151" s="69" t="s">
        <v>170</v>
      </c>
      <c r="N151" s="69">
        <v>2007</v>
      </c>
      <c r="O151" s="69" t="s">
        <v>71</v>
      </c>
      <c r="P151" s="69">
        <v>537696</v>
      </c>
      <c r="Q151" s="92" t="s">
        <v>289</v>
      </c>
      <c r="R151" s="92" t="s">
        <v>182</v>
      </c>
      <c r="S151" s="87"/>
    </row>
    <row r="152" spans="1:19" x14ac:dyDescent="0.2">
      <c r="A152" s="92" t="s">
        <v>358</v>
      </c>
      <c r="B152" s="69">
        <v>23</v>
      </c>
      <c r="C152" s="69">
        <v>8</v>
      </c>
      <c r="D152" s="69">
        <v>12</v>
      </c>
      <c r="E152" s="69">
        <v>23</v>
      </c>
      <c r="F152" s="69">
        <v>63</v>
      </c>
      <c r="G152" s="69">
        <v>56</v>
      </c>
      <c r="H152" s="69">
        <v>9.3000000000000007</v>
      </c>
      <c r="I152" s="70">
        <v>0.23</v>
      </c>
      <c r="J152" s="70">
        <v>0.57999999999999996</v>
      </c>
      <c r="K152" s="69">
        <v>7</v>
      </c>
      <c r="L152" s="69">
        <v>2.2000000000000002</v>
      </c>
      <c r="M152" s="69" t="s">
        <v>170</v>
      </c>
      <c r="N152" s="69">
        <v>2000</v>
      </c>
      <c r="O152" s="69" t="s">
        <v>171</v>
      </c>
      <c r="P152" s="69">
        <v>671453</v>
      </c>
      <c r="Q152" s="92" t="s">
        <v>203</v>
      </c>
      <c r="R152" s="92" t="s">
        <v>182</v>
      </c>
      <c r="S152" s="92"/>
    </row>
    <row r="153" spans="1:19" x14ac:dyDescent="0.2">
      <c r="A153" s="92" t="s">
        <v>352</v>
      </c>
      <c r="B153" s="69">
        <v>23</v>
      </c>
      <c r="C153" s="69">
        <v>8</v>
      </c>
      <c r="D153" s="69">
        <v>12</v>
      </c>
      <c r="E153" s="69">
        <v>23</v>
      </c>
      <c r="F153" s="69">
        <v>64</v>
      </c>
      <c r="G153" s="69">
        <v>56</v>
      </c>
      <c r="H153" s="69">
        <v>9.3000000000000007</v>
      </c>
      <c r="I153" s="70">
        <v>0.23</v>
      </c>
      <c r="J153" s="70">
        <v>0.57999999999999996</v>
      </c>
      <c r="K153" s="69">
        <v>7</v>
      </c>
      <c r="L153" s="69">
        <v>2.2000000000000002</v>
      </c>
      <c r="M153" s="69" t="s">
        <v>170</v>
      </c>
      <c r="N153" s="69">
        <v>2000</v>
      </c>
      <c r="O153" s="69" t="s">
        <v>171</v>
      </c>
      <c r="P153" s="69">
        <v>635623</v>
      </c>
      <c r="Q153" s="92" t="s">
        <v>203</v>
      </c>
      <c r="R153" s="92" t="s">
        <v>182</v>
      </c>
      <c r="S153" s="92"/>
    </row>
    <row r="154" spans="1:19" x14ac:dyDescent="0.2">
      <c r="A154" s="92" t="s">
        <v>353</v>
      </c>
      <c r="B154" s="69">
        <v>22</v>
      </c>
      <c r="C154" s="69">
        <v>8</v>
      </c>
      <c r="D154" s="69">
        <v>11</v>
      </c>
      <c r="E154" s="69">
        <v>22</v>
      </c>
      <c r="F154" s="69">
        <v>63</v>
      </c>
      <c r="G154" s="69">
        <v>56</v>
      </c>
      <c r="H154" s="69">
        <v>9.1999999999999993</v>
      </c>
      <c r="I154" s="70">
        <v>0.23</v>
      </c>
      <c r="J154" s="70">
        <v>0.57999999999999996</v>
      </c>
      <c r="K154" s="69">
        <v>6.9</v>
      </c>
      <c r="L154" s="69">
        <v>2.2000000000000002</v>
      </c>
      <c r="M154" s="69" t="s">
        <v>170</v>
      </c>
      <c r="N154" s="69">
        <v>2001</v>
      </c>
      <c r="O154" s="69" t="s">
        <v>171</v>
      </c>
      <c r="P154" s="69">
        <v>832360</v>
      </c>
      <c r="Q154" s="92" t="s">
        <v>203</v>
      </c>
      <c r="R154" s="92" t="s">
        <v>182</v>
      </c>
      <c r="S154" s="87"/>
    </row>
    <row r="155" spans="1:19" x14ac:dyDescent="0.2">
      <c r="A155" s="92" t="s">
        <v>347</v>
      </c>
      <c r="B155" s="69">
        <v>17</v>
      </c>
      <c r="C155" s="69">
        <v>7</v>
      </c>
      <c r="D155" s="69">
        <v>6</v>
      </c>
      <c r="E155" s="69">
        <v>17</v>
      </c>
      <c r="F155" s="69">
        <v>75</v>
      </c>
      <c r="G155" s="69">
        <v>86</v>
      </c>
      <c r="H155" s="69">
        <v>13.3</v>
      </c>
      <c r="I155" s="70">
        <v>0.23</v>
      </c>
      <c r="J155" s="70">
        <v>0.65</v>
      </c>
      <c r="K155" s="69">
        <v>11.3</v>
      </c>
      <c r="L155" s="69">
        <v>1.6</v>
      </c>
      <c r="M155" s="69" t="s">
        <v>170</v>
      </c>
      <c r="N155" s="69">
        <v>2013</v>
      </c>
      <c r="O155" s="69" t="s">
        <v>171</v>
      </c>
      <c r="P155" s="69">
        <v>893396</v>
      </c>
      <c r="Q155" s="92" t="s">
        <v>231</v>
      </c>
      <c r="R155" s="92" t="s">
        <v>176</v>
      </c>
      <c r="S155" s="92" t="s">
        <v>189</v>
      </c>
    </row>
    <row r="156" spans="1:19" x14ac:dyDescent="0.2">
      <c r="A156" s="92" t="s">
        <v>348</v>
      </c>
      <c r="B156" s="69">
        <v>42</v>
      </c>
      <c r="C156" s="69">
        <v>14</v>
      </c>
      <c r="D156" s="69">
        <v>27</v>
      </c>
      <c r="E156" s="69">
        <v>42</v>
      </c>
      <c r="F156" s="69">
        <v>90</v>
      </c>
      <c r="G156" s="69">
        <v>93</v>
      </c>
      <c r="H156" s="69">
        <v>14.1</v>
      </c>
      <c r="I156" s="70">
        <v>0.23</v>
      </c>
      <c r="J156" s="70">
        <v>0.65</v>
      </c>
      <c r="K156" s="69">
        <v>9.9</v>
      </c>
      <c r="L156" s="69">
        <v>2.1</v>
      </c>
      <c r="M156" s="69" t="s">
        <v>170</v>
      </c>
      <c r="N156" s="69">
        <v>2006</v>
      </c>
      <c r="O156" s="69" t="s">
        <v>171</v>
      </c>
      <c r="P156" s="69">
        <v>399865</v>
      </c>
      <c r="Q156" s="92" t="s">
        <v>231</v>
      </c>
      <c r="R156" s="92" t="s">
        <v>315</v>
      </c>
      <c r="S156" s="92"/>
    </row>
    <row r="157" spans="1:19" x14ac:dyDescent="0.2">
      <c r="A157" s="92" t="s">
        <v>354</v>
      </c>
      <c r="B157" s="69">
        <v>10</v>
      </c>
      <c r="C157" s="69">
        <v>5</v>
      </c>
      <c r="D157" s="69">
        <v>5</v>
      </c>
      <c r="E157" s="69">
        <v>9</v>
      </c>
      <c r="F157" s="69">
        <v>21</v>
      </c>
      <c r="G157" s="69">
        <v>6</v>
      </c>
      <c r="H157" s="69">
        <v>1.1000000000000001</v>
      </c>
      <c r="I157" s="70">
        <v>0.23</v>
      </c>
      <c r="J157" s="70">
        <v>0.55000000000000004</v>
      </c>
      <c r="K157" s="69">
        <v>4.9000000000000004</v>
      </c>
      <c r="L157" s="69">
        <v>1.1000000000000001</v>
      </c>
      <c r="M157" s="69" t="s">
        <v>241</v>
      </c>
      <c r="N157" s="69">
        <v>2001</v>
      </c>
      <c r="O157" s="69" t="s">
        <v>71</v>
      </c>
      <c r="P157" s="69">
        <v>621631</v>
      </c>
      <c r="Q157" s="92" t="s">
        <v>235</v>
      </c>
      <c r="R157" s="92" t="s">
        <v>243</v>
      </c>
      <c r="S157" s="92"/>
    </row>
    <row r="158" spans="1:19" x14ac:dyDescent="0.2">
      <c r="A158" s="92" t="s">
        <v>351</v>
      </c>
      <c r="B158" s="69">
        <v>22</v>
      </c>
      <c r="C158" s="69">
        <v>9</v>
      </c>
      <c r="D158" s="69">
        <v>10</v>
      </c>
      <c r="E158" s="69">
        <v>22</v>
      </c>
      <c r="F158" s="69"/>
      <c r="G158" s="69"/>
      <c r="H158" s="69"/>
      <c r="I158" s="70">
        <v>0.23</v>
      </c>
      <c r="J158" s="70">
        <v>0.76</v>
      </c>
      <c r="K158" s="69"/>
      <c r="L158" s="69"/>
      <c r="M158" s="69" t="s">
        <v>170</v>
      </c>
      <c r="N158" s="69">
        <v>2012</v>
      </c>
      <c r="O158" s="69" t="s">
        <v>171</v>
      </c>
      <c r="P158" s="69">
        <v>184119</v>
      </c>
      <c r="Q158" s="92" t="s">
        <v>209</v>
      </c>
      <c r="R158" s="92" t="s">
        <v>212</v>
      </c>
      <c r="S158" s="92" t="s">
        <v>189</v>
      </c>
    </row>
    <row r="159" spans="1:19" x14ac:dyDescent="0.2">
      <c r="A159" s="92" t="s">
        <v>345</v>
      </c>
      <c r="B159" s="69">
        <v>11</v>
      </c>
      <c r="C159" s="69">
        <v>3</v>
      </c>
      <c r="D159" s="69">
        <v>6</v>
      </c>
      <c r="E159" s="69">
        <v>11</v>
      </c>
      <c r="F159" s="69">
        <v>7</v>
      </c>
      <c r="G159" s="69">
        <v>8</v>
      </c>
      <c r="H159" s="69">
        <v>1.6</v>
      </c>
      <c r="I159" s="70">
        <v>0.23</v>
      </c>
      <c r="J159" s="70">
        <v>0.5</v>
      </c>
      <c r="K159" s="69">
        <v>5</v>
      </c>
      <c r="L159" s="69">
        <v>0.2</v>
      </c>
      <c r="M159" s="69" t="s">
        <v>170</v>
      </c>
      <c r="N159" s="69">
        <v>2007</v>
      </c>
      <c r="O159" s="69" t="s">
        <v>171</v>
      </c>
      <c r="P159" s="69">
        <v>554691</v>
      </c>
      <c r="Q159" s="92" t="s">
        <v>282</v>
      </c>
      <c r="R159" s="92" t="s">
        <v>188</v>
      </c>
      <c r="S159" s="92"/>
    </row>
    <row r="160" spans="1:19" x14ac:dyDescent="0.2">
      <c r="A160" s="92" t="s">
        <v>355</v>
      </c>
      <c r="B160" s="69">
        <v>7</v>
      </c>
      <c r="C160" s="69">
        <v>2</v>
      </c>
      <c r="D160" s="69">
        <v>3</v>
      </c>
      <c r="E160" s="69">
        <v>7</v>
      </c>
      <c r="F160" s="69">
        <v>10</v>
      </c>
      <c r="G160" s="69">
        <v>26</v>
      </c>
      <c r="H160" s="69">
        <v>4.7</v>
      </c>
      <c r="I160" s="70">
        <v>0.23</v>
      </c>
      <c r="J160" s="70">
        <v>0.6</v>
      </c>
      <c r="K160" s="69">
        <v>3</v>
      </c>
      <c r="L160" s="69">
        <v>0.7</v>
      </c>
      <c r="M160" s="69" t="s">
        <v>170</v>
      </c>
      <c r="N160" s="69">
        <v>2000</v>
      </c>
      <c r="O160" s="69" t="s">
        <v>171</v>
      </c>
      <c r="P160" s="69">
        <v>726117</v>
      </c>
      <c r="Q160" s="92" t="s">
        <v>277</v>
      </c>
      <c r="R160" s="92" t="s">
        <v>188</v>
      </c>
      <c r="S160" s="92" t="s">
        <v>189</v>
      </c>
    </row>
    <row r="161" spans="1:19" x14ac:dyDescent="0.2">
      <c r="A161" s="92" t="s">
        <v>356</v>
      </c>
      <c r="B161" s="69">
        <v>7</v>
      </c>
      <c r="C161" s="69">
        <v>-1</v>
      </c>
      <c r="D161" s="69">
        <v>3</v>
      </c>
      <c r="E161" s="69">
        <v>7</v>
      </c>
      <c r="F161" s="69">
        <v>2</v>
      </c>
      <c r="G161" s="69">
        <v>18</v>
      </c>
      <c r="H161" s="69">
        <v>3.3</v>
      </c>
      <c r="I161" s="70">
        <v>0.23</v>
      </c>
      <c r="J161" s="70">
        <v>0.6</v>
      </c>
      <c r="K161" s="69">
        <v>3.8</v>
      </c>
      <c r="L161" s="69">
        <v>-0.2</v>
      </c>
      <c r="M161" s="69" t="s">
        <v>170</v>
      </c>
      <c r="N161" s="69">
        <v>2001</v>
      </c>
      <c r="O161" s="69" t="s">
        <v>171</v>
      </c>
      <c r="P161" s="69">
        <v>469817</v>
      </c>
      <c r="Q161" s="92" t="s">
        <v>277</v>
      </c>
      <c r="R161" s="92" t="s">
        <v>229</v>
      </c>
      <c r="S161" s="92" t="s">
        <v>189</v>
      </c>
    </row>
    <row r="162" spans="1:19" x14ac:dyDescent="0.2">
      <c r="A162" s="92" t="s">
        <v>357</v>
      </c>
      <c r="B162" s="69">
        <v>30</v>
      </c>
      <c r="C162" s="69">
        <v>10</v>
      </c>
      <c r="D162" s="69">
        <v>14</v>
      </c>
      <c r="E162" s="69">
        <v>30</v>
      </c>
      <c r="F162" s="69"/>
      <c r="G162" s="69"/>
      <c r="H162" s="69"/>
      <c r="I162" s="70">
        <v>0.23</v>
      </c>
      <c r="J162" s="70">
        <v>0.71</v>
      </c>
      <c r="K162" s="69"/>
      <c r="L162" s="69"/>
      <c r="M162" s="69" t="s">
        <v>170</v>
      </c>
      <c r="N162" s="69">
        <v>2013</v>
      </c>
      <c r="O162" s="69" t="s">
        <v>171</v>
      </c>
      <c r="P162" s="69">
        <v>912220</v>
      </c>
      <c r="Q162" s="92" t="s">
        <v>209</v>
      </c>
      <c r="R162" s="92" t="s">
        <v>212</v>
      </c>
      <c r="S162" s="92" t="s">
        <v>189</v>
      </c>
    </row>
    <row r="163" spans="1:19" x14ac:dyDescent="0.2">
      <c r="A163" s="92" t="s">
        <v>1123</v>
      </c>
      <c r="B163" s="69"/>
      <c r="C163" s="69">
        <v>0</v>
      </c>
      <c r="D163" s="69">
        <v>0</v>
      </c>
      <c r="E163" s="69"/>
      <c r="F163" s="69"/>
      <c r="G163" s="69"/>
      <c r="H163" s="69"/>
      <c r="I163" s="70">
        <v>0.23</v>
      </c>
      <c r="J163" s="70">
        <v>0.75</v>
      </c>
      <c r="K163" s="69"/>
      <c r="L163" s="69"/>
      <c r="M163" s="69" t="s">
        <v>170</v>
      </c>
      <c r="N163" s="69">
        <v>2014</v>
      </c>
      <c r="O163" s="69" t="s">
        <v>71</v>
      </c>
      <c r="P163" s="69">
        <v>651679</v>
      </c>
      <c r="Q163" s="92" t="s">
        <v>289</v>
      </c>
      <c r="R163" s="92" t="s">
        <v>223</v>
      </c>
      <c r="S163" s="92"/>
    </row>
    <row r="164" spans="1:19" x14ac:dyDescent="0.2">
      <c r="A164" s="92" t="s">
        <v>350</v>
      </c>
      <c r="B164" s="69">
        <v>23</v>
      </c>
      <c r="C164" s="69">
        <v>8</v>
      </c>
      <c r="D164" s="69">
        <v>12</v>
      </c>
      <c r="E164" s="69">
        <v>23</v>
      </c>
      <c r="F164" s="69">
        <v>64</v>
      </c>
      <c r="G164" s="69">
        <v>56</v>
      </c>
      <c r="H164" s="69">
        <v>9.4</v>
      </c>
      <c r="I164" s="70">
        <v>0.23</v>
      </c>
      <c r="J164" s="70">
        <v>0.57999999999999996</v>
      </c>
      <c r="K164" s="69">
        <v>7</v>
      </c>
      <c r="L164" s="69">
        <v>2.2000000000000002</v>
      </c>
      <c r="M164" s="69" t="s">
        <v>170</v>
      </c>
      <c r="N164" s="69">
        <v>2000</v>
      </c>
      <c r="O164" s="69" t="s">
        <v>171</v>
      </c>
      <c r="P164" s="69">
        <v>707281</v>
      </c>
      <c r="Q164" s="92" t="s">
        <v>203</v>
      </c>
      <c r="R164" s="92" t="s">
        <v>185</v>
      </c>
      <c r="S164" s="92"/>
    </row>
    <row r="165" spans="1:19" x14ac:dyDescent="0.2">
      <c r="A165" s="92" t="s">
        <v>359</v>
      </c>
      <c r="B165" s="69">
        <v>28</v>
      </c>
      <c r="C165" s="69">
        <v>9</v>
      </c>
      <c r="D165" s="69">
        <v>15</v>
      </c>
      <c r="E165" s="69">
        <v>28</v>
      </c>
      <c r="F165" s="69"/>
      <c r="G165" s="69"/>
      <c r="H165" s="69"/>
      <c r="I165" s="70">
        <v>0.24</v>
      </c>
      <c r="J165" s="70">
        <v>0.7</v>
      </c>
      <c r="K165" s="69"/>
      <c r="L165" s="69"/>
      <c r="M165" s="69" t="s">
        <v>170</v>
      </c>
      <c r="N165" s="69">
        <v>2013</v>
      </c>
      <c r="O165" s="69" t="s">
        <v>71</v>
      </c>
      <c r="P165" s="69">
        <v>785907</v>
      </c>
      <c r="Q165" s="92" t="s">
        <v>178</v>
      </c>
      <c r="R165" s="92" t="s">
        <v>212</v>
      </c>
      <c r="S165" s="92" t="s">
        <v>189</v>
      </c>
    </row>
    <row r="166" spans="1:19" x14ac:dyDescent="0.2">
      <c r="A166" s="92" t="s">
        <v>360</v>
      </c>
      <c r="B166" s="69">
        <v>2</v>
      </c>
      <c r="C166" s="69">
        <v>0</v>
      </c>
      <c r="D166" s="69">
        <v>0</v>
      </c>
      <c r="E166" s="69">
        <v>2</v>
      </c>
      <c r="F166" s="69"/>
      <c r="G166" s="69"/>
      <c r="H166" s="69"/>
      <c r="I166" s="70">
        <v>0.24</v>
      </c>
      <c r="J166" s="70">
        <v>0.61</v>
      </c>
      <c r="K166" s="69"/>
      <c r="L166" s="69"/>
      <c r="M166" s="69" t="s">
        <v>170</v>
      </c>
      <c r="N166" s="69">
        <v>2013</v>
      </c>
      <c r="O166" s="69" t="s">
        <v>171</v>
      </c>
      <c r="P166" s="69">
        <v>660829</v>
      </c>
      <c r="Q166" s="92" t="s">
        <v>361</v>
      </c>
      <c r="R166" s="92" t="s">
        <v>192</v>
      </c>
      <c r="S166" s="92" t="s">
        <v>189</v>
      </c>
    </row>
    <row r="167" spans="1:19" x14ac:dyDescent="0.2">
      <c r="A167" s="92" t="s">
        <v>363</v>
      </c>
      <c r="B167" s="69">
        <v>20</v>
      </c>
      <c r="C167" s="69">
        <v>6</v>
      </c>
      <c r="D167" s="69">
        <v>9</v>
      </c>
      <c r="E167" s="69">
        <v>20</v>
      </c>
      <c r="F167" s="69">
        <v>63</v>
      </c>
      <c r="G167" s="69">
        <v>63</v>
      </c>
      <c r="H167" s="69">
        <v>10.199999999999999</v>
      </c>
      <c r="I167" s="70">
        <v>0.24</v>
      </c>
      <c r="J167" s="70">
        <v>0.85</v>
      </c>
      <c r="K167" s="69">
        <v>7.5</v>
      </c>
      <c r="L167" s="69">
        <v>2.1</v>
      </c>
      <c r="M167" s="69" t="s">
        <v>170</v>
      </c>
      <c r="N167" s="69">
        <v>2012</v>
      </c>
      <c r="O167" s="69" t="s">
        <v>171</v>
      </c>
      <c r="P167" s="69">
        <v>201111</v>
      </c>
      <c r="Q167" s="92" t="s">
        <v>209</v>
      </c>
      <c r="R167" s="92" t="s">
        <v>265</v>
      </c>
      <c r="S167" s="87" t="s">
        <v>189</v>
      </c>
    </row>
    <row r="168" spans="1:19" x14ac:dyDescent="0.2">
      <c r="A168" s="92" t="s">
        <v>364</v>
      </c>
      <c r="B168" s="69">
        <v>1</v>
      </c>
      <c r="C168" s="69">
        <v>0</v>
      </c>
      <c r="D168" s="69">
        <v>0</v>
      </c>
      <c r="E168" s="69">
        <v>1</v>
      </c>
      <c r="F168" s="69">
        <v>14</v>
      </c>
      <c r="G168" s="69">
        <v>18</v>
      </c>
      <c r="H168" s="69">
        <v>3.4</v>
      </c>
      <c r="I168" s="70">
        <v>0.24</v>
      </c>
      <c r="J168" s="70">
        <v>0.52</v>
      </c>
      <c r="K168" s="69">
        <v>0.9</v>
      </c>
      <c r="L168" s="69">
        <v>3.9</v>
      </c>
      <c r="M168" s="69" t="s">
        <v>170</v>
      </c>
      <c r="N168" s="69">
        <v>2003</v>
      </c>
      <c r="O168" s="69" t="s">
        <v>171</v>
      </c>
      <c r="P168" s="69">
        <v>384750</v>
      </c>
      <c r="Q168" s="92" t="s">
        <v>365</v>
      </c>
      <c r="R168" s="92" t="s">
        <v>188</v>
      </c>
      <c r="S168" s="92"/>
    </row>
    <row r="169" spans="1:19" x14ac:dyDescent="0.2">
      <c r="A169" s="92" t="s">
        <v>1147</v>
      </c>
      <c r="B169" s="69">
        <v>0</v>
      </c>
      <c r="C169" s="69">
        <v>0</v>
      </c>
      <c r="D169" s="69">
        <v>0</v>
      </c>
      <c r="E169" s="69">
        <v>0</v>
      </c>
      <c r="F169" s="69"/>
      <c r="G169" s="69"/>
      <c r="H169" s="69"/>
      <c r="I169" s="70">
        <v>0.24</v>
      </c>
      <c r="J169" s="70">
        <v>0.54</v>
      </c>
      <c r="K169" s="69"/>
      <c r="L169" s="69"/>
      <c r="M169" s="69" t="s">
        <v>170</v>
      </c>
      <c r="N169" s="69">
        <v>2013</v>
      </c>
      <c r="O169" s="69" t="s">
        <v>71</v>
      </c>
      <c r="P169" s="69">
        <v>606160</v>
      </c>
      <c r="Q169" s="92" t="s">
        <v>362</v>
      </c>
      <c r="R169" s="92" t="s">
        <v>223</v>
      </c>
      <c r="S169" s="92"/>
    </row>
    <row r="170" spans="1:19" x14ac:dyDescent="0.2">
      <c r="A170" s="92" t="s">
        <v>366</v>
      </c>
      <c r="B170" s="69">
        <v>14</v>
      </c>
      <c r="C170" s="69">
        <v>5</v>
      </c>
      <c r="D170" s="69">
        <v>6</v>
      </c>
      <c r="E170" s="69">
        <v>14</v>
      </c>
      <c r="F170" s="69">
        <v>68</v>
      </c>
      <c r="G170" s="69">
        <v>81</v>
      </c>
      <c r="H170" s="69">
        <v>12.6</v>
      </c>
      <c r="I170" s="70">
        <v>0.24</v>
      </c>
      <c r="J170" s="70">
        <v>0.49</v>
      </c>
      <c r="K170" s="69">
        <v>10.199999999999999</v>
      </c>
      <c r="L170" s="69">
        <v>1.6</v>
      </c>
      <c r="M170" s="69" t="s">
        <v>170</v>
      </c>
      <c r="N170" s="69">
        <v>2005</v>
      </c>
      <c r="O170" s="69" t="s">
        <v>171</v>
      </c>
      <c r="P170" s="69">
        <v>577833</v>
      </c>
      <c r="Q170" s="92" t="s">
        <v>194</v>
      </c>
      <c r="R170" s="92" t="s">
        <v>176</v>
      </c>
      <c r="S170" s="92" t="s">
        <v>189</v>
      </c>
    </row>
    <row r="171" spans="1:19" x14ac:dyDescent="0.2">
      <c r="A171" s="92" t="s">
        <v>374</v>
      </c>
      <c r="B171" s="69">
        <v>14</v>
      </c>
      <c r="C171" s="69">
        <v>5</v>
      </c>
      <c r="D171" s="69">
        <v>6</v>
      </c>
      <c r="E171" s="69">
        <v>14</v>
      </c>
      <c r="F171" s="69"/>
      <c r="G171" s="69"/>
      <c r="H171" s="69"/>
      <c r="I171" s="70">
        <v>0.25</v>
      </c>
      <c r="J171" s="70">
        <v>0.5</v>
      </c>
      <c r="K171" s="69"/>
      <c r="L171" s="69"/>
      <c r="M171" s="69" t="s">
        <v>170</v>
      </c>
      <c r="N171" s="69">
        <v>2013</v>
      </c>
      <c r="O171" s="69" t="s">
        <v>71</v>
      </c>
      <c r="P171" s="69">
        <v>610410</v>
      </c>
      <c r="Q171" s="92" t="s">
        <v>235</v>
      </c>
      <c r="R171" s="92" t="s">
        <v>176</v>
      </c>
      <c r="S171" s="92"/>
    </row>
    <row r="172" spans="1:19" x14ac:dyDescent="0.2">
      <c r="A172" s="92" t="s">
        <v>372</v>
      </c>
      <c r="B172" s="69">
        <v>5</v>
      </c>
      <c r="C172" s="69">
        <v>1</v>
      </c>
      <c r="D172" s="69">
        <v>2</v>
      </c>
      <c r="E172" s="69">
        <v>5</v>
      </c>
      <c r="F172" s="69">
        <v>16</v>
      </c>
      <c r="G172" s="69"/>
      <c r="H172" s="69"/>
      <c r="I172" s="70">
        <v>0.25</v>
      </c>
      <c r="J172" s="70">
        <v>0.95</v>
      </c>
      <c r="K172" s="69">
        <v>1.3</v>
      </c>
      <c r="L172" s="69">
        <v>2.9</v>
      </c>
      <c r="M172" s="69" t="s">
        <v>170</v>
      </c>
      <c r="N172" s="69">
        <v>2014</v>
      </c>
      <c r="O172" s="69" t="s">
        <v>171</v>
      </c>
      <c r="P172" s="69">
        <v>653501</v>
      </c>
      <c r="Q172" s="92" t="s">
        <v>231</v>
      </c>
      <c r="R172" s="92" t="s">
        <v>223</v>
      </c>
      <c r="S172" s="92"/>
    </row>
    <row r="173" spans="1:19" x14ac:dyDescent="0.2">
      <c r="A173" s="92" t="s">
        <v>367</v>
      </c>
      <c r="B173" s="69">
        <v>2</v>
      </c>
      <c r="C173" s="69">
        <v>-1</v>
      </c>
      <c r="D173" s="69">
        <v>-1</v>
      </c>
      <c r="E173" s="69">
        <v>2</v>
      </c>
      <c r="F173" s="69">
        <v>10</v>
      </c>
      <c r="G173" s="69"/>
      <c r="H173" s="69"/>
      <c r="I173" s="70">
        <v>0.25</v>
      </c>
      <c r="J173" s="70">
        <v>1.01</v>
      </c>
      <c r="K173" s="69">
        <v>1.1000000000000001</v>
      </c>
      <c r="L173" s="69">
        <v>1.9</v>
      </c>
      <c r="M173" s="69" t="s">
        <v>170</v>
      </c>
      <c r="N173" s="69">
        <v>2011</v>
      </c>
      <c r="O173" s="69" t="s">
        <v>71</v>
      </c>
      <c r="P173" s="69">
        <v>191437</v>
      </c>
      <c r="Q173" s="92" t="s">
        <v>368</v>
      </c>
      <c r="R173" s="92" t="s">
        <v>223</v>
      </c>
      <c r="S173" s="87"/>
    </row>
    <row r="174" spans="1:19" x14ac:dyDescent="0.2">
      <c r="A174" s="92" t="s">
        <v>371</v>
      </c>
      <c r="B174" s="69">
        <v>11</v>
      </c>
      <c r="C174" s="69">
        <v>3</v>
      </c>
      <c r="D174" s="69">
        <v>6</v>
      </c>
      <c r="E174" s="69">
        <v>11</v>
      </c>
      <c r="F174" s="69">
        <v>12</v>
      </c>
      <c r="G174" s="69">
        <v>20</v>
      </c>
      <c r="H174" s="69">
        <v>3.7</v>
      </c>
      <c r="I174" s="70">
        <v>0.25</v>
      </c>
      <c r="J174" s="70">
        <v>0.61</v>
      </c>
      <c r="K174" s="69">
        <v>3.8</v>
      </c>
      <c r="L174" s="69">
        <v>0.7</v>
      </c>
      <c r="M174" s="69" t="s">
        <v>170</v>
      </c>
      <c r="N174" s="69">
        <v>2000</v>
      </c>
      <c r="O174" s="69" t="s">
        <v>171</v>
      </c>
      <c r="P174" s="69">
        <v>901603</v>
      </c>
      <c r="Q174" s="92" t="s">
        <v>247</v>
      </c>
      <c r="R174" s="92" t="s">
        <v>188</v>
      </c>
      <c r="S174" s="92"/>
    </row>
    <row r="175" spans="1:19" x14ac:dyDescent="0.2">
      <c r="A175" s="92" t="s">
        <v>373</v>
      </c>
      <c r="B175" s="69">
        <v>26</v>
      </c>
      <c r="C175" s="69">
        <v>9</v>
      </c>
      <c r="D175" s="69">
        <v>15</v>
      </c>
      <c r="E175" s="69">
        <v>26</v>
      </c>
      <c r="F175" s="69">
        <v>72</v>
      </c>
      <c r="G175" s="69">
        <v>64</v>
      </c>
      <c r="H175" s="69">
        <v>10.4</v>
      </c>
      <c r="I175" s="70">
        <v>0.25</v>
      </c>
      <c r="J175" s="70">
        <v>0.5</v>
      </c>
      <c r="K175" s="69">
        <v>6.3</v>
      </c>
      <c r="L175" s="69">
        <v>2.7</v>
      </c>
      <c r="M175" s="69" t="s">
        <v>170</v>
      </c>
      <c r="N175" s="69">
        <v>2000</v>
      </c>
      <c r="O175" s="69" t="s">
        <v>171</v>
      </c>
      <c r="P175" s="69">
        <v>252411</v>
      </c>
      <c r="Q175" s="92" t="s">
        <v>247</v>
      </c>
      <c r="R175" s="92" t="s">
        <v>212</v>
      </c>
      <c r="S175" s="92"/>
    </row>
    <row r="176" spans="1:19" x14ac:dyDescent="0.2">
      <c r="A176" s="92" t="s">
        <v>369</v>
      </c>
      <c r="B176" s="90">
        <v>-8</v>
      </c>
      <c r="C176" s="90">
        <v>-14</v>
      </c>
      <c r="D176" s="90">
        <v>-15</v>
      </c>
      <c r="E176" s="90">
        <v>-10</v>
      </c>
      <c r="F176" s="69">
        <v>-19</v>
      </c>
      <c r="G176" s="69"/>
      <c r="H176" s="69"/>
      <c r="I176" s="70">
        <v>0.25</v>
      </c>
      <c r="J176" s="70">
        <v>0.75</v>
      </c>
      <c r="K176" s="69">
        <v>10.4</v>
      </c>
      <c r="L176" s="69">
        <v>-0.7</v>
      </c>
      <c r="M176" s="69" t="s">
        <v>170</v>
      </c>
      <c r="N176" s="69">
        <v>2010</v>
      </c>
      <c r="O176" s="69" t="s">
        <v>171</v>
      </c>
      <c r="P176" s="69">
        <v>110098</v>
      </c>
      <c r="Q176" s="92" t="s">
        <v>231</v>
      </c>
      <c r="R176" s="92" t="s">
        <v>370</v>
      </c>
      <c r="S176" s="92"/>
    </row>
    <row r="177" spans="1:19" x14ac:dyDescent="0.2">
      <c r="A177" s="92" t="s">
        <v>378</v>
      </c>
      <c r="B177" s="90"/>
      <c r="C177" s="90">
        <v>2</v>
      </c>
      <c r="D177" s="90">
        <v>6</v>
      </c>
      <c r="E177" s="90"/>
      <c r="F177" s="69"/>
      <c r="G177" s="69"/>
      <c r="H177" s="69"/>
      <c r="I177" s="70">
        <v>0.26</v>
      </c>
      <c r="J177" s="70">
        <v>0.8</v>
      </c>
      <c r="K177" s="69"/>
      <c r="L177" s="69"/>
      <c r="M177" s="69" t="s">
        <v>170</v>
      </c>
      <c r="N177" s="69">
        <v>2014</v>
      </c>
      <c r="O177" s="69" t="s">
        <v>171</v>
      </c>
      <c r="P177" s="69">
        <v>434274</v>
      </c>
      <c r="Q177" s="92" t="s">
        <v>203</v>
      </c>
      <c r="R177" s="92" t="s">
        <v>379</v>
      </c>
      <c r="S177" s="92"/>
    </row>
    <row r="178" spans="1:19" x14ac:dyDescent="0.2">
      <c r="A178" s="92" t="s">
        <v>385</v>
      </c>
      <c r="B178" s="69">
        <v>18</v>
      </c>
      <c r="C178" s="69">
        <v>7</v>
      </c>
      <c r="D178" s="69">
        <v>9</v>
      </c>
      <c r="E178" s="69">
        <v>17</v>
      </c>
      <c r="F178" s="69">
        <v>30</v>
      </c>
      <c r="G178" s="69">
        <v>16</v>
      </c>
      <c r="H178" s="69">
        <v>2.9</v>
      </c>
      <c r="I178" s="70">
        <v>0.26</v>
      </c>
      <c r="J178" s="70">
        <v>0.65</v>
      </c>
      <c r="K178" s="69">
        <v>5.7</v>
      </c>
      <c r="L178" s="69">
        <v>1.3</v>
      </c>
      <c r="M178" s="69" t="s">
        <v>241</v>
      </c>
      <c r="N178" s="69">
        <v>2000</v>
      </c>
      <c r="O178" s="69" t="s">
        <v>71</v>
      </c>
      <c r="P178" s="69">
        <v>426726</v>
      </c>
      <c r="Q178" s="92" t="s">
        <v>235</v>
      </c>
      <c r="R178" s="92" t="s">
        <v>243</v>
      </c>
      <c r="S178" s="92"/>
    </row>
    <row r="179" spans="1:19" x14ac:dyDescent="0.2">
      <c r="A179" s="92" t="s">
        <v>384</v>
      </c>
      <c r="B179" s="90">
        <v>2</v>
      </c>
      <c r="C179" s="90">
        <v>0</v>
      </c>
      <c r="D179" s="90">
        <v>0</v>
      </c>
      <c r="E179" s="90">
        <v>2</v>
      </c>
      <c r="F179" s="69"/>
      <c r="G179" s="69"/>
      <c r="H179" s="69"/>
      <c r="I179" s="70">
        <v>0.26</v>
      </c>
      <c r="J179" s="70">
        <v>0.61</v>
      </c>
      <c r="K179" s="69"/>
      <c r="L179" s="69"/>
      <c r="M179" s="69" t="s">
        <v>170</v>
      </c>
      <c r="N179" s="69">
        <v>2014</v>
      </c>
      <c r="O179" s="69" t="s">
        <v>171</v>
      </c>
      <c r="P179" s="69">
        <v>453100</v>
      </c>
      <c r="Q179" s="92" t="s">
        <v>172</v>
      </c>
      <c r="R179" s="92" t="s">
        <v>223</v>
      </c>
      <c r="S179" s="92"/>
    </row>
    <row r="180" spans="1:19" x14ac:dyDescent="0.2">
      <c r="A180" s="92" t="s">
        <v>375</v>
      </c>
      <c r="B180" s="69">
        <v>6</v>
      </c>
      <c r="C180" s="69">
        <v>-5</v>
      </c>
      <c r="D180" s="69">
        <v>-2</v>
      </c>
      <c r="E180" s="69">
        <v>5</v>
      </c>
      <c r="F180" s="69">
        <v>4</v>
      </c>
      <c r="G180" s="69">
        <v>-6</v>
      </c>
      <c r="H180" s="69">
        <v>-1.2</v>
      </c>
      <c r="I180" s="70">
        <v>0.26</v>
      </c>
      <c r="J180" s="70">
        <v>0.6</v>
      </c>
      <c r="K180" s="69">
        <v>6.1</v>
      </c>
      <c r="L180" s="69">
        <v>0.1</v>
      </c>
      <c r="M180" s="69" t="s">
        <v>376</v>
      </c>
      <c r="N180" s="69">
        <v>2001</v>
      </c>
      <c r="O180" s="69" t="s">
        <v>71</v>
      </c>
      <c r="P180" s="69">
        <v>111518</v>
      </c>
      <c r="Q180" s="92" t="s">
        <v>377</v>
      </c>
      <c r="R180" s="92" t="s">
        <v>223</v>
      </c>
      <c r="S180" s="92"/>
    </row>
    <row r="181" spans="1:19" x14ac:dyDescent="0.2">
      <c r="A181" s="92" t="s">
        <v>388</v>
      </c>
      <c r="B181" s="90">
        <v>39</v>
      </c>
      <c r="C181" s="90">
        <v>13</v>
      </c>
      <c r="D181" s="90">
        <v>23</v>
      </c>
      <c r="E181" s="90">
        <v>39</v>
      </c>
      <c r="F181" s="69">
        <v>86</v>
      </c>
      <c r="G181" s="69">
        <v>101</v>
      </c>
      <c r="H181" s="69">
        <v>15</v>
      </c>
      <c r="I181" s="70">
        <v>0.26</v>
      </c>
      <c r="J181" s="70">
        <v>0.99</v>
      </c>
      <c r="K181" s="69">
        <v>9.4</v>
      </c>
      <c r="L181" s="69">
        <v>2.1</v>
      </c>
      <c r="M181" s="69" t="s">
        <v>170</v>
      </c>
      <c r="N181" s="69">
        <v>2013</v>
      </c>
      <c r="O181" s="69" t="s">
        <v>71</v>
      </c>
      <c r="P181" s="69">
        <v>182287</v>
      </c>
      <c r="Q181" s="92" t="s">
        <v>226</v>
      </c>
      <c r="R181" s="92" t="s">
        <v>245</v>
      </c>
      <c r="S181" s="92"/>
    </row>
    <row r="182" spans="1:19" x14ac:dyDescent="0.2">
      <c r="A182" s="92" t="s">
        <v>382</v>
      </c>
      <c r="B182" s="69">
        <v>14</v>
      </c>
      <c r="C182" s="69">
        <v>6</v>
      </c>
      <c r="D182" s="69">
        <v>4</v>
      </c>
      <c r="E182" s="69">
        <v>14</v>
      </c>
      <c r="F182" s="69">
        <v>74</v>
      </c>
      <c r="G182" s="69">
        <v>46</v>
      </c>
      <c r="H182" s="69">
        <v>7.8</v>
      </c>
      <c r="I182" s="70">
        <v>0.26</v>
      </c>
      <c r="J182" s="70">
        <v>0.45</v>
      </c>
      <c r="K182" s="69">
        <v>14.6</v>
      </c>
      <c r="L182" s="69">
        <v>1.3</v>
      </c>
      <c r="M182" s="69" t="s">
        <v>241</v>
      </c>
      <c r="N182" s="69">
        <v>2005</v>
      </c>
      <c r="O182" s="69" t="s">
        <v>71</v>
      </c>
      <c r="P182" s="69">
        <v>133298</v>
      </c>
      <c r="Q182" s="92" t="s">
        <v>242</v>
      </c>
      <c r="R182" s="92" t="s">
        <v>383</v>
      </c>
      <c r="S182" s="87" t="s">
        <v>189</v>
      </c>
    </row>
    <row r="183" spans="1:19" x14ac:dyDescent="0.2">
      <c r="A183" s="92" t="s">
        <v>386</v>
      </c>
      <c r="B183" s="69">
        <v>22</v>
      </c>
      <c r="C183" s="69">
        <v>6</v>
      </c>
      <c r="D183" s="69">
        <v>9</v>
      </c>
      <c r="E183" s="69">
        <v>22</v>
      </c>
      <c r="F183" s="69">
        <v>31</v>
      </c>
      <c r="G183" s="69">
        <v>31</v>
      </c>
      <c r="H183" s="69">
        <v>5.6</v>
      </c>
      <c r="I183" s="70">
        <v>0.26</v>
      </c>
      <c r="J183" s="70">
        <v>0.8</v>
      </c>
      <c r="K183" s="69">
        <v>5</v>
      </c>
      <c r="L183" s="69">
        <v>1.6</v>
      </c>
      <c r="M183" s="69" t="s">
        <v>376</v>
      </c>
      <c r="N183" s="69">
        <v>2006</v>
      </c>
      <c r="O183" s="69" t="s">
        <v>71</v>
      </c>
      <c r="P183" s="69">
        <v>252296</v>
      </c>
      <c r="Q183" s="92" t="s">
        <v>207</v>
      </c>
      <c r="R183" s="92" t="s">
        <v>223</v>
      </c>
      <c r="S183" s="92"/>
    </row>
    <row r="184" spans="1:19" x14ac:dyDescent="0.2">
      <c r="A184" s="92" t="s">
        <v>380</v>
      </c>
      <c r="B184" s="69">
        <v>25</v>
      </c>
      <c r="C184" s="69">
        <v>9</v>
      </c>
      <c r="D184" s="69">
        <v>15</v>
      </c>
      <c r="E184" s="69">
        <v>25</v>
      </c>
      <c r="F184" s="69">
        <v>60</v>
      </c>
      <c r="G184" s="69">
        <v>53</v>
      </c>
      <c r="H184" s="69">
        <v>8.9</v>
      </c>
      <c r="I184" s="70">
        <v>0.26</v>
      </c>
      <c r="J184" s="70">
        <v>1</v>
      </c>
      <c r="K184" s="69">
        <v>7.9</v>
      </c>
      <c r="L184" s="69">
        <v>1.8</v>
      </c>
      <c r="M184" s="69" t="s">
        <v>170</v>
      </c>
      <c r="N184" s="69">
        <v>2012</v>
      </c>
      <c r="O184" s="69" t="s">
        <v>71</v>
      </c>
      <c r="P184" s="69">
        <v>282517</v>
      </c>
      <c r="Q184" s="92" t="s">
        <v>226</v>
      </c>
      <c r="R184" s="92" t="s">
        <v>212</v>
      </c>
      <c r="S184" s="92"/>
    </row>
    <row r="185" spans="1:19" x14ac:dyDescent="0.2">
      <c r="A185" s="92" t="s">
        <v>381</v>
      </c>
      <c r="B185" s="69">
        <v>12</v>
      </c>
      <c r="C185" s="69">
        <v>4</v>
      </c>
      <c r="D185" s="69">
        <v>10</v>
      </c>
      <c r="E185" s="69">
        <v>12</v>
      </c>
      <c r="F185" s="69"/>
      <c r="G185" s="69"/>
      <c r="H185" s="69"/>
      <c r="I185" s="70">
        <v>0.26</v>
      </c>
      <c r="J185" s="70">
        <v>1</v>
      </c>
      <c r="K185" s="69"/>
      <c r="L185" s="69"/>
      <c r="M185" s="69" t="s">
        <v>170</v>
      </c>
      <c r="N185" s="69">
        <v>2013</v>
      </c>
      <c r="O185" s="69" t="s">
        <v>71</v>
      </c>
      <c r="P185" s="69">
        <v>218115</v>
      </c>
      <c r="Q185" s="92" t="s">
        <v>226</v>
      </c>
      <c r="R185" s="92" t="s">
        <v>239</v>
      </c>
      <c r="S185" s="92"/>
    </row>
    <row r="186" spans="1:19" x14ac:dyDescent="0.2">
      <c r="A186" s="92" t="s">
        <v>387</v>
      </c>
      <c r="B186" s="69">
        <v>14</v>
      </c>
      <c r="C186" s="69">
        <v>3</v>
      </c>
      <c r="D186" s="69">
        <v>4</v>
      </c>
      <c r="E186" s="69">
        <v>14</v>
      </c>
      <c r="F186" s="69">
        <v>61</v>
      </c>
      <c r="G186" s="69">
        <v>38</v>
      </c>
      <c r="H186" s="69">
        <v>6.7</v>
      </c>
      <c r="I186" s="70">
        <v>0.26</v>
      </c>
      <c r="J186" s="70">
        <v>0.46</v>
      </c>
      <c r="K186" s="69">
        <v>8.3000000000000007</v>
      </c>
      <c r="L186" s="69">
        <v>1.8</v>
      </c>
      <c r="M186" s="69" t="s">
        <v>241</v>
      </c>
      <c r="N186" s="69">
        <v>2000</v>
      </c>
      <c r="O186" s="69" t="s">
        <v>71</v>
      </c>
      <c r="P186" s="69">
        <v>515387</v>
      </c>
      <c r="Q186" s="92" t="s">
        <v>242</v>
      </c>
      <c r="R186" s="92" t="s">
        <v>237</v>
      </c>
      <c r="S186" s="92" t="s">
        <v>189</v>
      </c>
    </row>
    <row r="187" spans="1:19" x14ac:dyDescent="0.2">
      <c r="A187" s="92" t="s">
        <v>389</v>
      </c>
      <c r="B187" s="69">
        <v>8</v>
      </c>
      <c r="C187" s="69">
        <v>2</v>
      </c>
      <c r="D187" s="69">
        <v>3</v>
      </c>
      <c r="E187" s="69">
        <v>8</v>
      </c>
      <c r="F187" s="69">
        <v>17</v>
      </c>
      <c r="G187" s="69">
        <v>26</v>
      </c>
      <c r="H187" s="69">
        <v>4.7</v>
      </c>
      <c r="I187" s="70">
        <v>0.27</v>
      </c>
      <c r="J187" s="70">
        <v>1.22</v>
      </c>
      <c r="K187" s="69">
        <v>2.4</v>
      </c>
      <c r="L187" s="69">
        <v>1.7</v>
      </c>
      <c r="M187" s="69" t="s">
        <v>170</v>
      </c>
      <c r="N187" s="69">
        <v>2004</v>
      </c>
      <c r="O187" s="69" t="s">
        <v>171</v>
      </c>
      <c r="P187" s="69">
        <v>855387</v>
      </c>
      <c r="Q187" s="92" t="s">
        <v>200</v>
      </c>
      <c r="R187" s="92" t="s">
        <v>179</v>
      </c>
      <c r="S187" s="92"/>
    </row>
    <row r="188" spans="1:19" x14ac:dyDescent="0.2">
      <c r="A188" s="92" t="s">
        <v>390</v>
      </c>
      <c r="B188" s="90">
        <v>9</v>
      </c>
      <c r="C188" s="90">
        <v>3</v>
      </c>
      <c r="D188" s="90">
        <v>4</v>
      </c>
      <c r="E188" s="90">
        <v>9</v>
      </c>
      <c r="F188" s="69">
        <v>24</v>
      </c>
      <c r="G188" s="69">
        <v>32</v>
      </c>
      <c r="H188" s="69">
        <v>5.7</v>
      </c>
      <c r="I188" s="70">
        <v>0.27</v>
      </c>
      <c r="J188" s="70">
        <v>1.22</v>
      </c>
      <c r="K188" s="69">
        <v>3.3</v>
      </c>
      <c r="L188" s="69">
        <v>1.8</v>
      </c>
      <c r="M188" s="69" t="s">
        <v>170</v>
      </c>
      <c r="N188" s="69">
        <v>2004</v>
      </c>
      <c r="O188" s="69" t="s">
        <v>171</v>
      </c>
      <c r="P188" s="69">
        <v>819557</v>
      </c>
      <c r="Q188" s="92" t="s">
        <v>200</v>
      </c>
      <c r="R188" s="92" t="s">
        <v>185</v>
      </c>
      <c r="S188" s="92"/>
    </row>
    <row r="189" spans="1:19" x14ac:dyDescent="0.2">
      <c r="A189" s="92" t="s">
        <v>61</v>
      </c>
      <c r="B189" s="69">
        <v>12</v>
      </c>
      <c r="C189" s="69">
        <v>4</v>
      </c>
      <c r="D189" s="69">
        <v>6</v>
      </c>
      <c r="E189" s="69">
        <v>12</v>
      </c>
      <c r="F189" s="69">
        <v>40</v>
      </c>
      <c r="G189" s="69">
        <v>46</v>
      </c>
      <c r="H189" s="69">
        <v>7.8</v>
      </c>
      <c r="I189" s="70">
        <v>0.27</v>
      </c>
      <c r="J189" s="70">
        <v>1.22</v>
      </c>
      <c r="K189" s="69">
        <v>5.5</v>
      </c>
      <c r="L189" s="69">
        <v>1.9</v>
      </c>
      <c r="M189" s="69" t="s">
        <v>170</v>
      </c>
      <c r="N189" s="69">
        <v>2004</v>
      </c>
      <c r="O189" s="69" t="s">
        <v>171</v>
      </c>
      <c r="P189" s="69">
        <v>783720</v>
      </c>
      <c r="Q189" s="92" t="s">
        <v>200</v>
      </c>
      <c r="R189" s="92" t="s">
        <v>182</v>
      </c>
      <c r="S189" s="92"/>
    </row>
    <row r="190" spans="1:19" x14ac:dyDescent="0.2">
      <c r="A190" s="92" t="s">
        <v>60</v>
      </c>
      <c r="B190" s="69">
        <v>14</v>
      </c>
      <c r="C190" s="69">
        <v>5</v>
      </c>
      <c r="D190" s="69">
        <v>7</v>
      </c>
      <c r="E190" s="69">
        <v>14</v>
      </c>
      <c r="F190" s="69">
        <v>51</v>
      </c>
      <c r="G190" s="69">
        <v>52</v>
      </c>
      <c r="H190" s="69">
        <v>8.6999999999999993</v>
      </c>
      <c r="I190" s="70">
        <v>0.27</v>
      </c>
      <c r="J190" s="70">
        <v>1.22</v>
      </c>
      <c r="K190" s="69">
        <v>6.8</v>
      </c>
      <c r="L190" s="69">
        <v>1.9</v>
      </c>
      <c r="M190" s="69" t="s">
        <v>170</v>
      </c>
      <c r="N190" s="69">
        <v>2004</v>
      </c>
      <c r="O190" s="69" t="s">
        <v>171</v>
      </c>
      <c r="P190" s="69">
        <v>747899</v>
      </c>
      <c r="Q190" s="92" t="s">
        <v>200</v>
      </c>
      <c r="R190" s="92" t="s">
        <v>182</v>
      </c>
      <c r="S190" s="92"/>
    </row>
    <row r="191" spans="1:19" x14ac:dyDescent="0.2">
      <c r="A191" s="92" t="s">
        <v>391</v>
      </c>
      <c r="B191" s="69">
        <v>15</v>
      </c>
      <c r="C191" s="69">
        <v>5</v>
      </c>
      <c r="D191" s="69">
        <v>7</v>
      </c>
      <c r="E191" s="69">
        <v>15</v>
      </c>
      <c r="F191" s="69"/>
      <c r="G191" s="69"/>
      <c r="H191" s="69"/>
      <c r="I191" s="70">
        <v>0.27</v>
      </c>
      <c r="J191" s="70">
        <v>1.22</v>
      </c>
      <c r="K191" s="69"/>
      <c r="L191" s="69"/>
      <c r="M191" s="69" t="s">
        <v>170</v>
      </c>
      <c r="N191" s="69">
        <v>2012</v>
      </c>
      <c r="O191" s="69" t="s">
        <v>171</v>
      </c>
      <c r="P191" s="69">
        <v>320762</v>
      </c>
      <c r="Q191" s="92" t="s">
        <v>200</v>
      </c>
      <c r="R191" s="92" t="s">
        <v>182</v>
      </c>
      <c r="S191" s="92"/>
    </row>
    <row r="192" spans="1:19" x14ac:dyDescent="0.2">
      <c r="A192" s="92" t="s">
        <v>392</v>
      </c>
      <c r="B192" s="69">
        <v>16</v>
      </c>
      <c r="C192" s="69">
        <v>2</v>
      </c>
      <c r="D192" s="69">
        <v>6</v>
      </c>
      <c r="E192" s="69">
        <v>16</v>
      </c>
      <c r="F192" s="69"/>
      <c r="G192" s="69"/>
      <c r="H192" s="69"/>
      <c r="I192" s="70">
        <v>0.27</v>
      </c>
      <c r="J192" s="70">
        <v>0.85</v>
      </c>
      <c r="K192" s="69"/>
      <c r="L192" s="69"/>
      <c r="M192" s="69" t="s">
        <v>170</v>
      </c>
      <c r="N192" s="69">
        <v>2013</v>
      </c>
      <c r="O192" s="69" t="s">
        <v>71</v>
      </c>
      <c r="P192" s="69">
        <v>750075</v>
      </c>
      <c r="Q192" s="92" t="s">
        <v>178</v>
      </c>
      <c r="R192" s="92" t="s">
        <v>379</v>
      </c>
      <c r="S192" s="92"/>
    </row>
    <row r="193" spans="1:19" x14ac:dyDescent="0.2">
      <c r="A193" s="92" t="s">
        <v>398</v>
      </c>
      <c r="B193" s="69">
        <v>17</v>
      </c>
      <c r="C193" s="69">
        <v>2</v>
      </c>
      <c r="D193" s="69">
        <v>6</v>
      </c>
      <c r="E193" s="69">
        <v>17</v>
      </c>
      <c r="F193" s="69">
        <v>23</v>
      </c>
      <c r="G193" s="69"/>
      <c r="H193" s="69"/>
      <c r="I193" s="70">
        <v>0.27</v>
      </c>
      <c r="J193" s="70">
        <v>0.81</v>
      </c>
      <c r="K193" s="69">
        <v>11.3</v>
      </c>
      <c r="L193" s="69">
        <v>0.6</v>
      </c>
      <c r="M193" s="69" t="s">
        <v>170</v>
      </c>
      <c r="N193" s="69">
        <v>2011</v>
      </c>
      <c r="O193" s="69" t="s">
        <v>171</v>
      </c>
      <c r="P193" s="69">
        <v>459891</v>
      </c>
      <c r="Q193" s="92" t="s">
        <v>209</v>
      </c>
      <c r="R193" s="92" t="s">
        <v>379</v>
      </c>
      <c r="S193" s="92" t="s">
        <v>189</v>
      </c>
    </row>
    <row r="194" spans="1:19" x14ac:dyDescent="0.2">
      <c r="A194" s="92" t="s">
        <v>400</v>
      </c>
      <c r="B194" s="69">
        <v>7</v>
      </c>
      <c r="C194" s="69">
        <v>-1</v>
      </c>
      <c r="D194" s="69">
        <v>3</v>
      </c>
      <c r="E194" s="69">
        <v>7</v>
      </c>
      <c r="F194" s="69">
        <v>3</v>
      </c>
      <c r="G194" s="69">
        <v>19</v>
      </c>
      <c r="H194" s="69">
        <v>3.5</v>
      </c>
      <c r="I194" s="70">
        <v>0.27</v>
      </c>
      <c r="J194" s="70">
        <v>0.71</v>
      </c>
      <c r="K194" s="69">
        <v>3.8</v>
      </c>
      <c r="L194" s="69">
        <v>-0.1</v>
      </c>
      <c r="M194" s="69" t="s">
        <v>170</v>
      </c>
      <c r="N194" s="69">
        <v>2009</v>
      </c>
      <c r="O194" s="69" t="s">
        <v>171</v>
      </c>
      <c r="P194" s="69">
        <v>189662</v>
      </c>
      <c r="Q194" s="92" t="s">
        <v>361</v>
      </c>
      <c r="R194" s="92" t="s">
        <v>229</v>
      </c>
      <c r="S194" s="92" t="s">
        <v>189</v>
      </c>
    </row>
    <row r="195" spans="1:19" x14ac:dyDescent="0.2">
      <c r="A195" s="92" t="s">
        <v>394</v>
      </c>
      <c r="B195" s="69">
        <v>17</v>
      </c>
      <c r="C195" s="69">
        <v>6</v>
      </c>
      <c r="D195" s="69">
        <v>7</v>
      </c>
      <c r="E195" s="69">
        <v>17</v>
      </c>
      <c r="F195" s="69">
        <v>65</v>
      </c>
      <c r="G195" s="69">
        <v>68</v>
      </c>
      <c r="H195" s="69">
        <v>11</v>
      </c>
      <c r="I195" s="70">
        <v>0.27</v>
      </c>
      <c r="J195" s="70">
        <v>0.6</v>
      </c>
      <c r="K195" s="69">
        <v>7.8</v>
      </c>
      <c r="L195" s="69">
        <v>2</v>
      </c>
      <c r="M195" s="69" t="s">
        <v>170</v>
      </c>
      <c r="N195" s="69">
        <v>2000</v>
      </c>
      <c r="O195" s="69" t="s">
        <v>171</v>
      </c>
      <c r="P195" s="69">
        <v>152835</v>
      </c>
      <c r="Q195" s="92" t="s">
        <v>361</v>
      </c>
      <c r="R195" s="92" t="s">
        <v>265</v>
      </c>
      <c r="S195" s="92" t="s">
        <v>189</v>
      </c>
    </row>
    <row r="196" spans="1:19" x14ac:dyDescent="0.2">
      <c r="A196" s="92" t="s">
        <v>395</v>
      </c>
      <c r="B196" s="69">
        <v>13</v>
      </c>
      <c r="C196" s="69">
        <v>5</v>
      </c>
      <c r="D196" s="69">
        <v>6</v>
      </c>
      <c r="E196" s="69">
        <v>13</v>
      </c>
      <c r="F196" s="69">
        <v>46</v>
      </c>
      <c r="G196" s="69">
        <v>51</v>
      </c>
      <c r="H196" s="69">
        <v>8.6</v>
      </c>
      <c r="I196" s="70">
        <v>0.27</v>
      </c>
      <c r="J196" s="70">
        <v>0.6</v>
      </c>
      <c r="K196" s="69">
        <v>5.6</v>
      </c>
      <c r="L196" s="69">
        <v>2</v>
      </c>
      <c r="M196" s="69" t="s">
        <v>170</v>
      </c>
      <c r="N196" s="69">
        <v>2000</v>
      </c>
      <c r="O196" s="69" t="s">
        <v>171</v>
      </c>
      <c r="P196" s="69">
        <v>117002</v>
      </c>
      <c r="Q196" s="92" t="s">
        <v>361</v>
      </c>
      <c r="R196" s="92" t="s">
        <v>266</v>
      </c>
      <c r="S196" s="92" t="s">
        <v>189</v>
      </c>
    </row>
    <row r="197" spans="1:19" x14ac:dyDescent="0.2">
      <c r="A197" s="92" t="s">
        <v>396</v>
      </c>
      <c r="B197" s="69">
        <v>8</v>
      </c>
      <c r="C197" s="69">
        <v>2</v>
      </c>
      <c r="D197" s="69">
        <v>3</v>
      </c>
      <c r="E197" s="69">
        <v>8</v>
      </c>
      <c r="F197" s="69">
        <v>22</v>
      </c>
      <c r="G197" s="69">
        <v>30</v>
      </c>
      <c r="H197" s="69">
        <v>5.4</v>
      </c>
      <c r="I197" s="70">
        <v>0.27</v>
      </c>
      <c r="J197" s="70">
        <v>0.6</v>
      </c>
      <c r="K197" s="69">
        <v>2.7</v>
      </c>
      <c r="L197" s="69">
        <v>2</v>
      </c>
      <c r="M197" s="69" t="s">
        <v>170</v>
      </c>
      <c r="N197" s="69">
        <v>2000</v>
      </c>
      <c r="O197" s="69" t="s">
        <v>171</v>
      </c>
      <c r="P197" s="69">
        <v>981175</v>
      </c>
      <c r="Q197" s="92" t="s">
        <v>361</v>
      </c>
      <c r="R197" s="92" t="s">
        <v>266</v>
      </c>
      <c r="S197" s="92" t="s">
        <v>189</v>
      </c>
    </row>
    <row r="198" spans="1:19" x14ac:dyDescent="0.2">
      <c r="A198" s="92" t="s">
        <v>397</v>
      </c>
      <c r="B198" s="69">
        <v>7</v>
      </c>
      <c r="C198" s="69">
        <v>2</v>
      </c>
      <c r="D198" s="69">
        <v>3</v>
      </c>
      <c r="E198" s="69">
        <v>7</v>
      </c>
      <c r="F198" s="69">
        <v>11</v>
      </c>
      <c r="G198" s="69">
        <v>20</v>
      </c>
      <c r="H198" s="69">
        <v>3.7</v>
      </c>
      <c r="I198" s="70">
        <v>0.27</v>
      </c>
      <c r="J198" s="70">
        <v>0.74</v>
      </c>
      <c r="K198" s="69">
        <v>1.9</v>
      </c>
      <c r="L198" s="69">
        <v>1.1000000000000001</v>
      </c>
      <c r="M198" s="69" t="s">
        <v>170</v>
      </c>
      <c r="N198" s="69">
        <v>2003</v>
      </c>
      <c r="O198" s="69" t="s">
        <v>71</v>
      </c>
      <c r="P198" s="69">
        <v>734558</v>
      </c>
      <c r="Q198" s="92" t="s">
        <v>275</v>
      </c>
      <c r="R198" s="92" t="s">
        <v>188</v>
      </c>
      <c r="S198" s="92"/>
    </row>
    <row r="199" spans="1:19" x14ac:dyDescent="0.2">
      <c r="A199" s="92" t="s">
        <v>393</v>
      </c>
      <c r="B199" s="69">
        <v>15</v>
      </c>
      <c r="C199" s="69">
        <v>5</v>
      </c>
      <c r="D199" s="69">
        <v>7</v>
      </c>
      <c r="E199" s="69">
        <v>15</v>
      </c>
      <c r="F199" s="69">
        <v>47</v>
      </c>
      <c r="G199" s="69">
        <v>33</v>
      </c>
      <c r="H199" s="69">
        <v>5.9</v>
      </c>
      <c r="I199" s="70">
        <v>0.27</v>
      </c>
      <c r="J199" s="70">
        <v>0.49</v>
      </c>
      <c r="K199" s="69">
        <v>9.6</v>
      </c>
      <c r="L199" s="69">
        <v>1.3</v>
      </c>
      <c r="M199" s="69" t="s">
        <v>241</v>
      </c>
      <c r="N199" s="69">
        <v>2005</v>
      </c>
      <c r="O199" s="69" t="s">
        <v>71</v>
      </c>
      <c r="P199" s="69">
        <v>997460</v>
      </c>
      <c r="Q199" s="92" t="s">
        <v>242</v>
      </c>
      <c r="R199" s="92" t="s">
        <v>310</v>
      </c>
      <c r="S199" s="92" t="s">
        <v>189</v>
      </c>
    </row>
    <row r="200" spans="1:19" x14ac:dyDescent="0.2">
      <c r="A200" s="92" t="s">
        <v>399</v>
      </c>
      <c r="B200" s="69">
        <v>27</v>
      </c>
      <c r="C200" s="69">
        <v>9</v>
      </c>
      <c r="D200" s="69">
        <v>15</v>
      </c>
      <c r="E200" s="69">
        <v>27</v>
      </c>
      <c r="F200" s="69">
        <v>72</v>
      </c>
      <c r="G200" s="69">
        <v>69</v>
      </c>
      <c r="H200" s="69">
        <v>11</v>
      </c>
      <c r="I200" s="70">
        <v>0.27</v>
      </c>
      <c r="J200" s="70">
        <v>0.56000000000000005</v>
      </c>
      <c r="K200" s="69">
        <v>6.5</v>
      </c>
      <c r="L200" s="69">
        <v>2.6</v>
      </c>
      <c r="M200" s="69" t="s">
        <v>170</v>
      </c>
      <c r="N200" s="69">
        <v>2002</v>
      </c>
      <c r="O200" s="69" t="s">
        <v>171</v>
      </c>
      <c r="P200" s="69">
        <v>613729</v>
      </c>
      <c r="Q200" s="92" t="s">
        <v>247</v>
      </c>
      <c r="R200" s="92" t="s">
        <v>212</v>
      </c>
      <c r="S200" s="92" t="s">
        <v>189</v>
      </c>
    </row>
    <row r="201" spans="1:19" x14ac:dyDescent="0.2">
      <c r="A201" s="92" t="s">
        <v>402</v>
      </c>
      <c r="B201" s="69">
        <v>1</v>
      </c>
      <c r="C201" s="69">
        <v>0</v>
      </c>
      <c r="D201" s="69">
        <v>0</v>
      </c>
      <c r="E201" s="69">
        <v>1</v>
      </c>
      <c r="F201" s="69">
        <v>8</v>
      </c>
      <c r="G201" s="69">
        <v>11</v>
      </c>
      <c r="H201" s="69">
        <v>2.1</v>
      </c>
      <c r="I201" s="70">
        <v>0.28000000000000003</v>
      </c>
      <c r="J201" s="70">
        <v>0.61</v>
      </c>
      <c r="K201" s="69">
        <v>0.5</v>
      </c>
      <c r="L201" s="69">
        <v>3.4</v>
      </c>
      <c r="M201" s="69" t="s">
        <v>170</v>
      </c>
      <c r="N201" s="69">
        <v>2000</v>
      </c>
      <c r="O201" s="69" t="s">
        <v>171</v>
      </c>
      <c r="P201" s="69">
        <v>308908</v>
      </c>
      <c r="Q201" s="92" t="s">
        <v>403</v>
      </c>
      <c r="R201" s="92" t="s">
        <v>192</v>
      </c>
      <c r="S201" s="92" t="s">
        <v>189</v>
      </c>
    </row>
    <row r="202" spans="1:19" x14ac:dyDescent="0.2">
      <c r="A202" s="92" t="s">
        <v>401</v>
      </c>
      <c r="B202" s="69">
        <v>10</v>
      </c>
      <c r="C202" s="69">
        <v>0</v>
      </c>
      <c r="D202" s="69">
        <v>1</v>
      </c>
      <c r="E202" s="69">
        <v>10</v>
      </c>
      <c r="F202" s="69"/>
      <c r="G202" s="69"/>
      <c r="H202" s="69"/>
      <c r="I202" s="70">
        <v>0.28000000000000003</v>
      </c>
      <c r="J202" s="70">
        <v>1.1599999999999999</v>
      </c>
      <c r="K202" s="69"/>
      <c r="L202" s="69"/>
      <c r="M202" s="69" t="s">
        <v>170</v>
      </c>
      <c r="N202" s="69">
        <v>2013</v>
      </c>
      <c r="O202" s="69" t="s">
        <v>71</v>
      </c>
      <c r="P202" s="69">
        <v>857565</v>
      </c>
      <c r="Q202" s="92" t="s">
        <v>178</v>
      </c>
      <c r="R202" s="92" t="s">
        <v>223</v>
      </c>
      <c r="S202" s="92"/>
    </row>
    <row r="203" spans="1:19" x14ac:dyDescent="0.2">
      <c r="A203" s="92" t="s">
        <v>407</v>
      </c>
      <c r="B203" s="69">
        <v>11</v>
      </c>
      <c r="C203" s="69">
        <v>9</v>
      </c>
      <c r="D203" s="69">
        <v>5</v>
      </c>
      <c r="E203" s="69">
        <v>11</v>
      </c>
      <c r="F203" s="69">
        <v>98</v>
      </c>
      <c r="G203" s="69">
        <v>79</v>
      </c>
      <c r="H203" s="69">
        <v>12.4</v>
      </c>
      <c r="I203" s="70">
        <v>0.28999999999999998</v>
      </c>
      <c r="J203" s="70">
        <v>1.42</v>
      </c>
      <c r="K203" s="69">
        <v>10.199999999999999</v>
      </c>
      <c r="L203" s="69">
        <v>2.2000000000000002</v>
      </c>
      <c r="M203" s="69" t="s">
        <v>170</v>
      </c>
      <c r="N203" s="69">
        <v>2000</v>
      </c>
      <c r="O203" s="69" t="s">
        <v>171</v>
      </c>
      <c r="P203" s="69">
        <v>896761</v>
      </c>
      <c r="Q203" s="92" t="s">
        <v>200</v>
      </c>
      <c r="R203" s="92" t="s">
        <v>408</v>
      </c>
      <c r="S203" s="92"/>
    </row>
    <row r="204" spans="1:19" x14ac:dyDescent="0.2">
      <c r="A204" s="92" t="s">
        <v>416</v>
      </c>
      <c r="B204" s="69">
        <v>1</v>
      </c>
      <c r="C204" s="69">
        <v>0</v>
      </c>
      <c r="D204" s="69">
        <v>0</v>
      </c>
      <c r="E204" s="69">
        <v>1</v>
      </c>
      <c r="F204" s="69">
        <v>4</v>
      </c>
      <c r="G204" s="69">
        <v>4</v>
      </c>
      <c r="H204" s="69">
        <v>0.9</v>
      </c>
      <c r="I204" s="70">
        <v>0.28999999999999998</v>
      </c>
      <c r="J204" s="70">
        <v>0.7</v>
      </c>
      <c r="K204" s="69">
        <v>0.2</v>
      </c>
      <c r="L204" s="69">
        <v>-0.1</v>
      </c>
      <c r="M204" s="69" t="s">
        <v>170</v>
      </c>
      <c r="N204" s="69">
        <v>2014</v>
      </c>
      <c r="O204" s="69" t="s">
        <v>171</v>
      </c>
      <c r="P204" s="69">
        <v>120303</v>
      </c>
      <c r="Q204" s="92" t="s">
        <v>282</v>
      </c>
      <c r="R204" s="92" t="s">
        <v>223</v>
      </c>
      <c r="S204" s="92"/>
    </row>
    <row r="205" spans="1:19" x14ac:dyDescent="0.2">
      <c r="A205" s="92" t="s">
        <v>411</v>
      </c>
      <c r="B205" s="69">
        <v>16</v>
      </c>
      <c r="C205" s="69">
        <v>10</v>
      </c>
      <c r="D205" s="69">
        <v>1</v>
      </c>
      <c r="E205" s="69">
        <v>16</v>
      </c>
      <c r="F205" s="69">
        <v>82</v>
      </c>
      <c r="G205" s="69">
        <v>104</v>
      </c>
      <c r="H205" s="69">
        <v>15.4</v>
      </c>
      <c r="I205" s="70">
        <v>0.28999999999999998</v>
      </c>
      <c r="J205" s="70">
        <v>1.42</v>
      </c>
      <c r="K205" s="69">
        <v>11.5</v>
      </c>
      <c r="L205" s="69">
        <v>1.7</v>
      </c>
      <c r="M205" s="69" t="s">
        <v>170</v>
      </c>
      <c r="N205" s="69">
        <v>2000</v>
      </c>
      <c r="O205" s="69" t="s">
        <v>171</v>
      </c>
      <c r="P205" s="69">
        <v>856682</v>
      </c>
      <c r="Q205" s="92" t="s">
        <v>200</v>
      </c>
      <c r="R205" s="92" t="s">
        <v>331</v>
      </c>
      <c r="S205" s="92"/>
    </row>
    <row r="206" spans="1:19" x14ac:dyDescent="0.2">
      <c r="A206" s="92" t="s">
        <v>136</v>
      </c>
      <c r="B206" s="69">
        <v>43</v>
      </c>
      <c r="C206" s="69">
        <v>14</v>
      </c>
      <c r="D206" s="69">
        <v>27</v>
      </c>
      <c r="E206" s="69">
        <v>43</v>
      </c>
      <c r="F206" s="69">
        <v>85</v>
      </c>
      <c r="G206" s="69">
        <v>92</v>
      </c>
      <c r="H206" s="69">
        <v>14</v>
      </c>
      <c r="I206" s="70">
        <v>0.28999999999999998</v>
      </c>
      <c r="J206" s="70">
        <v>1.42</v>
      </c>
      <c r="K206" s="69">
        <v>10.1</v>
      </c>
      <c r="L206" s="69">
        <v>2</v>
      </c>
      <c r="M206" s="69" t="s">
        <v>170</v>
      </c>
      <c r="N206" s="69">
        <v>2000</v>
      </c>
      <c r="O206" s="69" t="s">
        <v>171</v>
      </c>
      <c r="P206" s="69">
        <v>283408</v>
      </c>
      <c r="Q206" s="92" t="s">
        <v>200</v>
      </c>
      <c r="R206" s="92" t="s">
        <v>315</v>
      </c>
      <c r="S206" s="92"/>
    </row>
    <row r="207" spans="1:19" x14ac:dyDescent="0.2">
      <c r="A207" s="92" t="s">
        <v>412</v>
      </c>
      <c r="B207" s="69">
        <v>-16</v>
      </c>
      <c r="C207" s="69">
        <v>-12</v>
      </c>
      <c r="D207" s="69">
        <v>-19</v>
      </c>
      <c r="E207" s="69">
        <v>-16</v>
      </c>
      <c r="F207" s="69">
        <v>-1</v>
      </c>
      <c r="G207" s="69">
        <v>-11</v>
      </c>
      <c r="H207" s="69">
        <v>-2.4</v>
      </c>
      <c r="I207" s="70">
        <v>0.28999999999999998</v>
      </c>
      <c r="J207" s="70">
        <v>1.43</v>
      </c>
      <c r="K207" s="69">
        <v>18.899999999999999</v>
      </c>
      <c r="L207" s="69">
        <v>0</v>
      </c>
      <c r="M207" s="69" t="s">
        <v>170</v>
      </c>
      <c r="N207" s="69">
        <v>2000</v>
      </c>
      <c r="O207" s="69" t="s">
        <v>171</v>
      </c>
      <c r="P207" s="69">
        <v>825109</v>
      </c>
      <c r="Q207" s="92" t="s">
        <v>200</v>
      </c>
      <c r="R207" s="92" t="s">
        <v>413</v>
      </c>
      <c r="S207" s="87"/>
    </row>
    <row r="208" spans="1:19" x14ac:dyDescent="0.2">
      <c r="A208" s="92" t="s">
        <v>414</v>
      </c>
      <c r="B208" s="69">
        <v>12</v>
      </c>
      <c r="C208" s="69">
        <v>5</v>
      </c>
      <c r="D208" s="69">
        <v>5</v>
      </c>
      <c r="E208" s="69">
        <v>11</v>
      </c>
      <c r="F208" s="69">
        <v>27</v>
      </c>
      <c r="G208" s="69">
        <v>13</v>
      </c>
      <c r="H208" s="69">
        <v>2.5</v>
      </c>
      <c r="I208" s="70">
        <v>0.28999999999999998</v>
      </c>
      <c r="J208" s="70">
        <v>0.69</v>
      </c>
      <c r="K208" s="69">
        <v>4.8</v>
      </c>
      <c r="L208" s="69">
        <v>1.4</v>
      </c>
      <c r="M208" s="69" t="s">
        <v>241</v>
      </c>
      <c r="N208" s="69">
        <v>2010</v>
      </c>
      <c r="O208" s="69" t="s">
        <v>71</v>
      </c>
      <c r="P208" s="69">
        <v>203000</v>
      </c>
      <c r="Q208" s="92" t="s">
        <v>415</v>
      </c>
      <c r="R208" s="92" t="s">
        <v>243</v>
      </c>
      <c r="S208" s="92"/>
    </row>
    <row r="209" spans="1:19" x14ac:dyDescent="0.2">
      <c r="A209" s="92" t="s">
        <v>422</v>
      </c>
      <c r="B209" s="69">
        <v>11</v>
      </c>
      <c r="C209" s="69">
        <v>4</v>
      </c>
      <c r="D209" s="69">
        <v>9</v>
      </c>
      <c r="E209" s="69">
        <v>11</v>
      </c>
      <c r="F209" s="69">
        <v>40</v>
      </c>
      <c r="G209" s="69">
        <v>24</v>
      </c>
      <c r="H209" s="69">
        <v>4.5</v>
      </c>
      <c r="I209" s="70">
        <v>0.28999999999999998</v>
      </c>
      <c r="J209" s="70">
        <v>1.42</v>
      </c>
      <c r="K209" s="69">
        <v>11.1</v>
      </c>
      <c r="L209" s="69">
        <v>1</v>
      </c>
      <c r="M209" s="69" t="s">
        <v>170</v>
      </c>
      <c r="N209" s="69">
        <v>2000</v>
      </c>
      <c r="O209" s="69" t="s">
        <v>171</v>
      </c>
      <c r="P209" s="69">
        <v>211748</v>
      </c>
      <c r="Q209" s="92" t="s">
        <v>200</v>
      </c>
      <c r="R209" s="92" t="s">
        <v>239</v>
      </c>
      <c r="S209" s="92"/>
    </row>
    <row r="210" spans="1:19" x14ac:dyDescent="0.2">
      <c r="A210" s="92" t="s">
        <v>423</v>
      </c>
      <c r="B210" s="69">
        <v>20</v>
      </c>
      <c r="C210" s="69">
        <v>8</v>
      </c>
      <c r="D210" s="69">
        <v>11</v>
      </c>
      <c r="E210" s="69">
        <v>20</v>
      </c>
      <c r="F210" s="69">
        <v>58</v>
      </c>
      <c r="G210" s="69">
        <v>61</v>
      </c>
      <c r="H210" s="69">
        <v>9.9</v>
      </c>
      <c r="I210" s="70">
        <v>0.28999999999999998</v>
      </c>
      <c r="J210" s="70">
        <v>1.42</v>
      </c>
      <c r="K210" s="69">
        <v>7.9</v>
      </c>
      <c r="L210" s="69">
        <v>1.8</v>
      </c>
      <c r="M210" s="69" t="s">
        <v>170</v>
      </c>
      <c r="N210" s="69">
        <v>2000</v>
      </c>
      <c r="O210" s="69" t="s">
        <v>171</v>
      </c>
      <c r="P210" s="69">
        <v>175919</v>
      </c>
      <c r="Q210" s="92" t="s">
        <v>200</v>
      </c>
      <c r="R210" s="92" t="s">
        <v>265</v>
      </c>
      <c r="S210" s="87"/>
    </row>
    <row r="211" spans="1:19" x14ac:dyDescent="0.2">
      <c r="A211" s="92" t="s">
        <v>63</v>
      </c>
      <c r="B211" s="69">
        <v>38</v>
      </c>
      <c r="C211" s="69">
        <v>9</v>
      </c>
      <c r="D211" s="69">
        <v>20</v>
      </c>
      <c r="E211" s="69">
        <v>38</v>
      </c>
      <c r="F211" s="69">
        <v>100</v>
      </c>
      <c r="G211" s="69">
        <v>107</v>
      </c>
      <c r="H211" s="69">
        <v>15.7</v>
      </c>
      <c r="I211" s="70">
        <v>0.28999999999999998</v>
      </c>
      <c r="J211" s="70">
        <v>1.42</v>
      </c>
      <c r="K211" s="69">
        <v>8.3000000000000007</v>
      </c>
      <c r="L211" s="69">
        <v>2.7</v>
      </c>
      <c r="M211" s="69" t="s">
        <v>170</v>
      </c>
      <c r="N211" s="69">
        <v>2000</v>
      </c>
      <c r="O211" s="69" t="s">
        <v>171</v>
      </c>
      <c r="P211" s="69">
        <v>928341</v>
      </c>
      <c r="Q211" s="92" t="s">
        <v>200</v>
      </c>
      <c r="R211" s="92" t="s">
        <v>404</v>
      </c>
      <c r="S211" s="92"/>
    </row>
    <row r="212" spans="1:19" x14ac:dyDescent="0.2">
      <c r="A212" s="92" t="s">
        <v>429</v>
      </c>
      <c r="B212" s="69">
        <v>12</v>
      </c>
      <c r="C212" s="69">
        <v>2</v>
      </c>
      <c r="D212" s="69">
        <v>1</v>
      </c>
      <c r="E212" s="69">
        <v>12</v>
      </c>
      <c r="F212" s="69">
        <v>51</v>
      </c>
      <c r="G212" s="69">
        <v>42</v>
      </c>
      <c r="H212" s="69">
        <v>7.2</v>
      </c>
      <c r="I212" s="70">
        <v>0.28999999999999998</v>
      </c>
      <c r="J212" s="70">
        <v>1.43</v>
      </c>
      <c r="K212" s="69">
        <v>10.8</v>
      </c>
      <c r="L212" s="69">
        <v>1.2</v>
      </c>
      <c r="M212" s="69" t="s">
        <v>170</v>
      </c>
      <c r="N212" s="69">
        <v>2000</v>
      </c>
      <c r="O212" s="69" t="s">
        <v>171</v>
      </c>
      <c r="P212" s="69">
        <v>820852</v>
      </c>
      <c r="Q212" s="92" t="s">
        <v>200</v>
      </c>
      <c r="R212" s="92" t="s">
        <v>410</v>
      </c>
      <c r="S212" s="92"/>
    </row>
    <row r="213" spans="1:19" x14ac:dyDescent="0.2">
      <c r="A213" s="92" t="s">
        <v>406</v>
      </c>
      <c r="B213" s="90">
        <v>36</v>
      </c>
      <c r="C213" s="90">
        <v>16</v>
      </c>
      <c r="D213" s="90">
        <v>17</v>
      </c>
      <c r="E213" s="90">
        <v>36</v>
      </c>
      <c r="F213" s="69">
        <v>70</v>
      </c>
      <c r="G213" s="69">
        <v>96</v>
      </c>
      <c r="H213" s="69">
        <v>14.4</v>
      </c>
      <c r="I213" s="70">
        <v>0.28999999999999998</v>
      </c>
      <c r="J213" s="70">
        <v>1.42</v>
      </c>
      <c r="K213" s="69">
        <v>9</v>
      </c>
      <c r="L213" s="69">
        <v>1.9</v>
      </c>
      <c r="M213" s="69" t="s">
        <v>170</v>
      </c>
      <c r="N213" s="69">
        <v>2000</v>
      </c>
      <c r="O213" s="69" t="s">
        <v>171</v>
      </c>
      <c r="P213" s="69">
        <v>968420</v>
      </c>
      <c r="Q213" s="92" t="s">
        <v>200</v>
      </c>
      <c r="R213" s="92" t="s">
        <v>370</v>
      </c>
      <c r="S213" s="92"/>
    </row>
    <row r="214" spans="1:19" x14ac:dyDescent="0.2">
      <c r="A214" s="92" t="s">
        <v>405</v>
      </c>
      <c r="B214" s="69">
        <v>5</v>
      </c>
      <c r="C214" s="69">
        <v>1</v>
      </c>
      <c r="D214" s="69">
        <v>1</v>
      </c>
      <c r="E214" s="69">
        <v>5</v>
      </c>
      <c r="F214" s="69">
        <v>13</v>
      </c>
      <c r="G214" s="69"/>
      <c r="H214" s="69"/>
      <c r="I214" s="70">
        <v>0.28999999999999998</v>
      </c>
      <c r="J214" s="70">
        <v>0.73</v>
      </c>
      <c r="K214" s="69">
        <v>2.2000000000000002</v>
      </c>
      <c r="L214" s="69">
        <v>1.4</v>
      </c>
      <c r="M214" s="69" t="s">
        <v>170</v>
      </c>
      <c r="N214" s="69">
        <v>2013</v>
      </c>
      <c r="O214" s="69" t="s">
        <v>171</v>
      </c>
      <c r="P214" s="69">
        <v>732487</v>
      </c>
      <c r="Q214" s="92" t="s">
        <v>247</v>
      </c>
      <c r="R214" s="92" t="s">
        <v>223</v>
      </c>
      <c r="S214" s="92"/>
    </row>
    <row r="215" spans="1:19" x14ac:dyDescent="0.2">
      <c r="A215" s="92" t="s">
        <v>424</v>
      </c>
      <c r="B215" s="69">
        <v>37</v>
      </c>
      <c r="C215" s="69">
        <v>14</v>
      </c>
      <c r="D215" s="69">
        <v>24</v>
      </c>
      <c r="E215" s="69">
        <v>37</v>
      </c>
      <c r="F215" s="69">
        <v>94</v>
      </c>
      <c r="G215" s="69">
        <v>110</v>
      </c>
      <c r="H215" s="69">
        <v>16</v>
      </c>
      <c r="I215" s="70">
        <v>0.28999999999999998</v>
      </c>
      <c r="J215" s="70">
        <v>0.67</v>
      </c>
      <c r="K215" s="69">
        <v>7.8</v>
      </c>
      <c r="L215" s="69">
        <v>2.7</v>
      </c>
      <c r="M215" s="69" t="s">
        <v>170</v>
      </c>
      <c r="N215" s="69">
        <v>2000</v>
      </c>
      <c r="O215" s="69" t="s">
        <v>171</v>
      </c>
      <c r="P215" s="69">
        <v>678128</v>
      </c>
      <c r="Q215" s="92" t="s">
        <v>194</v>
      </c>
      <c r="R215" s="92" t="s">
        <v>245</v>
      </c>
      <c r="S215" s="87" t="s">
        <v>189</v>
      </c>
    </row>
    <row r="216" spans="1:19" x14ac:dyDescent="0.2">
      <c r="A216" s="92" t="s">
        <v>425</v>
      </c>
      <c r="B216" s="69">
        <v>3</v>
      </c>
      <c r="C216" s="69">
        <v>-1</v>
      </c>
      <c r="D216" s="69">
        <v>-1</v>
      </c>
      <c r="E216" s="69">
        <v>3</v>
      </c>
      <c r="F216" s="69">
        <v>21</v>
      </c>
      <c r="G216" s="69">
        <v>35</v>
      </c>
      <c r="H216" s="69">
        <v>6.2</v>
      </c>
      <c r="I216" s="70">
        <v>0.28999999999999998</v>
      </c>
      <c r="J216" s="70">
        <v>1.1599999999999999</v>
      </c>
      <c r="K216" s="69">
        <v>2</v>
      </c>
      <c r="L216" s="69">
        <v>2.8</v>
      </c>
      <c r="M216" s="69" t="s">
        <v>170</v>
      </c>
      <c r="N216" s="69">
        <v>2010</v>
      </c>
      <c r="O216" s="69" t="s">
        <v>71</v>
      </c>
      <c r="P216" s="69">
        <v>537639</v>
      </c>
      <c r="Q216" s="92" t="s">
        <v>221</v>
      </c>
      <c r="R216" s="92" t="s">
        <v>223</v>
      </c>
      <c r="S216" s="87"/>
    </row>
    <row r="217" spans="1:19" x14ac:dyDescent="0.2">
      <c r="A217" s="92" t="s">
        <v>426</v>
      </c>
      <c r="B217" s="69">
        <v>2</v>
      </c>
      <c r="C217" s="69">
        <v>0</v>
      </c>
      <c r="D217" s="69">
        <v>1</v>
      </c>
      <c r="E217" s="69">
        <v>2</v>
      </c>
      <c r="F217" s="69">
        <v>11</v>
      </c>
      <c r="G217" s="69">
        <v>17</v>
      </c>
      <c r="H217" s="69">
        <v>3.2</v>
      </c>
      <c r="I217" s="70">
        <v>0.28999999999999998</v>
      </c>
      <c r="J217" s="70">
        <v>0.72</v>
      </c>
      <c r="K217" s="69">
        <v>0.5</v>
      </c>
      <c r="L217" s="69">
        <v>5.4</v>
      </c>
      <c r="M217" s="69" t="s">
        <v>170</v>
      </c>
      <c r="N217" s="69">
        <v>2000</v>
      </c>
      <c r="O217" s="69" t="s">
        <v>171</v>
      </c>
      <c r="P217" s="69">
        <v>112755</v>
      </c>
      <c r="Q217" s="92" t="s">
        <v>427</v>
      </c>
      <c r="R217" s="92" t="s">
        <v>223</v>
      </c>
      <c r="S217" s="87"/>
    </row>
    <row r="218" spans="1:19" x14ac:dyDescent="0.2">
      <c r="A218" s="92" t="s">
        <v>428</v>
      </c>
      <c r="B218" s="69">
        <v>15</v>
      </c>
      <c r="C218" s="69">
        <v>6</v>
      </c>
      <c r="D218" s="69">
        <v>5</v>
      </c>
      <c r="E218" s="69">
        <v>15</v>
      </c>
      <c r="F218" s="69">
        <v>70</v>
      </c>
      <c r="G218" s="69">
        <v>72</v>
      </c>
      <c r="H218" s="69">
        <v>11.5</v>
      </c>
      <c r="I218" s="70">
        <v>0.28999999999999998</v>
      </c>
      <c r="J218" s="70">
        <v>0.61</v>
      </c>
      <c r="K218" s="69">
        <v>10.4</v>
      </c>
      <c r="L218" s="69">
        <v>1.6</v>
      </c>
      <c r="M218" s="69" t="s">
        <v>170</v>
      </c>
      <c r="N218" s="69">
        <v>2000</v>
      </c>
      <c r="O218" s="69" t="s">
        <v>171</v>
      </c>
      <c r="P218" s="69">
        <v>838441</v>
      </c>
      <c r="Q218" s="92" t="s">
        <v>427</v>
      </c>
      <c r="R218" s="92" t="s">
        <v>176</v>
      </c>
      <c r="S218" s="87"/>
    </row>
    <row r="219" spans="1:19" x14ac:dyDescent="0.2">
      <c r="A219" s="92" t="s">
        <v>417</v>
      </c>
      <c r="B219" s="69">
        <v>31</v>
      </c>
      <c r="C219" s="69">
        <v>14</v>
      </c>
      <c r="D219" s="69">
        <v>19</v>
      </c>
      <c r="E219" s="69">
        <v>31</v>
      </c>
      <c r="F219" s="69">
        <v>73</v>
      </c>
      <c r="G219" s="69">
        <v>91</v>
      </c>
      <c r="H219" s="69">
        <v>13.8</v>
      </c>
      <c r="I219" s="70">
        <v>0.28999999999999998</v>
      </c>
      <c r="J219" s="70">
        <v>1.42</v>
      </c>
      <c r="K219" s="69">
        <v>8.1999999999999993</v>
      </c>
      <c r="L219" s="69">
        <v>2.1</v>
      </c>
      <c r="M219" s="69" t="s">
        <v>170</v>
      </c>
      <c r="N219" s="69">
        <v>2000</v>
      </c>
      <c r="O219" s="69" t="s">
        <v>171</v>
      </c>
      <c r="P219" s="69">
        <v>319236</v>
      </c>
      <c r="Q219" s="92" t="s">
        <v>200</v>
      </c>
      <c r="R219" s="92" t="s">
        <v>245</v>
      </c>
      <c r="S219" s="92"/>
    </row>
    <row r="220" spans="1:19" x14ac:dyDescent="0.2">
      <c r="A220" s="92" t="s">
        <v>418</v>
      </c>
      <c r="B220" s="69">
        <v>25</v>
      </c>
      <c r="C220" s="69">
        <v>8</v>
      </c>
      <c r="D220" s="69">
        <v>13</v>
      </c>
      <c r="E220" s="69">
        <v>25</v>
      </c>
      <c r="F220" s="69">
        <v>40</v>
      </c>
      <c r="G220" s="69">
        <v>34</v>
      </c>
      <c r="H220" s="69">
        <v>6</v>
      </c>
      <c r="I220" s="70">
        <v>0.28999999999999998</v>
      </c>
      <c r="J220" s="70">
        <v>1.43</v>
      </c>
      <c r="K220" s="69">
        <v>10.8</v>
      </c>
      <c r="L220" s="69">
        <v>1</v>
      </c>
      <c r="M220" s="69" t="s">
        <v>170</v>
      </c>
      <c r="N220" s="69">
        <v>2000</v>
      </c>
      <c r="O220" s="69" t="s">
        <v>171</v>
      </c>
      <c r="P220" s="69">
        <v>104257</v>
      </c>
      <c r="Q220" s="92" t="s">
        <v>200</v>
      </c>
      <c r="R220" s="92" t="s">
        <v>310</v>
      </c>
      <c r="S220" s="87"/>
    </row>
    <row r="221" spans="1:19" x14ac:dyDescent="0.2">
      <c r="A221" s="92" t="s">
        <v>419</v>
      </c>
      <c r="B221" s="69">
        <v>23</v>
      </c>
      <c r="C221" s="69">
        <v>7</v>
      </c>
      <c r="D221" s="69">
        <v>12</v>
      </c>
      <c r="E221" s="69">
        <v>23</v>
      </c>
      <c r="F221" s="69">
        <v>74</v>
      </c>
      <c r="G221" s="69">
        <v>74</v>
      </c>
      <c r="H221" s="69">
        <v>11.7</v>
      </c>
      <c r="I221" s="70">
        <v>0.28999999999999998</v>
      </c>
      <c r="J221" s="70">
        <v>1.42</v>
      </c>
      <c r="K221" s="69">
        <v>8.3000000000000007</v>
      </c>
      <c r="L221" s="69">
        <v>2.1</v>
      </c>
      <c r="M221" s="69" t="s">
        <v>170</v>
      </c>
      <c r="N221" s="69">
        <v>2000</v>
      </c>
      <c r="O221" s="69" t="s">
        <v>171</v>
      </c>
      <c r="P221" s="69">
        <v>641704</v>
      </c>
      <c r="Q221" s="92" t="s">
        <v>200</v>
      </c>
      <c r="R221" s="92" t="s">
        <v>265</v>
      </c>
      <c r="S221" s="92" t="s">
        <v>189</v>
      </c>
    </row>
    <row r="222" spans="1:19" x14ac:dyDescent="0.2">
      <c r="A222" s="92" t="s">
        <v>420</v>
      </c>
      <c r="B222" s="69">
        <v>13</v>
      </c>
      <c r="C222" s="69">
        <v>5</v>
      </c>
      <c r="D222" s="69">
        <v>3</v>
      </c>
      <c r="E222" s="69">
        <v>13</v>
      </c>
      <c r="F222" s="69">
        <v>63</v>
      </c>
      <c r="G222" s="69">
        <v>65</v>
      </c>
      <c r="H222" s="69">
        <v>10.5</v>
      </c>
      <c r="I222" s="70">
        <v>0.28999999999999998</v>
      </c>
      <c r="J222" s="70">
        <v>1.42</v>
      </c>
      <c r="K222" s="69">
        <v>11.1</v>
      </c>
      <c r="L222" s="69">
        <v>1.4</v>
      </c>
      <c r="M222" s="69" t="s">
        <v>170</v>
      </c>
      <c r="N222" s="69">
        <v>2007</v>
      </c>
      <c r="O222" s="69" t="s">
        <v>171</v>
      </c>
      <c r="P222" s="69">
        <v>853499</v>
      </c>
      <c r="Q222" s="92" t="s">
        <v>200</v>
      </c>
      <c r="R222" s="92" t="s">
        <v>264</v>
      </c>
      <c r="S222" s="92" t="s">
        <v>189</v>
      </c>
    </row>
    <row r="223" spans="1:19" x14ac:dyDescent="0.2">
      <c r="A223" s="92" t="s">
        <v>421</v>
      </c>
      <c r="B223" s="69">
        <v>16</v>
      </c>
      <c r="C223" s="69">
        <v>7</v>
      </c>
      <c r="D223" s="69">
        <v>2</v>
      </c>
      <c r="E223" s="69">
        <v>16</v>
      </c>
      <c r="F223" s="69">
        <v>63</v>
      </c>
      <c r="G223" s="69">
        <v>67</v>
      </c>
      <c r="H223" s="69">
        <v>10.8</v>
      </c>
      <c r="I223" s="70">
        <v>0.28999999999999998</v>
      </c>
      <c r="J223" s="70">
        <v>1.42</v>
      </c>
      <c r="K223" s="69">
        <v>12.1</v>
      </c>
      <c r="L223" s="69">
        <v>1.3</v>
      </c>
      <c r="M223" s="69" t="s">
        <v>170</v>
      </c>
      <c r="N223" s="69">
        <v>2001</v>
      </c>
      <c r="O223" s="69" t="s">
        <v>171</v>
      </c>
      <c r="P223" s="69">
        <v>939850</v>
      </c>
      <c r="Q223" s="92" t="s">
        <v>200</v>
      </c>
      <c r="R223" s="92" t="s">
        <v>264</v>
      </c>
      <c r="S223" s="92"/>
    </row>
    <row r="224" spans="1:19" x14ac:dyDescent="0.2">
      <c r="A224" s="92" t="s">
        <v>409</v>
      </c>
      <c r="B224" s="69">
        <v>8</v>
      </c>
      <c r="C224" s="69">
        <v>5</v>
      </c>
      <c r="D224" s="69">
        <v>-3</v>
      </c>
      <c r="E224" s="69">
        <v>8</v>
      </c>
      <c r="F224" s="69">
        <v>57</v>
      </c>
      <c r="G224" s="69">
        <v>49</v>
      </c>
      <c r="H224" s="69">
        <v>8.3000000000000007</v>
      </c>
      <c r="I224" s="70">
        <v>0.28999999999999998</v>
      </c>
      <c r="J224" s="70">
        <v>1.43</v>
      </c>
      <c r="K224" s="69">
        <v>13.3</v>
      </c>
      <c r="L224" s="69">
        <v>1.1000000000000001</v>
      </c>
      <c r="M224" s="69" t="s">
        <v>170</v>
      </c>
      <c r="N224" s="69">
        <v>2000</v>
      </c>
      <c r="O224" s="69" t="s">
        <v>171</v>
      </c>
      <c r="P224" s="69">
        <v>860932</v>
      </c>
      <c r="Q224" s="92" t="s">
        <v>200</v>
      </c>
      <c r="R224" s="92" t="s">
        <v>410</v>
      </c>
      <c r="S224" s="92"/>
    </row>
    <row r="225" spans="1:19" x14ac:dyDescent="0.2">
      <c r="A225" s="92" t="s">
        <v>437</v>
      </c>
      <c r="B225" s="69">
        <v>13</v>
      </c>
      <c r="C225" s="69">
        <v>3</v>
      </c>
      <c r="D225" s="69">
        <v>3</v>
      </c>
      <c r="E225" s="69">
        <v>13</v>
      </c>
      <c r="F225" s="69">
        <v>57</v>
      </c>
      <c r="G225" s="69">
        <v>35</v>
      </c>
      <c r="H225" s="69">
        <v>6.2</v>
      </c>
      <c r="I225" s="70">
        <v>0.3</v>
      </c>
      <c r="J225" s="70">
        <v>0.68</v>
      </c>
      <c r="K225" s="69">
        <v>8.3000000000000007</v>
      </c>
      <c r="L225" s="69">
        <v>1.7</v>
      </c>
      <c r="M225" s="69" t="s">
        <v>170</v>
      </c>
      <c r="N225" s="69">
        <v>2000</v>
      </c>
      <c r="O225" s="69" t="s">
        <v>171</v>
      </c>
      <c r="P225" s="69">
        <v>570630</v>
      </c>
      <c r="Q225" s="92" t="s">
        <v>194</v>
      </c>
      <c r="R225" s="92" t="s">
        <v>237</v>
      </c>
      <c r="S225" s="87" t="s">
        <v>189</v>
      </c>
    </row>
    <row r="226" spans="1:19" x14ac:dyDescent="0.2">
      <c r="A226" s="92" t="s">
        <v>435</v>
      </c>
      <c r="B226" s="69">
        <v>16</v>
      </c>
      <c r="C226" s="69">
        <v>6</v>
      </c>
      <c r="D226" s="69">
        <v>11</v>
      </c>
      <c r="E226" s="69">
        <v>16</v>
      </c>
      <c r="F226" s="69">
        <v>44</v>
      </c>
      <c r="G226" s="69">
        <v>33</v>
      </c>
      <c r="H226" s="69">
        <v>5.9</v>
      </c>
      <c r="I226" s="70">
        <v>0.3</v>
      </c>
      <c r="J226" s="70">
        <v>0.68</v>
      </c>
      <c r="K226" s="69">
        <v>10.5</v>
      </c>
      <c r="L226" s="69">
        <v>1.1000000000000001</v>
      </c>
      <c r="M226" s="69" t="s">
        <v>170</v>
      </c>
      <c r="N226" s="69">
        <v>2000</v>
      </c>
      <c r="O226" s="69" t="s">
        <v>171</v>
      </c>
      <c r="P226" s="69">
        <v>606467</v>
      </c>
      <c r="Q226" s="92" t="s">
        <v>194</v>
      </c>
      <c r="R226" s="92" t="s">
        <v>239</v>
      </c>
      <c r="S226" s="92" t="s">
        <v>189</v>
      </c>
    </row>
    <row r="227" spans="1:19" x14ac:dyDescent="0.2">
      <c r="A227" s="92" t="s">
        <v>436</v>
      </c>
      <c r="B227" s="69">
        <v>23</v>
      </c>
      <c r="C227" s="69">
        <v>7</v>
      </c>
      <c r="D227" s="69">
        <v>9</v>
      </c>
      <c r="E227" s="69">
        <v>23</v>
      </c>
      <c r="F227" s="69">
        <v>49</v>
      </c>
      <c r="G227" s="69">
        <v>43</v>
      </c>
      <c r="H227" s="69">
        <v>7.4</v>
      </c>
      <c r="I227" s="70">
        <v>0.3</v>
      </c>
      <c r="J227" s="70">
        <v>0.68</v>
      </c>
      <c r="K227" s="69">
        <v>13.1</v>
      </c>
      <c r="L227" s="69">
        <v>1</v>
      </c>
      <c r="M227" s="69" t="s">
        <v>170</v>
      </c>
      <c r="N227" s="69">
        <v>2000</v>
      </c>
      <c r="O227" s="69" t="s">
        <v>171</v>
      </c>
      <c r="P227" s="69">
        <v>642298</v>
      </c>
      <c r="Q227" s="92" t="s">
        <v>194</v>
      </c>
      <c r="R227" s="92" t="s">
        <v>310</v>
      </c>
      <c r="S227" s="92" t="s">
        <v>189</v>
      </c>
    </row>
    <row r="228" spans="1:19" x14ac:dyDescent="0.2">
      <c r="A228" s="92" t="s">
        <v>433</v>
      </c>
      <c r="B228" s="69">
        <v>7</v>
      </c>
      <c r="C228" s="69">
        <v>3</v>
      </c>
      <c r="D228" s="69">
        <v>4</v>
      </c>
      <c r="E228" s="69">
        <v>7</v>
      </c>
      <c r="F228" s="69">
        <v>19</v>
      </c>
      <c r="G228" s="69">
        <v>22</v>
      </c>
      <c r="H228" s="69">
        <v>4.0999999999999996</v>
      </c>
      <c r="I228" s="70">
        <v>0.3</v>
      </c>
      <c r="J228" s="70">
        <v>1.52</v>
      </c>
      <c r="K228" s="69">
        <v>4.5</v>
      </c>
      <c r="L228" s="69">
        <v>1</v>
      </c>
      <c r="M228" s="69" t="s">
        <v>170</v>
      </c>
      <c r="N228" s="69">
        <v>2004</v>
      </c>
      <c r="O228" s="69" t="s">
        <v>171</v>
      </c>
      <c r="P228" s="69">
        <v>985952</v>
      </c>
      <c r="Q228" s="92" t="s">
        <v>200</v>
      </c>
      <c r="R228" s="92" t="s">
        <v>266</v>
      </c>
      <c r="S228" s="92" t="s">
        <v>189</v>
      </c>
    </row>
    <row r="229" spans="1:19" x14ac:dyDescent="0.2">
      <c r="A229" s="92" t="s">
        <v>430</v>
      </c>
      <c r="B229" s="69">
        <v>13</v>
      </c>
      <c r="C229" s="69">
        <v>4</v>
      </c>
      <c r="D229" s="69">
        <v>7</v>
      </c>
      <c r="E229" s="69">
        <v>12</v>
      </c>
      <c r="F229" s="69">
        <v>14</v>
      </c>
      <c r="G229" s="69">
        <v>8</v>
      </c>
      <c r="H229" s="69">
        <v>1.5</v>
      </c>
      <c r="I229" s="70">
        <v>0.3</v>
      </c>
      <c r="J229" s="70">
        <v>0.73</v>
      </c>
      <c r="K229" s="69">
        <v>5</v>
      </c>
      <c r="L229" s="69">
        <v>0.6</v>
      </c>
      <c r="M229" s="69" t="s">
        <v>241</v>
      </c>
      <c r="N229" s="69">
        <v>2000</v>
      </c>
      <c r="O229" s="69" t="s">
        <v>71</v>
      </c>
      <c r="P229" s="69">
        <v>587634</v>
      </c>
      <c r="Q229" s="92" t="s">
        <v>431</v>
      </c>
      <c r="R229" s="92" t="s">
        <v>243</v>
      </c>
      <c r="S229" s="92"/>
    </row>
    <row r="230" spans="1:19" x14ac:dyDescent="0.2">
      <c r="A230" s="92" t="s">
        <v>432</v>
      </c>
      <c r="B230" s="69">
        <v>11</v>
      </c>
      <c r="C230" s="69">
        <v>5</v>
      </c>
      <c r="D230" s="69">
        <v>6</v>
      </c>
      <c r="E230" s="69">
        <v>11</v>
      </c>
      <c r="F230" s="69">
        <v>15</v>
      </c>
      <c r="G230" s="69">
        <v>9</v>
      </c>
      <c r="H230" s="69">
        <v>1.7</v>
      </c>
      <c r="I230" s="70">
        <v>0.3</v>
      </c>
      <c r="J230" s="70">
        <v>0.71</v>
      </c>
      <c r="K230" s="69">
        <v>5</v>
      </c>
      <c r="L230" s="69">
        <v>0.7</v>
      </c>
      <c r="M230" s="69" t="s">
        <v>241</v>
      </c>
      <c r="N230" s="69">
        <v>2000</v>
      </c>
      <c r="O230" s="69" t="s">
        <v>71</v>
      </c>
      <c r="P230" s="69">
        <v>515973</v>
      </c>
      <c r="Q230" s="92" t="s">
        <v>431</v>
      </c>
      <c r="R230" s="92" t="s">
        <v>223</v>
      </c>
      <c r="S230" s="92"/>
    </row>
    <row r="231" spans="1:19" x14ac:dyDescent="0.2">
      <c r="A231" s="92" t="s">
        <v>434</v>
      </c>
      <c r="B231" s="69">
        <v>10</v>
      </c>
      <c r="C231" s="69">
        <v>3</v>
      </c>
      <c r="D231" s="69">
        <v>6</v>
      </c>
      <c r="E231" s="69">
        <v>10</v>
      </c>
      <c r="F231" s="69">
        <v>5</v>
      </c>
      <c r="G231" s="69">
        <v>22</v>
      </c>
      <c r="H231" s="69">
        <v>4.0999999999999996</v>
      </c>
      <c r="I231" s="70">
        <v>0.3</v>
      </c>
      <c r="J231" s="70">
        <v>0.68</v>
      </c>
      <c r="K231" s="69">
        <v>3.1</v>
      </c>
      <c r="L231" s="69">
        <v>0.1</v>
      </c>
      <c r="M231" s="69" t="s">
        <v>170</v>
      </c>
      <c r="N231" s="69">
        <v>2005</v>
      </c>
      <c r="O231" s="69" t="s">
        <v>171</v>
      </c>
      <c r="P231" s="69">
        <v>483099</v>
      </c>
      <c r="Q231" s="92" t="s">
        <v>293</v>
      </c>
      <c r="R231" s="92" t="s">
        <v>188</v>
      </c>
      <c r="S231" s="92"/>
    </row>
    <row r="232" spans="1:19" x14ac:dyDescent="0.2">
      <c r="A232" s="92" t="s">
        <v>442</v>
      </c>
      <c r="B232" s="69">
        <v>6</v>
      </c>
      <c r="C232" s="69">
        <v>1</v>
      </c>
      <c r="D232" s="69">
        <v>3</v>
      </c>
      <c r="E232" s="69">
        <v>6</v>
      </c>
      <c r="F232" s="69"/>
      <c r="G232" s="69"/>
      <c r="H232" s="69"/>
      <c r="I232" s="70">
        <v>0.31</v>
      </c>
      <c r="J232" s="70">
        <v>0.87</v>
      </c>
      <c r="K232" s="69"/>
      <c r="L232" s="69"/>
      <c r="M232" s="69" t="s">
        <v>170</v>
      </c>
      <c r="N232" s="69">
        <v>2013</v>
      </c>
      <c r="O232" s="69" t="s">
        <v>171</v>
      </c>
      <c r="P232" s="69">
        <v>624999</v>
      </c>
      <c r="Q232" s="92" t="s">
        <v>361</v>
      </c>
      <c r="R232" s="92" t="s">
        <v>188</v>
      </c>
      <c r="S232" s="92" t="s">
        <v>189</v>
      </c>
    </row>
    <row r="233" spans="1:19" x14ac:dyDescent="0.2">
      <c r="A233" s="92" t="s">
        <v>438</v>
      </c>
      <c r="B233" s="69">
        <v>0</v>
      </c>
      <c r="C233" s="69">
        <v>0</v>
      </c>
      <c r="D233" s="69">
        <v>0</v>
      </c>
      <c r="E233" s="69">
        <v>0</v>
      </c>
      <c r="F233" s="69">
        <v>0</v>
      </c>
      <c r="G233" s="69">
        <v>14</v>
      </c>
      <c r="H233" s="69">
        <v>2.7</v>
      </c>
      <c r="I233" s="70">
        <v>0.31</v>
      </c>
      <c r="J233" s="70">
        <v>0.75</v>
      </c>
      <c r="K233" s="69">
        <v>3.1</v>
      </c>
      <c r="L233" s="69">
        <v>-0.4</v>
      </c>
      <c r="M233" s="69" t="s">
        <v>170</v>
      </c>
      <c r="N233" s="69">
        <v>2000</v>
      </c>
      <c r="O233" s="69" t="s">
        <v>171</v>
      </c>
      <c r="P233" s="69">
        <v>325902</v>
      </c>
      <c r="Q233" s="92" t="s">
        <v>282</v>
      </c>
      <c r="R233" s="92" t="s">
        <v>223</v>
      </c>
      <c r="S233" s="92"/>
    </row>
    <row r="234" spans="1:19" x14ac:dyDescent="0.2">
      <c r="A234" s="92" t="s">
        <v>439</v>
      </c>
      <c r="B234" s="69">
        <v>17</v>
      </c>
      <c r="C234" s="69">
        <v>8</v>
      </c>
      <c r="D234" s="69">
        <v>8</v>
      </c>
      <c r="E234" s="69">
        <v>17</v>
      </c>
      <c r="F234" s="69">
        <v>70</v>
      </c>
      <c r="G234" s="69">
        <v>76</v>
      </c>
      <c r="H234" s="69">
        <v>12</v>
      </c>
      <c r="I234" s="70">
        <v>0.31</v>
      </c>
      <c r="J234" s="70">
        <v>1.0900000000000001</v>
      </c>
      <c r="K234" s="69">
        <v>10.5</v>
      </c>
      <c r="L234" s="69">
        <v>1.6</v>
      </c>
      <c r="M234" s="69" t="s">
        <v>170</v>
      </c>
      <c r="N234" s="69">
        <v>2000</v>
      </c>
      <c r="O234" s="69" t="s">
        <v>71</v>
      </c>
      <c r="P234" s="69">
        <v>585216</v>
      </c>
      <c r="Q234" s="92" t="s">
        <v>368</v>
      </c>
      <c r="R234" s="92" t="s">
        <v>264</v>
      </c>
      <c r="S234" s="92"/>
    </row>
    <row r="235" spans="1:19" x14ac:dyDescent="0.2">
      <c r="A235" s="92" t="s">
        <v>19</v>
      </c>
      <c r="B235" s="69">
        <v>40</v>
      </c>
      <c r="C235" s="69">
        <v>9</v>
      </c>
      <c r="D235" s="69">
        <v>21</v>
      </c>
      <c r="E235" s="69">
        <v>40</v>
      </c>
      <c r="F235" s="69">
        <v>107</v>
      </c>
      <c r="G235" s="69">
        <v>133</v>
      </c>
      <c r="H235" s="69">
        <v>18.399999999999999</v>
      </c>
      <c r="I235" s="70">
        <v>0.31</v>
      </c>
      <c r="J235" s="70">
        <v>0.61</v>
      </c>
      <c r="K235" s="69">
        <v>8.6</v>
      </c>
      <c r="L235" s="69">
        <v>2.7</v>
      </c>
      <c r="M235" s="69" t="s">
        <v>241</v>
      </c>
      <c r="N235" s="69">
        <v>2001</v>
      </c>
      <c r="O235" s="69" t="s">
        <v>71</v>
      </c>
      <c r="P235" s="69">
        <v>416982</v>
      </c>
      <c r="Q235" s="92" t="s">
        <v>242</v>
      </c>
      <c r="R235" s="92" t="s">
        <v>404</v>
      </c>
      <c r="S235" s="92"/>
    </row>
    <row r="236" spans="1:19" x14ac:dyDescent="0.2">
      <c r="A236" s="92" t="s">
        <v>440</v>
      </c>
      <c r="B236" s="69"/>
      <c r="C236" s="69">
        <v>-6</v>
      </c>
      <c r="D236" s="69">
        <v>-6</v>
      </c>
      <c r="E236" s="69"/>
      <c r="F236" s="69"/>
      <c r="G236" s="69"/>
      <c r="H236" s="69"/>
      <c r="I236" s="70">
        <v>0.31</v>
      </c>
      <c r="J236" s="70">
        <v>0.75</v>
      </c>
      <c r="K236" s="69"/>
      <c r="L236" s="69"/>
      <c r="M236" s="69" t="s">
        <v>170</v>
      </c>
      <c r="N236" s="69">
        <v>2014</v>
      </c>
      <c r="O236" s="69" t="s">
        <v>171</v>
      </c>
      <c r="P236" s="69">
        <v>560599</v>
      </c>
      <c r="Q236" s="92" t="s">
        <v>191</v>
      </c>
      <c r="R236" s="92" t="s">
        <v>223</v>
      </c>
      <c r="S236" s="92"/>
    </row>
    <row r="237" spans="1:19" x14ac:dyDescent="0.2">
      <c r="A237" s="92" t="s">
        <v>441</v>
      </c>
      <c r="B237" s="69">
        <v>30</v>
      </c>
      <c r="C237" s="69">
        <v>12</v>
      </c>
      <c r="D237" s="69">
        <v>19</v>
      </c>
      <c r="E237" s="69">
        <v>30</v>
      </c>
      <c r="F237" s="69">
        <v>76</v>
      </c>
      <c r="G237" s="69">
        <v>100</v>
      </c>
      <c r="H237" s="69">
        <v>14.9</v>
      </c>
      <c r="I237" s="70">
        <v>0.31</v>
      </c>
      <c r="J237" s="70">
        <v>0.6</v>
      </c>
      <c r="K237" s="69">
        <v>8.4</v>
      </c>
      <c r="L237" s="69">
        <v>2.1</v>
      </c>
      <c r="M237" s="69" t="s">
        <v>241</v>
      </c>
      <c r="N237" s="69">
        <v>2000</v>
      </c>
      <c r="O237" s="69" t="s">
        <v>71</v>
      </c>
      <c r="P237" s="69">
        <v>479550</v>
      </c>
      <c r="Q237" s="92" t="s">
        <v>242</v>
      </c>
      <c r="R237" s="92" t="s">
        <v>212</v>
      </c>
      <c r="S237" s="92"/>
    </row>
    <row r="238" spans="1:19" x14ac:dyDescent="0.2">
      <c r="A238" s="92" t="s">
        <v>443</v>
      </c>
      <c r="B238" s="69">
        <v>26</v>
      </c>
      <c r="C238" s="69">
        <v>10</v>
      </c>
      <c r="D238" s="69">
        <v>10</v>
      </c>
      <c r="E238" s="69">
        <v>26</v>
      </c>
      <c r="F238" s="69">
        <v>90</v>
      </c>
      <c r="G238" s="69">
        <v>130</v>
      </c>
      <c r="H238" s="69">
        <v>18.100000000000001</v>
      </c>
      <c r="I238" s="70">
        <v>0.32</v>
      </c>
      <c r="J238" s="70">
        <v>1.7</v>
      </c>
      <c r="K238" s="69">
        <v>8.8000000000000007</v>
      </c>
      <c r="L238" s="69">
        <v>2.4</v>
      </c>
      <c r="M238" s="69" t="s">
        <v>170</v>
      </c>
      <c r="N238" s="69">
        <v>2007</v>
      </c>
      <c r="O238" s="69" t="s">
        <v>171</v>
      </c>
      <c r="P238" s="69">
        <v>766667</v>
      </c>
      <c r="Q238" s="92" t="s">
        <v>200</v>
      </c>
      <c r="R238" s="92" t="s">
        <v>331</v>
      </c>
      <c r="S238" s="92"/>
    </row>
    <row r="239" spans="1:19" x14ac:dyDescent="0.2">
      <c r="A239" s="92" t="s">
        <v>101</v>
      </c>
      <c r="B239" s="69">
        <v>19</v>
      </c>
      <c r="C239" s="69">
        <v>8</v>
      </c>
      <c r="D239" s="69">
        <v>4</v>
      </c>
      <c r="E239" s="69">
        <v>19</v>
      </c>
      <c r="F239" s="69">
        <v>93</v>
      </c>
      <c r="G239" s="69">
        <v>109</v>
      </c>
      <c r="H239" s="69">
        <v>15.9</v>
      </c>
      <c r="I239" s="70">
        <v>0.32</v>
      </c>
      <c r="J239" s="70">
        <v>1.22</v>
      </c>
      <c r="K239" s="69">
        <v>12.5</v>
      </c>
      <c r="L239" s="69">
        <v>1.7</v>
      </c>
      <c r="M239" s="69" t="s">
        <v>170</v>
      </c>
      <c r="N239" s="69">
        <v>2000</v>
      </c>
      <c r="O239" s="69" t="s">
        <v>171</v>
      </c>
      <c r="P239" s="69">
        <v>291906</v>
      </c>
      <c r="Q239" s="92" t="s">
        <v>445</v>
      </c>
      <c r="R239" s="92" t="s">
        <v>264</v>
      </c>
      <c r="S239" s="92"/>
    </row>
    <row r="240" spans="1:19" x14ac:dyDescent="0.2">
      <c r="A240" s="92" t="s">
        <v>444</v>
      </c>
      <c r="B240" s="69">
        <v>6</v>
      </c>
      <c r="C240" s="69">
        <v>4</v>
      </c>
      <c r="D240" s="69">
        <v>-3</v>
      </c>
      <c r="E240" s="69">
        <v>6</v>
      </c>
      <c r="F240" s="69">
        <v>53</v>
      </c>
      <c r="G240" s="69">
        <v>43</v>
      </c>
      <c r="H240" s="69">
        <v>7.5</v>
      </c>
      <c r="I240" s="70">
        <v>0.32</v>
      </c>
      <c r="J240" s="70">
        <v>1.42</v>
      </c>
      <c r="K240" s="69">
        <v>12.3</v>
      </c>
      <c r="L240" s="69">
        <v>1.1000000000000001</v>
      </c>
      <c r="M240" s="69" t="s">
        <v>170</v>
      </c>
      <c r="N240" s="69">
        <v>2008</v>
      </c>
      <c r="O240" s="69" t="s">
        <v>171</v>
      </c>
      <c r="P240" s="69">
        <v>552869</v>
      </c>
      <c r="Q240" s="92" t="s">
        <v>226</v>
      </c>
      <c r="R240" s="92" t="s">
        <v>410</v>
      </c>
      <c r="S240" s="92"/>
    </row>
    <row r="241" spans="1:19" x14ac:dyDescent="0.2">
      <c r="A241" s="92" t="s">
        <v>446</v>
      </c>
      <c r="B241" s="69">
        <v>6</v>
      </c>
      <c r="C241" s="69">
        <v>1</v>
      </c>
      <c r="D241" s="69">
        <v>1</v>
      </c>
      <c r="E241" s="69">
        <v>6</v>
      </c>
      <c r="F241" s="69"/>
      <c r="G241" s="69"/>
      <c r="H241" s="69"/>
      <c r="I241" s="70">
        <v>0.32</v>
      </c>
      <c r="J241" s="70">
        <v>0.85</v>
      </c>
      <c r="K241" s="69"/>
      <c r="L241" s="69"/>
      <c r="M241" s="69" t="s">
        <v>170</v>
      </c>
      <c r="N241" s="69">
        <v>2012</v>
      </c>
      <c r="O241" s="69" t="s">
        <v>71</v>
      </c>
      <c r="P241" s="69">
        <v>664482</v>
      </c>
      <c r="Q241" s="92" t="s">
        <v>235</v>
      </c>
      <c r="R241" s="92" t="s">
        <v>243</v>
      </c>
      <c r="S241" s="87"/>
    </row>
    <row r="242" spans="1:19" x14ac:dyDescent="0.2">
      <c r="A242" s="92" t="s">
        <v>447</v>
      </c>
      <c r="B242" s="69">
        <v>14</v>
      </c>
      <c r="C242" s="69">
        <v>5</v>
      </c>
      <c r="D242" s="69">
        <v>5</v>
      </c>
      <c r="E242" s="69">
        <v>13</v>
      </c>
      <c r="F242" s="69">
        <v>36</v>
      </c>
      <c r="G242" s="69">
        <v>26</v>
      </c>
      <c r="H242" s="69">
        <v>4.7</v>
      </c>
      <c r="I242" s="70">
        <v>0.32</v>
      </c>
      <c r="J242" s="70">
        <v>0.85</v>
      </c>
      <c r="K242" s="69">
        <v>5</v>
      </c>
      <c r="L242" s="69">
        <v>1.8</v>
      </c>
      <c r="M242" s="69" t="s">
        <v>241</v>
      </c>
      <c r="N242" s="69">
        <v>2000</v>
      </c>
      <c r="O242" s="69" t="s">
        <v>71</v>
      </c>
      <c r="P242" s="69">
        <v>390898</v>
      </c>
      <c r="Q242" s="92" t="s">
        <v>235</v>
      </c>
      <c r="R242" s="92" t="s">
        <v>243</v>
      </c>
      <c r="S242" s="87"/>
    </row>
    <row r="243" spans="1:19" x14ac:dyDescent="0.2">
      <c r="A243" s="92" t="s">
        <v>448</v>
      </c>
      <c r="B243" s="69">
        <v>26</v>
      </c>
      <c r="C243" s="69">
        <v>10</v>
      </c>
      <c r="D243" s="69">
        <v>16</v>
      </c>
      <c r="E243" s="69">
        <v>26</v>
      </c>
      <c r="F243" s="69">
        <v>52</v>
      </c>
      <c r="G243" s="69">
        <v>31</v>
      </c>
      <c r="H243" s="69">
        <v>5.6</v>
      </c>
      <c r="I243" s="70">
        <v>0.33</v>
      </c>
      <c r="J243" s="70">
        <v>1.83</v>
      </c>
      <c r="K243" s="69">
        <v>11.5</v>
      </c>
      <c r="L243" s="69">
        <v>1.2</v>
      </c>
      <c r="M243" s="69" t="s">
        <v>170</v>
      </c>
      <c r="N243" s="69">
        <v>2006</v>
      </c>
      <c r="O243" s="69" t="s">
        <v>171</v>
      </c>
      <c r="P243" s="69">
        <v>348862</v>
      </c>
      <c r="Q243" s="92" t="s">
        <v>200</v>
      </c>
      <c r="R243" s="92" t="s">
        <v>449</v>
      </c>
      <c r="S243" s="87"/>
    </row>
    <row r="244" spans="1:19" x14ac:dyDescent="0.2">
      <c r="A244" s="92" t="s">
        <v>453</v>
      </c>
      <c r="B244" s="69">
        <v>21</v>
      </c>
      <c r="C244" s="69">
        <v>7</v>
      </c>
      <c r="D244" s="69">
        <v>11</v>
      </c>
      <c r="E244" s="69">
        <v>21</v>
      </c>
      <c r="F244" s="69">
        <v>10</v>
      </c>
      <c r="G244" s="69">
        <v>16</v>
      </c>
      <c r="H244" s="69">
        <v>3.1</v>
      </c>
      <c r="I244" s="70">
        <v>0.33</v>
      </c>
      <c r="J244" s="70">
        <v>0.77</v>
      </c>
      <c r="K244" s="69">
        <v>8</v>
      </c>
      <c r="L244" s="69">
        <v>0.3</v>
      </c>
      <c r="M244" s="69" t="s">
        <v>451</v>
      </c>
      <c r="N244" s="69">
        <v>2003</v>
      </c>
      <c r="O244" s="69" t="s">
        <v>71</v>
      </c>
      <c r="P244" s="69">
        <v>316752</v>
      </c>
      <c r="Q244" s="92" t="s">
        <v>454</v>
      </c>
      <c r="R244" s="92" t="s">
        <v>223</v>
      </c>
      <c r="S244" s="92"/>
    </row>
    <row r="245" spans="1:19" x14ac:dyDescent="0.2">
      <c r="A245" s="92" t="s">
        <v>452</v>
      </c>
      <c r="B245" s="69">
        <v>19</v>
      </c>
      <c r="C245" s="69">
        <v>8</v>
      </c>
      <c r="D245" s="69">
        <v>6</v>
      </c>
      <c r="E245" s="69">
        <v>19</v>
      </c>
      <c r="F245" s="69">
        <v>71</v>
      </c>
      <c r="G245" s="69">
        <v>78</v>
      </c>
      <c r="H245" s="69">
        <v>12.2</v>
      </c>
      <c r="I245" s="70">
        <v>0.33</v>
      </c>
      <c r="J245" s="70">
        <v>1.5</v>
      </c>
      <c r="K245" s="69">
        <v>10.5</v>
      </c>
      <c r="L245" s="69">
        <v>1.6</v>
      </c>
      <c r="M245" s="69" t="s">
        <v>170</v>
      </c>
      <c r="N245" s="69">
        <v>2008</v>
      </c>
      <c r="O245" s="69" t="s">
        <v>171</v>
      </c>
      <c r="P245" s="69">
        <v>203067</v>
      </c>
      <c r="Q245" s="92" t="s">
        <v>226</v>
      </c>
      <c r="R245" s="92" t="s">
        <v>264</v>
      </c>
      <c r="S245" s="87" t="s">
        <v>189</v>
      </c>
    </row>
    <row r="246" spans="1:19" x14ac:dyDescent="0.2">
      <c r="A246" s="92" t="s">
        <v>450</v>
      </c>
      <c r="B246" s="69">
        <v>29</v>
      </c>
      <c r="C246" s="69">
        <v>10</v>
      </c>
      <c r="D246" s="69">
        <v>18</v>
      </c>
      <c r="E246" s="69">
        <v>28</v>
      </c>
      <c r="F246" s="69">
        <v>19</v>
      </c>
      <c r="G246" s="69">
        <v>32</v>
      </c>
      <c r="H246" s="69">
        <v>5.7</v>
      </c>
      <c r="I246" s="70">
        <v>0.33</v>
      </c>
      <c r="J246" s="70">
        <v>0.82</v>
      </c>
      <c r="K246" s="69">
        <v>8.5</v>
      </c>
      <c r="L246" s="69">
        <v>0.6</v>
      </c>
      <c r="M246" s="69" t="s">
        <v>451</v>
      </c>
      <c r="N246" s="69">
        <v>2000</v>
      </c>
      <c r="O246" s="69" t="s">
        <v>71</v>
      </c>
      <c r="P246" s="69">
        <v>551804</v>
      </c>
      <c r="Q246" s="92" t="s">
        <v>431</v>
      </c>
      <c r="R246" s="92" t="s">
        <v>223</v>
      </c>
      <c r="S246" s="87"/>
    </row>
    <row r="247" spans="1:19" x14ac:dyDescent="0.2">
      <c r="A247" s="92" t="s">
        <v>455</v>
      </c>
      <c r="B247" s="69">
        <v>17</v>
      </c>
      <c r="C247" s="69">
        <v>9</v>
      </c>
      <c r="D247" s="69">
        <v>7</v>
      </c>
      <c r="E247" s="69">
        <v>17</v>
      </c>
      <c r="F247" s="69">
        <v>61</v>
      </c>
      <c r="G247" s="69">
        <v>75</v>
      </c>
      <c r="H247" s="69">
        <v>11.8</v>
      </c>
      <c r="I247" s="70">
        <v>0.34</v>
      </c>
      <c r="J247" s="70">
        <v>1.31</v>
      </c>
      <c r="K247" s="69">
        <v>10.8</v>
      </c>
      <c r="L247" s="69">
        <v>1.4</v>
      </c>
      <c r="M247" s="69" t="s">
        <v>170</v>
      </c>
      <c r="N247" s="69">
        <v>2000</v>
      </c>
      <c r="O247" s="69" t="s">
        <v>171</v>
      </c>
      <c r="P247" s="69">
        <v>528133</v>
      </c>
      <c r="Q247" s="92" t="s">
        <v>203</v>
      </c>
      <c r="R247" s="92" t="s">
        <v>264</v>
      </c>
      <c r="S247" s="87"/>
    </row>
    <row r="248" spans="1:19" x14ac:dyDescent="0.2">
      <c r="A248" s="92" t="s">
        <v>456</v>
      </c>
      <c r="B248" s="69">
        <v>11</v>
      </c>
      <c r="C248" s="69">
        <v>4</v>
      </c>
      <c r="D248" s="69">
        <v>2</v>
      </c>
      <c r="E248" s="69">
        <v>11</v>
      </c>
      <c r="F248" s="69"/>
      <c r="G248" s="69"/>
      <c r="H248" s="69"/>
      <c r="I248" s="70">
        <v>0.34</v>
      </c>
      <c r="J248" s="70">
        <v>1.61</v>
      </c>
      <c r="K248" s="69"/>
      <c r="L248" s="69"/>
      <c r="M248" s="69" t="s">
        <v>170</v>
      </c>
      <c r="N248" s="69">
        <v>2014</v>
      </c>
      <c r="O248" s="69" t="s">
        <v>71</v>
      </c>
      <c r="P248" s="69">
        <v>564849</v>
      </c>
      <c r="Q248" s="92" t="s">
        <v>226</v>
      </c>
      <c r="R248" s="92" t="s">
        <v>260</v>
      </c>
      <c r="S248" s="87"/>
    </row>
    <row r="249" spans="1:19" x14ac:dyDescent="0.2">
      <c r="A249" s="92" t="s">
        <v>457</v>
      </c>
      <c r="B249" s="69">
        <v>13</v>
      </c>
      <c r="C249" s="69">
        <v>6</v>
      </c>
      <c r="D249" s="69">
        <v>-1</v>
      </c>
      <c r="E249" s="69">
        <v>13</v>
      </c>
      <c r="F249" s="69">
        <v>65</v>
      </c>
      <c r="G249" s="69">
        <v>69</v>
      </c>
      <c r="H249" s="69">
        <v>11.1</v>
      </c>
      <c r="I249" s="70">
        <v>0.34</v>
      </c>
      <c r="J249" s="70">
        <v>1.61</v>
      </c>
      <c r="K249" s="69">
        <v>10.199999999999999</v>
      </c>
      <c r="L249" s="69">
        <v>1.6</v>
      </c>
      <c r="M249" s="69" t="s">
        <v>170</v>
      </c>
      <c r="N249" s="69">
        <v>2007</v>
      </c>
      <c r="O249" s="69" t="s">
        <v>71</v>
      </c>
      <c r="P249" s="69">
        <v>286294</v>
      </c>
      <c r="Q249" s="92" t="s">
        <v>226</v>
      </c>
      <c r="R249" s="92" t="s">
        <v>410</v>
      </c>
      <c r="S249" s="92"/>
    </row>
    <row r="250" spans="1:19" x14ac:dyDescent="0.2">
      <c r="A250" s="92" t="s">
        <v>104</v>
      </c>
      <c r="B250" s="69">
        <v>18</v>
      </c>
      <c r="C250" s="69">
        <v>6</v>
      </c>
      <c r="D250" s="69">
        <v>4</v>
      </c>
      <c r="E250" s="69">
        <v>18</v>
      </c>
      <c r="F250" s="69">
        <v>102</v>
      </c>
      <c r="G250" s="69">
        <v>126</v>
      </c>
      <c r="H250" s="69">
        <v>17.7</v>
      </c>
      <c r="I250" s="70">
        <v>0.34</v>
      </c>
      <c r="J250" s="70">
        <v>1.4</v>
      </c>
      <c r="K250" s="69">
        <v>12.2</v>
      </c>
      <c r="L250" s="69">
        <v>1.9</v>
      </c>
      <c r="M250" s="69" t="s">
        <v>170</v>
      </c>
      <c r="N250" s="69">
        <v>2009</v>
      </c>
      <c r="O250" s="69" t="s">
        <v>171</v>
      </c>
      <c r="P250" s="69">
        <v>140491</v>
      </c>
      <c r="Q250" s="92" t="s">
        <v>445</v>
      </c>
      <c r="R250" s="92" t="s">
        <v>410</v>
      </c>
      <c r="S250" s="92"/>
    </row>
    <row r="251" spans="1:19" x14ac:dyDescent="0.2">
      <c r="A251" s="92" t="s">
        <v>458</v>
      </c>
      <c r="B251" s="69">
        <v>6</v>
      </c>
      <c r="C251" s="69">
        <v>1</v>
      </c>
      <c r="D251" s="69">
        <v>2</v>
      </c>
      <c r="E251" s="69">
        <v>6</v>
      </c>
      <c r="F251" s="69">
        <v>15</v>
      </c>
      <c r="G251" s="69">
        <v>21</v>
      </c>
      <c r="H251" s="69">
        <v>4</v>
      </c>
      <c r="I251" s="70">
        <v>0.34</v>
      </c>
      <c r="J251" s="70">
        <v>0.91</v>
      </c>
      <c r="K251" s="69">
        <v>1.9</v>
      </c>
      <c r="L251" s="69">
        <v>1.8</v>
      </c>
      <c r="M251" s="69" t="s">
        <v>170</v>
      </c>
      <c r="N251" s="69">
        <v>2000</v>
      </c>
      <c r="O251" s="69" t="s">
        <v>171</v>
      </c>
      <c r="P251" s="69">
        <v>403642</v>
      </c>
      <c r="Q251" s="92" t="s">
        <v>277</v>
      </c>
      <c r="R251" s="92" t="s">
        <v>266</v>
      </c>
      <c r="S251" s="87" t="s">
        <v>189</v>
      </c>
    </row>
    <row r="252" spans="1:19" x14ac:dyDescent="0.2">
      <c r="A252" s="92" t="s">
        <v>459</v>
      </c>
      <c r="B252" s="69">
        <v>25</v>
      </c>
      <c r="C252" s="69">
        <v>8</v>
      </c>
      <c r="D252" s="69">
        <v>14</v>
      </c>
      <c r="E252" s="69">
        <v>25</v>
      </c>
      <c r="F252" s="69">
        <v>46</v>
      </c>
      <c r="G252" s="69">
        <v>38</v>
      </c>
      <c r="H252" s="69">
        <v>6.6</v>
      </c>
      <c r="I252" s="70">
        <v>0.34</v>
      </c>
      <c r="J252" s="70">
        <v>1.6</v>
      </c>
      <c r="K252" s="69">
        <v>10.7</v>
      </c>
      <c r="L252" s="69">
        <v>1.1000000000000001</v>
      </c>
      <c r="M252" s="69" t="s">
        <v>170</v>
      </c>
      <c r="N252" s="69">
        <v>2013</v>
      </c>
      <c r="O252" s="69" t="s">
        <v>71</v>
      </c>
      <c r="P252" s="69">
        <v>494427</v>
      </c>
      <c r="Q252" s="92" t="s">
        <v>226</v>
      </c>
      <c r="R252" s="92" t="s">
        <v>310</v>
      </c>
      <c r="S252" s="92"/>
    </row>
    <row r="253" spans="1:19" x14ac:dyDescent="0.2">
      <c r="A253" s="92" t="s">
        <v>461</v>
      </c>
      <c r="B253" s="69">
        <v>2</v>
      </c>
      <c r="C253" s="69">
        <v>-8</v>
      </c>
      <c r="D253" s="69">
        <v>-4</v>
      </c>
      <c r="E253" s="69">
        <v>2</v>
      </c>
      <c r="F253" s="69">
        <v>12</v>
      </c>
      <c r="G253" s="69"/>
      <c r="H253" s="69"/>
      <c r="I253" s="70">
        <v>0.35</v>
      </c>
      <c r="J253" s="70">
        <v>0.8</v>
      </c>
      <c r="K253" s="69">
        <v>6.5</v>
      </c>
      <c r="L253" s="69">
        <v>0.4</v>
      </c>
      <c r="M253" s="69" t="s">
        <v>376</v>
      </c>
      <c r="N253" s="69">
        <v>2012</v>
      </c>
      <c r="O253" s="69" t="s">
        <v>71</v>
      </c>
      <c r="P253" s="69">
        <v>980284</v>
      </c>
      <c r="Q253" s="92" t="s">
        <v>462</v>
      </c>
      <c r="R253" s="92" t="s">
        <v>223</v>
      </c>
      <c r="S253" s="92"/>
    </row>
    <row r="254" spans="1:19" x14ac:dyDescent="0.2">
      <c r="A254" s="92" t="s">
        <v>463</v>
      </c>
      <c r="B254" s="69">
        <v>14</v>
      </c>
      <c r="C254" s="69">
        <v>5</v>
      </c>
      <c r="D254" s="69">
        <v>5</v>
      </c>
      <c r="E254" s="69">
        <v>14</v>
      </c>
      <c r="F254" s="69">
        <v>29</v>
      </c>
      <c r="G254" s="69">
        <v>22</v>
      </c>
      <c r="H254" s="69">
        <v>4.0999999999999996</v>
      </c>
      <c r="I254" s="70">
        <v>0.35</v>
      </c>
      <c r="J254" s="70">
        <v>0.82</v>
      </c>
      <c r="K254" s="69">
        <v>6.7</v>
      </c>
      <c r="L254" s="69">
        <v>1.1000000000000001</v>
      </c>
      <c r="M254" s="69" t="s">
        <v>241</v>
      </c>
      <c r="N254" s="69">
        <v>2013</v>
      </c>
      <c r="O254" s="69" t="s">
        <v>71</v>
      </c>
      <c r="P254" s="69">
        <v>528422</v>
      </c>
      <c r="Q254" s="92" t="s">
        <v>464</v>
      </c>
      <c r="R254" s="92" t="s">
        <v>223</v>
      </c>
      <c r="S254" s="87"/>
    </row>
    <row r="255" spans="1:19" x14ac:dyDescent="0.2">
      <c r="A255" s="92" t="s">
        <v>469</v>
      </c>
      <c r="B255" s="69">
        <v>13</v>
      </c>
      <c r="C255" s="69">
        <v>5</v>
      </c>
      <c r="D255" s="69">
        <v>3</v>
      </c>
      <c r="E255" s="69">
        <v>12</v>
      </c>
      <c r="F255" s="69">
        <v>49</v>
      </c>
      <c r="G255" s="69">
        <v>43</v>
      </c>
      <c r="H255" s="69">
        <v>7.4</v>
      </c>
      <c r="I255" s="70">
        <v>0.35</v>
      </c>
      <c r="J255" s="70">
        <v>0.95</v>
      </c>
      <c r="K255" s="69">
        <v>6</v>
      </c>
      <c r="L255" s="69">
        <v>2</v>
      </c>
      <c r="M255" s="69" t="s">
        <v>241</v>
      </c>
      <c r="N255" s="69">
        <v>2001</v>
      </c>
      <c r="O255" s="69" t="s">
        <v>71</v>
      </c>
      <c r="P255" s="69">
        <v>549972</v>
      </c>
      <c r="Q255" s="92" t="s">
        <v>235</v>
      </c>
      <c r="R255" s="92" t="s">
        <v>243</v>
      </c>
      <c r="S255" s="87"/>
    </row>
    <row r="256" spans="1:19" x14ac:dyDescent="0.2">
      <c r="A256" s="92" t="s">
        <v>460</v>
      </c>
      <c r="B256" s="69">
        <v>17</v>
      </c>
      <c r="C256" s="69">
        <v>6</v>
      </c>
      <c r="D256" s="69">
        <v>10</v>
      </c>
      <c r="E256" s="69">
        <v>17</v>
      </c>
      <c r="F256" s="69">
        <v>18</v>
      </c>
      <c r="G256" s="69">
        <v>24</v>
      </c>
      <c r="H256" s="69">
        <v>4.4000000000000004</v>
      </c>
      <c r="I256" s="70">
        <v>0.35</v>
      </c>
      <c r="J256" s="70">
        <v>4.12</v>
      </c>
      <c r="K256" s="69">
        <v>7.3</v>
      </c>
      <c r="L256" s="69">
        <v>0.6</v>
      </c>
      <c r="M256" s="69" t="s">
        <v>170</v>
      </c>
      <c r="N256" s="69">
        <v>2011</v>
      </c>
      <c r="O256" s="69" t="s">
        <v>71</v>
      </c>
      <c r="P256" s="69">
        <v>639633</v>
      </c>
      <c r="Q256" s="92" t="s">
        <v>289</v>
      </c>
      <c r="R256" s="92" t="s">
        <v>173</v>
      </c>
      <c r="S256" s="87"/>
    </row>
    <row r="257" spans="1:19" x14ac:dyDescent="0.2">
      <c r="A257" s="92" t="s">
        <v>467</v>
      </c>
      <c r="B257" s="69">
        <v>2</v>
      </c>
      <c r="C257" s="69">
        <v>-1</v>
      </c>
      <c r="D257" s="69">
        <v>-1</v>
      </c>
      <c r="E257" s="69">
        <v>2</v>
      </c>
      <c r="F257" s="69"/>
      <c r="G257" s="69"/>
      <c r="H257" s="69"/>
      <c r="I257" s="70">
        <v>0.35</v>
      </c>
      <c r="J257" s="70">
        <v>0.82</v>
      </c>
      <c r="K257" s="69"/>
      <c r="L257" s="69"/>
      <c r="M257" s="69" t="s">
        <v>170</v>
      </c>
      <c r="N257" s="69">
        <v>2012</v>
      </c>
      <c r="O257" s="69" t="s">
        <v>171</v>
      </c>
      <c r="P257" s="69">
        <v>832717</v>
      </c>
      <c r="Q257" s="92" t="s">
        <v>216</v>
      </c>
      <c r="R257" s="92" t="s">
        <v>223</v>
      </c>
      <c r="S257" s="87"/>
    </row>
    <row r="258" spans="1:19" x14ac:dyDescent="0.2">
      <c r="A258" s="92" t="s">
        <v>468</v>
      </c>
      <c r="B258" s="69">
        <v>14</v>
      </c>
      <c r="C258" s="69">
        <v>2</v>
      </c>
      <c r="D258" s="69">
        <v>3</v>
      </c>
      <c r="E258" s="69">
        <v>14</v>
      </c>
      <c r="F258" s="69">
        <v>52</v>
      </c>
      <c r="G258" s="69">
        <v>53</v>
      </c>
      <c r="H258" s="69">
        <v>8.9</v>
      </c>
      <c r="I258" s="70">
        <v>0.35</v>
      </c>
      <c r="J258" s="70">
        <v>1</v>
      </c>
      <c r="K258" s="69">
        <v>8.8000000000000007</v>
      </c>
      <c r="L258" s="69">
        <v>1.5</v>
      </c>
      <c r="M258" s="69" t="s">
        <v>376</v>
      </c>
      <c r="N258" s="69">
        <v>2002</v>
      </c>
      <c r="O258" s="69" t="s">
        <v>71</v>
      </c>
      <c r="P258" s="69">
        <v>984187</v>
      </c>
      <c r="Q258" s="92" t="s">
        <v>207</v>
      </c>
      <c r="R258" s="92" t="s">
        <v>212</v>
      </c>
      <c r="S258" s="87"/>
    </row>
    <row r="259" spans="1:19" x14ac:dyDescent="0.2">
      <c r="A259" s="92" t="s">
        <v>465</v>
      </c>
      <c r="B259" s="69">
        <v>14</v>
      </c>
      <c r="C259" s="69">
        <v>1</v>
      </c>
      <c r="D259" s="69">
        <v>2</v>
      </c>
      <c r="E259" s="69">
        <v>14</v>
      </c>
      <c r="F259" s="69">
        <v>44</v>
      </c>
      <c r="G259" s="69">
        <v>23</v>
      </c>
      <c r="H259" s="69">
        <v>4.3</v>
      </c>
      <c r="I259" s="70">
        <v>0.35</v>
      </c>
      <c r="J259" s="70">
        <v>1</v>
      </c>
      <c r="K259" s="69">
        <v>9.9</v>
      </c>
      <c r="L259" s="69">
        <v>1.2</v>
      </c>
      <c r="M259" s="69" t="s">
        <v>376</v>
      </c>
      <c r="N259" s="69">
        <v>2002</v>
      </c>
      <c r="O259" s="69" t="s">
        <v>71</v>
      </c>
      <c r="P259" s="69">
        <v>120014</v>
      </c>
      <c r="Q259" s="92" t="s">
        <v>207</v>
      </c>
      <c r="R259" s="92" t="s">
        <v>212</v>
      </c>
      <c r="S259" s="92"/>
    </row>
    <row r="260" spans="1:19" x14ac:dyDescent="0.2">
      <c r="A260" s="92" t="s">
        <v>466</v>
      </c>
      <c r="B260" s="69">
        <v>5</v>
      </c>
      <c r="C260" s="69">
        <v>1</v>
      </c>
      <c r="D260" s="69">
        <v>0</v>
      </c>
      <c r="E260" s="69">
        <v>5</v>
      </c>
      <c r="F260" s="69"/>
      <c r="G260" s="69"/>
      <c r="H260" s="69"/>
      <c r="I260" s="70">
        <v>0.35</v>
      </c>
      <c r="J260" s="70">
        <v>0.95</v>
      </c>
      <c r="K260" s="69"/>
      <c r="L260" s="69"/>
      <c r="M260" s="69" t="s">
        <v>170</v>
      </c>
      <c r="N260" s="69">
        <v>2012</v>
      </c>
      <c r="O260" s="69" t="s">
        <v>71</v>
      </c>
      <c r="P260" s="69">
        <v>700310</v>
      </c>
      <c r="Q260" s="92" t="s">
        <v>235</v>
      </c>
      <c r="R260" s="92" t="s">
        <v>243</v>
      </c>
      <c r="S260" s="92"/>
    </row>
    <row r="261" spans="1:19" x14ac:dyDescent="0.2">
      <c r="A261" s="92" t="s">
        <v>21</v>
      </c>
      <c r="B261" s="69">
        <v>40</v>
      </c>
      <c r="C261" s="69">
        <v>15</v>
      </c>
      <c r="D261" s="69">
        <v>12</v>
      </c>
      <c r="E261" s="69">
        <v>40</v>
      </c>
      <c r="F261" s="69">
        <v>100</v>
      </c>
      <c r="G261" s="69">
        <v>152</v>
      </c>
      <c r="H261" s="69">
        <v>20.3</v>
      </c>
      <c r="I261" s="70">
        <v>0.36</v>
      </c>
      <c r="J261" s="70">
        <v>1.41</v>
      </c>
      <c r="K261" s="69">
        <v>11.8</v>
      </c>
      <c r="L261" s="69">
        <v>1.9</v>
      </c>
      <c r="M261" s="69" t="s">
        <v>170</v>
      </c>
      <c r="N261" s="69">
        <v>2001</v>
      </c>
      <c r="O261" s="69" t="s">
        <v>171</v>
      </c>
      <c r="P261" s="69">
        <v>313742</v>
      </c>
      <c r="Q261" s="92" t="s">
        <v>203</v>
      </c>
      <c r="R261" s="92" t="s">
        <v>370</v>
      </c>
      <c r="S261" s="87"/>
    </row>
    <row r="262" spans="1:19" x14ac:dyDescent="0.2">
      <c r="A262" s="92" t="s">
        <v>472</v>
      </c>
      <c r="B262" s="69">
        <v>17</v>
      </c>
      <c r="C262" s="69">
        <v>7</v>
      </c>
      <c r="D262" s="69">
        <v>6</v>
      </c>
      <c r="E262" s="69">
        <v>17</v>
      </c>
      <c r="F262" s="69">
        <v>71</v>
      </c>
      <c r="G262" s="69">
        <v>81</v>
      </c>
      <c r="H262" s="69">
        <v>12.6</v>
      </c>
      <c r="I262" s="70">
        <v>0.36</v>
      </c>
      <c r="J262" s="70">
        <v>1.4</v>
      </c>
      <c r="K262" s="69">
        <v>10.7</v>
      </c>
      <c r="L262" s="69">
        <v>1.6</v>
      </c>
      <c r="M262" s="69" t="s">
        <v>170</v>
      </c>
      <c r="N262" s="69">
        <v>2000</v>
      </c>
      <c r="O262" s="69" t="s">
        <v>171</v>
      </c>
      <c r="P262" s="69">
        <v>916189</v>
      </c>
      <c r="Q262" s="92" t="s">
        <v>231</v>
      </c>
      <c r="R262" s="92" t="s">
        <v>264</v>
      </c>
      <c r="S262" s="87"/>
    </row>
    <row r="263" spans="1:19" x14ac:dyDescent="0.2">
      <c r="A263" s="92" t="s">
        <v>473</v>
      </c>
      <c r="B263" s="69">
        <v>15</v>
      </c>
      <c r="C263" s="69">
        <v>4</v>
      </c>
      <c r="D263" s="69">
        <v>7</v>
      </c>
      <c r="E263" s="69">
        <v>14</v>
      </c>
      <c r="F263" s="69">
        <v>38</v>
      </c>
      <c r="G263" s="69">
        <v>37</v>
      </c>
      <c r="H263" s="69">
        <v>6.5</v>
      </c>
      <c r="I263" s="70">
        <v>0.36</v>
      </c>
      <c r="J263" s="70">
        <v>1.4</v>
      </c>
      <c r="K263" s="69">
        <v>4.5999999999999996</v>
      </c>
      <c r="L263" s="69">
        <v>2.1</v>
      </c>
      <c r="M263" s="69" t="s">
        <v>170</v>
      </c>
      <c r="N263" s="69">
        <v>2000</v>
      </c>
      <c r="O263" s="69" t="s">
        <v>171</v>
      </c>
      <c r="P263" s="69">
        <v>665372</v>
      </c>
      <c r="Q263" s="92" t="s">
        <v>231</v>
      </c>
      <c r="R263" s="92" t="s">
        <v>266</v>
      </c>
      <c r="S263" s="92"/>
    </row>
    <row r="264" spans="1:19" x14ac:dyDescent="0.2">
      <c r="A264" s="92" t="s">
        <v>474</v>
      </c>
      <c r="B264" s="69">
        <v>21</v>
      </c>
      <c r="C264" s="69">
        <v>7</v>
      </c>
      <c r="D264" s="69">
        <v>11</v>
      </c>
      <c r="E264" s="69">
        <v>21</v>
      </c>
      <c r="F264" s="69">
        <v>51</v>
      </c>
      <c r="G264" s="69">
        <v>60</v>
      </c>
      <c r="H264" s="69">
        <v>9.8000000000000007</v>
      </c>
      <c r="I264" s="70">
        <v>0.36</v>
      </c>
      <c r="J264" s="70">
        <v>1.25</v>
      </c>
      <c r="K264" s="69">
        <v>5.0999999999999996</v>
      </c>
      <c r="L264" s="69">
        <v>2.5</v>
      </c>
      <c r="M264" s="69" t="s">
        <v>170</v>
      </c>
      <c r="N264" s="69">
        <v>2002</v>
      </c>
      <c r="O264" s="69" t="s">
        <v>171</v>
      </c>
      <c r="P264" s="69">
        <v>879114</v>
      </c>
      <c r="Q264" s="92" t="s">
        <v>249</v>
      </c>
      <c r="R264" s="92" t="s">
        <v>266</v>
      </c>
      <c r="S264" s="92"/>
    </row>
    <row r="265" spans="1:19" x14ac:dyDescent="0.2">
      <c r="A265" s="92" t="s">
        <v>476</v>
      </c>
      <c r="B265" s="69"/>
      <c r="C265" s="69">
        <v>3</v>
      </c>
      <c r="D265" s="69">
        <v>3</v>
      </c>
      <c r="E265" s="69"/>
      <c r="F265" s="69"/>
      <c r="G265" s="69"/>
      <c r="H265" s="69"/>
      <c r="I265" s="70">
        <v>0.36</v>
      </c>
      <c r="J265" s="70">
        <v>1</v>
      </c>
      <c r="K265" s="69"/>
      <c r="L265" s="69"/>
      <c r="M265" s="69" t="s">
        <v>241</v>
      </c>
      <c r="N265" s="69">
        <v>2014</v>
      </c>
      <c r="O265" s="69" t="s">
        <v>71</v>
      </c>
      <c r="P265" s="69">
        <v>229625</v>
      </c>
      <c r="Q265" s="92" t="s">
        <v>235</v>
      </c>
      <c r="R265" s="92" t="s">
        <v>223</v>
      </c>
      <c r="S265" s="87"/>
    </row>
    <row r="266" spans="1:19" x14ac:dyDescent="0.2">
      <c r="A266" s="92" t="s">
        <v>470</v>
      </c>
      <c r="B266" s="69">
        <v>6</v>
      </c>
      <c r="C266" s="69">
        <v>-5</v>
      </c>
      <c r="D266" s="69">
        <v>-4</v>
      </c>
      <c r="E266" s="69">
        <v>6</v>
      </c>
      <c r="F266" s="69">
        <v>-12</v>
      </c>
      <c r="G266" s="69">
        <v>-20</v>
      </c>
      <c r="H266" s="69">
        <v>-4.3</v>
      </c>
      <c r="I266" s="70">
        <v>0.36</v>
      </c>
      <c r="J266" s="70">
        <v>1.75</v>
      </c>
      <c r="K266" s="69">
        <v>17.3</v>
      </c>
      <c r="L266" s="69">
        <v>-0.2</v>
      </c>
      <c r="M266" s="69" t="s">
        <v>170</v>
      </c>
      <c r="N266" s="69">
        <v>2008</v>
      </c>
      <c r="O266" s="69" t="s">
        <v>171</v>
      </c>
      <c r="P266" s="69">
        <v>588699</v>
      </c>
      <c r="Q266" s="92" t="s">
        <v>226</v>
      </c>
      <c r="R266" s="92" t="s">
        <v>471</v>
      </c>
      <c r="S266" s="92"/>
    </row>
    <row r="267" spans="1:19" x14ac:dyDescent="0.2">
      <c r="A267" s="92" t="s">
        <v>475</v>
      </c>
      <c r="B267" s="69">
        <v>5</v>
      </c>
      <c r="C267" s="69">
        <v>0</v>
      </c>
      <c r="D267" s="69">
        <v>1</v>
      </c>
      <c r="E267" s="69">
        <v>5</v>
      </c>
      <c r="F267" s="69">
        <v>30</v>
      </c>
      <c r="G267" s="69">
        <v>40</v>
      </c>
      <c r="H267" s="69">
        <v>7</v>
      </c>
      <c r="I267" s="70">
        <v>0.36</v>
      </c>
      <c r="J267" s="70">
        <v>1.03</v>
      </c>
      <c r="K267" s="69">
        <v>2.9</v>
      </c>
      <c r="L267" s="69">
        <v>2.7</v>
      </c>
      <c r="M267" s="69" t="s">
        <v>170</v>
      </c>
      <c r="N267" s="69">
        <v>2004</v>
      </c>
      <c r="O267" s="69" t="s">
        <v>171</v>
      </c>
      <c r="P267" s="69">
        <v>104786</v>
      </c>
      <c r="Q267" s="92" t="s">
        <v>194</v>
      </c>
      <c r="R267" s="92" t="s">
        <v>223</v>
      </c>
      <c r="S267" s="92"/>
    </row>
    <row r="268" spans="1:19" x14ac:dyDescent="0.2">
      <c r="A268" s="92" t="s">
        <v>477</v>
      </c>
      <c r="B268" s="69">
        <v>17</v>
      </c>
      <c r="C268" s="69">
        <v>4</v>
      </c>
      <c r="D268" s="69">
        <v>7</v>
      </c>
      <c r="E268" s="69">
        <v>17</v>
      </c>
      <c r="F268" s="69"/>
      <c r="G268" s="69"/>
      <c r="H268" s="69"/>
      <c r="I268" s="70">
        <v>0.37</v>
      </c>
      <c r="J268" s="70">
        <v>0.94</v>
      </c>
      <c r="K268" s="69"/>
      <c r="L268" s="69"/>
      <c r="M268" s="69" t="s">
        <v>170</v>
      </c>
      <c r="N268" s="69">
        <v>2012</v>
      </c>
      <c r="O268" s="69" t="s">
        <v>171</v>
      </c>
      <c r="P268" s="69">
        <v>295857</v>
      </c>
      <c r="Q268" s="92" t="s">
        <v>194</v>
      </c>
      <c r="R268" s="92" t="s">
        <v>379</v>
      </c>
      <c r="S268" s="92"/>
    </row>
    <row r="269" spans="1:19" x14ac:dyDescent="0.2">
      <c r="A269" s="92" t="s">
        <v>478</v>
      </c>
      <c r="B269" s="69">
        <v>24</v>
      </c>
      <c r="C269" s="69">
        <v>13</v>
      </c>
      <c r="D269" s="69">
        <v>11</v>
      </c>
      <c r="E269" s="69">
        <v>24</v>
      </c>
      <c r="F269" s="69">
        <v>88</v>
      </c>
      <c r="G269" s="69">
        <v>97</v>
      </c>
      <c r="H269" s="69">
        <v>14.5</v>
      </c>
      <c r="I269" s="70">
        <v>0.37</v>
      </c>
      <c r="J269" s="70">
        <v>1.4</v>
      </c>
      <c r="K269" s="69">
        <v>10.6</v>
      </c>
      <c r="L269" s="69">
        <v>1.9</v>
      </c>
      <c r="M269" s="69" t="s">
        <v>170</v>
      </c>
      <c r="N269" s="69">
        <v>2000</v>
      </c>
      <c r="O269" s="69" t="s">
        <v>171</v>
      </c>
      <c r="P269" s="69">
        <v>393314</v>
      </c>
      <c r="Q269" s="92" t="s">
        <v>221</v>
      </c>
      <c r="R269" s="92" t="s">
        <v>264</v>
      </c>
      <c r="S269" s="92"/>
    </row>
    <row r="270" spans="1:19" x14ac:dyDescent="0.2">
      <c r="A270" s="92" t="s">
        <v>482</v>
      </c>
      <c r="B270" s="69">
        <v>14</v>
      </c>
      <c r="C270" s="69">
        <v>15</v>
      </c>
      <c r="D270" s="69">
        <v>16</v>
      </c>
      <c r="E270" s="69">
        <v>14</v>
      </c>
      <c r="F270" s="69"/>
      <c r="G270" s="69"/>
      <c r="H270" s="69"/>
      <c r="I270" s="70">
        <v>0.37</v>
      </c>
      <c r="J270" s="70">
        <v>0.8</v>
      </c>
      <c r="K270" s="69"/>
      <c r="L270" s="69"/>
      <c r="M270" s="69" t="s">
        <v>170</v>
      </c>
      <c r="N270" s="69">
        <v>2013</v>
      </c>
      <c r="O270" s="69" t="s">
        <v>171</v>
      </c>
      <c r="P270" s="69">
        <v>579425</v>
      </c>
      <c r="Q270" s="92" t="s">
        <v>365</v>
      </c>
      <c r="R270" s="92" t="s">
        <v>449</v>
      </c>
      <c r="S270" s="92"/>
    </row>
    <row r="271" spans="1:19" x14ac:dyDescent="0.2">
      <c r="A271" s="92" t="s">
        <v>479</v>
      </c>
      <c r="B271" s="69">
        <v>20</v>
      </c>
      <c r="C271" s="69">
        <v>7</v>
      </c>
      <c r="D271" s="69">
        <v>8</v>
      </c>
      <c r="E271" s="69">
        <v>20</v>
      </c>
      <c r="F271" s="69">
        <v>72</v>
      </c>
      <c r="G271" s="69">
        <v>75</v>
      </c>
      <c r="H271" s="69">
        <v>11.8</v>
      </c>
      <c r="I271" s="70">
        <v>0.37</v>
      </c>
      <c r="J271" s="70">
        <v>1.3</v>
      </c>
      <c r="K271" s="69">
        <v>10.3</v>
      </c>
      <c r="L271" s="69">
        <v>1.7</v>
      </c>
      <c r="M271" s="69" t="s">
        <v>170</v>
      </c>
      <c r="N271" s="69">
        <v>2002</v>
      </c>
      <c r="O271" s="69" t="s">
        <v>171</v>
      </c>
      <c r="P271" s="69">
        <v>158261</v>
      </c>
      <c r="Q271" s="92" t="s">
        <v>249</v>
      </c>
      <c r="R271" s="92" t="s">
        <v>264</v>
      </c>
      <c r="S271" s="87"/>
    </row>
    <row r="272" spans="1:19" x14ac:dyDescent="0.2">
      <c r="A272" s="92" t="s">
        <v>1124</v>
      </c>
      <c r="B272" s="69"/>
      <c r="C272" s="69">
        <v>-2</v>
      </c>
      <c r="D272" s="69">
        <v>-2</v>
      </c>
      <c r="E272" s="69"/>
      <c r="F272" s="69"/>
      <c r="G272" s="69"/>
      <c r="H272" s="69"/>
      <c r="I272" s="70">
        <v>0.37</v>
      </c>
      <c r="J272" s="70">
        <v>0.9</v>
      </c>
      <c r="K272" s="69"/>
      <c r="L272" s="69"/>
      <c r="M272" s="69" t="s">
        <v>170</v>
      </c>
      <c r="N272" s="69">
        <v>2014</v>
      </c>
      <c r="O272" s="69" t="s">
        <v>171</v>
      </c>
      <c r="P272" s="69">
        <v>670505</v>
      </c>
      <c r="Q272" s="92" t="s">
        <v>365</v>
      </c>
      <c r="R272" s="92" t="s">
        <v>223</v>
      </c>
      <c r="S272" s="92"/>
    </row>
    <row r="273" spans="1:19" x14ac:dyDescent="0.2">
      <c r="A273" s="92" t="s">
        <v>481</v>
      </c>
      <c r="B273" s="69">
        <v>21</v>
      </c>
      <c r="C273" s="69">
        <v>3</v>
      </c>
      <c r="D273" s="69">
        <v>4</v>
      </c>
      <c r="E273" s="69">
        <v>21</v>
      </c>
      <c r="F273" s="69">
        <v>75</v>
      </c>
      <c r="G273" s="69">
        <v>55</v>
      </c>
      <c r="H273" s="69">
        <v>9.1</v>
      </c>
      <c r="I273" s="70">
        <v>0.37</v>
      </c>
      <c r="J273" s="70">
        <v>1.3</v>
      </c>
      <c r="K273" s="69">
        <v>10.9</v>
      </c>
      <c r="L273" s="69">
        <v>1.7</v>
      </c>
      <c r="M273" s="69" t="s">
        <v>170</v>
      </c>
      <c r="N273" s="69">
        <v>2005</v>
      </c>
      <c r="O273" s="69" t="s">
        <v>171</v>
      </c>
      <c r="P273" s="69">
        <v>484923</v>
      </c>
      <c r="Q273" s="92" t="s">
        <v>249</v>
      </c>
      <c r="R273" s="92" t="s">
        <v>410</v>
      </c>
      <c r="S273" s="87"/>
    </row>
    <row r="274" spans="1:19" x14ac:dyDescent="0.2">
      <c r="A274" s="92" t="s">
        <v>480</v>
      </c>
      <c r="B274" s="69">
        <v>-3</v>
      </c>
      <c r="C274" s="69">
        <v>-4</v>
      </c>
      <c r="D274" s="69">
        <v>-8</v>
      </c>
      <c r="E274" s="69">
        <v>-3</v>
      </c>
      <c r="F274" s="69"/>
      <c r="G274" s="69"/>
      <c r="H274" s="69"/>
      <c r="I274" s="70">
        <v>0.37</v>
      </c>
      <c r="J274" s="70">
        <v>0.8</v>
      </c>
      <c r="K274" s="69"/>
      <c r="L274" s="69"/>
      <c r="M274" s="69" t="s">
        <v>170</v>
      </c>
      <c r="N274" s="69">
        <v>2013</v>
      </c>
      <c r="O274" s="69" t="s">
        <v>171</v>
      </c>
      <c r="P274" s="69">
        <v>543595</v>
      </c>
      <c r="Q274" s="92" t="s">
        <v>365</v>
      </c>
      <c r="R274" s="92" t="s">
        <v>379</v>
      </c>
      <c r="S274" s="92"/>
    </row>
    <row r="275" spans="1:19" x14ac:dyDescent="0.2">
      <c r="A275" s="92" t="s">
        <v>483</v>
      </c>
      <c r="B275" s="69">
        <v>21</v>
      </c>
      <c r="C275" s="69">
        <v>7</v>
      </c>
      <c r="D275" s="69">
        <v>9</v>
      </c>
      <c r="E275" s="69">
        <v>21</v>
      </c>
      <c r="F275" s="69">
        <v>59</v>
      </c>
      <c r="G275" s="69">
        <v>47</v>
      </c>
      <c r="H275" s="69">
        <v>8</v>
      </c>
      <c r="I275" s="70">
        <v>0.38</v>
      </c>
      <c r="J275" s="70">
        <v>1.53</v>
      </c>
      <c r="K275" s="69">
        <v>7.8</v>
      </c>
      <c r="L275" s="69">
        <v>1.9</v>
      </c>
      <c r="M275" s="69" t="s">
        <v>170</v>
      </c>
      <c r="N275" s="69">
        <v>2000</v>
      </c>
      <c r="O275" s="69" t="s">
        <v>171</v>
      </c>
      <c r="P275" s="69">
        <v>563965</v>
      </c>
      <c r="Q275" s="92" t="s">
        <v>203</v>
      </c>
      <c r="R275" s="92" t="s">
        <v>212</v>
      </c>
      <c r="S275" s="87"/>
    </row>
    <row r="276" spans="1:19" x14ac:dyDescent="0.2">
      <c r="A276" s="92" t="s">
        <v>501</v>
      </c>
      <c r="B276" s="69">
        <v>9</v>
      </c>
      <c r="C276" s="69">
        <v>2</v>
      </c>
      <c r="D276" s="69">
        <v>5</v>
      </c>
      <c r="E276" s="69">
        <v>9</v>
      </c>
      <c r="F276" s="69">
        <v>18</v>
      </c>
      <c r="G276" s="69"/>
      <c r="H276" s="69"/>
      <c r="I276" s="70">
        <v>0.38</v>
      </c>
      <c r="J276" s="70">
        <v>1.48</v>
      </c>
      <c r="K276" s="69">
        <v>1.9</v>
      </c>
      <c r="L276" s="69">
        <v>2.2000000000000002</v>
      </c>
      <c r="M276" s="69" t="s">
        <v>170</v>
      </c>
      <c r="N276" s="69">
        <v>2011</v>
      </c>
      <c r="O276" s="69" t="s">
        <v>71</v>
      </c>
      <c r="P276" s="69">
        <v>155606</v>
      </c>
      <c r="Q276" s="92" t="s">
        <v>368</v>
      </c>
      <c r="R276" s="92" t="s">
        <v>173</v>
      </c>
      <c r="S276" s="92"/>
    </row>
    <row r="277" spans="1:19" x14ac:dyDescent="0.2">
      <c r="A277" s="92" t="s">
        <v>492</v>
      </c>
      <c r="B277" s="69">
        <v>23</v>
      </c>
      <c r="C277" s="69">
        <v>10</v>
      </c>
      <c r="D277" s="69">
        <v>4</v>
      </c>
      <c r="E277" s="69">
        <v>23</v>
      </c>
      <c r="F277" s="69">
        <v>92</v>
      </c>
      <c r="G277" s="69">
        <v>125</v>
      </c>
      <c r="H277" s="69">
        <v>17.600000000000001</v>
      </c>
      <c r="I277" s="70">
        <v>0.38</v>
      </c>
      <c r="J277" s="70">
        <v>1.5</v>
      </c>
      <c r="K277" s="69">
        <v>11.8</v>
      </c>
      <c r="L277" s="69">
        <v>1.8</v>
      </c>
      <c r="M277" s="69" t="s">
        <v>170</v>
      </c>
      <c r="N277" s="69">
        <v>2000</v>
      </c>
      <c r="O277" s="69" t="s">
        <v>171</v>
      </c>
      <c r="P277" s="69">
        <v>952010</v>
      </c>
      <c r="Q277" s="92" t="s">
        <v>231</v>
      </c>
      <c r="R277" s="92" t="s">
        <v>331</v>
      </c>
      <c r="S277" s="92"/>
    </row>
    <row r="278" spans="1:19" x14ac:dyDescent="0.2">
      <c r="A278" s="92" t="s">
        <v>493</v>
      </c>
      <c r="B278" s="69">
        <v>44</v>
      </c>
      <c r="C278" s="69">
        <v>12</v>
      </c>
      <c r="D278" s="69">
        <v>24</v>
      </c>
      <c r="E278" s="69">
        <v>44</v>
      </c>
      <c r="F278" s="69">
        <v>117</v>
      </c>
      <c r="G278" s="69">
        <v>125</v>
      </c>
      <c r="H278" s="69">
        <v>17.600000000000001</v>
      </c>
      <c r="I278" s="70">
        <v>0.38</v>
      </c>
      <c r="J278" s="70">
        <v>1.5</v>
      </c>
      <c r="K278" s="69">
        <v>8.3000000000000007</v>
      </c>
      <c r="L278" s="69">
        <v>3</v>
      </c>
      <c r="M278" s="69" t="s">
        <v>170</v>
      </c>
      <c r="N278" s="69">
        <v>2006</v>
      </c>
      <c r="O278" s="69" t="s">
        <v>171</v>
      </c>
      <c r="P278" s="69">
        <v>644005</v>
      </c>
      <c r="Q278" s="92" t="s">
        <v>231</v>
      </c>
      <c r="R278" s="92" t="s">
        <v>404</v>
      </c>
      <c r="S278" s="92"/>
    </row>
    <row r="279" spans="1:19" x14ac:dyDescent="0.2">
      <c r="A279" s="92" t="s">
        <v>494</v>
      </c>
      <c r="B279" s="69">
        <v>12</v>
      </c>
      <c r="C279" s="69">
        <v>5</v>
      </c>
      <c r="D279" s="69">
        <v>5</v>
      </c>
      <c r="E279" s="69">
        <v>12</v>
      </c>
      <c r="F279" s="69">
        <v>14</v>
      </c>
      <c r="G279" s="69"/>
      <c r="H279" s="69"/>
      <c r="I279" s="70">
        <v>0.38</v>
      </c>
      <c r="J279" s="70">
        <v>0.9</v>
      </c>
      <c r="K279" s="69">
        <v>4.9000000000000004</v>
      </c>
      <c r="L279" s="69">
        <v>0.7</v>
      </c>
      <c r="M279" s="69" t="s">
        <v>241</v>
      </c>
      <c r="N279" s="69">
        <v>2011</v>
      </c>
      <c r="O279" s="69" t="s">
        <v>71</v>
      </c>
      <c r="P279" s="69">
        <v>288001</v>
      </c>
      <c r="Q279" s="92" t="s">
        <v>495</v>
      </c>
      <c r="R279" s="92" t="s">
        <v>243</v>
      </c>
      <c r="S279" s="92"/>
    </row>
    <row r="280" spans="1:19" x14ac:dyDescent="0.2">
      <c r="A280" s="92" t="s">
        <v>499</v>
      </c>
      <c r="B280" s="69">
        <v>9</v>
      </c>
      <c r="C280" s="69">
        <v>2</v>
      </c>
      <c r="D280" s="69">
        <v>3</v>
      </c>
      <c r="E280" s="69">
        <v>9</v>
      </c>
      <c r="F280" s="69">
        <v>38</v>
      </c>
      <c r="G280" s="69">
        <v>47</v>
      </c>
      <c r="H280" s="69">
        <v>8</v>
      </c>
      <c r="I280" s="70">
        <v>0.38</v>
      </c>
      <c r="J280" s="70">
        <v>1.07</v>
      </c>
      <c r="K280" s="69">
        <v>3.4</v>
      </c>
      <c r="L280" s="69">
        <v>2.8</v>
      </c>
      <c r="M280" s="69" t="s">
        <v>170</v>
      </c>
      <c r="N280" s="69">
        <v>2009</v>
      </c>
      <c r="O280" s="69" t="s">
        <v>71</v>
      </c>
      <c r="P280" s="69">
        <v>408898</v>
      </c>
      <c r="Q280" s="92" t="s">
        <v>500</v>
      </c>
      <c r="R280" s="92" t="s">
        <v>223</v>
      </c>
      <c r="S280" s="92"/>
    </row>
    <row r="281" spans="1:19" x14ac:dyDescent="0.2">
      <c r="A281" s="92" t="s">
        <v>491</v>
      </c>
      <c r="B281" s="69">
        <v>22</v>
      </c>
      <c r="C281" s="69">
        <v>9</v>
      </c>
      <c r="D281" s="69">
        <v>11</v>
      </c>
      <c r="E281" s="69">
        <v>22</v>
      </c>
      <c r="F281" s="69">
        <v>66</v>
      </c>
      <c r="G281" s="69"/>
      <c r="H281" s="69"/>
      <c r="I281" s="70">
        <v>0.38</v>
      </c>
      <c r="J281" s="70">
        <v>1.6</v>
      </c>
      <c r="K281" s="69">
        <v>6.2</v>
      </c>
      <c r="L281" s="69">
        <v>2.5</v>
      </c>
      <c r="M281" s="69" t="s">
        <v>170</v>
      </c>
      <c r="N281" s="69">
        <v>2011</v>
      </c>
      <c r="O281" s="69" t="s">
        <v>171</v>
      </c>
      <c r="P281" s="69">
        <v>541235</v>
      </c>
      <c r="Q281" s="92" t="s">
        <v>445</v>
      </c>
      <c r="R281" s="92" t="s">
        <v>212</v>
      </c>
      <c r="S281" s="87"/>
    </row>
    <row r="282" spans="1:19" x14ac:dyDescent="0.2">
      <c r="A282" s="92" t="s">
        <v>498</v>
      </c>
      <c r="B282" s="69">
        <v>16</v>
      </c>
      <c r="C282" s="69">
        <v>5</v>
      </c>
      <c r="D282" s="69">
        <v>4</v>
      </c>
      <c r="E282" s="69">
        <v>16</v>
      </c>
      <c r="F282" s="69">
        <v>61</v>
      </c>
      <c r="G282" s="69">
        <v>58</v>
      </c>
      <c r="H282" s="69">
        <v>9.6</v>
      </c>
      <c r="I282" s="70">
        <v>0.38</v>
      </c>
      <c r="J282" s="70">
        <v>1.46</v>
      </c>
      <c r="K282" s="69">
        <v>6.3</v>
      </c>
      <c r="L282" s="69">
        <v>2.4</v>
      </c>
      <c r="M282" s="69" t="s">
        <v>170</v>
      </c>
      <c r="N282" s="69">
        <v>2000</v>
      </c>
      <c r="O282" s="69" t="s">
        <v>171</v>
      </c>
      <c r="P282" s="69">
        <v>357483</v>
      </c>
      <c r="Q282" s="92" t="s">
        <v>221</v>
      </c>
      <c r="R282" s="92" t="s">
        <v>265</v>
      </c>
      <c r="S282" s="92"/>
    </row>
    <row r="283" spans="1:19" x14ac:dyDescent="0.2">
      <c r="A283" s="92" t="s">
        <v>496</v>
      </c>
      <c r="B283" s="69">
        <v>-1</v>
      </c>
      <c r="C283" s="69">
        <v>-8</v>
      </c>
      <c r="D283" s="69">
        <v>-10</v>
      </c>
      <c r="E283" s="69">
        <v>-1</v>
      </c>
      <c r="F283" s="69">
        <v>22</v>
      </c>
      <c r="G283" s="69"/>
      <c r="H283" s="69"/>
      <c r="I283" s="70">
        <v>0.38</v>
      </c>
      <c r="J283" s="70">
        <v>1.55</v>
      </c>
      <c r="K283" s="69">
        <v>7.4</v>
      </c>
      <c r="L283" s="69">
        <v>0.8</v>
      </c>
      <c r="M283" s="69" t="s">
        <v>241</v>
      </c>
      <c r="N283" s="69">
        <v>2010</v>
      </c>
      <c r="O283" s="69" t="s">
        <v>71</v>
      </c>
      <c r="P283" s="69">
        <v>550970</v>
      </c>
      <c r="Q283" s="92" t="s">
        <v>497</v>
      </c>
      <c r="R283" s="92" t="s">
        <v>223</v>
      </c>
      <c r="S283" s="87"/>
    </row>
    <row r="284" spans="1:19" x14ac:dyDescent="0.2">
      <c r="A284" s="92" t="s">
        <v>484</v>
      </c>
      <c r="B284" s="69">
        <v>26</v>
      </c>
      <c r="C284" s="69">
        <v>9</v>
      </c>
      <c r="D284" s="69">
        <v>16</v>
      </c>
      <c r="E284" s="69">
        <v>26</v>
      </c>
      <c r="F284" s="69">
        <v>49</v>
      </c>
      <c r="G284" s="69">
        <v>30</v>
      </c>
      <c r="H284" s="69">
        <v>5.4</v>
      </c>
      <c r="I284" s="70">
        <v>0.38</v>
      </c>
      <c r="J284" s="70">
        <v>1.86</v>
      </c>
      <c r="K284" s="69">
        <v>11.1</v>
      </c>
      <c r="L284" s="69">
        <v>1.1000000000000001</v>
      </c>
      <c r="M284" s="69" t="s">
        <v>170</v>
      </c>
      <c r="N284" s="69">
        <v>2007</v>
      </c>
      <c r="O284" s="69" t="s">
        <v>71</v>
      </c>
      <c r="P284" s="69">
        <v>653097</v>
      </c>
      <c r="Q284" s="92" t="s">
        <v>226</v>
      </c>
      <c r="R284" s="92" t="s">
        <v>449</v>
      </c>
      <c r="S284" s="87"/>
    </row>
    <row r="285" spans="1:19" x14ac:dyDescent="0.2">
      <c r="A285" s="92" t="s">
        <v>485</v>
      </c>
      <c r="B285" s="69">
        <v>37</v>
      </c>
      <c r="C285" s="69">
        <v>10</v>
      </c>
      <c r="D285" s="69">
        <v>13</v>
      </c>
      <c r="E285" s="69">
        <v>37</v>
      </c>
      <c r="F285" s="69">
        <v>44</v>
      </c>
      <c r="G285" s="69">
        <v>8</v>
      </c>
      <c r="H285" s="69">
        <v>1.6</v>
      </c>
      <c r="I285" s="70">
        <v>0.38</v>
      </c>
      <c r="J285" s="70">
        <v>1.85</v>
      </c>
      <c r="K285" s="69">
        <v>17.600000000000001</v>
      </c>
      <c r="L285" s="69">
        <v>0.7</v>
      </c>
      <c r="M285" s="69" t="s">
        <v>170</v>
      </c>
      <c r="N285" s="69">
        <v>2008</v>
      </c>
      <c r="O285" s="69" t="s">
        <v>71</v>
      </c>
      <c r="P285" s="69">
        <v>167239</v>
      </c>
      <c r="Q285" s="92" t="s">
        <v>226</v>
      </c>
      <c r="R285" s="92" t="s">
        <v>379</v>
      </c>
      <c r="S285" s="92"/>
    </row>
    <row r="286" spans="1:19" x14ac:dyDescent="0.2">
      <c r="A286" s="92" t="s">
        <v>486</v>
      </c>
      <c r="B286" s="69">
        <v>-34</v>
      </c>
      <c r="C286" s="69">
        <v>-26</v>
      </c>
      <c r="D286" s="69">
        <v>-31</v>
      </c>
      <c r="E286" s="69">
        <v>-34</v>
      </c>
      <c r="F286" s="69">
        <v>-28</v>
      </c>
      <c r="G286" s="69">
        <v>-40</v>
      </c>
      <c r="H286" s="69">
        <v>-9.8000000000000007</v>
      </c>
      <c r="I286" s="70">
        <v>0.38</v>
      </c>
      <c r="J286" s="70">
        <v>1.85</v>
      </c>
      <c r="K286" s="69">
        <v>21.9</v>
      </c>
      <c r="L286" s="69">
        <v>-0.4</v>
      </c>
      <c r="M286" s="69" t="s">
        <v>170</v>
      </c>
      <c r="N286" s="69">
        <v>2007</v>
      </c>
      <c r="O286" s="69" t="s">
        <v>71</v>
      </c>
      <c r="P286" s="69">
        <v>433862</v>
      </c>
      <c r="Q286" s="92" t="s">
        <v>226</v>
      </c>
      <c r="R286" s="92" t="s">
        <v>487</v>
      </c>
      <c r="S286" s="92"/>
    </row>
    <row r="287" spans="1:19" x14ac:dyDescent="0.2">
      <c r="A287" s="92" t="s">
        <v>488</v>
      </c>
      <c r="B287" s="69">
        <v>20</v>
      </c>
      <c r="C287" s="69">
        <v>6</v>
      </c>
      <c r="D287" s="69">
        <v>9</v>
      </c>
      <c r="E287" s="69">
        <v>19</v>
      </c>
      <c r="F287" s="69">
        <v>8</v>
      </c>
      <c r="G287" s="69">
        <v>13</v>
      </c>
      <c r="H287" s="69">
        <v>2.5</v>
      </c>
      <c r="I287" s="70">
        <v>0.38</v>
      </c>
      <c r="J287" s="70">
        <v>0.9</v>
      </c>
      <c r="K287" s="69">
        <v>7.6</v>
      </c>
      <c r="L287" s="69">
        <v>0.2</v>
      </c>
      <c r="M287" s="69" t="s">
        <v>451</v>
      </c>
      <c r="N287" s="69">
        <v>2000</v>
      </c>
      <c r="O287" s="69" t="s">
        <v>71</v>
      </c>
      <c r="P287" s="69">
        <v>483800</v>
      </c>
      <c r="Q287" s="92" t="s">
        <v>489</v>
      </c>
      <c r="R287" s="92" t="s">
        <v>223</v>
      </c>
      <c r="S287" s="92"/>
    </row>
    <row r="288" spans="1:19" x14ac:dyDescent="0.2">
      <c r="A288" s="92" t="s">
        <v>490</v>
      </c>
      <c r="B288" s="69">
        <v>20</v>
      </c>
      <c r="C288" s="69">
        <v>6</v>
      </c>
      <c r="D288" s="69">
        <v>9</v>
      </c>
      <c r="E288" s="69">
        <v>20</v>
      </c>
      <c r="F288" s="69"/>
      <c r="G288" s="69"/>
      <c r="H288" s="69"/>
      <c r="I288" s="70">
        <v>0.38</v>
      </c>
      <c r="J288" s="70">
        <v>1.36</v>
      </c>
      <c r="K288" s="69"/>
      <c r="L288" s="69"/>
      <c r="M288" s="69" t="s">
        <v>170</v>
      </c>
      <c r="N288" s="69">
        <v>2013</v>
      </c>
      <c r="O288" s="69" t="s">
        <v>71</v>
      </c>
      <c r="P288" s="69">
        <v>997403</v>
      </c>
      <c r="Q288" s="92" t="s">
        <v>289</v>
      </c>
      <c r="R288" s="92" t="s">
        <v>173</v>
      </c>
      <c r="S288" s="92"/>
    </row>
    <row r="289" spans="1:19" x14ac:dyDescent="0.2">
      <c r="A289" s="92" t="s">
        <v>1148</v>
      </c>
      <c r="B289" s="69"/>
      <c r="C289" s="69"/>
      <c r="D289" s="69"/>
      <c r="E289" s="69"/>
      <c r="F289" s="69"/>
      <c r="G289" s="69"/>
      <c r="H289" s="69"/>
      <c r="I289" s="70">
        <v>0.38</v>
      </c>
      <c r="J289" s="70">
        <v>1.5</v>
      </c>
      <c r="K289" s="69"/>
      <c r="L289" s="69"/>
      <c r="M289" s="69" t="s">
        <v>170</v>
      </c>
      <c r="N289" s="69">
        <v>2014</v>
      </c>
      <c r="O289" s="69" t="s">
        <v>171</v>
      </c>
      <c r="P289" s="69">
        <v>687509</v>
      </c>
      <c r="Q289" s="92" t="s">
        <v>231</v>
      </c>
      <c r="R289" s="92" t="s">
        <v>370</v>
      </c>
      <c r="S289" s="92" t="s">
        <v>189</v>
      </c>
    </row>
    <row r="290" spans="1:19" x14ac:dyDescent="0.2">
      <c r="A290" s="92" t="s">
        <v>515</v>
      </c>
      <c r="B290" s="69">
        <v>16</v>
      </c>
      <c r="C290" s="69">
        <v>2</v>
      </c>
      <c r="D290" s="69">
        <v>4</v>
      </c>
      <c r="E290" s="69">
        <v>16</v>
      </c>
      <c r="F290" s="69">
        <v>54</v>
      </c>
      <c r="G290" s="69">
        <v>35</v>
      </c>
      <c r="H290" s="69">
        <v>6.2</v>
      </c>
      <c r="I290" s="70">
        <v>0.39</v>
      </c>
      <c r="J290" s="70">
        <v>1.57</v>
      </c>
      <c r="K290" s="69">
        <v>7.5</v>
      </c>
      <c r="L290" s="69">
        <v>1.8</v>
      </c>
      <c r="M290" s="69" t="s">
        <v>170</v>
      </c>
      <c r="N290" s="69">
        <v>2000</v>
      </c>
      <c r="O290" s="69" t="s">
        <v>171</v>
      </c>
      <c r="P290" s="69">
        <v>492306</v>
      </c>
      <c r="Q290" s="92" t="s">
        <v>203</v>
      </c>
      <c r="R290" s="92" t="s">
        <v>260</v>
      </c>
      <c r="S290" s="87"/>
    </row>
    <row r="291" spans="1:19" x14ac:dyDescent="0.2">
      <c r="A291" s="92" t="s">
        <v>510</v>
      </c>
      <c r="B291" s="69">
        <v>11</v>
      </c>
      <c r="C291" s="69">
        <v>2</v>
      </c>
      <c r="D291" s="69">
        <v>2</v>
      </c>
      <c r="E291" s="69">
        <v>11</v>
      </c>
      <c r="F291" s="69">
        <v>53</v>
      </c>
      <c r="G291" s="69">
        <v>46</v>
      </c>
      <c r="H291" s="69">
        <v>7.9</v>
      </c>
      <c r="I291" s="70">
        <v>0.39</v>
      </c>
      <c r="J291" s="70">
        <v>1.58</v>
      </c>
      <c r="K291" s="69">
        <v>8.5</v>
      </c>
      <c r="L291" s="69">
        <v>1.6</v>
      </c>
      <c r="M291" s="69" t="s">
        <v>170</v>
      </c>
      <c r="N291" s="69">
        <v>2004</v>
      </c>
      <c r="O291" s="69" t="s">
        <v>171</v>
      </c>
      <c r="P291" s="69">
        <v>522581</v>
      </c>
      <c r="Q291" s="92" t="s">
        <v>203</v>
      </c>
      <c r="R291" s="92" t="s">
        <v>212</v>
      </c>
      <c r="S291" s="87"/>
    </row>
    <row r="292" spans="1:19" x14ac:dyDescent="0.2">
      <c r="A292" s="92" t="s">
        <v>511</v>
      </c>
      <c r="B292" s="69">
        <v>16</v>
      </c>
      <c r="C292" s="69">
        <v>6</v>
      </c>
      <c r="D292" s="69">
        <v>11</v>
      </c>
      <c r="E292" s="69">
        <v>16</v>
      </c>
      <c r="F292" s="69">
        <v>44</v>
      </c>
      <c r="G292" s="69">
        <v>38</v>
      </c>
      <c r="H292" s="69">
        <v>6.7</v>
      </c>
      <c r="I292" s="70">
        <v>0.39</v>
      </c>
      <c r="J292" s="70">
        <v>1.57</v>
      </c>
      <c r="K292" s="69">
        <v>11.2</v>
      </c>
      <c r="L292" s="69">
        <v>1</v>
      </c>
      <c r="M292" s="69" t="s">
        <v>170</v>
      </c>
      <c r="N292" s="69">
        <v>2014</v>
      </c>
      <c r="O292" s="69" t="s">
        <v>171</v>
      </c>
      <c r="P292" s="69">
        <v>470104</v>
      </c>
      <c r="Q292" s="92" t="s">
        <v>203</v>
      </c>
      <c r="R292" s="92" t="s">
        <v>239</v>
      </c>
      <c r="S292" s="92"/>
    </row>
    <row r="293" spans="1:19" x14ac:dyDescent="0.2">
      <c r="A293" s="92" t="s">
        <v>512</v>
      </c>
      <c r="B293" s="69">
        <v>25</v>
      </c>
      <c r="C293" s="69">
        <v>10</v>
      </c>
      <c r="D293" s="69">
        <v>3</v>
      </c>
      <c r="E293" s="69">
        <v>25</v>
      </c>
      <c r="F293" s="69">
        <v>86</v>
      </c>
      <c r="G293" s="69">
        <v>85</v>
      </c>
      <c r="H293" s="69">
        <v>13</v>
      </c>
      <c r="I293" s="70">
        <v>0.39</v>
      </c>
      <c r="J293" s="70">
        <v>1.61</v>
      </c>
      <c r="K293" s="69">
        <v>12.8</v>
      </c>
      <c r="L293" s="69">
        <v>1.6</v>
      </c>
      <c r="M293" s="69" t="s">
        <v>170</v>
      </c>
      <c r="N293" s="69">
        <v>2013</v>
      </c>
      <c r="O293" s="69" t="s">
        <v>171</v>
      </c>
      <c r="P293" s="69">
        <v>515676</v>
      </c>
      <c r="Q293" s="92" t="s">
        <v>203</v>
      </c>
      <c r="R293" s="92" t="s">
        <v>331</v>
      </c>
      <c r="S293" s="87"/>
    </row>
    <row r="294" spans="1:19" x14ac:dyDescent="0.2">
      <c r="A294" s="92" t="s">
        <v>502</v>
      </c>
      <c r="B294" s="69">
        <v>12</v>
      </c>
      <c r="C294" s="69">
        <v>3</v>
      </c>
      <c r="D294" s="69">
        <v>3</v>
      </c>
      <c r="E294" s="69">
        <v>12</v>
      </c>
      <c r="F294" s="69">
        <v>35</v>
      </c>
      <c r="G294" s="69">
        <v>31</v>
      </c>
      <c r="H294" s="69">
        <v>5.6</v>
      </c>
      <c r="I294" s="70">
        <v>0.39</v>
      </c>
      <c r="J294" s="70">
        <v>1.59</v>
      </c>
      <c r="K294" s="69">
        <v>4.8</v>
      </c>
      <c r="L294" s="69">
        <v>1.8</v>
      </c>
      <c r="M294" s="69" t="s">
        <v>170</v>
      </c>
      <c r="N294" s="69">
        <v>2000</v>
      </c>
      <c r="O294" s="69" t="s">
        <v>171</v>
      </c>
      <c r="P294" s="69">
        <v>599795</v>
      </c>
      <c r="Q294" s="92" t="s">
        <v>203</v>
      </c>
      <c r="R294" s="92" t="s">
        <v>266</v>
      </c>
      <c r="S294" s="92"/>
    </row>
    <row r="295" spans="1:19" x14ac:dyDescent="0.2">
      <c r="A295" s="92" t="s">
        <v>503</v>
      </c>
      <c r="B295" s="69">
        <v>37</v>
      </c>
      <c r="C295" s="69">
        <v>14</v>
      </c>
      <c r="D295" s="69">
        <v>24</v>
      </c>
      <c r="E295" s="69">
        <v>37</v>
      </c>
      <c r="F295" s="69">
        <v>91</v>
      </c>
      <c r="G295" s="69">
        <v>102</v>
      </c>
      <c r="H295" s="69">
        <v>15.1</v>
      </c>
      <c r="I295" s="70">
        <v>0.39</v>
      </c>
      <c r="J295" s="70">
        <v>1.58</v>
      </c>
      <c r="K295" s="69">
        <v>8.9</v>
      </c>
      <c r="L295" s="69">
        <v>2.2999999999999998</v>
      </c>
      <c r="M295" s="69" t="s">
        <v>170</v>
      </c>
      <c r="N295" s="69">
        <v>2000</v>
      </c>
      <c r="O295" s="69" t="s">
        <v>171</v>
      </c>
      <c r="P295" s="69">
        <v>456475</v>
      </c>
      <c r="Q295" s="92" t="s">
        <v>203</v>
      </c>
      <c r="R295" s="92" t="s">
        <v>245</v>
      </c>
      <c r="S295" s="92"/>
    </row>
    <row r="296" spans="1:19" x14ac:dyDescent="0.2">
      <c r="A296" s="92" t="s">
        <v>505</v>
      </c>
      <c r="B296" s="69">
        <v>13</v>
      </c>
      <c r="C296" s="69">
        <v>3</v>
      </c>
      <c r="D296" s="69">
        <v>5</v>
      </c>
      <c r="E296" s="69">
        <v>13</v>
      </c>
      <c r="F296" s="69">
        <v>49</v>
      </c>
      <c r="G296" s="69">
        <v>28</v>
      </c>
      <c r="H296" s="69">
        <v>5.0999999999999996</v>
      </c>
      <c r="I296" s="70">
        <v>0.39</v>
      </c>
      <c r="J296" s="70">
        <v>1.41</v>
      </c>
      <c r="K296" s="69">
        <v>8.4</v>
      </c>
      <c r="L296" s="69">
        <v>1.5</v>
      </c>
      <c r="M296" s="69" t="s">
        <v>170</v>
      </c>
      <c r="N296" s="69">
        <v>2002</v>
      </c>
      <c r="O296" s="69" t="s">
        <v>171</v>
      </c>
      <c r="P296" s="69">
        <v>122432</v>
      </c>
      <c r="Q296" s="92" t="s">
        <v>249</v>
      </c>
      <c r="R296" s="92" t="s">
        <v>260</v>
      </c>
      <c r="S296" s="92"/>
    </row>
    <row r="297" spans="1:19" x14ac:dyDescent="0.2">
      <c r="A297" s="92" t="s">
        <v>1125</v>
      </c>
      <c r="B297" s="69">
        <v>23</v>
      </c>
      <c r="C297" s="69">
        <v>8</v>
      </c>
      <c r="D297" s="69">
        <v>14</v>
      </c>
      <c r="E297" s="69">
        <v>23</v>
      </c>
      <c r="F297" s="69">
        <v>51</v>
      </c>
      <c r="G297" s="69">
        <v>49</v>
      </c>
      <c r="H297" s="69">
        <v>8.3000000000000007</v>
      </c>
      <c r="I297" s="70">
        <v>0.39</v>
      </c>
      <c r="J297" s="70">
        <v>1.6</v>
      </c>
      <c r="K297" s="69">
        <v>10.1</v>
      </c>
      <c r="L297" s="69">
        <v>1.3</v>
      </c>
      <c r="M297" s="69" t="s">
        <v>170</v>
      </c>
      <c r="N297" s="69">
        <v>2014</v>
      </c>
      <c r="O297" s="69" t="s">
        <v>171</v>
      </c>
      <c r="P297" s="69">
        <v>504100</v>
      </c>
      <c r="Q297" s="92" t="s">
        <v>231</v>
      </c>
      <c r="R297" s="92" t="s">
        <v>310</v>
      </c>
      <c r="S297" s="92"/>
    </row>
    <row r="298" spans="1:19" x14ac:dyDescent="0.2">
      <c r="A298" s="92" t="s">
        <v>506</v>
      </c>
      <c r="B298" s="69">
        <v>24</v>
      </c>
      <c r="C298" s="69">
        <v>16</v>
      </c>
      <c r="D298" s="69">
        <v>18</v>
      </c>
      <c r="E298" s="69">
        <v>24</v>
      </c>
      <c r="F298" s="69"/>
      <c r="G298" s="69"/>
      <c r="H298" s="69"/>
      <c r="I298" s="70">
        <v>0.39</v>
      </c>
      <c r="J298" s="70">
        <v>1.56</v>
      </c>
      <c r="K298" s="69"/>
      <c r="L298" s="69"/>
      <c r="M298" s="69" t="s">
        <v>170</v>
      </c>
      <c r="N298" s="69">
        <v>2013</v>
      </c>
      <c r="O298" s="69" t="s">
        <v>71</v>
      </c>
      <c r="P298" s="69">
        <v>821736</v>
      </c>
      <c r="Q298" s="92" t="s">
        <v>178</v>
      </c>
      <c r="R298" s="92" t="s">
        <v>507</v>
      </c>
      <c r="S298" s="87"/>
    </row>
    <row r="299" spans="1:19" x14ac:dyDescent="0.2">
      <c r="A299" s="92" t="s">
        <v>508</v>
      </c>
      <c r="B299" s="69">
        <v>4</v>
      </c>
      <c r="C299" s="69">
        <v>1</v>
      </c>
      <c r="D299" s="69">
        <v>-1</v>
      </c>
      <c r="E299" s="69">
        <v>4</v>
      </c>
      <c r="F299" s="69">
        <v>19</v>
      </c>
      <c r="G299" s="69">
        <v>13</v>
      </c>
      <c r="H299" s="69">
        <v>2.5</v>
      </c>
      <c r="I299" s="70">
        <v>0.39</v>
      </c>
      <c r="J299" s="70">
        <v>1.5</v>
      </c>
      <c r="K299" s="69">
        <v>7.3</v>
      </c>
      <c r="L299" s="69">
        <v>0.7</v>
      </c>
      <c r="M299" s="69" t="s">
        <v>170</v>
      </c>
      <c r="N299" s="69">
        <v>2005</v>
      </c>
      <c r="O299" s="69" t="s">
        <v>71</v>
      </c>
      <c r="P299" s="69">
        <v>887554</v>
      </c>
      <c r="Q299" s="92" t="s">
        <v>254</v>
      </c>
      <c r="R299" s="92" t="s">
        <v>509</v>
      </c>
      <c r="S299" s="92"/>
    </row>
    <row r="300" spans="1:19" x14ac:dyDescent="0.2">
      <c r="A300" s="92" t="s">
        <v>514</v>
      </c>
      <c r="B300" s="69">
        <v>15</v>
      </c>
      <c r="C300" s="69">
        <v>8</v>
      </c>
      <c r="D300" s="69">
        <v>4</v>
      </c>
      <c r="E300" s="69">
        <v>15</v>
      </c>
      <c r="F300" s="69">
        <v>60</v>
      </c>
      <c r="G300" s="69"/>
      <c r="H300" s="69"/>
      <c r="I300" s="70">
        <v>0.39</v>
      </c>
      <c r="J300" s="70">
        <v>1.5</v>
      </c>
      <c r="K300" s="69">
        <v>10.1</v>
      </c>
      <c r="L300" s="69">
        <v>1.5</v>
      </c>
      <c r="M300" s="69" t="s">
        <v>170</v>
      </c>
      <c r="N300" s="69">
        <v>2010</v>
      </c>
      <c r="O300" s="69" t="s">
        <v>171</v>
      </c>
      <c r="P300" s="69">
        <v>605634</v>
      </c>
      <c r="Q300" s="92" t="s">
        <v>305</v>
      </c>
      <c r="R300" s="92" t="s">
        <v>264</v>
      </c>
      <c r="S300" s="92"/>
    </row>
    <row r="301" spans="1:19" x14ac:dyDescent="0.2">
      <c r="A301" s="92" t="s">
        <v>504</v>
      </c>
      <c r="B301" s="69">
        <v>26</v>
      </c>
      <c r="C301" s="69">
        <v>8</v>
      </c>
      <c r="D301" s="69">
        <v>12</v>
      </c>
      <c r="E301" s="69">
        <v>26</v>
      </c>
      <c r="F301" s="69">
        <v>68</v>
      </c>
      <c r="G301" s="69">
        <v>78</v>
      </c>
      <c r="H301" s="69">
        <v>12.2</v>
      </c>
      <c r="I301" s="70">
        <v>0.39</v>
      </c>
      <c r="J301" s="70">
        <v>1.4</v>
      </c>
      <c r="K301" s="69">
        <v>6.7</v>
      </c>
      <c r="L301" s="69">
        <v>2.5</v>
      </c>
      <c r="M301" s="69" t="s">
        <v>170</v>
      </c>
      <c r="N301" s="69">
        <v>2002</v>
      </c>
      <c r="O301" s="69" t="s">
        <v>171</v>
      </c>
      <c r="P301" s="69">
        <v>301580</v>
      </c>
      <c r="Q301" s="92" t="s">
        <v>249</v>
      </c>
      <c r="R301" s="92" t="s">
        <v>265</v>
      </c>
      <c r="S301" s="92"/>
    </row>
    <row r="302" spans="1:19" x14ac:dyDescent="0.2">
      <c r="A302" s="92" t="s">
        <v>513</v>
      </c>
      <c r="B302" s="69">
        <v>23</v>
      </c>
      <c r="C302" s="69">
        <v>8</v>
      </c>
      <c r="D302" s="69">
        <v>13</v>
      </c>
      <c r="E302" s="69">
        <v>23</v>
      </c>
      <c r="F302" s="69">
        <v>50</v>
      </c>
      <c r="G302" s="69">
        <v>39</v>
      </c>
      <c r="H302" s="69">
        <v>6.9</v>
      </c>
      <c r="I302" s="70">
        <v>0.39</v>
      </c>
      <c r="J302" s="70">
        <v>1.55</v>
      </c>
      <c r="K302" s="69">
        <v>9.6999999999999993</v>
      </c>
      <c r="L302" s="69">
        <v>1.3</v>
      </c>
      <c r="M302" s="69" t="s">
        <v>451</v>
      </c>
      <c r="N302" s="69">
        <v>2003</v>
      </c>
      <c r="O302" s="69" t="s">
        <v>71</v>
      </c>
      <c r="P302" s="69">
        <v>919787</v>
      </c>
      <c r="Q302" s="92" t="s">
        <v>231</v>
      </c>
      <c r="R302" s="92" t="s">
        <v>310</v>
      </c>
      <c r="S302" s="87"/>
    </row>
    <row r="303" spans="1:19" x14ac:dyDescent="0.2">
      <c r="A303" s="92" t="s">
        <v>516</v>
      </c>
      <c r="B303" s="69">
        <v>-38</v>
      </c>
      <c r="C303" s="69">
        <v>-27</v>
      </c>
      <c r="D303" s="69">
        <v>-36</v>
      </c>
      <c r="E303" s="69">
        <v>-38</v>
      </c>
      <c r="F303" s="69">
        <v>-29</v>
      </c>
      <c r="G303" s="69">
        <v>-36</v>
      </c>
      <c r="H303" s="69">
        <v>-8.5</v>
      </c>
      <c r="I303" s="70">
        <v>0.4</v>
      </c>
      <c r="J303" s="70">
        <v>2.44</v>
      </c>
      <c r="K303" s="69">
        <v>22.4</v>
      </c>
      <c r="L303" s="69">
        <v>-0.4</v>
      </c>
      <c r="M303" s="69" t="s">
        <v>170</v>
      </c>
      <c r="N303" s="69">
        <v>2001</v>
      </c>
      <c r="O303" s="69" t="s">
        <v>171</v>
      </c>
      <c r="P303" s="69">
        <v>752204</v>
      </c>
      <c r="Q303" s="92" t="s">
        <v>200</v>
      </c>
      <c r="R303" s="92" t="s">
        <v>487</v>
      </c>
      <c r="S303" s="92"/>
    </row>
    <row r="304" spans="1:19" x14ac:dyDescent="0.2">
      <c r="A304" s="92" t="s">
        <v>534</v>
      </c>
      <c r="B304" s="69">
        <v>16</v>
      </c>
      <c r="C304" s="69">
        <v>6</v>
      </c>
      <c r="D304" s="69">
        <v>7</v>
      </c>
      <c r="E304" s="69">
        <v>15</v>
      </c>
      <c r="F304" s="69">
        <v>19</v>
      </c>
      <c r="G304" s="69"/>
      <c r="H304" s="69"/>
      <c r="I304" s="70">
        <v>0.4</v>
      </c>
      <c r="J304" s="70">
        <v>1.18</v>
      </c>
      <c r="K304" s="69">
        <v>5.2</v>
      </c>
      <c r="L304" s="69">
        <v>0.9</v>
      </c>
      <c r="M304" s="69" t="s">
        <v>241</v>
      </c>
      <c r="N304" s="69">
        <v>2010</v>
      </c>
      <c r="O304" s="69" t="s">
        <v>71</v>
      </c>
      <c r="P304" s="69">
        <v>259499</v>
      </c>
      <c r="Q304" s="92" t="s">
        <v>535</v>
      </c>
      <c r="R304" s="92" t="s">
        <v>223</v>
      </c>
      <c r="S304" s="92"/>
    </row>
    <row r="305" spans="1:19" x14ac:dyDescent="0.2">
      <c r="A305" s="92" t="s">
        <v>519</v>
      </c>
      <c r="B305" s="69">
        <v>7</v>
      </c>
      <c r="C305" s="69">
        <v>2</v>
      </c>
      <c r="D305" s="69">
        <v>-1</v>
      </c>
      <c r="E305" s="69">
        <v>7</v>
      </c>
      <c r="F305" s="69">
        <v>49</v>
      </c>
      <c r="G305" s="69">
        <v>26</v>
      </c>
      <c r="H305" s="69">
        <v>4.8</v>
      </c>
      <c r="I305" s="70">
        <v>0.4</v>
      </c>
      <c r="J305" s="70">
        <v>1</v>
      </c>
      <c r="K305" s="69">
        <v>7</v>
      </c>
      <c r="L305" s="69">
        <v>1.8</v>
      </c>
      <c r="M305" s="69" t="s">
        <v>241</v>
      </c>
      <c r="N305" s="69">
        <v>2010</v>
      </c>
      <c r="O305" s="69" t="s">
        <v>71</v>
      </c>
      <c r="P305" s="69">
        <v>955435</v>
      </c>
      <c r="Q305" s="92" t="s">
        <v>415</v>
      </c>
      <c r="R305" s="92" t="s">
        <v>243</v>
      </c>
      <c r="S305" s="92"/>
    </row>
    <row r="306" spans="1:19" x14ac:dyDescent="0.2">
      <c r="A306" s="92" t="s">
        <v>528</v>
      </c>
      <c r="B306" s="69">
        <v>24</v>
      </c>
      <c r="C306" s="69">
        <v>6</v>
      </c>
      <c r="D306" s="69">
        <v>12</v>
      </c>
      <c r="E306" s="69">
        <v>24</v>
      </c>
      <c r="F306" s="69">
        <v>37</v>
      </c>
      <c r="G306" s="69">
        <v>30</v>
      </c>
      <c r="H306" s="69">
        <v>5.4</v>
      </c>
      <c r="I306" s="70">
        <v>0.4</v>
      </c>
      <c r="J306" s="70">
        <v>1.62</v>
      </c>
      <c r="K306" s="69">
        <v>10.7</v>
      </c>
      <c r="L306" s="69">
        <v>0.9</v>
      </c>
      <c r="M306" s="69" t="s">
        <v>170</v>
      </c>
      <c r="N306" s="69">
        <v>2001</v>
      </c>
      <c r="O306" s="69" t="s">
        <v>171</v>
      </c>
      <c r="P306" s="69">
        <v>385401</v>
      </c>
      <c r="Q306" s="92" t="s">
        <v>203</v>
      </c>
      <c r="R306" s="92" t="s">
        <v>310</v>
      </c>
      <c r="S306" s="92"/>
    </row>
    <row r="307" spans="1:19" x14ac:dyDescent="0.2">
      <c r="A307" s="92" t="s">
        <v>529</v>
      </c>
      <c r="B307" s="69">
        <v>26</v>
      </c>
      <c r="C307" s="69">
        <v>11</v>
      </c>
      <c r="D307" s="69">
        <v>18</v>
      </c>
      <c r="E307" s="69">
        <v>26</v>
      </c>
      <c r="F307" s="69">
        <v>84</v>
      </c>
      <c r="G307" s="69">
        <v>102</v>
      </c>
      <c r="H307" s="69">
        <v>15.1</v>
      </c>
      <c r="I307" s="70">
        <v>0.4</v>
      </c>
      <c r="J307" s="70">
        <v>1.6</v>
      </c>
      <c r="K307" s="69">
        <v>8.6999999999999993</v>
      </c>
      <c r="L307" s="69">
        <v>2.2000000000000002</v>
      </c>
      <c r="M307" s="69" t="s">
        <v>170</v>
      </c>
      <c r="N307" s="69">
        <v>2011</v>
      </c>
      <c r="O307" s="69" t="s">
        <v>171</v>
      </c>
      <c r="P307" s="69">
        <v>840033</v>
      </c>
      <c r="Q307" s="92" t="s">
        <v>231</v>
      </c>
      <c r="R307" s="92" t="s">
        <v>245</v>
      </c>
      <c r="S307" s="87"/>
    </row>
    <row r="308" spans="1:19" x14ac:dyDescent="0.2">
      <c r="A308" s="92" t="s">
        <v>530</v>
      </c>
      <c r="B308" s="69">
        <v>13</v>
      </c>
      <c r="C308" s="69">
        <v>3</v>
      </c>
      <c r="D308" s="69">
        <v>4</v>
      </c>
      <c r="E308" s="69">
        <v>13</v>
      </c>
      <c r="F308" s="69">
        <v>54</v>
      </c>
      <c r="G308" s="69">
        <v>27</v>
      </c>
      <c r="H308" s="69">
        <v>4.9000000000000004</v>
      </c>
      <c r="I308" s="70">
        <v>0.4</v>
      </c>
      <c r="J308" s="70">
        <v>1.6</v>
      </c>
      <c r="K308" s="69">
        <v>8.6</v>
      </c>
      <c r="L308" s="69">
        <v>1.6</v>
      </c>
      <c r="M308" s="69" t="s">
        <v>170</v>
      </c>
      <c r="N308" s="69">
        <v>2013</v>
      </c>
      <c r="O308" s="69" t="s">
        <v>171</v>
      </c>
      <c r="P308" s="69">
        <v>362020</v>
      </c>
      <c r="Q308" s="92" t="s">
        <v>231</v>
      </c>
      <c r="R308" s="92" t="s">
        <v>260</v>
      </c>
      <c r="S308" s="92"/>
    </row>
    <row r="309" spans="1:19" x14ac:dyDescent="0.2">
      <c r="A309" s="92" t="s">
        <v>531</v>
      </c>
      <c r="B309" s="69">
        <v>23</v>
      </c>
      <c r="C309" s="69">
        <v>8</v>
      </c>
      <c r="D309" s="69">
        <v>13</v>
      </c>
      <c r="E309" s="69">
        <v>23</v>
      </c>
      <c r="F309" s="69">
        <v>60</v>
      </c>
      <c r="G309" s="69">
        <v>54</v>
      </c>
      <c r="H309" s="69">
        <v>9.1</v>
      </c>
      <c r="I309" s="70">
        <v>0.4</v>
      </c>
      <c r="J309" s="70">
        <v>1.6</v>
      </c>
      <c r="K309" s="69">
        <v>6.8</v>
      </c>
      <c r="L309" s="69">
        <v>2.2000000000000002</v>
      </c>
      <c r="M309" s="69" t="s">
        <v>170</v>
      </c>
      <c r="N309" s="69">
        <v>2000</v>
      </c>
      <c r="O309" s="69" t="s">
        <v>171</v>
      </c>
      <c r="P309" s="69">
        <v>123679</v>
      </c>
      <c r="Q309" s="92" t="s">
        <v>231</v>
      </c>
      <c r="R309" s="92" t="s">
        <v>212</v>
      </c>
      <c r="S309" s="87"/>
    </row>
    <row r="310" spans="1:19" x14ac:dyDescent="0.2">
      <c r="A310" s="92" t="s">
        <v>521</v>
      </c>
      <c r="B310" s="69">
        <v>14</v>
      </c>
      <c r="C310" s="69">
        <v>5</v>
      </c>
      <c r="D310" s="69">
        <v>11</v>
      </c>
      <c r="E310" s="69">
        <v>14</v>
      </c>
      <c r="F310" s="69">
        <v>40</v>
      </c>
      <c r="G310" s="69">
        <v>27</v>
      </c>
      <c r="H310" s="69">
        <v>4.9000000000000004</v>
      </c>
      <c r="I310" s="70">
        <v>0.4</v>
      </c>
      <c r="J310" s="70">
        <v>1.6</v>
      </c>
      <c r="K310" s="69">
        <v>11.6</v>
      </c>
      <c r="L310" s="69">
        <v>0.9</v>
      </c>
      <c r="M310" s="69" t="s">
        <v>170</v>
      </c>
      <c r="N310" s="69">
        <v>2003</v>
      </c>
      <c r="O310" s="69" t="s">
        <v>171</v>
      </c>
      <c r="P310" s="69">
        <v>203182</v>
      </c>
      <c r="Q310" s="92" t="s">
        <v>231</v>
      </c>
      <c r="R310" s="92" t="s">
        <v>239</v>
      </c>
      <c r="S310" s="92"/>
    </row>
    <row r="311" spans="1:19" x14ac:dyDescent="0.2">
      <c r="A311" s="92" t="s">
        <v>522</v>
      </c>
      <c r="B311" s="69">
        <v>5</v>
      </c>
      <c r="C311" s="69">
        <v>-6</v>
      </c>
      <c r="D311" s="69">
        <v>-6</v>
      </c>
      <c r="E311" s="69">
        <v>5</v>
      </c>
      <c r="F311" s="69">
        <v>6</v>
      </c>
      <c r="G311" s="69">
        <v>-2</v>
      </c>
      <c r="H311" s="69">
        <v>-0.4</v>
      </c>
      <c r="I311" s="70">
        <v>0.4</v>
      </c>
      <c r="J311" s="70">
        <v>1.6</v>
      </c>
      <c r="K311" s="69">
        <v>15.7</v>
      </c>
      <c r="L311" s="69">
        <v>0.1</v>
      </c>
      <c r="M311" s="69" t="s">
        <v>170</v>
      </c>
      <c r="N311" s="69">
        <v>2006</v>
      </c>
      <c r="O311" s="69" t="s">
        <v>171</v>
      </c>
      <c r="P311" s="69">
        <v>679837</v>
      </c>
      <c r="Q311" s="92" t="s">
        <v>231</v>
      </c>
      <c r="R311" s="92" t="s">
        <v>471</v>
      </c>
      <c r="S311" s="92"/>
    </row>
    <row r="312" spans="1:19" x14ac:dyDescent="0.2">
      <c r="A312" s="92" t="s">
        <v>523</v>
      </c>
      <c r="B312" s="69">
        <v>18</v>
      </c>
      <c r="C312" s="69">
        <v>3</v>
      </c>
      <c r="D312" s="69">
        <v>5</v>
      </c>
      <c r="E312" s="69">
        <v>18</v>
      </c>
      <c r="F312" s="69">
        <v>73</v>
      </c>
      <c r="G312" s="69">
        <v>68</v>
      </c>
      <c r="H312" s="69">
        <v>11</v>
      </c>
      <c r="I312" s="70">
        <v>0.4</v>
      </c>
      <c r="J312" s="70">
        <v>1.6</v>
      </c>
      <c r="K312" s="69">
        <v>10.5</v>
      </c>
      <c r="L312" s="69">
        <v>1.7</v>
      </c>
      <c r="M312" s="69" t="s">
        <v>170</v>
      </c>
      <c r="N312" s="69">
        <v>2000</v>
      </c>
      <c r="O312" s="69" t="s">
        <v>171</v>
      </c>
      <c r="P312" s="69">
        <v>811117</v>
      </c>
      <c r="Q312" s="92" t="s">
        <v>231</v>
      </c>
      <c r="R312" s="92" t="s">
        <v>410</v>
      </c>
      <c r="S312" s="92"/>
    </row>
    <row r="313" spans="1:19" x14ac:dyDescent="0.2">
      <c r="A313" s="92" t="s">
        <v>524</v>
      </c>
      <c r="B313" s="69">
        <v>17</v>
      </c>
      <c r="C313" s="69">
        <v>6</v>
      </c>
      <c r="D313" s="69">
        <v>1</v>
      </c>
      <c r="E313" s="69">
        <v>17</v>
      </c>
      <c r="F313" s="69">
        <v>87</v>
      </c>
      <c r="G313" s="69">
        <v>71</v>
      </c>
      <c r="H313" s="69">
        <v>11.3</v>
      </c>
      <c r="I313" s="70">
        <v>0.4</v>
      </c>
      <c r="J313" s="70">
        <v>1.6</v>
      </c>
      <c r="K313" s="69">
        <v>12</v>
      </c>
      <c r="L313" s="69">
        <v>1.7</v>
      </c>
      <c r="M313" s="69" t="s">
        <v>170</v>
      </c>
      <c r="N313" s="69">
        <v>2006</v>
      </c>
      <c r="O313" s="69" t="s">
        <v>171</v>
      </c>
      <c r="P313" s="69">
        <v>751495</v>
      </c>
      <c r="Q313" s="92" t="s">
        <v>231</v>
      </c>
      <c r="R313" s="92" t="s">
        <v>410</v>
      </c>
      <c r="S313" s="87"/>
    </row>
    <row r="314" spans="1:19" x14ac:dyDescent="0.2">
      <c r="A314" s="92" t="s">
        <v>525</v>
      </c>
      <c r="B314" s="69">
        <v>20</v>
      </c>
      <c r="C314" s="69">
        <v>4</v>
      </c>
      <c r="D314" s="69">
        <v>8</v>
      </c>
      <c r="E314" s="69">
        <v>20</v>
      </c>
      <c r="F314" s="69">
        <v>40</v>
      </c>
      <c r="G314" s="69">
        <v>27</v>
      </c>
      <c r="H314" s="69">
        <v>4.9000000000000004</v>
      </c>
      <c r="I314" s="70">
        <v>0.4</v>
      </c>
      <c r="J314" s="70">
        <v>1.6</v>
      </c>
      <c r="K314" s="69">
        <v>11.5</v>
      </c>
      <c r="L314" s="69">
        <v>0.9</v>
      </c>
      <c r="M314" s="69" t="s">
        <v>170</v>
      </c>
      <c r="N314" s="69">
        <v>2000</v>
      </c>
      <c r="O314" s="69" t="s">
        <v>171</v>
      </c>
      <c r="P314" s="69">
        <v>987842</v>
      </c>
      <c r="Q314" s="92" t="s">
        <v>231</v>
      </c>
      <c r="R314" s="92" t="s">
        <v>379</v>
      </c>
      <c r="S314" s="87"/>
    </row>
    <row r="315" spans="1:19" x14ac:dyDescent="0.2">
      <c r="A315" s="92" t="s">
        <v>526</v>
      </c>
      <c r="B315" s="69">
        <v>-18</v>
      </c>
      <c r="C315" s="69">
        <v>-14</v>
      </c>
      <c r="D315" s="69">
        <v>-18</v>
      </c>
      <c r="E315" s="69">
        <v>-18</v>
      </c>
      <c r="F315" s="69">
        <v>-5</v>
      </c>
      <c r="G315" s="69">
        <v>-19</v>
      </c>
      <c r="H315" s="69">
        <v>-4.0999999999999996</v>
      </c>
      <c r="I315" s="70">
        <v>0.4</v>
      </c>
      <c r="J315" s="70">
        <v>1.6</v>
      </c>
      <c r="K315" s="69">
        <v>17.7</v>
      </c>
      <c r="L315" s="69">
        <v>-0.1</v>
      </c>
      <c r="M315" s="69" t="s">
        <v>170</v>
      </c>
      <c r="N315" s="69">
        <v>2006</v>
      </c>
      <c r="O315" s="69" t="s">
        <v>171</v>
      </c>
      <c r="P315" s="69">
        <v>715664</v>
      </c>
      <c r="Q315" s="92" t="s">
        <v>231</v>
      </c>
      <c r="R315" s="92" t="s">
        <v>413</v>
      </c>
      <c r="S315" s="92"/>
    </row>
    <row r="316" spans="1:19" x14ac:dyDescent="0.2">
      <c r="A316" s="92" t="s">
        <v>1126</v>
      </c>
      <c r="B316" s="69"/>
      <c r="C316" s="69"/>
      <c r="D316" s="69"/>
      <c r="E316" s="69"/>
      <c r="F316" s="69"/>
      <c r="G316" s="69"/>
      <c r="H316" s="69"/>
      <c r="I316" s="70">
        <v>0.4</v>
      </c>
      <c r="J316" s="70">
        <v>0.95</v>
      </c>
      <c r="K316" s="69"/>
      <c r="L316" s="69"/>
      <c r="M316" s="69" t="s">
        <v>170</v>
      </c>
      <c r="N316" s="69">
        <v>2014</v>
      </c>
      <c r="O316" s="69" t="s">
        <v>171</v>
      </c>
      <c r="P316" s="69">
        <v>853903</v>
      </c>
      <c r="Q316" s="92" t="s">
        <v>462</v>
      </c>
      <c r="R316" s="92" t="s">
        <v>223</v>
      </c>
      <c r="S316" s="87"/>
    </row>
    <row r="317" spans="1:19" x14ac:dyDescent="0.2">
      <c r="A317" s="92" t="s">
        <v>527</v>
      </c>
      <c r="B317" s="69">
        <v>24</v>
      </c>
      <c r="C317" s="69">
        <v>7</v>
      </c>
      <c r="D317" s="69">
        <v>6</v>
      </c>
      <c r="E317" s="69">
        <v>24</v>
      </c>
      <c r="F317" s="69">
        <v>87</v>
      </c>
      <c r="G317" s="69">
        <v>102</v>
      </c>
      <c r="H317" s="69">
        <v>15.1</v>
      </c>
      <c r="I317" s="70">
        <v>0.4</v>
      </c>
      <c r="J317" s="70">
        <v>1.0900000000000001</v>
      </c>
      <c r="K317" s="69">
        <v>12.8</v>
      </c>
      <c r="L317" s="69">
        <v>1.6</v>
      </c>
      <c r="M317" s="69" t="s">
        <v>170</v>
      </c>
      <c r="N317" s="69">
        <v>2008</v>
      </c>
      <c r="O317" s="69" t="s">
        <v>171</v>
      </c>
      <c r="P317" s="69">
        <v>490292</v>
      </c>
      <c r="Q317" s="92" t="s">
        <v>233</v>
      </c>
      <c r="R317" s="92" t="s">
        <v>264</v>
      </c>
      <c r="S317" s="92"/>
    </row>
    <row r="318" spans="1:19" x14ac:dyDescent="0.2">
      <c r="A318" s="92" t="s">
        <v>532</v>
      </c>
      <c r="B318" s="69">
        <v>10</v>
      </c>
      <c r="C318" s="69">
        <v>1</v>
      </c>
      <c r="D318" s="69">
        <v>-2</v>
      </c>
      <c r="E318" s="69">
        <v>9</v>
      </c>
      <c r="F318" s="69">
        <v>57</v>
      </c>
      <c r="G318" s="69">
        <v>48</v>
      </c>
      <c r="H318" s="69">
        <v>8.1</v>
      </c>
      <c r="I318" s="70">
        <v>0.4</v>
      </c>
      <c r="J318" s="70">
        <v>2</v>
      </c>
      <c r="K318" s="69">
        <v>10.199999999999999</v>
      </c>
      <c r="L318" s="69">
        <v>1.4</v>
      </c>
      <c r="M318" s="69" t="s">
        <v>376</v>
      </c>
      <c r="N318" s="69">
        <v>2008</v>
      </c>
      <c r="O318" s="69" t="s">
        <v>71</v>
      </c>
      <c r="P318" s="69">
        <v>571695</v>
      </c>
      <c r="Q318" s="92" t="s">
        <v>518</v>
      </c>
      <c r="R318" s="92" t="s">
        <v>260</v>
      </c>
      <c r="S318" s="87" t="s">
        <v>189</v>
      </c>
    </row>
    <row r="319" spans="1:19" x14ac:dyDescent="0.2">
      <c r="A319" s="92" t="s">
        <v>533</v>
      </c>
      <c r="B319" s="69">
        <v>24</v>
      </c>
      <c r="C319" s="69">
        <v>8</v>
      </c>
      <c r="D319" s="69">
        <v>13</v>
      </c>
      <c r="E319" s="69">
        <v>23</v>
      </c>
      <c r="F319" s="69">
        <v>78</v>
      </c>
      <c r="G319" s="69">
        <v>80</v>
      </c>
      <c r="H319" s="69">
        <v>12.5</v>
      </c>
      <c r="I319" s="70">
        <v>0.4</v>
      </c>
      <c r="J319" s="70">
        <v>2</v>
      </c>
      <c r="K319" s="69">
        <v>8.6</v>
      </c>
      <c r="L319" s="69">
        <v>2.1</v>
      </c>
      <c r="M319" s="69" t="s">
        <v>376</v>
      </c>
      <c r="N319" s="69">
        <v>2008</v>
      </c>
      <c r="O319" s="69" t="s">
        <v>71</v>
      </c>
      <c r="P319" s="69">
        <v>352468</v>
      </c>
      <c r="Q319" s="92" t="s">
        <v>518</v>
      </c>
      <c r="R319" s="92" t="s">
        <v>212</v>
      </c>
      <c r="S319" s="87" t="s">
        <v>189</v>
      </c>
    </row>
    <row r="320" spans="1:19" x14ac:dyDescent="0.2">
      <c r="A320" s="92" t="s">
        <v>517</v>
      </c>
      <c r="B320" s="69">
        <v>25</v>
      </c>
      <c r="C320" s="69">
        <v>5</v>
      </c>
      <c r="D320" s="69">
        <v>4</v>
      </c>
      <c r="E320" s="69">
        <v>24</v>
      </c>
      <c r="F320" s="69">
        <v>117</v>
      </c>
      <c r="G320" s="69">
        <v>87</v>
      </c>
      <c r="H320" s="69">
        <v>13.4</v>
      </c>
      <c r="I320" s="70">
        <v>0.4</v>
      </c>
      <c r="J320" s="70">
        <v>2</v>
      </c>
      <c r="K320" s="69">
        <v>12.7</v>
      </c>
      <c r="L320" s="69">
        <v>2</v>
      </c>
      <c r="M320" s="69" t="s">
        <v>376</v>
      </c>
      <c r="N320" s="69">
        <v>2008</v>
      </c>
      <c r="O320" s="69" t="s">
        <v>71</v>
      </c>
      <c r="P320" s="69">
        <v>388298</v>
      </c>
      <c r="Q320" s="92" t="s">
        <v>518</v>
      </c>
      <c r="R320" s="92" t="s">
        <v>410</v>
      </c>
      <c r="S320" s="92" t="s">
        <v>189</v>
      </c>
    </row>
    <row r="321" spans="1:19" x14ac:dyDescent="0.2">
      <c r="A321" s="92" t="s">
        <v>520</v>
      </c>
      <c r="B321" s="69">
        <v>15</v>
      </c>
      <c r="C321" s="69">
        <v>3</v>
      </c>
      <c r="D321" s="69">
        <v>2</v>
      </c>
      <c r="E321" s="69">
        <v>15</v>
      </c>
      <c r="F321" s="69">
        <v>27</v>
      </c>
      <c r="G321" s="69">
        <v>18</v>
      </c>
      <c r="H321" s="69">
        <v>3.4</v>
      </c>
      <c r="I321" s="70">
        <v>0.4</v>
      </c>
      <c r="J321" s="70">
        <v>2</v>
      </c>
      <c r="K321" s="69">
        <v>12.6</v>
      </c>
      <c r="L321" s="69">
        <v>0.6</v>
      </c>
      <c r="M321" s="69" t="s">
        <v>170</v>
      </c>
      <c r="N321" s="69">
        <v>2008</v>
      </c>
      <c r="O321" s="69" t="s">
        <v>71</v>
      </c>
      <c r="P321" s="69">
        <v>995571</v>
      </c>
      <c r="Q321" s="92" t="s">
        <v>226</v>
      </c>
      <c r="R321" s="92" t="s">
        <v>379</v>
      </c>
      <c r="S321" s="92"/>
    </row>
    <row r="322" spans="1:19" x14ac:dyDescent="0.2">
      <c r="A322" s="92" t="s">
        <v>537</v>
      </c>
      <c r="B322" s="69">
        <v>14</v>
      </c>
      <c r="C322" s="69">
        <v>8</v>
      </c>
      <c r="D322" s="69">
        <v>2</v>
      </c>
      <c r="E322" s="69">
        <v>14</v>
      </c>
      <c r="F322" s="69">
        <v>62</v>
      </c>
      <c r="G322" s="69"/>
      <c r="H322" s="69"/>
      <c r="I322" s="70">
        <v>0.41</v>
      </c>
      <c r="J322" s="70">
        <v>0.9</v>
      </c>
      <c r="K322" s="69">
        <v>9.6</v>
      </c>
      <c r="L322" s="69">
        <v>1.6</v>
      </c>
      <c r="M322" s="69" t="s">
        <v>170</v>
      </c>
      <c r="N322" s="69">
        <v>2010</v>
      </c>
      <c r="O322" s="69" t="s">
        <v>171</v>
      </c>
      <c r="P322" s="69">
        <v>476895</v>
      </c>
      <c r="Q322" s="92" t="s">
        <v>538</v>
      </c>
      <c r="R322" s="92" t="s">
        <v>264</v>
      </c>
      <c r="S322" s="87"/>
    </row>
    <row r="323" spans="1:19" x14ac:dyDescent="0.2">
      <c r="A323" s="92" t="s">
        <v>536</v>
      </c>
      <c r="B323" s="69">
        <v>30</v>
      </c>
      <c r="C323" s="69">
        <v>11</v>
      </c>
      <c r="D323" s="69">
        <v>20</v>
      </c>
      <c r="E323" s="69">
        <v>30</v>
      </c>
      <c r="F323" s="69">
        <v>68</v>
      </c>
      <c r="G323" s="69">
        <v>68</v>
      </c>
      <c r="H323" s="69">
        <v>10.9</v>
      </c>
      <c r="I323" s="70">
        <v>0.41</v>
      </c>
      <c r="J323" s="70">
        <v>1.5</v>
      </c>
      <c r="K323" s="69">
        <v>9.1999999999999993</v>
      </c>
      <c r="L323" s="69">
        <v>1.8</v>
      </c>
      <c r="M323" s="69" t="s">
        <v>170</v>
      </c>
      <c r="N323" s="69">
        <v>2002</v>
      </c>
      <c r="O323" s="69" t="s">
        <v>171</v>
      </c>
      <c r="P323" s="69">
        <v>194092</v>
      </c>
      <c r="Q323" s="92" t="s">
        <v>249</v>
      </c>
      <c r="R323" s="92" t="s">
        <v>315</v>
      </c>
      <c r="S323" s="92"/>
    </row>
    <row r="324" spans="1:19" x14ac:dyDescent="0.2">
      <c r="A324" s="92" t="s">
        <v>541</v>
      </c>
      <c r="B324" s="69">
        <v>36</v>
      </c>
      <c r="C324" s="69">
        <v>13</v>
      </c>
      <c r="D324" s="69">
        <v>7</v>
      </c>
      <c r="E324" s="69">
        <v>36</v>
      </c>
      <c r="F324" s="69"/>
      <c r="G324" s="69"/>
      <c r="H324" s="69"/>
      <c r="I324" s="70">
        <v>0.41</v>
      </c>
      <c r="J324" s="70">
        <v>1.58</v>
      </c>
      <c r="K324" s="69"/>
      <c r="L324" s="69"/>
      <c r="M324" s="69" t="s">
        <v>170</v>
      </c>
      <c r="N324" s="69">
        <v>2013</v>
      </c>
      <c r="O324" s="69" t="s">
        <v>171</v>
      </c>
      <c r="P324" s="69">
        <v>584912</v>
      </c>
      <c r="Q324" s="92" t="s">
        <v>221</v>
      </c>
      <c r="R324" s="92" t="s">
        <v>331</v>
      </c>
      <c r="S324" s="87"/>
    </row>
    <row r="325" spans="1:19" x14ac:dyDescent="0.2">
      <c r="A325" s="92" t="s">
        <v>542</v>
      </c>
      <c r="B325" s="69">
        <v>11</v>
      </c>
      <c r="C325" s="69">
        <v>5</v>
      </c>
      <c r="D325" s="69">
        <v>4</v>
      </c>
      <c r="E325" s="69">
        <v>11</v>
      </c>
      <c r="F325" s="69">
        <v>31</v>
      </c>
      <c r="G325" s="69">
        <v>27</v>
      </c>
      <c r="H325" s="69">
        <v>4.8</v>
      </c>
      <c r="I325" s="70">
        <v>0.41</v>
      </c>
      <c r="J325" s="70">
        <v>1.6</v>
      </c>
      <c r="K325" s="69">
        <v>9.1</v>
      </c>
      <c r="L325" s="69">
        <v>0.9</v>
      </c>
      <c r="M325" s="69" t="s">
        <v>170</v>
      </c>
      <c r="N325" s="69">
        <v>2000</v>
      </c>
      <c r="O325" s="69" t="s">
        <v>71</v>
      </c>
      <c r="P325" s="69">
        <v>241497</v>
      </c>
      <c r="Q325" s="92" t="s">
        <v>254</v>
      </c>
      <c r="R325" s="92" t="s">
        <v>260</v>
      </c>
      <c r="S325" s="87"/>
    </row>
    <row r="326" spans="1:19" x14ac:dyDescent="0.2">
      <c r="A326" s="92" t="s">
        <v>543</v>
      </c>
      <c r="B326" s="69">
        <v>19</v>
      </c>
      <c r="C326" s="69">
        <v>5</v>
      </c>
      <c r="D326" s="69">
        <v>7</v>
      </c>
      <c r="E326" s="69">
        <v>19</v>
      </c>
      <c r="F326" s="69">
        <v>67</v>
      </c>
      <c r="G326" s="69">
        <v>56</v>
      </c>
      <c r="H326" s="69">
        <v>9.4</v>
      </c>
      <c r="I326" s="70">
        <v>0.41</v>
      </c>
      <c r="J326" s="70">
        <v>1.6</v>
      </c>
      <c r="K326" s="69">
        <v>10.6</v>
      </c>
      <c r="L326" s="69">
        <v>1.5</v>
      </c>
      <c r="M326" s="69" t="s">
        <v>170</v>
      </c>
      <c r="N326" s="69">
        <v>2000</v>
      </c>
      <c r="O326" s="69" t="s">
        <v>71</v>
      </c>
      <c r="P326" s="69">
        <v>348987</v>
      </c>
      <c r="Q326" s="92" t="s">
        <v>254</v>
      </c>
      <c r="R326" s="92" t="s">
        <v>410</v>
      </c>
      <c r="S326" s="92"/>
    </row>
    <row r="327" spans="1:19" x14ac:dyDescent="0.2">
      <c r="A327" s="92" t="s">
        <v>1149</v>
      </c>
      <c r="B327" s="69">
        <v>17</v>
      </c>
      <c r="C327" s="69">
        <v>7</v>
      </c>
      <c r="D327" s="69">
        <v>6</v>
      </c>
      <c r="E327" s="69">
        <v>17</v>
      </c>
      <c r="F327" s="69">
        <v>68</v>
      </c>
      <c r="G327" s="69">
        <v>66</v>
      </c>
      <c r="H327" s="69">
        <v>10.7</v>
      </c>
      <c r="I327" s="70">
        <v>0.41</v>
      </c>
      <c r="J327" s="70">
        <v>1.6</v>
      </c>
      <c r="K327" s="69">
        <v>10.7</v>
      </c>
      <c r="L327" s="69">
        <v>1.6</v>
      </c>
      <c r="M327" s="69" t="s">
        <v>170</v>
      </c>
      <c r="N327" s="69">
        <v>2010</v>
      </c>
      <c r="O327" s="69" t="s">
        <v>71</v>
      </c>
      <c r="P327" s="69">
        <v>792697</v>
      </c>
      <c r="Q327" s="92" t="s">
        <v>254</v>
      </c>
      <c r="R327" s="92" t="s">
        <v>264</v>
      </c>
      <c r="S327" s="87"/>
    </row>
    <row r="328" spans="1:19" x14ac:dyDescent="0.2">
      <c r="A328" s="92" t="s">
        <v>1150</v>
      </c>
      <c r="B328" s="69">
        <v>24</v>
      </c>
      <c r="C328" s="69">
        <v>11</v>
      </c>
      <c r="D328" s="69">
        <v>5</v>
      </c>
      <c r="E328" s="69">
        <v>24</v>
      </c>
      <c r="F328" s="69">
        <v>80</v>
      </c>
      <c r="G328" s="69"/>
      <c r="H328" s="69"/>
      <c r="I328" s="70">
        <v>0.41</v>
      </c>
      <c r="J328" s="70">
        <v>1.6</v>
      </c>
      <c r="K328" s="69">
        <v>12.9</v>
      </c>
      <c r="L328" s="69">
        <v>1.5</v>
      </c>
      <c r="M328" s="69" t="s">
        <v>170</v>
      </c>
      <c r="N328" s="69">
        <v>2010</v>
      </c>
      <c r="O328" s="69" t="s">
        <v>71</v>
      </c>
      <c r="P328" s="69">
        <v>721035</v>
      </c>
      <c r="Q328" s="92" t="s">
        <v>254</v>
      </c>
      <c r="R328" s="92" t="s">
        <v>331</v>
      </c>
      <c r="S328" s="92"/>
    </row>
    <row r="329" spans="1:19" x14ac:dyDescent="0.2">
      <c r="A329" s="92" t="s">
        <v>544</v>
      </c>
      <c r="B329" s="69">
        <v>35</v>
      </c>
      <c r="C329" s="69">
        <v>12</v>
      </c>
      <c r="D329" s="69">
        <v>23</v>
      </c>
      <c r="E329" s="69">
        <v>35</v>
      </c>
      <c r="F329" s="69">
        <v>74</v>
      </c>
      <c r="G329" s="69">
        <v>59</v>
      </c>
      <c r="H329" s="69">
        <v>9.8000000000000007</v>
      </c>
      <c r="I329" s="70">
        <v>0.41</v>
      </c>
      <c r="J329" s="70">
        <v>1.6</v>
      </c>
      <c r="K329" s="69">
        <v>7</v>
      </c>
      <c r="L329" s="69">
        <v>2.5</v>
      </c>
      <c r="M329" s="69" t="s">
        <v>170</v>
      </c>
      <c r="N329" s="69">
        <v>2008</v>
      </c>
      <c r="O329" s="69" t="s">
        <v>71</v>
      </c>
      <c r="P329" s="69">
        <v>106492</v>
      </c>
      <c r="Q329" s="92" t="s">
        <v>254</v>
      </c>
      <c r="R329" s="92" t="s">
        <v>212</v>
      </c>
      <c r="S329" s="92" t="s">
        <v>189</v>
      </c>
    </row>
    <row r="330" spans="1:19" x14ac:dyDescent="0.2">
      <c r="A330" s="92" t="s">
        <v>545</v>
      </c>
      <c r="B330" s="69">
        <v>33</v>
      </c>
      <c r="C330" s="69">
        <v>12</v>
      </c>
      <c r="D330" s="69">
        <v>21</v>
      </c>
      <c r="E330" s="69">
        <v>33</v>
      </c>
      <c r="F330" s="69">
        <v>71</v>
      </c>
      <c r="G330" s="69">
        <v>64</v>
      </c>
      <c r="H330" s="69">
        <v>10.4</v>
      </c>
      <c r="I330" s="70">
        <v>0.41</v>
      </c>
      <c r="J330" s="70">
        <v>1.6</v>
      </c>
      <c r="K330" s="69">
        <v>7.6</v>
      </c>
      <c r="L330" s="69">
        <v>2.2000000000000002</v>
      </c>
      <c r="M330" s="69" t="s">
        <v>170</v>
      </c>
      <c r="N330" s="69">
        <v>2000</v>
      </c>
      <c r="O330" s="69" t="s">
        <v>71</v>
      </c>
      <c r="P330" s="69">
        <v>384818</v>
      </c>
      <c r="Q330" s="92" t="s">
        <v>254</v>
      </c>
      <c r="R330" s="92" t="s">
        <v>212</v>
      </c>
      <c r="S330" s="87"/>
    </row>
    <row r="331" spans="1:19" x14ac:dyDescent="0.2">
      <c r="A331" s="92" t="s">
        <v>1151</v>
      </c>
      <c r="B331" s="69">
        <v>11</v>
      </c>
      <c r="C331" s="69">
        <v>3</v>
      </c>
      <c r="D331" s="69">
        <v>6</v>
      </c>
      <c r="E331" s="69">
        <v>11</v>
      </c>
      <c r="F331" s="69">
        <v>16</v>
      </c>
      <c r="G331" s="69"/>
      <c r="H331" s="69"/>
      <c r="I331" s="70">
        <v>0.41</v>
      </c>
      <c r="J331" s="70">
        <v>1.06</v>
      </c>
      <c r="K331" s="69">
        <v>6.5</v>
      </c>
      <c r="L331" s="69">
        <v>0.6</v>
      </c>
      <c r="M331" s="69" t="s">
        <v>170</v>
      </c>
      <c r="N331" s="69">
        <v>2013</v>
      </c>
      <c r="O331" s="69" t="s">
        <v>71</v>
      </c>
      <c r="P331" s="69">
        <v>842393</v>
      </c>
      <c r="Q331" s="92" t="s">
        <v>362</v>
      </c>
      <c r="R331" s="92" t="s">
        <v>223</v>
      </c>
      <c r="S331" s="92"/>
    </row>
    <row r="332" spans="1:19" x14ac:dyDescent="0.2">
      <c r="A332" s="92" t="s">
        <v>539</v>
      </c>
      <c r="B332" s="69">
        <v>3</v>
      </c>
      <c r="C332" s="69">
        <v>-1</v>
      </c>
      <c r="D332" s="69">
        <v>-1</v>
      </c>
      <c r="E332" s="69">
        <v>3</v>
      </c>
      <c r="F332" s="69"/>
      <c r="G332" s="69"/>
      <c r="H332" s="69"/>
      <c r="I332" s="70">
        <v>0.41</v>
      </c>
      <c r="J332" s="70">
        <v>0.98</v>
      </c>
      <c r="K332" s="69"/>
      <c r="L332" s="69"/>
      <c r="M332" s="69" t="s">
        <v>170</v>
      </c>
      <c r="N332" s="69">
        <v>2012</v>
      </c>
      <c r="O332" s="69" t="s">
        <v>171</v>
      </c>
      <c r="P332" s="69">
        <v>934711</v>
      </c>
      <c r="Q332" s="92" t="s">
        <v>216</v>
      </c>
      <c r="R332" s="92" t="s">
        <v>223</v>
      </c>
      <c r="S332" s="92"/>
    </row>
    <row r="333" spans="1:19" x14ac:dyDescent="0.2">
      <c r="A333" s="92" t="s">
        <v>540</v>
      </c>
      <c r="B333" s="69">
        <v>11</v>
      </c>
      <c r="C333" s="69">
        <v>4</v>
      </c>
      <c r="D333" s="69">
        <v>6</v>
      </c>
      <c r="E333" s="69">
        <v>11</v>
      </c>
      <c r="F333" s="69"/>
      <c r="G333" s="69"/>
      <c r="H333" s="69"/>
      <c r="I333" s="70">
        <v>0.41</v>
      </c>
      <c r="J333" s="70">
        <v>1.62</v>
      </c>
      <c r="K333" s="69"/>
      <c r="L333" s="69"/>
      <c r="M333" s="69" t="s">
        <v>170</v>
      </c>
      <c r="N333" s="69">
        <v>2012</v>
      </c>
      <c r="O333" s="69" t="s">
        <v>171</v>
      </c>
      <c r="P333" s="69">
        <v>499913</v>
      </c>
      <c r="Q333" s="92" t="s">
        <v>305</v>
      </c>
      <c r="R333" s="92" t="s">
        <v>173</v>
      </c>
      <c r="S333" s="87"/>
    </row>
    <row r="334" spans="1:19" x14ac:dyDescent="0.2">
      <c r="A334" s="92" t="s">
        <v>548</v>
      </c>
      <c r="B334" s="69">
        <v>54</v>
      </c>
      <c r="C334" s="69">
        <v>9</v>
      </c>
      <c r="D334" s="69">
        <v>19</v>
      </c>
      <c r="E334" s="69">
        <v>54</v>
      </c>
      <c r="F334" s="69">
        <v>71</v>
      </c>
      <c r="G334" s="69">
        <v>26</v>
      </c>
      <c r="H334" s="69">
        <v>4.7</v>
      </c>
      <c r="I334" s="70">
        <v>0.41</v>
      </c>
      <c r="J334" s="70">
        <v>2.1</v>
      </c>
      <c r="K334" s="69">
        <v>18.8</v>
      </c>
      <c r="L334" s="69">
        <v>1</v>
      </c>
      <c r="M334" s="69" t="s">
        <v>170</v>
      </c>
      <c r="N334" s="69">
        <v>2007</v>
      </c>
      <c r="O334" s="69" t="s">
        <v>71</v>
      </c>
      <c r="P334" s="69">
        <v>469692</v>
      </c>
      <c r="Q334" s="92" t="s">
        <v>226</v>
      </c>
      <c r="R334" s="92" t="s">
        <v>383</v>
      </c>
      <c r="S334" s="92"/>
    </row>
    <row r="335" spans="1:19" x14ac:dyDescent="0.2">
      <c r="A335" s="92" t="s">
        <v>1127</v>
      </c>
      <c r="B335" s="69">
        <v>34</v>
      </c>
      <c r="C335" s="69">
        <v>10</v>
      </c>
      <c r="D335" s="69">
        <v>15</v>
      </c>
      <c r="E335" s="69">
        <v>34</v>
      </c>
      <c r="F335" s="69">
        <v>81</v>
      </c>
      <c r="G335" s="69">
        <v>80</v>
      </c>
      <c r="H335" s="69">
        <v>12.5</v>
      </c>
      <c r="I335" s="70">
        <v>0.41</v>
      </c>
      <c r="J335" s="70">
        <v>1.52</v>
      </c>
      <c r="K335" s="69">
        <v>9</v>
      </c>
      <c r="L335" s="69">
        <v>2.1</v>
      </c>
      <c r="M335" s="69" t="s">
        <v>170</v>
      </c>
      <c r="N335" s="69">
        <v>2005</v>
      </c>
      <c r="O335" s="69" t="s">
        <v>171</v>
      </c>
      <c r="P335" s="69">
        <v>520759</v>
      </c>
      <c r="Q335" s="92" t="s">
        <v>249</v>
      </c>
      <c r="R335" s="92" t="s">
        <v>212</v>
      </c>
      <c r="S335" s="92"/>
    </row>
    <row r="336" spans="1:19" x14ac:dyDescent="0.2">
      <c r="A336" s="92" t="s">
        <v>20</v>
      </c>
      <c r="B336" s="69">
        <v>45</v>
      </c>
      <c r="C336" s="69">
        <v>11</v>
      </c>
      <c r="D336" s="69">
        <v>24</v>
      </c>
      <c r="E336" s="69">
        <v>45</v>
      </c>
      <c r="F336" s="69">
        <v>111</v>
      </c>
      <c r="G336" s="69">
        <v>128</v>
      </c>
      <c r="H336" s="69">
        <v>17.899999999999999</v>
      </c>
      <c r="I336" s="70">
        <v>0.41</v>
      </c>
      <c r="J336" s="70">
        <v>1.5</v>
      </c>
      <c r="K336" s="69">
        <v>7.8</v>
      </c>
      <c r="L336" s="69">
        <v>3.1</v>
      </c>
      <c r="M336" s="69" t="s">
        <v>170</v>
      </c>
      <c r="N336" s="69">
        <v>2002</v>
      </c>
      <c r="O336" s="69" t="s">
        <v>171</v>
      </c>
      <c r="P336" s="69">
        <v>229922</v>
      </c>
      <c r="Q336" s="92" t="s">
        <v>249</v>
      </c>
      <c r="R336" s="92" t="s">
        <v>404</v>
      </c>
      <c r="S336" s="87"/>
    </row>
    <row r="337" spans="1:19" x14ac:dyDescent="0.2">
      <c r="A337" s="92" t="s">
        <v>547</v>
      </c>
      <c r="B337" s="69">
        <v>35</v>
      </c>
      <c r="C337" s="69">
        <v>13</v>
      </c>
      <c r="D337" s="69">
        <v>21</v>
      </c>
      <c r="E337" s="69">
        <v>35</v>
      </c>
      <c r="F337" s="69">
        <v>94</v>
      </c>
      <c r="G337" s="69">
        <v>110</v>
      </c>
      <c r="H337" s="69">
        <v>16</v>
      </c>
      <c r="I337" s="70">
        <v>0.41</v>
      </c>
      <c r="J337" s="70">
        <v>1.5</v>
      </c>
      <c r="K337" s="69">
        <v>8.9</v>
      </c>
      <c r="L337" s="69">
        <v>2.4</v>
      </c>
      <c r="M337" s="69" t="s">
        <v>170</v>
      </c>
      <c r="N337" s="69">
        <v>2002</v>
      </c>
      <c r="O337" s="69" t="s">
        <v>171</v>
      </c>
      <c r="P337" s="69">
        <v>986604</v>
      </c>
      <c r="Q337" s="92" t="s">
        <v>249</v>
      </c>
      <c r="R337" s="92" t="s">
        <v>245</v>
      </c>
      <c r="S337" s="92"/>
    </row>
    <row r="338" spans="1:19" x14ac:dyDescent="0.2">
      <c r="A338" s="92" t="s">
        <v>546</v>
      </c>
      <c r="B338" s="69">
        <v>9</v>
      </c>
      <c r="C338" s="69">
        <v>2</v>
      </c>
      <c r="D338" s="69">
        <v>3</v>
      </c>
      <c r="E338" s="69">
        <v>9</v>
      </c>
      <c r="F338" s="69">
        <v>28</v>
      </c>
      <c r="G338" s="69">
        <v>35</v>
      </c>
      <c r="H338" s="69">
        <v>6.3</v>
      </c>
      <c r="I338" s="70">
        <v>0.41</v>
      </c>
      <c r="J338" s="70">
        <v>1.04</v>
      </c>
      <c r="K338" s="69">
        <v>3.3</v>
      </c>
      <c r="L338" s="69">
        <v>2.1</v>
      </c>
      <c r="M338" s="69" t="s">
        <v>170</v>
      </c>
      <c r="N338" s="69">
        <v>2005</v>
      </c>
      <c r="O338" s="69" t="s">
        <v>171</v>
      </c>
      <c r="P338" s="69">
        <v>963462</v>
      </c>
      <c r="Q338" s="92" t="s">
        <v>247</v>
      </c>
      <c r="R338" s="92" t="s">
        <v>266</v>
      </c>
      <c r="S338" s="92"/>
    </row>
    <row r="339" spans="1:19" x14ac:dyDescent="0.2">
      <c r="A339" s="92" t="s">
        <v>550</v>
      </c>
      <c r="B339" s="69">
        <v>16</v>
      </c>
      <c r="C339" s="69">
        <v>4</v>
      </c>
      <c r="D339" s="69">
        <v>7</v>
      </c>
      <c r="E339" s="69">
        <v>16</v>
      </c>
      <c r="F339" s="69">
        <v>46</v>
      </c>
      <c r="G339" s="69">
        <v>37</v>
      </c>
      <c r="H339" s="69">
        <v>6.5</v>
      </c>
      <c r="I339" s="70">
        <v>0.42</v>
      </c>
      <c r="J339" s="70">
        <v>1.57</v>
      </c>
      <c r="K339" s="69">
        <v>10.9</v>
      </c>
      <c r="L339" s="69">
        <v>1.1000000000000001</v>
      </c>
      <c r="M339" s="69" t="s">
        <v>170</v>
      </c>
      <c r="N339" s="69">
        <v>2005</v>
      </c>
      <c r="O339" s="69" t="s">
        <v>171</v>
      </c>
      <c r="P339" s="69">
        <v>377432</v>
      </c>
      <c r="Q339" s="92" t="s">
        <v>249</v>
      </c>
      <c r="R339" s="92" t="s">
        <v>239</v>
      </c>
      <c r="S339" s="92"/>
    </row>
    <row r="340" spans="1:19" x14ac:dyDescent="0.2">
      <c r="A340" s="92" t="s">
        <v>549</v>
      </c>
      <c r="B340" s="69">
        <v>16</v>
      </c>
      <c r="C340" s="69">
        <v>5</v>
      </c>
      <c r="D340" s="69">
        <v>5</v>
      </c>
      <c r="E340" s="69">
        <v>16</v>
      </c>
      <c r="F340" s="69">
        <v>60</v>
      </c>
      <c r="G340" s="69">
        <v>48</v>
      </c>
      <c r="H340" s="69">
        <v>8.1</v>
      </c>
      <c r="I340" s="70">
        <v>0.42</v>
      </c>
      <c r="J340" s="70">
        <v>1.02</v>
      </c>
      <c r="K340" s="69">
        <v>7.2</v>
      </c>
      <c r="L340" s="69">
        <v>2.1</v>
      </c>
      <c r="M340" s="69" t="s">
        <v>241</v>
      </c>
      <c r="N340" s="69">
        <v>2007</v>
      </c>
      <c r="O340" s="69" t="s">
        <v>71</v>
      </c>
      <c r="P340" s="69">
        <v>335463</v>
      </c>
      <c r="Q340" s="92" t="s">
        <v>497</v>
      </c>
      <c r="R340" s="92" t="s">
        <v>223</v>
      </c>
      <c r="S340" s="87"/>
    </row>
    <row r="341" spans="1:19" x14ac:dyDescent="0.2">
      <c r="A341" s="92" t="s">
        <v>554</v>
      </c>
      <c r="B341" s="69">
        <v>18</v>
      </c>
      <c r="C341" s="69">
        <v>6</v>
      </c>
      <c r="D341" s="69">
        <v>10</v>
      </c>
      <c r="E341" s="69">
        <v>18</v>
      </c>
      <c r="F341" s="69">
        <v>24</v>
      </c>
      <c r="G341" s="69">
        <v>11</v>
      </c>
      <c r="H341" s="69">
        <v>2.1</v>
      </c>
      <c r="I341" s="70">
        <v>0.43</v>
      </c>
      <c r="J341" s="70">
        <v>1.83</v>
      </c>
      <c r="K341" s="69">
        <v>12.4</v>
      </c>
      <c r="L341" s="69">
        <v>0.6</v>
      </c>
      <c r="M341" s="69" t="s">
        <v>170</v>
      </c>
      <c r="N341" s="69">
        <v>2001</v>
      </c>
      <c r="O341" s="69" t="s">
        <v>171</v>
      </c>
      <c r="P341" s="69">
        <v>206250</v>
      </c>
      <c r="Q341" s="92" t="s">
        <v>203</v>
      </c>
      <c r="R341" s="92" t="s">
        <v>379</v>
      </c>
      <c r="S341" s="92"/>
    </row>
    <row r="342" spans="1:19" x14ac:dyDescent="0.2">
      <c r="A342" s="92" t="s">
        <v>1128</v>
      </c>
      <c r="B342" s="69">
        <v>10</v>
      </c>
      <c r="C342" s="69">
        <v>2</v>
      </c>
      <c r="D342" s="69">
        <v>1</v>
      </c>
      <c r="E342" s="69">
        <v>10</v>
      </c>
      <c r="F342" s="69">
        <v>28</v>
      </c>
      <c r="G342" s="69">
        <v>33</v>
      </c>
      <c r="H342" s="69">
        <v>5.9</v>
      </c>
      <c r="I342" s="70">
        <v>0.43</v>
      </c>
      <c r="J342" s="70">
        <v>1.05</v>
      </c>
      <c r="K342" s="69">
        <v>5.4</v>
      </c>
      <c r="L342" s="69">
        <v>1.3</v>
      </c>
      <c r="M342" s="69" t="s">
        <v>241</v>
      </c>
      <c r="N342" s="69">
        <v>2013</v>
      </c>
      <c r="O342" s="69" t="s">
        <v>71</v>
      </c>
      <c r="P342" s="69">
        <v>492595</v>
      </c>
      <c r="Q342" s="92" t="s">
        <v>464</v>
      </c>
      <c r="R342" s="92" t="s">
        <v>223</v>
      </c>
      <c r="S342" s="92"/>
    </row>
    <row r="343" spans="1:19" x14ac:dyDescent="0.2">
      <c r="A343" s="92" t="s">
        <v>557</v>
      </c>
      <c r="B343" s="69">
        <v>12</v>
      </c>
      <c r="C343" s="69">
        <v>5</v>
      </c>
      <c r="D343" s="69">
        <v>7</v>
      </c>
      <c r="E343" s="69">
        <v>12</v>
      </c>
      <c r="F343" s="69">
        <v>18</v>
      </c>
      <c r="G343" s="69">
        <v>0</v>
      </c>
      <c r="H343" s="69">
        <v>-0.1</v>
      </c>
      <c r="I343" s="70">
        <v>0.43</v>
      </c>
      <c r="J343" s="70">
        <v>1.72</v>
      </c>
      <c r="K343" s="69">
        <v>10.4</v>
      </c>
      <c r="L343" s="69">
        <v>0.5</v>
      </c>
      <c r="M343" s="69" t="s">
        <v>170</v>
      </c>
      <c r="N343" s="69">
        <v>2000</v>
      </c>
      <c r="O343" s="69" t="s">
        <v>171</v>
      </c>
      <c r="P343" s="69">
        <v>285825</v>
      </c>
      <c r="Q343" s="92" t="s">
        <v>221</v>
      </c>
      <c r="R343" s="92" t="s">
        <v>379</v>
      </c>
      <c r="S343" s="87"/>
    </row>
    <row r="344" spans="1:19" x14ac:dyDescent="0.2">
      <c r="A344" s="92" t="s">
        <v>558</v>
      </c>
      <c r="B344" s="69">
        <v>22</v>
      </c>
      <c r="C344" s="69">
        <v>7</v>
      </c>
      <c r="D344" s="69">
        <v>12</v>
      </c>
      <c r="E344" s="69">
        <v>21</v>
      </c>
      <c r="F344" s="69">
        <v>52</v>
      </c>
      <c r="G344" s="69"/>
      <c r="H344" s="69"/>
      <c r="I344" s="70">
        <v>0.43</v>
      </c>
      <c r="J344" s="70">
        <v>1.79</v>
      </c>
      <c r="K344" s="69">
        <v>6</v>
      </c>
      <c r="L344" s="69">
        <v>2.1</v>
      </c>
      <c r="M344" s="69" t="s">
        <v>170</v>
      </c>
      <c r="N344" s="69">
        <v>2011</v>
      </c>
      <c r="O344" s="69" t="s">
        <v>71</v>
      </c>
      <c r="P344" s="69">
        <v>762880</v>
      </c>
      <c r="Q344" s="92" t="s">
        <v>368</v>
      </c>
      <c r="R344" s="92" t="s">
        <v>173</v>
      </c>
      <c r="S344" s="87"/>
    </row>
    <row r="345" spans="1:19" x14ac:dyDescent="0.2">
      <c r="A345" s="92" t="s">
        <v>551</v>
      </c>
      <c r="B345" s="69">
        <v>19</v>
      </c>
      <c r="C345" s="69">
        <v>4</v>
      </c>
      <c r="D345" s="69">
        <v>7</v>
      </c>
      <c r="E345" s="69">
        <v>19</v>
      </c>
      <c r="F345" s="69">
        <v>24</v>
      </c>
      <c r="G345" s="69">
        <v>22</v>
      </c>
      <c r="H345" s="69">
        <v>4</v>
      </c>
      <c r="I345" s="70">
        <v>0.43</v>
      </c>
      <c r="J345" s="70">
        <v>1.07</v>
      </c>
      <c r="K345" s="69">
        <v>6.5</v>
      </c>
      <c r="L345" s="69">
        <v>0.9</v>
      </c>
      <c r="M345" s="69" t="s">
        <v>552</v>
      </c>
      <c r="N345" s="69">
        <v>2006</v>
      </c>
      <c r="O345" s="69" t="s">
        <v>71</v>
      </c>
      <c r="P345" s="69">
        <v>551093</v>
      </c>
      <c r="Q345" s="92" t="s">
        <v>553</v>
      </c>
      <c r="R345" s="92" t="s">
        <v>243</v>
      </c>
      <c r="S345" s="92"/>
    </row>
    <row r="346" spans="1:19" x14ac:dyDescent="0.2">
      <c r="A346" s="92" t="s">
        <v>555</v>
      </c>
      <c r="B346" s="69">
        <v>15</v>
      </c>
      <c r="C346" s="69">
        <v>4</v>
      </c>
      <c r="D346" s="69">
        <v>8</v>
      </c>
      <c r="E346" s="69">
        <v>14</v>
      </c>
      <c r="F346" s="69">
        <v>33</v>
      </c>
      <c r="G346" s="69"/>
      <c r="H346" s="69"/>
      <c r="I346" s="70">
        <v>0.43</v>
      </c>
      <c r="J346" s="70">
        <v>1.82</v>
      </c>
      <c r="K346" s="69">
        <v>3.7</v>
      </c>
      <c r="L346" s="69">
        <v>2.2000000000000002</v>
      </c>
      <c r="M346" s="69" t="s">
        <v>170</v>
      </c>
      <c r="N346" s="69">
        <v>2011</v>
      </c>
      <c r="O346" s="69" t="s">
        <v>71</v>
      </c>
      <c r="P346" s="69">
        <v>119776</v>
      </c>
      <c r="Q346" s="92" t="s">
        <v>368</v>
      </c>
      <c r="R346" s="92" t="s">
        <v>173</v>
      </c>
      <c r="S346" s="87"/>
    </row>
    <row r="347" spans="1:19" x14ac:dyDescent="0.2">
      <c r="A347" s="92" t="s">
        <v>556</v>
      </c>
      <c r="B347" s="69">
        <v>47</v>
      </c>
      <c r="C347" s="69">
        <v>12</v>
      </c>
      <c r="D347" s="69">
        <v>27</v>
      </c>
      <c r="E347" s="69">
        <v>47</v>
      </c>
      <c r="F347" s="69">
        <v>122</v>
      </c>
      <c r="G347" s="69">
        <v>128</v>
      </c>
      <c r="H347" s="69">
        <v>17.899999999999999</v>
      </c>
      <c r="I347" s="70">
        <v>0.43</v>
      </c>
      <c r="J347" s="70">
        <v>1.7</v>
      </c>
      <c r="K347" s="69">
        <v>9.5</v>
      </c>
      <c r="L347" s="69">
        <v>2.7</v>
      </c>
      <c r="M347" s="69" t="s">
        <v>170</v>
      </c>
      <c r="N347" s="69">
        <v>2000</v>
      </c>
      <c r="O347" s="69" t="s">
        <v>71</v>
      </c>
      <c r="P347" s="69">
        <v>313155</v>
      </c>
      <c r="Q347" s="92" t="s">
        <v>254</v>
      </c>
      <c r="R347" s="92" t="s">
        <v>404</v>
      </c>
      <c r="S347" s="87"/>
    </row>
    <row r="348" spans="1:19" x14ac:dyDescent="0.2">
      <c r="A348" s="92" t="s">
        <v>559</v>
      </c>
      <c r="B348" s="69">
        <v>13</v>
      </c>
      <c r="C348" s="69">
        <v>3</v>
      </c>
      <c r="D348" s="69">
        <v>2</v>
      </c>
      <c r="E348" s="69">
        <v>13</v>
      </c>
      <c r="F348" s="69">
        <v>22</v>
      </c>
      <c r="G348" s="69">
        <v>26</v>
      </c>
      <c r="H348" s="69">
        <v>4.7</v>
      </c>
      <c r="I348" s="70">
        <v>0.44</v>
      </c>
      <c r="J348" s="70">
        <v>1.08</v>
      </c>
      <c r="K348" s="69">
        <v>6.7</v>
      </c>
      <c r="L348" s="69">
        <v>0.8</v>
      </c>
      <c r="M348" s="69" t="s">
        <v>241</v>
      </c>
      <c r="N348" s="69">
        <v>2013</v>
      </c>
      <c r="O348" s="69" t="s">
        <v>71</v>
      </c>
      <c r="P348" s="69">
        <v>420935</v>
      </c>
      <c r="Q348" s="92" t="s">
        <v>464</v>
      </c>
      <c r="R348" s="92" t="s">
        <v>223</v>
      </c>
      <c r="S348" s="92"/>
    </row>
    <row r="349" spans="1:19" x14ac:dyDescent="0.2">
      <c r="A349" s="92" t="s">
        <v>560</v>
      </c>
      <c r="B349" s="69">
        <v>12</v>
      </c>
      <c r="C349" s="69">
        <v>5</v>
      </c>
      <c r="D349" s="69">
        <v>4</v>
      </c>
      <c r="E349" s="69">
        <v>12</v>
      </c>
      <c r="F349" s="69">
        <v>61</v>
      </c>
      <c r="G349" s="69">
        <v>74</v>
      </c>
      <c r="H349" s="69">
        <v>11.8</v>
      </c>
      <c r="I349" s="70">
        <v>0.44</v>
      </c>
      <c r="J349" s="70">
        <v>1.21</v>
      </c>
      <c r="K349" s="69">
        <v>10.1</v>
      </c>
      <c r="L349" s="69">
        <v>1.5</v>
      </c>
      <c r="M349" s="69" t="s">
        <v>170</v>
      </c>
      <c r="N349" s="69">
        <v>2000</v>
      </c>
      <c r="O349" s="69" t="s">
        <v>171</v>
      </c>
      <c r="P349" s="69">
        <v>928937</v>
      </c>
      <c r="Q349" s="92" t="s">
        <v>194</v>
      </c>
      <c r="R349" s="92" t="s">
        <v>264</v>
      </c>
      <c r="S349" s="87"/>
    </row>
    <row r="350" spans="1:19" x14ac:dyDescent="0.2">
      <c r="A350" s="92" t="s">
        <v>561</v>
      </c>
      <c r="B350" s="69">
        <v>11</v>
      </c>
      <c r="C350" s="69">
        <v>3</v>
      </c>
      <c r="D350" s="69">
        <v>1</v>
      </c>
      <c r="E350" s="69">
        <v>10</v>
      </c>
      <c r="F350" s="69"/>
      <c r="G350" s="69"/>
      <c r="H350" s="69"/>
      <c r="I350" s="70">
        <v>0.45</v>
      </c>
      <c r="J350" s="70">
        <v>1.01</v>
      </c>
      <c r="K350" s="69"/>
      <c r="L350" s="69"/>
      <c r="M350" s="69" t="s">
        <v>170</v>
      </c>
      <c r="N350" s="69">
        <v>2014</v>
      </c>
      <c r="O350" s="69" t="s">
        <v>171</v>
      </c>
      <c r="P350" s="69">
        <v>269704</v>
      </c>
      <c r="Q350" s="92" t="s">
        <v>562</v>
      </c>
      <c r="R350" s="92" t="s">
        <v>173</v>
      </c>
      <c r="S350" s="87" t="s">
        <v>189</v>
      </c>
    </row>
    <row r="351" spans="1:19" x14ac:dyDescent="0.2">
      <c r="A351" s="92" t="s">
        <v>568</v>
      </c>
      <c r="B351" s="69">
        <v>24</v>
      </c>
      <c r="C351" s="69">
        <v>10</v>
      </c>
      <c r="D351" s="69">
        <v>16</v>
      </c>
      <c r="E351" s="69">
        <v>24</v>
      </c>
      <c r="F351" s="69">
        <v>61</v>
      </c>
      <c r="G351" s="69">
        <v>40</v>
      </c>
      <c r="H351" s="69">
        <v>6.9</v>
      </c>
      <c r="I351" s="70">
        <v>0.45</v>
      </c>
      <c r="J351" s="70">
        <v>1.85</v>
      </c>
      <c r="K351" s="69">
        <v>10.9</v>
      </c>
      <c r="L351" s="69">
        <v>1.4</v>
      </c>
      <c r="M351" s="69" t="s">
        <v>170</v>
      </c>
      <c r="N351" s="69">
        <v>2014</v>
      </c>
      <c r="O351" s="69" t="s">
        <v>171</v>
      </c>
      <c r="P351" s="69">
        <v>617670</v>
      </c>
      <c r="Q351" s="92" t="s">
        <v>231</v>
      </c>
      <c r="R351" s="92" t="s">
        <v>449</v>
      </c>
      <c r="S351" s="92"/>
    </row>
    <row r="352" spans="1:19" x14ac:dyDescent="0.2">
      <c r="A352" s="92" t="s">
        <v>566</v>
      </c>
      <c r="B352" s="69">
        <v>14</v>
      </c>
      <c r="C352" s="69">
        <v>0</v>
      </c>
      <c r="D352" s="69">
        <v>8</v>
      </c>
      <c r="E352" s="69">
        <v>14</v>
      </c>
      <c r="F352" s="69">
        <v>54</v>
      </c>
      <c r="G352" s="69">
        <v>52</v>
      </c>
      <c r="H352" s="69">
        <v>8.8000000000000007</v>
      </c>
      <c r="I352" s="70">
        <v>0.45</v>
      </c>
      <c r="J352" s="70">
        <v>3.82</v>
      </c>
      <c r="K352" s="69">
        <v>10</v>
      </c>
      <c r="L352" s="69">
        <v>1.4</v>
      </c>
      <c r="M352" s="69" t="s">
        <v>170</v>
      </c>
      <c r="N352" s="69">
        <v>2012</v>
      </c>
      <c r="O352" s="69" t="s">
        <v>171</v>
      </c>
      <c r="P352" s="69">
        <v>815712</v>
      </c>
      <c r="Q352" s="92" t="s">
        <v>567</v>
      </c>
      <c r="R352" s="92" t="s">
        <v>404</v>
      </c>
      <c r="S352" s="87" t="s">
        <v>189</v>
      </c>
    </row>
    <row r="353" spans="1:19" x14ac:dyDescent="0.2">
      <c r="A353" s="92" t="s">
        <v>573</v>
      </c>
      <c r="B353" s="69">
        <v>26</v>
      </c>
      <c r="C353" s="69">
        <v>6</v>
      </c>
      <c r="D353" s="69">
        <v>11</v>
      </c>
      <c r="E353" s="69">
        <v>26</v>
      </c>
      <c r="F353" s="69">
        <v>72</v>
      </c>
      <c r="G353" s="69">
        <v>58</v>
      </c>
      <c r="H353" s="69">
        <v>9.5</v>
      </c>
      <c r="I353" s="70">
        <v>0.45</v>
      </c>
      <c r="J353" s="70">
        <v>1</v>
      </c>
      <c r="K353" s="69">
        <v>8.4</v>
      </c>
      <c r="L353" s="69">
        <v>2.1</v>
      </c>
      <c r="M353" s="69" t="s">
        <v>376</v>
      </c>
      <c r="N353" s="69">
        <v>2007</v>
      </c>
      <c r="O353" s="69" t="s">
        <v>71</v>
      </c>
      <c r="P353" s="69">
        <v>282632</v>
      </c>
      <c r="Q353" s="92" t="s">
        <v>462</v>
      </c>
      <c r="R353" s="92" t="s">
        <v>212</v>
      </c>
      <c r="S353" s="87"/>
    </row>
    <row r="354" spans="1:19" x14ac:dyDescent="0.2">
      <c r="A354" s="92" t="s">
        <v>565</v>
      </c>
      <c r="B354" s="69">
        <v>15</v>
      </c>
      <c r="C354" s="69">
        <v>4</v>
      </c>
      <c r="D354" s="69">
        <v>4</v>
      </c>
      <c r="E354" s="69">
        <v>15</v>
      </c>
      <c r="F354" s="69">
        <v>64</v>
      </c>
      <c r="G354" s="69">
        <v>57</v>
      </c>
      <c r="H354" s="69">
        <v>9.4</v>
      </c>
      <c r="I354" s="70">
        <v>0.45</v>
      </c>
      <c r="J354" s="70">
        <v>1.82</v>
      </c>
      <c r="K354" s="69">
        <v>5.9</v>
      </c>
      <c r="L354" s="69">
        <v>2.6</v>
      </c>
      <c r="M354" s="69" t="s">
        <v>170</v>
      </c>
      <c r="N354" s="69">
        <v>2013</v>
      </c>
      <c r="O354" s="69" t="s">
        <v>71</v>
      </c>
      <c r="P354" s="69">
        <v>768317</v>
      </c>
      <c r="Q354" s="92" t="s">
        <v>368</v>
      </c>
      <c r="R354" s="92" t="s">
        <v>173</v>
      </c>
      <c r="S354" s="92"/>
    </row>
    <row r="355" spans="1:19" x14ac:dyDescent="0.2">
      <c r="A355" s="92" t="s">
        <v>570</v>
      </c>
      <c r="B355" s="69">
        <v>5</v>
      </c>
      <c r="C355" s="69">
        <v>2</v>
      </c>
      <c r="D355" s="69">
        <v>1</v>
      </c>
      <c r="E355" s="69">
        <v>5</v>
      </c>
      <c r="F355" s="69">
        <v>12</v>
      </c>
      <c r="G355" s="69"/>
      <c r="H355" s="69"/>
      <c r="I355" s="70">
        <v>0.45</v>
      </c>
      <c r="J355" s="70">
        <v>1</v>
      </c>
      <c r="K355" s="69">
        <v>6.1</v>
      </c>
      <c r="L355" s="69">
        <v>0.5</v>
      </c>
      <c r="M355" s="69" t="s">
        <v>241</v>
      </c>
      <c r="N355" s="69">
        <v>2011</v>
      </c>
      <c r="O355" s="69" t="s">
        <v>71</v>
      </c>
      <c r="P355" s="69">
        <v>857037</v>
      </c>
      <c r="Q355" s="92" t="s">
        <v>495</v>
      </c>
      <c r="R355" s="92" t="s">
        <v>173</v>
      </c>
      <c r="S355" s="87"/>
    </row>
    <row r="356" spans="1:19" x14ac:dyDescent="0.2">
      <c r="A356" s="92" t="s">
        <v>571</v>
      </c>
      <c r="B356" s="69">
        <v>14</v>
      </c>
      <c r="C356" s="69">
        <v>6</v>
      </c>
      <c r="D356" s="69">
        <v>4</v>
      </c>
      <c r="E356" s="69">
        <v>14</v>
      </c>
      <c r="F356" s="69">
        <v>59</v>
      </c>
      <c r="G356" s="69">
        <v>65</v>
      </c>
      <c r="H356" s="69">
        <v>10.5</v>
      </c>
      <c r="I356" s="70">
        <v>0.45</v>
      </c>
      <c r="J356" s="70">
        <v>1.25</v>
      </c>
      <c r="K356" s="69">
        <v>10.4</v>
      </c>
      <c r="L356" s="69">
        <v>1.4</v>
      </c>
      <c r="M356" s="69" t="s">
        <v>170</v>
      </c>
      <c r="N356" s="69">
        <v>2000</v>
      </c>
      <c r="O356" s="69" t="s">
        <v>171</v>
      </c>
      <c r="P356" s="69">
        <v>730366</v>
      </c>
      <c r="Q356" s="92" t="s">
        <v>361</v>
      </c>
      <c r="R356" s="92" t="s">
        <v>264</v>
      </c>
      <c r="S356" s="92" t="s">
        <v>189</v>
      </c>
    </row>
    <row r="357" spans="1:19" x14ac:dyDescent="0.2">
      <c r="A357" s="92" t="s">
        <v>572</v>
      </c>
      <c r="B357" s="69">
        <v>19</v>
      </c>
      <c r="C357" s="69">
        <v>7</v>
      </c>
      <c r="D357" s="69">
        <v>9</v>
      </c>
      <c r="E357" s="69">
        <v>19</v>
      </c>
      <c r="F357" s="69">
        <v>70</v>
      </c>
      <c r="G357" s="69">
        <v>70</v>
      </c>
      <c r="H357" s="69">
        <v>11.1</v>
      </c>
      <c r="I357" s="70">
        <v>0.45</v>
      </c>
      <c r="J357" s="70">
        <v>1.25</v>
      </c>
      <c r="K357" s="69">
        <v>7.1</v>
      </c>
      <c r="L357" s="69">
        <v>2.4</v>
      </c>
      <c r="M357" s="69" t="s">
        <v>170</v>
      </c>
      <c r="N357" s="69">
        <v>2003</v>
      </c>
      <c r="O357" s="69" t="s">
        <v>171</v>
      </c>
      <c r="P357" s="69">
        <v>936781</v>
      </c>
      <c r="Q357" s="92" t="s">
        <v>361</v>
      </c>
      <c r="R357" s="92" t="s">
        <v>212</v>
      </c>
      <c r="S357" s="92" t="s">
        <v>189</v>
      </c>
    </row>
    <row r="358" spans="1:19" x14ac:dyDescent="0.2">
      <c r="A358" s="92" t="s">
        <v>563</v>
      </c>
      <c r="B358" s="69">
        <v>23</v>
      </c>
      <c r="C358" s="69">
        <v>9</v>
      </c>
      <c r="D358" s="69">
        <v>7</v>
      </c>
      <c r="E358" s="69">
        <v>23</v>
      </c>
      <c r="F358" s="69"/>
      <c r="G358" s="69"/>
      <c r="H358" s="69"/>
      <c r="I358" s="70">
        <v>0.45</v>
      </c>
      <c r="J358" s="70">
        <v>1</v>
      </c>
      <c r="K358" s="69"/>
      <c r="L358" s="69"/>
      <c r="M358" s="69" t="s">
        <v>170</v>
      </c>
      <c r="N358" s="69">
        <v>2013</v>
      </c>
      <c r="O358" s="69" t="s">
        <v>171</v>
      </c>
      <c r="P358" s="69">
        <v>328021</v>
      </c>
      <c r="Q358" s="92" t="s">
        <v>564</v>
      </c>
      <c r="R358" s="92" t="s">
        <v>264</v>
      </c>
      <c r="S358" s="92"/>
    </row>
    <row r="359" spans="1:19" x14ac:dyDescent="0.2">
      <c r="A359" s="92" t="s">
        <v>569</v>
      </c>
      <c r="B359" s="69">
        <v>5</v>
      </c>
      <c r="C359" s="69">
        <v>3</v>
      </c>
      <c r="D359" s="69">
        <v>2</v>
      </c>
      <c r="E359" s="69">
        <v>5</v>
      </c>
      <c r="F359" s="69">
        <v>47</v>
      </c>
      <c r="G359" s="69">
        <v>20</v>
      </c>
      <c r="H359" s="69">
        <v>3.8</v>
      </c>
      <c r="I359" s="70">
        <v>0.45</v>
      </c>
      <c r="J359" s="70">
        <v>1</v>
      </c>
      <c r="K359" s="69">
        <v>13.1</v>
      </c>
      <c r="L359" s="69">
        <v>1</v>
      </c>
      <c r="M359" s="69" t="s">
        <v>376</v>
      </c>
      <c r="N359" s="69">
        <v>2012</v>
      </c>
      <c r="O359" s="69" t="s">
        <v>71</v>
      </c>
      <c r="P359" s="69">
        <v>116111</v>
      </c>
      <c r="Q359" s="92" t="s">
        <v>462</v>
      </c>
      <c r="R359" s="92" t="s">
        <v>383</v>
      </c>
      <c r="S359" s="87"/>
    </row>
    <row r="360" spans="1:19" x14ac:dyDescent="0.2">
      <c r="A360" s="92" t="s">
        <v>582</v>
      </c>
      <c r="B360" s="69">
        <v>51</v>
      </c>
      <c r="C360" s="69">
        <v>6</v>
      </c>
      <c r="D360" s="69">
        <v>20</v>
      </c>
      <c r="E360" s="69">
        <v>51</v>
      </c>
      <c r="F360" s="69">
        <v>60</v>
      </c>
      <c r="G360" s="69">
        <v>12</v>
      </c>
      <c r="H360" s="69">
        <v>2.2999999999999998</v>
      </c>
      <c r="I360" s="70">
        <v>0.46</v>
      </c>
      <c r="J360" s="70">
        <v>2</v>
      </c>
      <c r="K360" s="69">
        <v>20.5</v>
      </c>
      <c r="L360" s="69">
        <v>0.8</v>
      </c>
      <c r="M360" s="69" t="s">
        <v>170</v>
      </c>
      <c r="N360" s="69">
        <v>2009</v>
      </c>
      <c r="O360" s="69" t="s">
        <v>71</v>
      </c>
      <c r="P360" s="69">
        <v>354233</v>
      </c>
      <c r="Q360" s="92" t="s">
        <v>231</v>
      </c>
      <c r="R360" s="92" t="s">
        <v>383</v>
      </c>
      <c r="S360" s="92"/>
    </row>
    <row r="361" spans="1:19" x14ac:dyDescent="0.2">
      <c r="A361" s="92" t="s">
        <v>579</v>
      </c>
      <c r="B361" s="69">
        <v>19</v>
      </c>
      <c r="C361" s="69">
        <v>5</v>
      </c>
      <c r="D361" s="69">
        <v>9</v>
      </c>
      <c r="E361" s="69">
        <v>19</v>
      </c>
      <c r="F361" s="69">
        <v>13</v>
      </c>
      <c r="G361" s="69">
        <v>21</v>
      </c>
      <c r="H361" s="69">
        <v>3.9</v>
      </c>
      <c r="I361" s="70">
        <v>0.46</v>
      </c>
      <c r="J361" s="70">
        <v>1.34</v>
      </c>
      <c r="K361" s="69">
        <v>6.6</v>
      </c>
      <c r="L361" s="69">
        <v>0.4</v>
      </c>
      <c r="M361" s="69" t="s">
        <v>451</v>
      </c>
      <c r="N361" s="69">
        <v>2000</v>
      </c>
      <c r="O361" s="69" t="s">
        <v>71</v>
      </c>
      <c r="P361" s="69">
        <v>370239</v>
      </c>
      <c r="Q361" s="92" t="s">
        <v>580</v>
      </c>
      <c r="R361" s="92" t="s">
        <v>223</v>
      </c>
      <c r="S361" s="87"/>
    </row>
    <row r="362" spans="1:19" x14ac:dyDescent="0.2">
      <c r="A362" s="92" t="s">
        <v>581</v>
      </c>
      <c r="B362" s="69">
        <v>34</v>
      </c>
      <c r="C362" s="69">
        <v>10</v>
      </c>
      <c r="D362" s="69">
        <v>15</v>
      </c>
      <c r="E362" s="69">
        <v>34</v>
      </c>
      <c r="F362" s="69"/>
      <c r="G362" s="69"/>
      <c r="H362" s="69"/>
      <c r="I362" s="70">
        <v>0.46</v>
      </c>
      <c r="J362" s="70">
        <v>1.9</v>
      </c>
      <c r="K362" s="69"/>
      <c r="L362" s="69"/>
      <c r="M362" s="69" t="s">
        <v>170</v>
      </c>
      <c r="N362" s="69">
        <v>2013</v>
      </c>
      <c r="O362" s="69" t="s">
        <v>71</v>
      </c>
      <c r="P362" s="69">
        <v>379024</v>
      </c>
      <c r="Q362" s="92" t="s">
        <v>254</v>
      </c>
      <c r="R362" s="92" t="s">
        <v>310</v>
      </c>
      <c r="S362" s="87"/>
    </row>
    <row r="363" spans="1:19" x14ac:dyDescent="0.2">
      <c r="A363" s="92" t="s">
        <v>577</v>
      </c>
      <c r="B363" s="69">
        <v>-19</v>
      </c>
      <c r="C363" s="69">
        <v>-14</v>
      </c>
      <c r="D363" s="69">
        <v>-21</v>
      </c>
      <c r="E363" s="69">
        <v>-19</v>
      </c>
      <c r="F363" s="69">
        <v>-7</v>
      </c>
      <c r="G363" s="69">
        <v>-23</v>
      </c>
      <c r="H363" s="69">
        <v>-5.2</v>
      </c>
      <c r="I363" s="70">
        <v>0.46</v>
      </c>
      <c r="J363" s="70">
        <v>1.75</v>
      </c>
      <c r="K363" s="69">
        <v>17.7</v>
      </c>
      <c r="L363" s="69">
        <v>-0.1</v>
      </c>
      <c r="M363" s="69" t="s">
        <v>170</v>
      </c>
      <c r="N363" s="69">
        <v>2005</v>
      </c>
      <c r="O363" s="69" t="s">
        <v>171</v>
      </c>
      <c r="P363" s="69">
        <v>449090</v>
      </c>
      <c r="Q363" s="92" t="s">
        <v>249</v>
      </c>
      <c r="R363" s="92" t="s">
        <v>413</v>
      </c>
      <c r="S363" s="87"/>
    </row>
    <row r="364" spans="1:19" x14ac:dyDescent="0.2">
      <c r="A364" s="92" t="s">
        <v>574</v>
      </c>
      <c r="B364" s="69">
        <v>30</v>
      </c>
      <c r="C364" s="69">
        <v>9</v>
      </c>
      <c r="D364" s="69">
        <v>15</v>
      </c>
      <c r="E364" s="69">
        <v>30</v>
      </c>
      <c r="F364" s="69">
        <v>41</v>
      </c>
      <c r="G364" s="69">
        <v>41</v>
      </c>
      <c r="H364" s="69">
        <v>7.2</v>
      </c>
      <c r="I364" s="70">
        <v>0.46</v>
      </c>
      <c r="J364" s="70">
        <v>1.78</v>
      </c>
      <c r="K364" s="69">
        <v>11.1</v>
      </c>
      <c r="L364" s="69">
        <v>1</v>
      </c>
      <c r="M364" s="69" t="s">
        <v>170</v>
      </c>
      <c r="N364" s="69">
        <v>2002</v>
      </c>
      <c r="O364" s="69" t="s">
        <v>171</v>
      </c>
      <c r="P364" s="69">
        <v>914945</v>
      </c>
      <c r="Q364" s="92" t="s">
        <v>249</v>
      </c>
      <c r="R364" s="92" t="s">
        <v>310</v>
      </c>
      <c r="S364" s="92"/>
    </row>
    <row r="365" spans="1:19" x14ac:dyDescent="0.2">
      <c r="A365" s="92" t="s">
        <v>575</v>
      </c>
      <c r="B365" s="69">
        <v>18</v>
      </c>
      <c r="C365" s="69">
        <v>3</v>
      </c>
      <c r="D365" s="69">
        <v>7</v>
      </c>
      <c r="E365" s="69">
        <v>18</v>
      </c>
      <c r="F365" s="69">
        <v>22</v>
      </c>
      <c r="G365" s="69">
        <v>9</v>
      </c>
      <c r="H365" s="69">
        <v>1.7</v>
      </c>
      <c r="I365" s="70">
        <v>0.46</v>
      </c>
      <c r="J365" s="70">
        <v>1.77</v>
      </c>
      <c r="K365" s="69">
        <v>11.9</v>
      </c>
      <c r="L365" s="69">
        <v>0.5</v>
      </c>
      <c r="M365" s="69" t="s">
        <v>170</v>
      </c>
      <c r="N365" s="69">
        <v>2002</v>
      </c>
      <c r="O365" s="69" t="s">
        <v>171</v>
      </c>
      <c r="P365" s="69">
        <v>950774</v>
      </c>
      <c r="Q365" s="92" t="s">
        <v>249</v>
      </c>
      <c r="R365" s="92" t="s">
        <v>379</v>
      </c>
      <c r="S365" s="92"/>
    </row>
    <row r="366" spans="1:19" x14ac:dyDescent="0.2">
      <c r="A366" s="92" t="s">
        <v>576</v>
      </c>
      <c r="B366" s="69">
        <v>20</v>
      </c>
      <c r="C366" s="69">
        <v>9</v>
      </c>
      <c r="D366" s="69">
        <v>6</v>
      </c>
      <c r="E366" s="69">
        <v>20</v>
      </c>
      <c r="F366" s="69">
        <v>95</v>
      </c>
      <c r="G366" s="69">
        <v>81</v>
      </c>
      <c r="H366" s="69">
        <v>12.6</v>
      </c>
      <c r="I366" s="70">
        <v>0.46</v>
      </c>
      <c r="J366" s="70">
        <v>1.76</v>
      </c>
      <c r="K366" s="69">
        <v>9.1999999999999993</v>
      </c>
      <c r="L366" s="69">
        <v>2.4</v>
      </c>
      <c r="M366" s="69" t="s">
        <v>170</v>
      </c>
      <c r="N366" s="69">
        <v>2005</v>
      </c>
      <c r="O366" s="69" t="s">
        <v>171</v>
      </c>
      <c r="P366" s="69">
        <v>556589</v>
      </c>
      <c r="Q366" s="92" t="s">
        <v>249</v>
      </c>
      <c r="R366" s="92" t="s">
        <v>408</v>
      </c>
      <c r="S366" s="87"/>
    </row>
    <row r="367" spans="1:19" x14ac:dyDescent="0.2">
      <c r="A367" s="92" t="s">
        <v>578</v>
      </c>
      <c r="B367" s="69">
        <v>36</v>
      </c>
      <c r="C367" s="69">
        <v>12</v>
      </c>
      <c r="D367" s="69">
        <v>17</v>
      </c>
      <c r="E367" s="69">
        <v>36</v>
      </c>
      <c r="F367" s="69"/>
      <c r="G367" s="69"/>
      <c r="H367" s="69"/>
      <c r="I367" s="70">
        <v>0.46</v>
      </c>
      <c r="J367" s="70">
        <v>1.5</v>
      </c>
      <c r="K367" s="69"/>
      <c r="L367" s="69"/>
      <c r="M367" s="69" t="s">
        <v>376</v>
      </c>
      <c r="N367" s="69">
        <v>2013</v>
      </c>
      <c r="O367" s="69" t="s">
        <v>71</v>
      </c>
      <c r="P367" s="69">
        <v>311027</v>
      </c>
      <c r="Q367" s="92" t="s">
        <v>207</v>
      </c>
      <c r="R367" s="92" t="s">
        <v>370</v>
      </c>
      <c r="S367" s="87"/>
    </row>
    <row r="368" spans="1:19" x14ac:dyDescent="0.2">
      <c r="A368" s="92" t="s">
        <v>585</v>
      </c>
      <c r="B368" s="69">
        <v>8</v>
      </c>
      <c r="C368" s="69">
        <v>3</v>
      </c>
      <c r="D368" s="69">
        <v>2</v>
      </c>
      <c r="E368" s="69">
        <v>7</v>
      </c>
      <c r="F368" s="69">
        <v>30</v>
      </c>
      <c r="G368" s="69"/>
      <c r="H368" s="69"/>
      <c r="I368" s="70">
        <v>0.47</v>
      </c>
      <c r="J368" s="70">
        <v>1.1499999999999999</v>
      </c>
      <c r="K368" s="69">
        <v>4.9000000000000004</v>
      </c>
      <c r="L368" s="69">
        <v>1.6</v>
      </c>
      <c r="M368" s="69" t="s">
        <v>241</v>
      </c>
      <c r="N368" s="69">
        <v>2013</v>
      </c>
      <c r="O368" s="69" t="s">
        <v>71</v>
      </c>
      <c r="P368" s="69">
        <v>989962</v>
      </c>
      <c r="Q368" s="92" t="s">
        <v>586</v>
      </c>
      <c r="R368" s="92" t="s">
        <v>223</v>
      </c>
      <c r="S368" s="92"/>
    </row>
    <row r="369" spans="1:19" x14ac:dyDescent="0.2">
      <c r="A369" s="92" t="s">
        <v>583</v>
      </c>
      <c r="B369" s="69">
        <v>22</v>
      </c>
      <c r="C369" s="69">
        <v>6</v>
      </c>
      <c r="D369" s="69">
        <v>10</v>
      </c>
      <c r="E369" s="69">
        <v>22</v>
      </c>
      <c r="F369" s="69">
        <v>45</v>
      </c>
      <c r="G369" s="69">
        <v>37</v>
      </c>
      <c r="H369" s="69">
        <v>6.6</v>
      </c>
      <c r="I369" s="70">
        <v>0.47</v>
      </c>
      <c r="J369" s="70">
        <v>1.33</v>
      </c>
      <c r="K369" s="69">
        <v>10</v>
      </c>
      <c r="L369" s="69">
        <v>1.2</v>
      </c>
      <c r="M369" s="69" t="s">
        <v>170</v>
      </c>
      <c r="N369" s="69">
        <v>2003</v>
      </c>
      <c r="O369" s="69" t="s">
        <v>71</v>
      </c>
      <c r="P369" s="69">
        <v>586982</v>
      </c>
      <c r="Q369" s="92" t="s">
        <v>275</v>
      </c>
      <c r="R369" s="92" t="s">
        <v>310</v>
      </c>
      <c r="S369" s="87"/>
    </row>
    <row r="370" spans="1:19" x14ac:dyDescent="0.2">
      <c r="A370" s="92" t="s">
        <v>584</v>
      </c>
      <c r="B370" s="69">
        <v>20</v>
      </c>
      <c r="C370" s="69">
        <v>7</v>
      </c>
      <c r="D370" s="69">
        <v>10</v>
      </c>
      <c r="E370" s="69">
        <v>20</v>
      </c>
      <c r="F370" s="69">
        <v>66</v>
      </c>
      <c r="G370" s="69">
        <v>61</v>
      </c>
      <c r="H370" s="69">
        <v>10</v>
      </c>
      <c r="I370" s="70">
        <v>0.47</v>
      </c>
      <c r="J370" s="70">
        <v>1.33</v>
      </c>
      <c r="K370" s="69">
        <v>7</v>
      </c>
      <c r="L370" s="69">
        <v>2.2999999999999998</v>
      </c>
      <c r="M370" s="69" t="s">
        <v>170</v>
      </c>
      <c r="N370" s="69">
        <v>2011</v>
      </c>
      <c r="O370" s="69" t="s">
        <v>71</v>
      </c>
      <c r="P370" s="69">
        <v>503573</v>
      </c>
      <c r="Q370" s="92" t="s">
        <v>275</v>
      </c>
      <c r="R370" s="92" t="s">
        <v>212</v>
      </c>
      <c r="S370" s="92" t="s">
        <v>189</v>
      </c>
    </row>
    <row r="371" spans="1:19" x14ac:dyDescent="0.2">
      <c r="A371" s="92" t="s">
        <v>594</v>
      </c>
      <c r="B371" s="69">
        <v>21</v>
      </c>
      <c r="C371" s="69">
        <v>9</v>
      </c>
      <c r="D371" s="69">
        <v>15</v>
      </c>
      <c r="E371" s="69">
        <v>21</v>
      </c>
      <c r="F371" s="69">
        <v>43</v>
      </c>
      <c r="G371" s="69">
        <v>8</v>
      </c>
      <c r="H371" s="69">
        <v>1.6</v>
      </c>
      <c r="I371" s="70">
        <v>0.47</v>
      </c>
      <c r="J371" s="70">
        <v>1.91</v>
      </c>
      <c r="K371" s="69">
        <v>12</v>
      </c>
      <c r="L371" s="69">
        <v>1</v>
      </c>
      <c r="M371" s="69" t="s">
        <v>170</v>
      </c>
      <c r="N371" s="69">
        <v>2004</v>
      </c>
      <c r="O371" s="69" t="s">
        <v>171</v>
      </c>
      <c r="P371" s="69">
        <v>838383</v>
      </c>
      <c r="Q371" s="92" t="s">
        <v>221</v>
      </c>
      <c r="R371" s="92" t="s">
        <v>310</v>
      </c>
      <c r="S371" s="92"/>
    </row>
    <row r="372" spans="1:19" x14ac:dyDescent="0.2">
      <c r="A372" s="92" t="s">
        <v>595</v>
      </c>
      <c r="B372" s="69">
        <v>10</v>
      </c>
      <c r="C372" s="69">
        <v>3</v>
      </c>
      <c r="D372" s="69">
        <v>1</v>
      </c>
      <c r="E372" s="69">
        <v>10</v>
      </c>
      <c r="F372" s="69">
        <v>37</v>
      </c>
      <c r="G372" s="69">
        <v>52</v>
      </c>
      <c r="H372" s="69">
        <v>8.6999999999999993</v>
      </c>
      <c r="I372" s="70">
        <v>0.47</v>
      </c>
      <c r="J372" s="70">
        <v>1.27</v>
      </c>
      <c r="K372" s="69">
        <v>8</v>
      </c>
      <c r="L372" s="69">
        <v>1.2</v>
      </c>
      <c r="M372" s="69" t="s">
        <v>170</v>
      </c>
      <c r="N372" s="69">
        <v>2000</v>
      </c>
      <c r="O372" s="69" t="s">
        <v>171</v>
      </c>
      <c r="P372" s="69">
        <v>829945</v>
      </c>
      <c r="Q372" s="92" t="s">
        <v>247</v>
      </c>
      <c r="R372" s="92" t="s">
        <v>509</v>
      </c>
      <c r="S372" s="92"/>
    </row>
    <row r="373" spans="1:19" x14ac:dyDescent="0.2">
      <c r="A373" s="92" t="s">
        <v>596</v>
      </c>
      <c r="B373" s="69">
        <v>12</v>
      </c>
      <c r="C373" s="69">
        <v>4</v>
      </c>
      <c r="D373" s="69">
        <v>4</v>
      </c>
      <c r="E373" s="69">
        <v>12</v>
      </c>
      <c r="F373" s="69">
        <v>39</v>
      </c>
      <c r="G373" s="69">
        <v>46</v>
      </c>
      <c r="H373" s="69">
        <v>7.8</v>
      </c>
      <c r="I373" s="70">
        <v>0.47</v>
      </c>
      <c r="J373" s="70">
        <v>1.25</v>
      </c>
      <c r="K373" s="69">
        <v>4.7</v>
      </c>
      <c r="L373" s="69">
        <v>2.1</v>
      </c>
      <c r="M373" s="69" t="s">
        <v>170</v>
      </c>
      <c r="N373" s="69">
        <v>2005</v>
      </c>
      <c r="O373" s="69" t="s">
        <v>171</v>
      </c>
      <c r="P373" s="69">
        <v>927632</v>
      </c>
      <c r="Q373" s="92" t="s">
        <v>247</v>
      </c>
      <c r="R373" s="92" t="s">
        <v>266</v>
      </c>
      <c r="S373" s="87"/>
    </row>
    <row r="374" spans="1:19" x14ac:dyDescent="0.2">
      <c r="A374" s="92" t="s">
        <v>590</v>
      </c>
      <c r="B374" s="69">
        <v>2</v>
      </c>
      <c r="C374" s="69">
        <v>-7</v>
      </c>
      <c r="D374" s="69">
        <v>-7</v>
      </c>
      <c r="E374" s="69">
        <v>2</v>
      </c>
      <c r="F374" s="69">
        <v>-14</v>
      </c>
      <c r="G374" s="69">
        <v>-24</v>
      </c>
      <c r="H374" s="69">
        <v>-5.4</v>
      </c>
      <c r="I374" s="70">
        <v>0.47</v>
      </c>
      <c r="J374" s="70">
        <v>1.82</v>
      </c>
      <c r="K374" s="69">
        <v>16.899999999999999</v>
      </c>
      <c r="L374" s="69">
        <v>-0.3</v>
      </c>
      <c r="M374" s="69" t="s">
        <v>170</v>
      </c>
      <c r="N374" s="69">
        <v>2011</v>
      </c>
      <c r="O374" s="69" t="s">
        <v>171</v>
      </c>
      <c r="P374" s="69">
        <v>823039</v>
      </c>
      <c r="Q374" s="92" t="s">
        <v>249</v>
      </c>
      <c r="R374" s="92" t="s">
        <v>471</v>
      </c>
      <c r="S374" s="92"/>
    </row>
    <row r="375" spans="1:19" x14ac:dyDescent="0.2">
      <c r="A375" s="92" t="s">
        <v>588</v>
      </c>
      <c r="B375" s="69">
        <v>11</v>
      </c>
      <c r="C375" s="69">
        <v>4</v>
      </c>
      <c r="D375" s="69">
        <v>5</v>
      </c>
      <c r="E375" s="69">
        <v>11</v>
      </c>
      <c r="F375" s="69">
        <v>31</v>
      </c>
      <c r="G375" s="69">
        <v>34</v>
      </c>
      <c r="H375" s="69">
        <v>6</v>
      </c>
      <c r="I375" s="70">
        <v>0.47</v>
      </c>
      <c r="J375" s="70">
        <v>1.4</v>
      </c>
      <c r="K375" s="69">
        <v>4.0999999999999996</v>
      </c>
      <c r="L375" s="69">
        <v>1.9</v>
      </c>
      <c r="M375" s="69" t="s">
        <v>170</v>
      </c>
      <c r="N375" s="69">
        <v>2000</v>
      </c>
      <c r="O375" s="69" t="s">
        <v>171</v>
      </c>
      <c r="P375" s="69">
        <v>546960</v>
      </c>
      <c r="Q375" s="92" t="s">
        <v>277</v>
      </c>
      <c r="R375" s="92" t="s">
        <v>266</v>
      </c>
      <c r="S375" s="92" t="s">
        <v>189</v>
      </c>
    </row>
    <row r="376" spans="1:19" x14ac:dyDescent="0.2">
      <c r="A376" s="92" t="s">
        <v>589</v>
      </c>
      <c r="B376" s="69">
        <v>19</v>
      </c>
      <c r="C376" s="69">
        <v>8</v>
      </c>
      <c r="D376" s="69">
        <v>9</v>
      </c>
      <c r="E376" s="69">
        <v>19</v>
      </c>
      <c r="F376" s="69">
        <v>61</v>
      </c>
      <c r="G376" s="69">
        <v>60</v>
      </c>
      <c r="H376" s="69">
        <v>9.8000000000000007</v>
      </c>
      <c r="I376" s="70">
        <v>0.47</v>
      </c>
      <c r="J376" s="70">
        <v>1.41</v>
      </c>
      <c r="K376" s="69">
        <v>8</v>
      </c>
      <c r="L376" s="69">
        <v>1.9</v>
      </c>
      <c r="M376" s="69" t="s">
        <v>170</v>
      </c>
      <c r="N376" s="69">
        <v>2000</v>
      </c>
      <c r="O376" s="69" t="s">
        <v>171</v>
      </c>
      <c r="P376" s="69">
        <v>367813</v>
      </c>
      <c r="Q376" s="92" t="s">
        <v>277</v>
      </c>
      <c r="R376" s="92" t="s">
        <v>173</v>
      </c>
      <c r="S376" s="87" t="s">
        <v>189</v>
      </c>
    </row>
    <row r="377" spans="1:19" x14ac:dyDescent="0.2">
      <c r="A377" s="92" t="s">
        <v>597</v>
      </c>
      <c r="B377" s="69">
        <v>20</v>
      </c>
      <c r="C377" s="69">
        <v>9</v>
      </c>
      <c r="D377" s="69">
        <v>2</v>
      </c>
      <c r="E377" s="69">
        <v>20</v>
      </c>
      <c r="F377" s="69">
        <v>77</v>
      </c>
      <c r="G377" s="69">
        <v>108</v>
      </c>
      <c r="H377" s="69">
        <v>15.8</v>
      </c>
      <c r="I377" s="70">
        <v>0.47</v>
      </c>
      <c r="J377" s="70">
        <v>1.4</v>
      </c>
      <c r="K377" s="69">
        <v>10.5</v>
      </c>
      <c r="L377" s="69">
        <v>1.8</v>
      </c>
      <c r="M377" s="69" t="s">
        <v>170</v>
      </c>
      <c r="N377" s="69">
        <v>2002</v>
      </c>
      <c r="O377" s="69" t="s">
        <v>171</v>
      </c>
      <c r="P377" s="69">
        <v>103606</v>
      </c>
      <c r="Q377" s="92" t="s">
        <v>277</v>
      </c>
      <c r="R377" s="92" t="s">
        <v>331</v>
      </c>
      <c r="S377" s="92" t="s">
        <v>189</v>
      </c>
    </row>
    <row r="378" spans="1:19" x14ac:dyDescent="0.2">
      <c r="A378" s="92" t="s">
        <v>591</v>
      </c>
      <c r="B378" s="69">
        <v>14</v>
      </c>
      <c r="C378" s="69">
        <v>6</v>
      </c>
      <c r="D378" s="69">
        <v>3</v>
      </c>
      <c r="E378" s="69">
        <v>14</v>
      </c>
      <c r="F378" s="69">
        <v>63</v>
      </c>
      <c r="G378" s="69">
        <v>64</v>
      </c>
      <c r="H378" s="69">
        <v>10.4</v>
      </c>
      <c r="I378" s="70">
        <v>0.47</v>
      </c>
      <c r="J378" s="70">
        <v>1.4</v>
      </c>
      <c r="K378" s="69">
        <v>10.7</v>
      </c>
      <c r="L378" s="69">
        <v>1.5</v>
      </c>
      <c r="M378" s="69" t="s">
        <v>170</v>
      </c>
      <c r="N378" s="69">
        <v>2000</v>
      </c>
      <c r="O378" s="69" t="s">
        <v>171</v>
      </c>
      <c r="P378" s="69">
        <v>690289</v>
      </c>
      <c r="Q378" s="92" t="s">
        <v>277</v>
      </c>
      <c r="R378" s="92" t="s">
        <v>264</v>
      </c>
      <c r="S378" s="92" t="s">
        <v>189</v>
      </c>
    </row>
    <row r="379" spans="1:19" x14ac:dyDescent="0.2">
      <c r="A379" s="92" t="s">
        <v>592</v>
      </c>
      <c r="B379" s="69">
        <v>39</v>
      </c>
      <c r="C379" s="69">
        <v>14</v>
      </c>
      <c r="D379" s="69">
        <v>24</v>
      </c>
      <c r="E379" s="69">
        <v>39</v>
      </c>
      <c r="F379" s="69">
        <v>102</v>
      </c>
      <c r="G379" s="69">
        <v>118</v>
      </c>
      <c r="H379" s="69">
        <v>16.899999999999999</v>
      </c>
      <c r="I379" s="70">
        <v>0.47</v>
      </c>
      <c r="J379" s="70">
        <v>1.41</v>
      </c>
      <c r="K379" s="69">
        <v>8.1999999999999993</v>
      </c>
      <c r="L379" s="69">
        <v>2.8</v>
      </c>
      <c r="M379" s="69" t="s">
        <v>170</v>
      </c>
      <c r="N379" s="69">
        <v>2000</v>
      </c>
      <c r="O379" s="69" t="s">
        <v>171</v>
      </c>
      <c r="P379" s="69">
        <v>511139</v>
      </c>
      <c r="Q379" s="92" t="s">
        <v>277</v>
      </c>
      <c r="R379" s="92" t="s">
        <v>245</v>
      </c>
      <c r="S379" s="92" t="s">
        <v>189</v>
      </c>
    </row>
    <row r="380" spans="1:19" x14ac:dyDescent="0.2">
      <c r="A380" s="92" t="s">
        <v>593</v>
      </c>
      <c r="B380" s="69">
        <v>15</v>
      </c>
      <c r="C380" s="69">
        <v>6</v>
      </c>
      <c r="D380" s="69">
        <v>8</v>
      </c>
      <c r="E380" s="69">
        <v>14</v>
      </c>
      <c r="F380" s="69"/>
      <c r="G380" s="69"/>
      <c r="H380" s="69"/>
      <c r="I380" s="70">
        <v>0.47</v>
      </c>
      <c r="J380" s="70">
        <v>1.91</v>
      </c>
      <c r="K380" s="69"/>
      <c r="L380" s="69"/>
      <c r="M380" s="69" t="s">
        <v>170</v>
      </c>
      <c r="N380" s="69">
        <v>2012</v>
      </c>
      <c r="O380" s="69" t="s">
        <v>171</v>
      </c>
      <c r="P380" s="69">
        <v>464081</v>
      </c>
      <c r="Q380" s="92" t="s">
        <v>305</v>
      </c>
      <c r="R380" s="92" t="s">
        <v>173</v>
      </c>
      <c r="S380" s="92"/>
    </row>
    <row r="381" spans="1:19" x14ac:dyDescent="0.2">
      <c r="A381" s="92" t="s">
        <v>587</v>
      </c>
      <c r="B381" s="69">
        <v>18</v>
      </c>
      <c r="C381" s="69">
        <v>2</v>
      </c>
      <c r="D381" s="69">
        <v>4</v>
      </c>
      <c r="E381" s="69">
        <v>18</v>
      </c>
      <c r="F381" s="69"/>
      <c r="G381" s="69"/>
      <c r="H381" s="69"/>
      <c r="I381" s="70">
        <v>0.47</v>
      </c>
      <c r="J381" s="70">
        <v>1.41</v>
      </c>
      <c r="K381" s="69"/>
      <c r="L381" s="69"/>
      <c r="M381" s="69" t="s">
        <v>170</v>
      </c>
      <c r="N381" s="69">
        <v>2012</v>
      </c>
      <c r="O381" s="69" t="s">
        <v>171</v>
      </c>
      <c r="P381" s="69">
        <v>611657</v>
      </c>
      <c r="Q381" s="92" t="s">
        <v>277</v>
      </c>
      <c r="R381" s="92" t="s">
        <v>410</v>
      </c>
      <c r="S381" s="87" t="s">
        <v>189</v>
      </c>
    </row>
    <row r="382" spans="1:19" x14ac:dyDescent="0.2">
      <c r="A382" s="92" t="s">
        <v>599</v>
      </c>
      <c r="B382" s="69">
        <v>10</v>
      </c>
      <c r="C382" s="69">
        <v>8</v>
      </c>
      <c r="D382" s="69">
        <v>6</v>
      </c>
      <c r="E382" s="69">
        <v>10</v>
      </c>
      <c r="F382" s="69">
        <v>51</v>
      </c>
      <c r="G382" s="69">
        <v>50</v>
      </c>
      <c r="H382" s="69">
        <v>8.4</v>
      </c>
      <c r="I382" s="70">
        <v>0.48</v>
      </c>
      <c r="J382" s="70">
        <v>1.21</v>
      </c>
      <c r="K382" s="69">
        <v>6.7</v>
      </c>
      <c r="L382" s="69">
        <v>1.9</v>
      </c>
      <c r="M382" s="69" t="s">
        <v>170</v>
      </c>
      <c r="N382" s="69">
        <v>2010</v>
      </c>
      <c r="O382" s="69" t="s">
        <v>171</v>
      </c>
      <c r="P382" s="69">
        <v>626291</v>
      </c>
      <c r="Q382" s="92" t="s">
        <v>172</v>
      </c>
      <c r="R382" s="92" t="s">
        <v>509</v>
      </c>
      <c r="S382" s="92"/>
    </row>
    <row r="383" spans="1:19" x14ac:dyDescent="0.2">
      <c r="A383" s="92" t="s">
        <v>602</v>
      </c>
      <c r="B383" s="69">
        <v>17</v>
      </c>
      <c r="C383" s="69">
        <v>2</v>
      </c>
      <c r="D383" s="69">
        <v>4</v>
      </c>
      <c r="E383" s="69">
        <v>17</v>
      </c>
      <c r="F383" s="69">
        <v>68</v>
      </c>
      <c r="G383" s="69">
        <v>48</v>
      </c>
      <c r="H383" s="69">
        <v>8.1999999999999993</v>
      </c>
      <c r="I383" s="70">
        <v>0.48</v>
      </c>
      <c r="J383" s="70">
        <v>1.36</v>
      </c>
      <c r="K383" s="69">
        <v>11.1</v>
      </c>
      <c r="L383" s="69">
        <v>1.5</v>
      </c>
      <c r="M383" s="69" t="s">
        <v>170</v>
      </c>
      <c r="N383" s="69">
        <v>2010</v>
      </c>
      <c r="O383" s="69" t="s">
        <v>71</v>
      </c>
      <c r="P383" s="69">
        <v>242495</v>
      </c>
      <c r="Q383" s="92" t="s">
        <v>275</v>
      </c>
      <c r="R383" s="92" t="s">
        <v>410</v>
      </c>
      <c r="S383" s="92"/>
    </row>
    <row r="384" spans="1:19" x14ac:dyDescent="0.2">
      <c r="A384" s="92" t="s">
        <v>598</v>
      </c>
      <c r="B384" s="69">
        <v>20</v>
      </c>
      <c r="C384" s="69">
        <v>7</v>
      </c>
      <c r="D384" s="69">
        <v>9</v>
      </c>
      <c r="E384" s="69">
        <v>20</v>
      </c>
      <c r="F384" s="69">
        <v>37</v>
      </c>
      <c r="G384" s="69">
        <v>23</v>
      </c>
      <c r="H384" s="69">
        <v>4.3</v>
      </c>
      <c r="I384" s="70">
        <v>0.48</v>
      </c>
      <c r="J384" s="70">
        <v>1.22</v>
      </c>
      <c r="K384" s="69">
        <v>5.8</v>
      </c>
      <c r="L384" s="69">
        <v>1.6</v>
      </c>
      <c r="M384" s="69" t="s">
        <v>241</v>
      </c>
      <c r="N384" s="69">
        <v>2003</v>
      </c>
      <c r="O384" s="69" t="s">
        <v>71</v>
      </c>
      <c r="P384" s="69">
        <v>280925</v>
      </c>
      <c r="Q384" s="92" t="s">
        <v>454</v>
      </c>
      <c r="R384" s="92" t="s">
        <v>243</v>
      </c>
      <c r="S384" s="92"/>
    </row>
    <row r="385" spans="1:19" x14ac:dyDescent="0.2">
      <c r="A385" s="92" t="s">
        <v>600</v>
      </c>
      <c r="B385" s="69">
        <v>20</v>
      </c>
      <c r="C385" s="69">
        <v>8</v>
      </c>
      <c r="D385" s="69">
        <v>13</v>
      </c>
      <c r="E385" s="69">
        <v>20</v>
      </c>
      <c r="F385" s="69">
        <v>53</v>
      </c>
      <c r="G385" s="69">
        <v>47</v>
      </c>
      <c r="H385" s="69">
        <v>8.1</v>
      </c>
      <c r="I385" s="70">
        <v>0.48</v>
      </c>
      <c r="J385" s="70">
        <v>1.44</v>
      </c>
      <c r="K385" s="69">
        <v>7.6</v>
      </c>
      <c r="L385" s="69">
        <v>1.8</v>
      </c>
      <c r="M385" s="69" t="s">
        <v>170</v>
      </c>
      <c r="N385" s="69">
        <v>2000</v>
      </c>
      <c r="O385" s="69" t="s">
        <v>171</v>
      </c>
      <c r="P385" s="69">
        <v>475301</v>
      </c>
      <c r="Q385" s="92" t="s">
        <v>277</v>
      </c>
      <c r="R385" s="92" t="s">
        <v>212</v>
      </c>
      <c r="S385" s="92" t="s">
        <v>189</v>
      </c>
    </row>
    <row r="386" spans="1:19" x14ac:dyDescent="0.2">
      <c r="A386" s="92" t="s">
        <v>601</v>
      </c>
      <c r="B386" s="69">
        <v>29</v>
      </c>
      <c r="C386" s="69">
        <v>11</v>
      </c>
      <c r="D386" s="69">
        <v>18</v>
      </c>
      <c r="E386" s="69">
        <v>29</v>
      </c>
      <c r="F386" s="69">
        <v>96</v>
      </c>
      <c r="G386" s="69">
        <v>120</v>
      </c>
      <c r="H386" s="69">
        <v>17</v>
      </c>
      <c r="I386" s="70">
        <v>0.48</v>
      </c>
      <c r="J386" s="70">
        <v>1.44</v>
      </c>
      <c r="K386" s="69">
        <v>8.6999999999999993</v>
      </c>
      <c r="L386" s="69">
        <v>2.5</v>
      </c>
      <c r="M386" s="69" t="s">
        <v>170</v>
      </c>
      <c r="N386" s="69">
        <v>2000</v>
      </c>
      <c r="O386" s="69" t="s">
        <v>171</v>
      </c>
      <c r="P386" s="69">
        <v>439471</v>
      </c>
      <c r="Q386" s="92" t="s">
        <v>277</v>
      </c>
      <c r="R386" s="92" t="s">
        <v>315</v>
      </c>
      <c r="S386" s="92" t="s">
        <v>189</v>
      </c>
    </row>
    <row r="387" spans="1:19" x14ac:dyDescent="0.2">
      <c r="A387" s="92" t="s">
        <v>605</v>
      </c>
      <c r="B387" s="69">
        <v>11</v>
      </c>
      <c r="C387" s="69">
        <v>3</v>
      </c>
      <c r="D387" s="69">
        <v>-1</v>
      </c>
      <c r="E387" s="69">
        <v>11</v>
      </c>
      <c r="F387" s="69">
        <v>59</v>
      </c>
      <c r="G387" s="69">
        <v>70</v>
      </c>
      <c r="H387" s="69">
        <v>11.2</v>
      </c>
      <c r="I387" s="70">
        <v>0.49</v>
      </c>
      <c r="J387" s="70">
        <v>1.33</v>
      </c>
      <c r="K387" s="69">
        <v>12.5</v>
      </c>
      <c r="L387" s="69">
        <v>1.2</v>
      </c>
      <c r="M387" s="69" t="s">
        <v>170</v>
      </c>
      <c r="N387" s="69">
        <v>2000</v>
      </c>
      <c r="O387" s="69" t="s">
        <v>171</v>
      </c>
      <c r="P387" s="69">
        <v>973263</v>
      </c>
      <c r="Q387" s="92" t="s">
        <v>247</v>
      </c>
      <c r="R387" s="92" t="s">
        <v>264</v>
      </c>
      <c r="S387" s="92"/>
    </row>
    <row r="388" spans="1:19" x14ac:dyDescent="0.2">
      <c r="A388" s="92" t="s">
        <v>604</v>
      </c>
      <c r="B388" s="69">
        <v>18</v>
      </c>
      <c r="C388" s="69">
        <v>9</v>
      </c>
      <c r="D388" s="69">
        <v>8</v>
      </c>
      <c r="E388" s="69">
        <v>17</v>
      </c>
      <c r="F388" s="69">
        <v>68</v>
      </c>
      <c r="G388" s="69">
        <v>65</v>
      </c>
      <c r="H388" s="69">
        <v>10.6</v>
      </c>
      <c r="I388" s="70">
        <v>0.49</v>
      </c>
      <c r="J388" s="70">
        <v>1.2</v>
      </c>
      <c r="K388" s="69">
        <v>7.1</v>
      </c>
      <c r="L388" s="69">
        <v>2.2999999999999998</v>
      </c>
      <c r="M388" s="69" t="s">
        <v>241</v>
      </c>
      <c r="N388" s="69">
        <v>2000</v>
      </c>
      <c r="O388" s="69" t="s">
        <v>71</v>
      </c>
      <c r="P388" s="69">
        <v>336826</v>
      </c>
      <c r="Q388" s="92" t="s">
        <v>431</v>
      </c>
      <c r="R388" s="92" t="s">
        <v>260</v>
      </c>
      <c r="S388" s="87"/>
    </row>
    <row r="389" spans="1:19" x14ac:dyDescent="0.2">
      <c r="A389" s="92" t="s">
        <v>603</v>
      </c>
      <c r="B389" s="69">
        <v>16</v>
      </c>
      <c r="C389" s="69">
        <v>-4</v>
      </c>
      <c r="D389" s="69">
        <v>-2</v>
      </c>
      <c r="E389" s="69">
        <v>15</v>
      </c>
      <c r="F389" s="69">
        <v>57</v>
      </c>
      <c r="G389" s="69">
        <v>46</v>
      </c>
      <c r="H389" s="69">
        <v>7.8</v>
      </c>
      <c r="I389" s="70">
        <v>0.49</v>
      </c>
      <c r="J389" s="70">
        <v>1.2</v>
      </c>
      <c r="K389" s="69">
        <v>12.6</v>
      </c>
      <c r="L389" s="69">
        <v>1.2</v>
      </c>
      <c r="M389" s="69" t="s">
        <v>376</v>
      </c>
      <c r="N389" s="69">
        <v>2001</v>
      </c>
      <c r="O389" s="69" t="s">
        <v>71</v>
      </c>
      <c r="P389" s="69">
        <v>183178</v>
      </c>
      <c r="Q389" s="92" t="s">
        <v>377</v>
      </c>
      <c r="R389" s="92" t="s">
        <v>383</v>
      </c>
      <c r="S389" s="92"/>
    </row>
    <row r="390" spans="1:19" x14ac:dyDescent="0.2">
      <c r="A390" s="92" t="s">
        <v>606</v>
      </c>
      <c r="B390" s="69">
        <v>18</v>
      </c>
      <c r="C390" s="69">
        <v>7</v>
      </c>
      <c r="D390" s="69">
        <v>10</v>
      </c>
      <c r="E390" s="69">
        <v>17</v>
      </c>
      <c r="F390" s="69">
        <v>25</v>
      </c>
      <c r="G390" s="69">
        <v>19</v>
      </c>
      <c r="H390" s="69">
        <v>3.5</v>
      </c>
      <c r="I390" s="70">
        <v>0.49</v>
      </c>
      <c r="J390" s="70">
        <v>1.21</v>
      </c>
      <c r="K390" s="69">
        <v>4.4000000000000004</v>
      </c>
      <c r="L390" s="69">
        <v>1.4</v>
      </c>
      <c r="M390" s="69" t="s">
        <v>241</v>
      </c>
      <c r="N390" s="69">
        <v>2000</v>
      </c>
      <c r="O390" s="69" t="s">
        <v>71</v>
      </c>
      <c r="P390" s="69">
        <v>444315</v>
      </c>
      <c r="Q390" s="92" t="s">
        <v>431</v>
      </c>
      <c r="R390" s="92" t="s">
        <v>173</v>
      </c>
      <c r="S390" s="92"/>
    </row>
    <row r="391" spans="1:19" x14ac:dyDescent="0.2">
      <c r="A391" s="92" t="s">
        <v>607</v>
      </c>
      <c r="B391" s="69">
        <v>26</v>
      </c>
      <c r="C391" s="69">
        <v>9</v>
      </c>
      <c r="D391" s="69">
        <v>12</v>
      </c>
      <c r="E391" s="69">
        <v>25</v>
      </c>
      <c r="F391" s="69">
        <v>25</v>
      </c>
      <c r="G391" s="69">
        <v>20</v>
      </c>
      <c r="H391" s="69">
        <v>3.7</v>
      </c>
      <c r="I391" s="70">
        <v>0.49</v>
      </c>
      <c r="J391" s="70">
        <v>1.21</v>
      </c>
      <c r="K391" s="69">
        <v>5.4</v>
      </c>
      <c r="L391" s="69">
        <v>1.1000000000000001</v>
      </c>
      <c r="M391" s="69" t="s">
        <v>241</v>
      </c>
      <c r="N391" s="69">
        <v>2006</v>
      </c>
      <c r="O391" s="69" t="s">
        <v>71</v>
      </c>
      <c r="P391" s="69">
        <v>647669</v>
      </c>
      <c r="Q391" s="92" t="s">
        <v>431</v>
      </c>
      <c r="R391" s="92" t="s">
        <v>173</v>
      </c>
      <c r="S391" s="92"/>
    </row>
    <row r="392" spans="1:19" x14ac:dyDescent="0.2">
      <c r="A392" s="92" t="s">
        <v>608</v>
      </c>
      <c r="B392" s="69">
        <v>14</v>
      </c>
      <c r="C392" s="69">
        <v>6</v>
      </c>
      <c r="D392" s="69">
        <v>8</v>
      </c>
      <c r="E392" s="69">
        <v>13</v>
      </c>
      <c r="F392" s="69">
        <v>14</v>
      </c>
      <c r="G392" s="69">
        <v>5</v>
      </c>
      <c r="H392" s="69">
        <v>1</v>
      </c>
      <c r="I392" s="70">
        <v>0.49</v>
      </c>
      <c r="J392" s="70">
        <v>1.21</v>
      </c>
      <c r="K392" s="69">
        <v>4.9000000000000004</v>
      </c>
      <c r="L392" s="69">
        <v>0.6</v>
      </c>
      <c r="M392" s="69" t="s">
        <v>241</v>
      </c>
      <c r="N392" s="69">
        <v>2000</v>
      </c>
      <c r="O392" s="69" t="s">
        <v>71</v>
      </c>
      <c r="P392" s="69">
        <v>480145</v>
      </c>
      <c r="Q392" s="92" t="s">
        <v>431</v>
      </c>
      <c r="R392" s="92" t="s">
        <v>173</v>
      </c>
      <c r="S392" s="92"/>
    </row>
    <row r="393" spans="1:19" x14ac:dyDescent="0.2">
      <c r="A393" s="92" t="s">
        <v>610</v>
      </c>
      <c r="B393" s="69">
        <v>36</v>
      </c>
      <c r="C393" s="69">
        <v>16</v>
      </c>
      <c r="D393" s="69">
        <v>22</v>
      </c>
      <c r="E393" s="69">
        <v>35</v>
      </c>
      <c r="F393" s="69">
        <v>88</v>
      </c>
      <c r="G393" s="69">
        <v>90</v>
      </c>
      <c r="H393" s="69">
        <v>13.7</v>
      </c>
      <c r="I393" s="70">
        <v>0.5</v>
      </c>
      <c r="J393" s="70">
        <v>1.23</v>
      </c>
      <c r="K393" s="69">
        <v>7.8</v>
      </c>
      <c r="L393" s="69">
        <v>2.6</v>
      </c>
      <c r="M393" s="69" t="s">
        <v>451</v>
      </c>
      <c r="N393" s="69">
        <v>2000</v>
      </c>
      <c r="O393" s="69" t="s">
        <v>71</v>
      </c>
      <c r="P393" s="69">
        <v>300996</v>
      </c>
      <c r="Q393" s="92" t="s">
        <v>431</v>
      </c>
      <c r="R393" s="92" t="s">
        <v>245</v>
      </c>
      <c r="S393" s="87"/>
    </row>
    <row r="394" spans="1:19" x14ac:dyDescent="0.2">
      <c r="A394" s="92" t="s">
        <v>614</v>
      </c>
      <c r="B394" s="69">
        <v>26</v>
      </c>
      <c r="C394" s="69">
        <v>9</v>
      </c>
      <c r="D394" s="69">
        <v>11</v>
      </c>
      <c r="E394" s="69">
        <v>25</v>
      </c>
      <c r="F394" s="69">
        <v>49</v>
      </c>
      <c r="G394" s="69">
        <v>54</v>
      </c>
      <c r="H394" s="69">
        <v>9</v>
      </c>
      <c r="I394" s="70">
        <v>0.5</v>
      </c>
      <c r="J394" s="70">
        <v>1.24</v>
      </c>
      <c r="K394" s="69">
        <v>5.0999999999999996</v>
      </c>
      <c r="L394" s="69">
        <v>2.2999999999999998</v>
      </c>
      <c r="M394" s="69" t="s">
        <v>241</v>
      </c>
      <c r="N394" s="69">
        <v>2009</v>
      </c>
      <c r="O394" s="69" t="s">
        <v>71</v>
      </c>
      <c r="P394" s="69">
        <v>118000</v>
      </c>
      <c r="Q394" s="92" t="s">
        <v>431</v>
      </c>
      <c r="R394" s="92" t="s">
        <v>212</v>
      </c>
      <c r="S394" s="87"/>
    </row>
    <row r="395" spans="1:19" x14ac:dyDescent="0.2">
      <c r="A395" s="92" t="s">
        <v>611</v>
      </c>
      <c r="B395" s="69">
        <v>15</v>
      </c>
      <c r="C395" s="69">
        <v>5</v>
      </c>
      <c r="D395" s="69">
        <v>8</v>
      </c>
      <c r="E395" s="69">
        <v>14</v>
      </c>
      <c r="F395" s="69">
        <v>39</v>
      </c>
      <c r="G395" s="69"/>
      <c r="H395" s="69"/>
      <c r="I395" s="70">
        <v>0.5</v>
      </c>
      <c r="J395" s="70">
        <v>2.21</v>
      </c>
      <c r="K395" s="69">
        <v>6</v>
      </c>
      <c r="L395" s="69">
        <v>1.7</v>
      </c>
      <c r="M395" s="69" t="s">
        <v>170</v>
      </c>
      <c r="N395" s="69">
        <v>2011</v>
      </c>
      <c r="O395" s="69" t="s">
        <v>71</v>
      </c>
      <c r="P395" s="69">
        <v>983940</v>
      </c>
      <c r="Q395" s="92" t="s">
        <v>368</v>
      </c>
      <c r="R395" s="92" t="s">
        <v>173</v>
      </c>
      <c r="S395" s="92"/>
    </row>
    <row r="396" spans="1:19" x14ac:dyDescent="0.2">
      <c r="A396" s="92" t="s">
        <v>613</v>
      </c>
      <c r="B396" s="69">
        <v>23</v>
      </c>
      <c r="C396" s="69">
        <v>9</v>
      </c>
      <c r="D396" s="69">
        <v>13</v>
      </c>
      <c r="E396" s="69">
        <v>22</v>
      </c>
      <c r="F396" s="69">
        <v>56</v>
      </c>
      <c r="G396" s="69">
        <v>55</v>
      </c>
      <c r="H396" s="69">
        <v>9.1999999999999993</v>
      </c>
      <c r="I396" s="70">
        <v>0.5</v>
      </c>
      <c r="J396" s="70">
        <v>1.24</v>
      </c>
      <c r="K396" s="69">
        <v>4.9000000000000004</v>
      </c>
      <c r="L396" s="69">
        <v>2.7</v>
      </c>
      <c r="M396" s="69" t="s">
        <v>241</v>
      </c>
      <c r="N396" s="69">
        <v>2004</v>
      </c>
      <c r="O396" s="69" t="s">
        <v>71</v>
      </c>
      <c r="P396" s="69">
        <v>320358</v>
      </c>
      <c r="Q396" s="92" t="s">
        <v>431</v>
      </c>
      <c r="R396" s="92" t="s">
        <v>212</v>
      </c>
      <c r="S396" s="92"/>
    </row>
    <row r="397" spans="1:19" x14ac:dyDescent="0.2">
      <c r="A397" s="92" t="s">
        <v>609</v>
      </c>
      <c r="B397" s="69">
        <v>19</v>
      </c>
      <c r="C397" s="69">
        <v>5</v>
      </c>
      <c r="D397" s="69">
        <v>13</v>
      </c>
      <c r="E397" s="69">
        <v>19</v>
      </c>
      <c r="F397" s="69">
        <v>14</v>
      </c>
      <c r="G397" s="69">
        <v>22</v>
      </c>
      <c r="H397" s="69">
        <v>4</v>
      </c>
      <c r="I397" s="70">
        <v>0.5</v>
      </c>
      <c r="J397" s="70">
        <v>1.29</v>
      </c>
      <c r="K397" s="69">
        <v>6.6</v>
      </c>
      <c r="L397" s="69">
        <v>0.5</v>
      </c>
      <c r="M397" s="69" t="s">
        <v>451</v>
      </c>
      <c r="N397" s="69">
        <v>2006</v>
      </c>
      <c r="O397" s="69" t="s">
        <v>71</v>
      </c>
      <c r="P397" s="69">
        <v>336115</v>
      </c>
      <c r="Q397" s="92" t="s">
        <v>553</v>
      </c>
      <c r="R397" s="92" t="s">
        <v>223</v>
      </c>
      <c r="S397" s="92"/>
    </row>
    <row r="398" spans="1:19" x14ac:dyDescent="0.2">
      <c r="A398" s="92" t="s">
        <v>612</v>
      </c>
      <c r="B398" s="69">
        <v>22</v>
      </c>
      <c r="C398" s="69">
        <v>9</v>
      </c>
      <c r="D398" s="69">
        <v>12</v>
      </c>
      <c r="E398" s="69">
        <v>21</v>
      </c>
      <c r="F398" s="69">
        <v>40</v>
      </c>
      <c r="G398" s="69">
        <v>38</v>
      </c>
      <c r="H398" s="69">
        <v>6.6</v>
      </c>
      <c r="I398" s="70">
        <v>0.5</v>
      </c>
      <c r="J398" s="70">
        <v>1.22</v>
      </c>
      <c r="K398" s="69">
        <v>4.5</v>
      </c>
      <c r="L398" s="69">
        <v>2.2000000000000002</v>
      </c>
      <c r="M398" s="69" t="s">
        <v>241</v>
      </c>
      <c r="N398" s="69">
        <v>2000</v>
      </c>
      <c r="O398" s="69" t="s">
        <v>71</v>
      </c>
      <c r="P398" s="69">
        <v>408484</v>
      </c>
      <c r="Q398" s="92" t="s">
        <v>431</v>
      </c>
      <c r="R398" s="92" t="s">
        <v>173</v>
      </c>
      <c r="S398" s="92"/>
    </row>
    <row r="399" spans="1:19" x14ac:dyDescent="0.2">
      <c r="A399" s="92" t="s">
        <v>621</v>
      </c>
      <c r="B399" s="69">
        <v>1</v>
      </c>
      <c r="C399" s="69">
        <v>-2</v>
      </c>
      <c r="D399" s="69">
        <v>-2</v>
      </c>
      <c r="E399" s="69">
        <v>1</v>
      </c>
      <c r="F399" s="69"/>
      <c r="G399" s="69"/>
      <c r="H399" s="69"/>
      <c r="I399" s="70">
        <v>0.51</v>
      </c>
      <c r="J399" s="70">
        <v>1.94</v>
      </c>
      <c r="K399" s="69"/>
      <c r="L399" s="69"/>
      <c r="M399" s="69" t="s">
        <v>170</v>
      </c>
      <c r="N399" s="69">
        <v>2013</v>
      </c>
      <c r="O399" s="69" t="s">
        <v>71</v>
      </c>
      <c r="P399" s="69">
        <v>895227</v>
      </c>
      <c r="Q399" s="92" t="s">
        <v>622</v>
      </c>
      <c r="R399" s="92" t="s">
        <v>223</v>
      </c>
      <c r="S399" s="92"/>
    </row>
    <row r="400" spans="1:19" x14ac:dyDescent="0.2">
      <c r="A400" s="92" t="s">
        <v>615</v>
      </c>
      <c r="B400" s="69">
        <v>13</v>
      </c>
      <c r="C400" s="69">
        <v>5</v>
      </c>
      <c r="D400" s="69">
        <v>5</v>
      </c>
      <c r="E400" s="69">
        <v>13</v>
      </c>
      <c r="F400" s="69">
        <v>38</v>
      </c>
      <c r="G400" s="69">
        <v>17</v>
      </c>
      <c r="H400" s="69">
        <v>3.2</v>
      </c>
      <c r="I400" s="70">
        <v>0.51</v>
      </c>
      <c r="J400" s="70">
        <v>2.1</v>
      </c>
      <c r="K400" s="69">
        <v>5.4</v>
      </c>
      <c r="L400" s="69">
        <v>1.8</v>
      </c>
      <c r="M400" s="69" t="s">
        <v>241</v>
      </c>
      <c r="N400" s="69">
        <v>2009</v>
      </c>
      <c r="O400" s="69" t="s">
        <v>71</v>
      </c>
      <c r="P400" s="69">
        <v>838268</v>
      </c>
      <c r="Q400" s="92" t="s">
        <v>616</v>
      </c>
      <c r="R400" s="92" t="s">
        <v>243</v>
      </c>
      <c r="S400" s="92"/>
    </row>
    <row r="401" spans="1:19" x14ac:dyDescent="0.2">
      <c r="A401" s="92" t="s">
        <v>617</v>
      </c>
      <c r="B401" s="69">
        <v>-1</v>
      </c>
      <c r="C401" s="69">
        <v>-3</v>
      </c>
      <c r="D401" s="69">
        <v>-4</v>
      </c>
      <c r="E401" s="69">
        <v>-1</v>
      </c>
      <c r="F401" s="69">
        <v>19</v>
      </c>
      <c r="G401" s="69"/>
      <c r="H401" s="69"/>
      <c r="I401" s="70">
        <v>0.51</v>
      </c>
      <c r="J401" s="70">
        <v>1.59</v>
      </c>
      <c r="K401" s="69">
        <v>6</v>
      </c>
      <c r="L401" s="69">
        <v>0.8</v>
      </c>
      <c r="M401" s="69" t="s">
        <v>170</v>
      </c>
      <c r="N401" s="69">
        <v>2011</v>
      </c>
      <c r="O401" s="69" t="s">
        <v>71</v>
      </c>
      <c r="P401" s="69">
        <v>507236</v>
      </c>
      <c r="Q401" s="92" t="s">
        <v>618</v>
      </c>
      <c r="R401" s="92" t="s">
        <v>223</v>
      </c>
      <c r="S401" s="92"/>
    </row>
    <row r="402" spans="1:19" x14ac:dyDescent="0.2">
      <c r="A402" s="92" t="s">
        <v>620</v>
      </c>
      <c r="B402" s="69">
        <v>12</v>
      </c>
      <c r="C402" s="69">
        <v>5</v>
      </c>
      <c r="D402" s="69">
        <v>5</v>
      </c>
      <c r="E402" s="69">
        <v>12</v>
      </c>
      <c r="F402" s="69">
        <v>36</v>
      </c>
      <c r="G402" s="69"/>
      <c r="H402" s="69"/>
      <c r="I402" s="70">
        <v>0.51</v>
      </c>
      <c r="J402" s="70">
        <v>1.28</v>
      </c>
      <c r="K402" s="69">
        <v>5.2</v>
      </c>
      <c r="L402" s="69">
        <v>1.8</v>
      </c>
      <c r="M402" s="69" t="s">
        <v>241</v>
      </c>
      <c r="N402" s="69">
        <v>2013</v>
      </c>
      <c r="O402" s="69" t="s">
        <v>71</v>
      </c>
      <c r="P402" s="69">
        <v>456764</v>
      </c>
      <c r="Q402" s="92" t="s">
        <v>464</v>
      </c>
      <c r="R402" s="92" t="s">
        <v>223</v>
      </c>
      <c r="S402" s="87"/>
    </row>
    <row r="403" spans="1:19" x14ac:dyDescent="0.2">
      <c r="A403" s="92" t="s">
        <v>619</v>
      </c>
      <c r="B403" s="69">
        <v>20</v>
      </c>
      <c r="C403" s="69">
        <v>9</v>
      </c>
      <c r="D403" s="69">
        <v>8</v>
      </c>
      <c r="E403" s="69">
        <v>20</v>
      </c>
      <c r="F403" s="69"/>
      <c r="G403" s="69"/>
      <c r="H403" s="69"/>
      <c r="I403" s="70">
        <v>0.51</v>
      </c>
      <c r="J403" s="70">
        <v>1.4</v>
      </c>
      <c r="K403" s="69"/>
      <c r="L403" s="69"/>
      <c r="M403" s="69" t="s">
        <v>170</v>
      </c>
      <c r="N403" s="69">
        <v>2013</v>
      </c>
      <c r="O403" s="69" t="s">
        <v>71</v>
      </c>
      <c r="P403" s="69">
        <v>646240</v>
      </c>
      <c r="Q403" s="92" t="s">
        <v>235</v>
      </c>
      <c r="R403" s="92" t="s">
        <v>264</v>
      </c>
      <c r="S403" s="92"/>
    </row>
    <row r="404" spans="1:19" x14ac:dyDescent="0.2">
      <c r="A404" s="92" t="s">
        <v>623</v>
      </c>
      <c r="B404" s="69">
        <v>-18</v>
      </c>
      <c r="C404" s="69">
        <v>-13</v>
      </c>
      <c r="D404" s="69">
        <v>-24</v>
      </c>
      <c r="E404" s="69">
        <v>-19</v>
      </c>
      <c r="F404" s="69">
        <v>-24</v>
      </c>
      <c r="G404" s="69">
        <v>-32</v>
      </c>
      <c r="H404" s="69">
        <v>-7.3</v>
      </c>
      <c r="I404" s="70">
        <v>0.52</v>
      </c>
      <c r="J404" s="70">
        <v>1.48</v>
      </c>
      <c r="K404" s="69">
        <v>12.4</v>
      </c>
      <c r="L404" s="69">
        <v>-0.8</v>
      </c>
      <c r="M404" s="69" t="s">
        <v>241</v>
      </c>
      <c r="N404" s="69">
        <v>2008</v>
      </c>
      <c r="O404" s="69" t="s">
        <v>71</v>
      </c>
      <c r="P404" s="69">
        <v>734434</v>
      </c>
      <c r="Q404" s="92" t="s">
        <v>535</v>
      </c>
      <c r="R404" s="92" t="s">
        <v>370</v>
      </c>
      <c r="S404" s="92"/>
    </row>
    <row r="405" spans="1:19" x14ac:dyDescent="0.2">
      <c r="A405" s="92" t="s">
        <v>1130</v>
      </c>
      <c r="B405" s="69">
        <v>33</v>
      </c>
      <c r="C405" s="69">
        <v>10</v>
      </c>
      <c r="D405" s="69">
        <v>5</v>
      </c>
      <c r="E405" s="69">
        <v>33</v>
      </c>
      <c r="F405" s="69"/>
      <c r="G405" s="69"/>
      <c r="H405" s="69"/>
      <c r="I405" s="70">
        <v>0.52</v>
      </c>
      <c r="J405" s="70">
        <v>1.2</v>
      </c>
      <c r="K405" s="69"/>
      <c r="L405" s="69"/>
      <c r="M405" s="69" t="s">
        <v>170</v>
      </c>
      <c r="N405" s="69">
        <v>2014</v>
      </c>
      <c r="O405" s="69" t="s">
        <v>171</v>
      </c>
      <c r="P405" s="69">
        <v>487108</v>
      </c>
      <c r="Q405" s="92" t="s">
        <v>564</v>
      </c>
      <c r="R405" s="92" t="s">
        <v>370</v>
      </c>
      <c r="S405" s="92"/>
    </row>
    <row r="406" spans="1:19" x14ac:dyDescent="0.2">
      <c r="A406" s="92" t="s">
        <v>626</v>
      </c>
      <c r="B406" s="69">
        <v>22</v>
      </c>
      <c r="C406" s="69">
        <v>3</v>
      </c>
      <c r="D406" s="69">
        <v>9</v>
      </c>
      <c r="E406" s="69">
        <v>22</v>
      </c>
      <c r="F406" s="69">
        <v>20</v>
      </c>
      <c r="G406" s="69">
        <v>31</v>
      </c>
      <c r="H406" s="69">
        <v>5.6</v>
      </c>
      <c r="I406" s="70">
        <v>0.52</v>
      </c>
      <c r="J406" s="70">
        <v>2.7</v>
      </c>
      <c r="K406" s="69">
        <v>7</v>
      </c>
      <c r="L406" s="69">
        <v>0.7</v>
      </c>
      <c r="M406" s="69" t="s">
        <v>451</v>
      </c>
      <c r="N406" s="69">
        <v>2001</v>
      </c>
      <c r="O406" s="69" t="s">
        <v>71</v>
      </c>
      <c r="P406" s="69">
        <v>103010</v>
      </c>
      <c r="Q406" s="92" t="s">
        <v>616</v>
      </c>
      <c r="R406" s="92" t="s">
        <v>223</v>
      </c>
      <c r="S406" s="92"/>
    </row>
    <row r="407" spans="1:19" x14ac:dyDescent="0.2">
      <c r="A407" s="92" t="s">
        <v>627</v>
      </c>
      <c r="B407" s="69">
        <v>11</v>
      </c>
      <c r="C407" s="69">
        <v>2</v>
      </c>
      <c r="D407" s="69">
        <v>2</v>
      </c>
      <c r="E407" s="69">
        <v>11</v>
      </c>
      <c r="F407" s="69">
        <v>1</v>
      </c>
      <c r="G407" s="69">
        <v>5</v>
      </c>
      <c r="H407" s="69">
        <v>0.9</v>
      </c>
      <c r="I407" s="70">
        <v>0.52</v>
      </c>
      <c r="J407" s="70">
        <v>2.7</v>
      </c>
      <c r="K407" s="69">
        <v>8.6</v>
      </c>
      <c r="L407" s="69">
        <v>0</v>
      </c>
      <c r="M407" s="69" t="s">
        <v>451</v>
      </c>
      <c r="N407" s="69">
        <v>2009</v>
      </c>
      <c r="O407" s="69" t="s">
        <v>71</v>
      </c>
      <c r="P407" s="69">
        <v>874099</v>
      </c>
      <c r="Q407" s="92" t="s">
        <v>616</v>
      </c>
      <c r="R407" s="92" t="s">
        <v>223</v>
      </c>
      <c r="S407" s="87"/>
    </row>
    <row r="408" spans="1:19" x14ac:dyDescent="0.2">
      <c r="A408" s="92" t="s">
        <v>628</v>
      </c>
      <c r="B408" s="69">
        <v>17</v>
      </c>
      <c r="C408" s="69">
        <v>5</v>
      </c>
      <c r="D408" s="69">
        <v>7</v>
      </c>
      <c r="E408" s="69">
        <v>17</v>
      </c>
      <c r="F408" s="69">
        <v>33</v>
      </c>
      <c r="G408" s="69">
        <v>18</v>
      </c>
      <c r="H408" s="69">
        <v>3.3</v>
      </c>
      <c r="I408" s="70">
        <v>0.52</v>
      </c>
      <c r="J408" s="70">
        <v>2.1</v>
      </c>
      <c r="K408" s="69">
        <v>5.4</v>
      </c>
      <c r="L408" s="69">
        <v>1.5</v>
      </c>
      <c r="M408" s="69" t="s">
        <v>241</v>
      </c>
      <c r="N408" s="69">
        <v>2000</v>
      </c>
      <c r="O408" s="69" t="s">
        <v>71</v>
      </c>
      <c r="P408" s="69">
        <v>966598</v>
      </c>
      <c r="Q408" s="92" t="s">
        <v>616</v>
      </c>
      <c r="R408" s="92" t="s">
        <v>243</v>
      </c>
      <c r="S408" s="87"/>
    </row>
    <row r="409" spans="1:19" x14ac:dyDescent="0.2">
      <c r="A409" s="92" t="s">
        <v>629</v>
      </c>
      <c r="B409" s="69">
        <v>10</v>
      </c>
      <c r="C409" s="69">
        <v>4</v>
      </c>
      <c r="D409" s="69">
        <v>2</v>
      </c>
      <c r="E409" s="69">
        <v>10</v>
      </c>
      <c r="F409" s="69">
        <v>48</v>
      </c>
      <c r="G409" s="69">
        <v>32</v>
      </c>
      <c r="H409" s="69">
        <v>5.8</v>
      </c>
      <c r="I409" s="70">
        <v>0.52</v>
      </c>
      <c r="J409" s="70">
        <v>2.15</v>
      </c>
      <c r="K409" s="69">
        <v>6.3</v>
      </c>
      <c r="L409" s="69">
        <v>1.9</v>
      </c>
      <c r="M409" s="69" t="s">
        <v>241</v>
      </c>
      <c r="N409" s="69">
        <v>2000</v>
      </c>
      <c r="O409" s="69" t="s">
        <v>71</v>
      </c>
      <c r="P409" s="69">
        <v>930768</v>
      </c>
      <c r="Q409" s="92" t="s">
        <v>616</v>
      </c>
      <c r="R409" s="92" t="s">
        <v>243</v>
      </c>
      <c r="S409" s="87"/>
    </row>
    <row r="410" spans="1:19" x14ac:dyDescent="0.2">
      <c r="A410" s="92" t="s">
        <v>1129</v>
      </c>
      <c r="B410" s="69">
        <v>19</v>
      </c>
      <c r="C410" s="69">
        <v>8</v>
      </c>
      <c r="D410" s="69">
        <v>10</v>
      </c>
      <c r="E410" s="69">
        <v>19</v>
      </c>
      <c r="F410" s="69">
        <v>45</v>
      </c>
      <c r="G410" s="69">
        <v>36</v>
      </c>
      <c r="H410" s="69">
        <v>6.3</v>
      </c>
      <c r="I410" s="70">
        <v>0.52</v>
      </c>
      <c r="J410" s="70">
        <v>1.29</v>
      </c>
      <c r="K410" s="69">
        <v>5</v>
      </c>
      <c r="L410" s="69">
        <v>2.2000000000000002</v>
      </c>
      <c r="M410" s="69" t="s">
        <v>241</v>
      </c>
      <c r="N410" s="69">
        <v>2008</v>
      </c>
      <c r="O410" s="69" t="s">
        <v>71</v>
      </c>
      <c r="P410" s="69">
        <v>945162</v>
      </c>
      <c r="Q410" s="92" t="s">
        <v>635</v>
      </c>
      <c r="R410" s="92" t="s">
        <v>223</v>
      </c>
      <c r="S410" s="87"/>
    </row>
    <row r="411" spans="1:19" x14ac:dyDescent="0.2">
      <c r="A411" s="92" t="s">
        <v>630</v>
      </c>
      <c r="B411" s="69">
        <v>12</v>
      </c>
      <c r="C411" s="69">
        <v>7</v>
      </c>
      <c r="D411" s="69">
        <v>5</v>
      </c>
      <c r="E411" s="69">
        <v>12</v>
      </c>
      <c r="F411" s="69">
        <v>40</v>
      </c>
      <c r="G411" s="69">
        <v>48</v>
      </c>
      <c r="H411" s="69">
        <v>8.1</v>
      </c>
      <c r="I411" s="70">
        <v>0.52</v>
      </c>
      <c r="J411" s="70">
        <v>1.6</v>
      </c>
      <c r="K411" s="69">
        <v>6.6</v>
      </c>
      <c r="L411" s="69">
        <v>1.5</v>
      </c>
      <c r="M411" s="69" t="s">
        <v>170</v>
      </c>
      <c r="N411" s="69">
        <v>2000</v>
      </c>
      <c r="O411" s="69" t="s">
        <v>171</v>
      </c>
      <c r="P411" s="69">
        <v>878520</v>
      </c>
      <c r="Q411" s="92" t="s">
        <v>233</v>
      </c>
      <c r="R411" s="92" t="s">
        <v>266</v>
      </c>
      <c r="S411" s="87"/>
    </row>
    <row r="412" spans="1:19" x14ac:dyDescent="0.2">
      <c r="A412" s="92" t="s">
        <v>631</v>
      </c>
      <c r="B412" s="69">
        <v>23</v>
      </c>
      <c r="C412" s="69">
        <v>12</v>
      </c>
      <c r="D412" s="69">
        <v>6</v>
      </c>
      <c r="E412" s="69">
        <v>23</v>
      </c>
      <c r="F412" s="69">
        <v>94</v>
      </c>
      <c r="G412" s="69">
        <v>114</v>
      </c>
      <c r="H412" s="69">
        <v>16.399999999999999</v>
      </c>
      <c r="I412" s="70">
        <v>0.52</v>
      </c>
      <c r="J412" s="70">
        <v>1.6</v>
      </c>
      <c r="K412" s="69">
        <v>11.4</v>
      </c>
      <c r="L412" s="69">
        <v>1.9</v>
      </c>
      <c r="M412" s="69" t="s">
        <v>170</v>
      </c>
      <c r="N412" s="69">
        <v>2000</v>
      </c>
      <c r="O412" s="69" t="s">
        <v>171</v>
      </c>
      <c r="P412" s="69">
        <v>842690</v>
      </c>
      <c r="Q412" s="92" t="s">
        <v>233</v>
      </c>
      <c r="R412" s="92" t="s">
        <v>331</v>
      </c>
      <c r="S412" s="87"/>
    </row>
    <row r="413" spans="1:19" x14ac:dyDescent="0.2">
      <c r="A413" s="92" t="s">
        <v>632</v>
      </c>
      <c r="B413" s="69">
        <v>20</v>
      </c>
      <c r="C413" s="69">
        <v>6</v>
      </c>
      <c r="D413" s="69">
        <v>5</v>
      </c>
      <c r="E413" s="69">
        <v>20</v>
      </c>
      <c r="F413" s="69">
        <v>74</v>
      </c>
      <c r="G413" s="69">
        <v>86</v>
      </c>
      <c r="H413" s="69">
        <v>13.2</v>
      </c>
      <c r="I413" s="70">
        <v>0.52</v>
      </c>
      <c r="J413" s="70">
        <v>1.6</v>
      </c>
      <c r="K413" s="69">
        <v>12.3</v>
      </c>
      <c r="L413" s="69">
        <v>1.5</v>
      </c>
      <c r="M413" s="69" t="s">
        <v>170</v>
      </c>
      <c r="N413" s="69">
        <v>2000</v>
      </c>
      <c r="O413" s="69" t="s">
        <v>171</v>
      </c>
      <c r="P413" s="69">
        <v>806869</v>
      </c>
      <c r="Q413" s="92" t="s">
        <v>233</v>
      </c>
      <c r="R413" s="92" t="s">
        <v>264</v>
      </c>
      <c r="S413" s="92"/>
    </row>
    <row r="414" spans="1:19" x14ac:dyDescent="0.2">
      <c r="A414" s="92" t="s">
        <v>641</v>
      </c>
      <c r="B414" s="69">
        <v>49</v>
      </c>
      <c r="C414" s="69">
        <v>14</v>
      </c>
      <c r="D414" s="69">
        <v>24</v>
      </c>
      <c r="E414" s="69">
        <v>48</v>
      </c>
      <c r="F414" s="69">
        <v>114</v>
      </c>
      <c r="G414" s="69">
        <v>110</v>
      </c>
      <c r="H414" s="69">
        <v>16.100000000000001</v>
      </c>
      <c r="I414" s="70">
        <v>0.52</v>
      </c>
      <c r="J414" s="70">
        <v>1.51</v>
      </c>
      <c r="K414" s="69">
        <v>7.4</v>
      </c>
      <c r="L414" s="69">
        <v>3.3</v>
      </c>
      <c r="M414" s="69" t="s">
        <v>376</v>
      </c>
      <c r="N414" s="69">
        <v>2013</v>
      </c>
      <c r="O414" s="69" t="s">
        <v>71</v>
      </c>
      <c r="P414" s="69">
        <v>517508</v>
      </c>
      <c r="Q414" s="92" t="s">
        <v>625</v>
      </c>
      <c r="R414" s="92" t="s">
        <v>404</v>
      </c>
      <c r="S414" s="87"/>
    </row>
    <row r="415" spans="1:19" x14ac:dyDescent="0.2">
      <c r="A415" s="92" t="s">
        <v>624</v>
      </c>
      <c r="B415" s="69">
        <v>30</v>
      </c>
      <c r="C415" s="69">
        <v>12</v>
      </c>
      <c r="D415" s="69">
        <v>18</v>
      </c>
      <c r="E415" s="69">
        <v>28</v>
      </c>
      <c r="F415" s="69">
        <v>95</v>
      </c>
      <c r="G415" s="69">
        <v>111</v>
      </c>
      <c r="H415" s="69">
        <v>16.100000000000001</v>
      </c>
      <c r="I415" s="70">
        <v>0.52</v>
      </c>
      <c r="J415" s="70">
        <v>1.51</v>
      </c>
      <c r="K415" s="69">
        <v>12</v>
      </c>
      <c r="L415" s="69">
        <v>1.8</v>
      </c>
      <c r="M415" s="69" t="s">
        <v>376</v>
      </c>
      <c r="N415" s="69">
        <v>2002</v>
      </c>
      <c r="O415" s="69" t="s">
        <v>71</v>
      </c>
      <c r="P415" s="69">
        <v>191676</v>
      </c>
      <c r="Q415" s="92" t="s">
        <v>625</v>
      </c>
      <c r="R415" s="92" t="s">
        <v>315</v>
      </c>
      <c r="S415" s="92"/>
    </row>
    <row r="416" spans="1:19" x14ac:dyDescent="0.2">
      <c r="A416" s="92" t="s">
        <v>634</v>
      </c>
      <c r="B416" s="69">
        <v>20</v>
      </c>
      <c r="C416" s="69">
        <v>9</v>
      </c>
      <c r="D416" s="69">
        <v>2</v>
      </c>
      <c r="E416" s="69">
        <v>20</v>
      </c>
      <c r="F416" s="69">
        <v>76</v>
      </c>
      <c r="G416" s="69">
        <v>108</v>
      </c>
      <c r="H416" s="69">
        <v>15.8</v>
      </c>
      <c r="I416" s="70">
        <v>0.52</v>
      </c>
      <c r="J416" s="70">
        <v>1.5</v>
      </c>
      <c r="K416" s="69">
        <v>10.5</v>
      </c>
      <c r="L416" s="69">
        <v>1.7</v>
      </c>
      <c r="M416" s="69" t="s">
        <v>170</v>
      </c>
      <c r="N416" s="69">
        <v>2000</v>
      </c>
      <c r="O416" s="69" t="s">
        <v>171</v>
      </c>
      <c r="P416" s="69">
        <v>694539</v>
      </c>
      <c r="Q416" s="92" t="s">
        <v>361</v>
      </c>
      <c r="R416" s="92" t="s">
        <v>331</v>
      </c>
      <c r="S416" s="92" t="s">
        <v>189</v>
      </c>
    </row>
    <row r="417" spans="1:19" x14ac:dyDescent="0.2">
      <c r="A417" s="92" t="s">
        <v>131</v>
      </c>
      <c r="B417" s="69">
        <v>23</v>
      </c>
      <c r="C417" s="69">
        <v>10</v>
      </c>
      <c r="D417" s="69">
        <v>4</v>
      </c>
      <c r="E417" s="69">
        <v>23</v>
      </c>
      <c r="F417" s="69">
        <v>100</v>
      </c>
      <c r="G417" s="69">
        <v>130</v>
      </c>
      <c r="H417" s="69">
        <v>18.100000000000001</v>
      </c>
      <c r="I417" s="70">
        <v>0.52</v>
      </c>
      <c r="J417" s="70">
        <v>1.5</v>
      </c>
      <c r="K417" s="69">
        <v>12</v>
      </c>
      <c r="L417" s="69">
        <v>1.9</v>
      </c>
      <c r="M417" s="69" t="s">
        <v>170</v>
      </c>
      <c r="N417" s="69">
        <v>2006</v>
      </c>
      <c r="O417" s="69" t="s">
        <v>171</v>
      </c>
      <c r="P417" s="69">
        <v>416867</v>
      </c>
      <c r="Q417" s="92" t="s">
        <v>361</v>
      </c>
      <c r="R417" s="92" t="s">
        <v>331</v>
      </c>
      <c r="S417" s="87" t="s">
        <v>189</v>
      </c>
    </row>
    <row r="418" spans="1:19" x14ac:dyDescent="0.2">
      <c r="A418" s="92" t="s">
        <v>642</v>
      </c>
      <c r="B418" s="69">
        <v>15</v>
      </c>
      <c r="C418" s="69">
        <v>3</v>
      </c>
      <c r="D418" s="69">
        <v>7</v>
      </c>
      <c r="E418" s="69">
        <v>15</v>
      </c>
      <c r="F418" s="69">
        <v>40</v>
      </c>
      <c r="G418" s="69">
        <v>44</v>
      </c>
      <c r="H418" s="69">
        <v>7.6</v>
      </c>
      <c r="I418" s="70">
        <v>0.52</v>
      </c>
      <c r="J418" s="70">
        <v>1.28</v>
      </c>
      <c r="K418" s="69">
        <v>6.4</v>
      </c>
      <c r="L418" s="69">
        <v>1.6</v>
      </c>
      <c r="M418" s="69" t="s">
        <v>241</v>
      </c>
      <c r="N418" s="69">
        <v>2009</v>
      </c>
      <c r="O418" s="69" t="s">
        <v>71</v>
      </c>
      <c r="P418" s="69">
        <v>153833</v>
      </c>
      <c r="Q418" s="92" t="s">
        <v>431</v>
      </c>
      <c r="R418" s="92" t="s">
        <v>379</v>
      </c>
      <c r="S418" s="92"/>
    </row>
    <row r="419" spans="1:19" x14ac:dyDescent="0.2">
      <c r="A419" s="92" t="s">
        <v>636</v>
      </c>
      <c r="B419" s="69">
        <v>4</v>
      </c>
      <c r="C419" s="69">
        <v>0</v>
      </c>
      <c r="D419" s="69">
        <v>-3</v>
      </c>
      <c r="E419" s="69">
        <v>4</v>
      </c>
      <c r="F419" s="69">
        <v>30</v>
      </c>
      <c r="G419" s="69">
        <v>27</v>
      </c>
      <c r="H419" s="69">
        <v>4.8</v>
      </c>
      <c r="I419" s="70">
        <v>0.52</v>
      </c>
      <c r="J419" s="70">
        <v>1.53</v>
      </c>
      <c r="K419" s="69">
        <v>6.1</v>
      </c>
      <c r="L419" s="69">
        <v>1.3</v>
      </c>
      <c r="M419" s="69" t="s">
        <v>241</v>
      </c>
      <c r="N419" s="69">
        <v>2003</v>
      </c>
      <c r="O419" s="69" t="s">
        <v>71</v>
      </c>
      <c r="P419" s="69">
        <v>753384</v>
      </c>
      <c r="Q419" s="92" t="s">
        <v>580</v>
      </c>
      <c r="R419" s="92" t="s">
        <v>223</v>
      </c>
      <c r="S419" s="92"/>
    </row>
    <row r="420" spans="1:19" x14ac:dyDescent="0.2">
      <c r="A420" s="92" t="s">
        <v>637</v>
      </c>
      <c r="B420" s="69">
        <v>18</v>
      </c>
      <c r="C420" s="69">
        <v>4</v>
      </c>
      <c r="D420" s="69">
        <v>9</v>
      </c>
      <c r="E420" s="69">
        <v>18</v>
      </c>
      <c r="F420" s="69">
        <v>39</v>
      </c>
      <c r="G420" s="69">
        <v>50</v>
      </c>
      <c r="H420" s="69">
        <v>8.5</v>
      </c>
      <c r="I420" s="70">
        <v>0.52</v>
      </c>
      <c r="J420" s="70">
        <v>1.53</v>
      </c>
      <c r="K420" s="69">
        <v>5</v>
      </c>
      <c r="L420" s="69">
        <v>2</v>
      </c>
      <c r="M420" s="69" t="s">
        <v>451</v>
      </c>
      <c r="N420" s="69">
        <v>2000</v>
      </c>
      <c r="O420" s="69" t="s">
        <v>71</v>
      </c>
      <c r="P420" s="69">
        <v>298570</v>
      </c>
      <c r="Q420" s="92" t="s">
        <v>580</v>
      </c>
      <c r="R420" s="92" t="s">
        <v>223</v>
      </c>
      <c r="S420" s="87"/>
    </row>
    <row r="421" spans="1:19" x14ac:dyDescent="0.2">
      <c r="A421" s="92" t="s">
        <v>638</v>
      </c>
      <c r="B421" s="69">
        <v>71</v>
      </c>
      <c r="C421" s="69">
        <v>15</v>
      </c>
      <c r="D421" s="69">
        <v>29</v>
      </c>
      <c r="E421" s="69">
        <v>71</v>
      </c>
      <c r="F421" s="69">
        <v>84</v>
      </c>
      <c r="G421" s="69">
        <v>42</v>
      </c>
      <c r="H421" s="69">
        <v>7.2</v>
      </c>
      <c r="I421" s="70">
        <v>0.52</v>
      </c>
      <c r="J421" s="70">
        <v>2.2200000000000002</v>
      </c>
      <c r="K421" s="69">
        <v>21.6</v>
      </c>
      <c r="L421" s="69">
        <v>1</v>
      </c>
      <c r="M421" s="69" t="s">
        <v>170</v>
      </c>
      <c r="N421" s="69">
        <v>2004</v>
      </c>
      <c r="O421" s="69" t="s">
        <v>171</v>
      </c>
      <c r="P421" s="69">
        <v>505586</v>
      </c>
      <c r="Q421" s="92" t="s">
        <v>221</v>
      </c>
      <c r="R421" s="92" t="s">
        <v>383</v>
      </c>
      <c r="S421" s="92"/>
    </row>
    <row r="422" spans="1:19" x14ac:dyDescent="0.2">
      <c r="A422" s="92" t="s">
        <v>639</v>
      </c>
      <c r="B422" s="69">
        <v>-27</v>
      </c>
      <c r="C422" s="69">
        <v>-17</v>
      </c>
      <c r="D422" s="69">
        <v>-24</v>
      </c>
      <c r="E422" s="69">
        <v>-27</v>
      </c>
      <c r="F422" s="69">
        <v>-19</v>
      </c>
      <c r="G422" s="69">
        <v>-31</v>
      </c>
      <c r="H422" s="69">
        <v>-7.2</v>
      </c>
      <c r="I422" s="70">
        <v>0.52</v>
      </c>
      <c r="J422" s="70">
        <v>2.2000000000000002</v>
      </c>
      <c r="K422" s="69">
        <v>19.100000000000001</v>
      </c>
      <c r="L422" s="69">
        <v>-0.3</v>
      </c>
      <c r="M422" s="69" t="s">
        <v>170</v>
      </c>
      <c r="N422" s="69">
        <v>2005</v>
      </c>
      <c r="O422" s="69" t="s">
        <v>71</v>
      </c>
      <c r="P422" s="69">
        <v>851725</v>
      </c>
      <c r="Q422" s="92" t="s">
        <v>254</v>
      </c>
      <c r="R422" s="92" t="s">
        <v>413</v>
      </c>
      <c r="S422" s="92"/>
    </row>
    <row r="423" spans="1:19" x14ac:dyDescent="0.2">
      <c r="A423" s="92" t="s">
        <v>640</v>
      </c>
      <c r="B423" s="69">
        <v>17</v>
      </c>
      <c r="C423" s="69">
        <v>7</v>
      </c>
      <c r="D423" s="69">
        <v>4</v>
      </c>
      <c r="E423" s="69">
        <v>17</v>
      </c>
      <c r="F423" s="69">
        <v>65</v>
      </c>
      <c r="G423" s="69">
        <v>64</v>
      </c>
      <c r="H423" s="69">
        <v>10.5</v>
      </c>
      <c r="I423" s="70">
        <v>0.52</v>
      </c>
      <c r="J423" s="70">
        <v>1.25</v>
      </c>
      <c r="K423" s="69">
        <v>10.4</v>
      </c>
      <c r="L423" s="69">
        <v>1.6</v>
      </c>
      <c r="M423" s="69" t="s">
        <v>170</v>
      </c>
      <c r="N423" s="69">
        <v>2000</v>
      </c>
      <c r="O423" s="69" t="s">
        <v>171</v>
      </c>
      <c r="P423" s="69">
        <v>739458</v>
      </c>
      <c r="Q423" s="92" t="s">
        <v>365</v>
      </c>
      <c r="R423" s="92" t="s">
        <v>264</v>
      </c>
      <c r="S423" s="92" t="s">
        <v>189</v>
      </c>
    </row>
    <row r="424" spans="1:19" x14ac:dyDescent="0.2">
      <c r="A424" s="92" t="s">
        <v>633</v>
      </c>
      <c r="B424" s="69">
        <v>42</v>
      </c>
      <c r="C424" s="69">
        <v>15</v>
      </c>
      <c r="D424" s="69">
        <v>27</v>
      </c>
      <c r="E424" s="69">
        <v>42</v>
      </c>
      <c r="F424" s="69">
        <v>98</v>
      </c>
      <c r="G424" s="69">
        <v>104</v>
      </c>
      <c r="H424" s="69">
        <v>15.3</v>
      </c>
      <c r="I424" s="70">
        <v>0.52</v>
      </c>
      <c r="J424" s="70">
        <v>1.6</v>
      </c>
      <c r="K424" s="69">
        <v>8.9</v>
      </c>
      <c r="L424" s="69">
        <v>2.5</v>
      </c>
      <c r="M424" s="69" t="s">
        <v>170</v>
      </c>
      <c r="N424" s="69">
        <v>2000</v>
      </c>
      <c r="O424" s="69" t="s">
        <v>171</v>
      </c>
      <c r="P424" s="69">
        <v>771030</v>
      </c>
      <c r="Q424" s="92" t="s">
        <v>233</v>
      </c>
      <c r="R424" s="92" t="s">
        <v>370</v>
      </c>
      <c r="S424" s="87"/>
    </row>
    <row r="425" spans="1:19" x14ac:dyDescent="0.2">
      <c r="A425" s="92" t="s">
        <v>1131</v>
      </c>
      <c r="B425" s="69">
        <v>13</v>
      </c>
      <c r="C425" s="69">
        <v>5</v>
      </c>
      <c r="D425" s="69">
        <v>4</v>
      </c>
      <c r="E425" s="69">
        <v>12</v>
      </c>
      <c r="F425" s="69">
        <v>48</v>
      </c>
      <c r="G425" s="69">
        <v>41</v>
      </c>
      <c r="H425" s="69">
        <v>7.1</v>
      </c>
      <c r="I425" s="70">
        <v>0.53</v>
      </c>
      <c r="J425" s="70">
        <v>1.34</v>
      </c>
      <c r="K425" s="69">
        <v>6.2</v>
      </c>
      <c r="L425" s="69">
        <v>1.9</v>
      </c>
      <c r="M425" s="69" t="s">
        <v>241</v>
      </c>
      <c r="N425" s="69">
        <v>2008</v>
      </c>
      <c r="O425" s="69" t="s">
        <v>71</v>
      </c>
      <c r="P425" s="69">
        <v>873505</v>
      </c>
      <c r="Q425" s="92" t="s">
        <v>635</v>
      </c>
      <c r="R425" s="92" t="s">
        <v>243</v>
      </c>
      <c r="S425" s="92"/>
    </row>
    <row r="426" spans="1:19" x14ac:dyDescent="0.2">
      <c r="A426" s="92" t="s">
        <v>645</v>
      </c>
      <c r="B426" s="69">
        <v>14</v>
      </c>
      <c r="C426" s="69">
        <v>5</v>
      </c>
      <c r="D426" s="69">
        <v>5</v>
      </c>
      <c r="E426" s="69">
        <v>14</v>
      </c>
      <c r="F426" s="69"/>
      <c r="G426" s="69"/>
      <c r="H426" s="69"/>
      <c r="I426" s="70">
        <v>0.53</v>
      </c>
      <c r="J426" s="70">
        <v>1.46</v>
      </c>
      <c r="K426" s="69"/>
      <c r="L426" s="69"/>
      <c r="M426" s="69" t="s">
        <v>170</v>
      </c>
      <c r="N426" s="69">
        <v>2013</v>
      </c>
      <c r="O426" s="69" t="s">
        <v>171</v>
      </c>
      <c r="P426" s="69">
        <v>696658</v>
      </c>
      <c r="Q426" s="92" t="s">
        <v>247</v>
      </c>
      <c r="R426" s="92" t="s">
        <v>265</v>
      </c>
      <c r="S426" s="87"/>
    </row>
    <row r="427" spans="1:19" x14ac:dyDescent="0.2">
      <c r="A427" s="92" t="s">
        <v>647</v>
      </c>
      <c r="B427" s="69">
        <v>4</v>
      </c>
      <c r="C427" s="69">
        <v>0</v>
      </c>
      <c r="D427" s="69">
        <v>0</v>
      </c>
      <c r="E427" s="69">
        <v>4</v>
      </c>
      <c r="F427" s="69"/>
      <c r="G427" s="69"/>
      <c r="H427" s="69"/>
      <c r="I427" s="70">
        <v>0.53</v>
      </c>
      <c r="J427" s="70">
        <v>1.66</v>
      </c>
      <c r="K427" s="69"/>
      <c r="L427" s="69"/>
      <c r="M427" s="69" t="s">
        <v>170</v>
      </c>
      <c r="N427" s="69">
        <v>2012</v>
      </c>
      <c r="O427" s="69" t="s">
        <v>71</v>
      </c>
      <c r="P427" s="69">
        <v>299511</v>
      </c>
      <c r="Q427" s="92" t="s">
        <v>618</v>
      </c>
      <c r="R427" s="92" t="s">
        <v>223</v>
      </c>
      <c r="S427" s="92"/>
    </row>
    <row r="428" spans="1:19" x14ac:dyDescent="0.2">
      <c r="A428" s="92" t="s">
        <v>646</v>
      </c>
      <c r="B428" s="69">
        <v>17</v>
      </c>
      <c r="C428" s="69">
        <v>3</v>
      </c>
      <c r="D428" s="69">
        <v>6</v>
      </c>
      <c r="E428" s="69">
        <v>17</v>
      </c>
      <c r="F428" s="69"/>
      <c r="G428" s="69"/>
      <c r="H428" s="69"/>
      <c r="I428" s="70">
        <v>0.53</v>
      </c>
      <c r="J428" s="70">
        <v>1.65</v>
      </c>
      <c r="K428" s="69"/>
      <c r="L428" s="69"/>
      <c r="M428" s="69" t="s">
        <v>170</v>
      </c>
      <c r="N428" s="69">
        <v>2014</v>
      </c>
      <c r="O428" s="69" t="s">
        <v>171</v>
      </c>
      <c r="P428" s="69">
        <v>802900</v>
      </c>
      <c r="Q428" s="92" t="s">
        <v>277</v>
      </c>
      <c r="R428" s="92" t="s">
        <v>379</v>
      </c>
      <c r="S428" s="87" t="s">
        <v>189</v>
      </c>
    </row>
    <row r="429" spans="1:19" x14ac:dyDescent="0.2">
      <c r="A429" s="92" t="s">
        <v>644</v>
      </c>
      <c r="B429" s="69">
        <v>29</v>
      </c>
      <c r="C429" s="69">
        <v>14</v>
      </c>
      <c r="D429" s="69">
        <v>20</v>
      </c>
      <c r="E429" s="69">
        <v>29</v>
      </c>
      <c r="F429" s="69">
        <v>72</v>
      </c>
      <c r="G429" s="69">
        <v>56</v>
      </c>
      <c r="H429" s="69">
        <v>9.1999999999999993</v>
      </c>
      <c r="I429" s="70">
        <v>0.53</v>
      </c>
      <c r="J429" s="70">
        <v>1.23</v>
      </c>
      <c r="K429" s="69">
        <v>7.4</v>
      </c>
      <c r="L429" s="69">
        <v>2.2999999999999998</v>
      </c>
      <c r="M429" s="69" t="s">
        <v>451</v>
      </c>
      <c r="N429" s="69">
        <v>2000</v>
      </c>
      <c r="O429" s="69" t="s">
        <v>71</v>
      </c>
      <c r="P429" s="69">
        <v>555466</v>
      </c>
      <c r="Q429" s="92" t="s">
        <v>489</v>
      </c>
      <c r="R429" s="92" t="s">
        <v>212</v>
      </c>
      <c r="S429" s="92"/>
    </row>
    <row r="430" spans="1:19" x14ac:dyDescent="0.2">
      <c r="A430" s="92" t="s">
        <v>643</v>
      </c>
      <c r="B430" s="69">
        <v>20</v>
      </c>
      <c r="C430" s="69">
        <v>3</v>
      </c>
      <c r="D430" s="69">
        <v>6</v>
      </c>
      <c r="E430" s="69">
        <v>20</v>
      </c>
      <c r="F430" s="69">
        <v>43</v>
      </c>
      <c r="G430" s="69">
        <v>33</v>
      </c>
      <c r="H430" s="69">
        <v>5.8</v>
      </c>
      <c r="I430" s="70">
        <v>0.53</v>
      </c>
      <c r="J430" s="70">
        <v>1.38</v>
      </c>
      <c r="K430" s="69">
        <v>6.8</v>
      </c>
      <c r="L430" s="69">
        <v>1.6</v>
      </c>
      <c r="M430" s="69" t="s">
        <v>552</v>
      </c>
      <c r="N430" s="69">
        <v>2006</v>
      </c>
      <c r="O430" s="69" t="s">
        <v>71</v>
      </c>
      <c r="P430" s="69">
        <v>479436</v>
      </c>
      <c r="Q430" s="92" t="s">
        <v>553</v>
      </c>
      <c r="R430" s="92" t="s">
        <v>223</v>
      </c>
      <c r="S430" s="92"/>
    </row>
    <row r="431" spans="1:19" x14ac:dyDescent="0.2">
      <c r="A431" s="92" t="s">
        <v>648</v>
      </c>
      <c r="B431" s="69">
        <v>29</v>
      </c>
      <c r="C431" s="69">
        <v>12</v>
      </c>
      <c r="D431" s="69">
        <v>24</v>
      </c>
      <c r="E431" s="69">
        <v>29</v>
      </c>
      <c r="F431" s="69">
        <v>81</v>
      </c>
      <c r="G431" s="69">
        <v>108</v>
      </c>
      <c r="H431" s="69">
        <v>15.8</v>
      </c>
      <c r="I431" s="70">
        <v>0.54</v>
      </c>
      <c r="J431" s="70">
        <v>1.4</v>
      </c>
      <c r="K431" s="69">
        <v>9</v>
      </c>
      <c r="L431" s="69">
        <v>2.1</v>
      </c>
      <c r="M431" s="69" t="s">
        <v>451</v>
      </c>
      <c r="N431" s="69">
        <v>2007</v>
      </c>
      <c r="O431" s="69" t="s">
        <v>71</v>
      </c>
      <c r="P431" s="69">
        <v>815837</v>
      </c>
      <c r="Q431" s="92" t="s">
        <v>616</v>
      </c>
      <c r="R431" s="92" t="s">
        <v>245</v>
      </c>
      <c r="S431" s="92"/>
    </row>
    <row r="432" spans="1:19" x14ac:dyDescent="0.2">
      <c r="A432" s="92" t="s">
        <v>650</v>
      </c>
      <c r="B432" s="69">
        <v>-35</v>
      </c>
      <c r="C432" s="69">
        <v>-28</v>
      </c>
      <c r="D432" s="69">
        <v>-32</v>
      </c>
      <c r="E432" s="69">
        <v>-35</v>
      </c>
      <c r="F432" s="69">
        <v>-31</v>
      </c>
      <c r="G432" s="69">
        <v>-39</v>
      </c>
      <c r="H432" s="69">
        <v>-9.4</v>
      </c>
      <c r="I432" s="70">
        <v>0.54</v>
      </c>
      <c r="J432" s="70">
        <v>2.4500000000000002</v>
      </c>
      <c r="K432" s="69">
        <v>22.8</v>
      </c>
      <c r="L432" s="69">
        <v>-0.5</v>
      </c>
      <c r="M432" s="69" t="s">
        <v>170</v>
      </c>
      <c r="N432" s="69">
        <v>2009</v>
      </c>
      <c r="O432" s="69" t="s">
        <v>71</v>
      </c>
      <c r="P432" s="69">
        <v>390062</v>
      </c>
      <c r="Q432" s="92" t="s">
        <v>231</v>
      </c>
      <c r="R432" s="92" t="s">
        <v>487</v>
      </c>
      <c r="S432" s="92"/>
    </row>
    <row r="433" spans="1:19" x14ac:dyDescent="0.2">
      <c r="A433" s="92" t="s">
        <v>654</v>
      </c>
      <c r="B433" s="69">
        <v>4</v>
      </c>
      <c r="C433" s="69">
        <v>0</v>
      </c>
      <c r="D433" s="69">
        <v>-1</v>
      </c>
      <c r="E433" s="69">
        <v>4</v>
      </c>
      <c r="F433" s="69">
        <v>5</v>
      </c>
      <c r="G433" s="69"/>
      <c r="H433" s="69"/>
      <c r="I433" s="70">
        <v>0.54</v>
      </c>
      <c r="J433" s="70">
        <v>1.35</v>
      </c>
      <c r="K433" s="69">
        <v>5.7</v>
      </c>
      <c r="L433" s="69">
        <v>0.1</v>
      </c>
      <c r="M433" s="69" t="s">
        <v>241</v>
      </c>
      <c r="N433" s="69">
        <v>2011</v>
      </c>
      <c r="O433" s="69" t="s">
        <v>71</v>
      </c>
      <c r="P433" s="69">
        <v>140434</v>
      </c>
      <c r="Q433" s="92" t="s">
        <v>495</v>
      </c>
      <c r="R433" s="92" t="s">
        <v>223</v>
      </c>
      <c r="S433" s="87"/>
    </row>
    <row r="434" spans="1:19" x14ac:dyDescent="0.2">
      <c r="A434" s="92" t="s">
        <v>649</v>
      </c>
      <c r="B434" s="69">
        <v>20</v>
      </c>
      <c r="C434" s="69">
        <v>6</v>
      </c>
      <c r="D434" s="69">
        <v>11</v>
      </c>
      <c r="E434" s="69">
        <v>20</v>
      </c>
      <c r="F434" s="69">
        <v>41</v>
      </c>
      <c r="G434" s="69"/>
      <c r="H434" s="69"/>
      <c r="I434" s="70">
        <v>0.54</v>
      </c>
      <c r="J434" s="70">
        <v>2.44</v>
      </c>
      <c r="K434" s="69">
        <v>5.2</v>
      </c>
      <c r="L434" s="69">
        <v>2</v>
      </c>
      <c r="M434" s="69" t="s">
        <v>170</v>
      </c>
      <c r="N434" s="69">
        <v>2011</v>
      </c>
      <c r="O434" s="69" t="s">
        <v>71</v>
      </c>
      <c r="P434" s="69">
        <v>912287</v>
      </c>
      <c r="Q434" s="92" t="s">
        <v>368</v>
      </c>
      <c r="R434" s="92" t="s">
        <v>173</v>
      </c>
      <c r="S434" s="92"/>
    </row>
    <row r="435" spans="1:19" x14ac:dyDescent="0.2">
      <c r="A435" s="92" t="s">
        <v>652</v>
      </c>
      <c r="B435" s="69">
        <v>-28</v>
      </c>
      <c r="C435" s="69">
        <v>-24</v>
      </c>
      <c r="D435" s="69">
        <v>-32</v>
      </c>
      <c r="E435" s="69">
        <v>-28</v>
      </c>
      <c r="F435" s="69">
        <v>-11</v>
      </c>
      <c r="G435" s="69">
        <v>-21</v>
      </c>
      <c r="H435" s="69">
        <v>-4.5</v>
      </c>
      <c r="I435" s="70">
        <v>0.54</v>
      </c>
      <c r="J435" s="70">
        <v>1.58</v>
      </c>
      <c r="K435" s="69">
        <v>18.3</v>
      </c>
      <c r="L435" s="69">
        <v>-0.2</v>
      </c>
      <c r="M435" s="69" t="s">
        <v>170</v>
      </c>
      <c r="N435" s="69">
        <v>2009</v>
      </c>
      <c r="O435" s="69" t="s">
        <v>71</v>
      </c>
      <c r="P435" s="69">
        <v>225490</v>
      </c>
      <c r="Q435" s="92" t="s">
        <v>275</v>
      </c>
      <c r="R435" s="92" t="s">
        <v>370</v>
      </c>
      <c r="S435" s="87"/>
    </row>
    <row r="436" spans="1:19" x14ac:dyDescent="0.2">
      <c r="A436" s="92" t="s">
        <v>653</v>
      </c>
      <c r="B436" s="69">
        <v>28</v>
      </c>
      <c r="C436" s="69">
        <v>11</v>
      </c>
      <c r="D436" s="69">
        <v>17</v>
      </c>
      <c r="E436" s="69">
        <v>26</v>
      </c>
      <c r="F436" s="69"/>
      <c r="G436" s="69"/>
      <c r="H436" s="69"/>
      <c r="I436" s="70">
        <v>0.54</v>
      </c>
      <c r="J436" s="70">
        <v>2.33</v>
      </c>
      <c r="K436" s="69"/>
      <c r="L436" s="69"/>
      <c r="M436" s="69" t="s">
        <v>170</v>
      </c>
      <c r="N436" s="69">
        <v>2012</v>
      </c>
      <c r="O436" s="69" t="s">
        <v>171</v>
      </c>
      <c r="P436" s="69">
        <v>356592</v>
      </c>
      <c r="Q436" s="92" t="s">
        <v>305</v>
      </c>
      <c r="R436" s="92" t="s">
        <v>212</v>
      </c>
      <c r="S436" s="87"/>
    </row>
    <row r="437" spans="1:19" x14ac:dyDescent="0.2">
      <c r="A437" s="92" t="s">
        <v>138</v>
      </c>
      <c r="B437" s="69">
        <v>22</v>
      </c>
      <c r="C437" s="69">
        <v>10</v>
      </c>
      <c r="D437" s="69">
        <v>13</v>
      </c>
      <c r="E437" s="69">
        <v>20</v>
      </c>
      <c r="F437" s="69"/>
      <c r="G437" s="69"/>
      <c r="H437" s="69"/>
      <c r="I437" s="70">
        <v>0.54</v>
      </c>
      <c r="J437" s="70">
        <v>2.34</v>
      </c>
      <c r="K437" s="69"/>
      <c r="L437" s="69"/>
      <c r="M437" s="69" t="s">
        <v>170</v>
      </c>
      <c r="N437" s="69">
        <v>2012</v>
      </c>
      <c r="O437" s="69" t="s">
        <v>171</v>
      </c>
      <c r="P437" s="69">
        <v>428250</v>
      </c>
      <c r="Q437" s="92" t="s">
        <v>305</v>
      </c>
      <c r="R437" s="92" t="s">
        <v>212</v>
      </c>
      <c r="S437" s="92"/>
    </row>
    <row r="438" spans="1:19" x14ac:dyDescent="0.2">
      <c r="A438" s="92" t="s">
        <v>651</v>
      </c>
      <c r="B438" s="69">
        <v>20</v>
      </c>
      <c r="C438" s="69">
        <v>12</v>
      </c>
      <c r="D438" s="69">
        <v>25</v>
      </c>
      <c r="E438" s="69">
        <v>20</v>
      </c>
      <c r="F438" s="69">
        <v>36</v>
      </c>
      <c r="G438" s="69">
        <v>-13</v>
      </c>
      <c r="H438" s="69">
        <v>-2.7</v>
      </c>
      <c r="I438" s="70">
        <v>0.54</v>
      </c>
      <c r="J438" s="70">
        <v>1.58</v>
      </c>
      <c r="K438" s="69">
        <v>15.1</v>
      </c>
      <c r="L438" s="69">
        <v>0.7</v>
      </c>
      <c r="M438" s="69" t="s">
        <v>170</v>
      </c>
      <c r="N438" s="69">
        <v>2013</v>
      </c>
      <c r="O438" s="69" t="s">
        <v>71</v>
      </c>
      <c r="P438" s="69">
        <v>374181</v>
      </c>
      <c r="Q438" s="92" t="s">
        <v>275</v>
      </c>
      <c r="R438" s="92" t="s">
        <v>449</v>
      </c>
      <c r="S438" s="87"/>
    </row>
    <row r="439" spans="1:19" x14ac:dyDescent="0.2">
      <c r="A439" s="92" t="s">
        <v>664</v>
      </c>
      <c r="B439" s="69">
        <v>9</v>
      </c>
      <c r="C439" s="69">
        <v>3</v>
      </c>
      <c r="D439" s="69">
        <v>3</v>
      </c>
      <c r="E439" s="69">
        <v>9</v>
      </c>
      <c r="F439" s="69">
        <v>49</v>
      </c>
      <c r="G439" s="69">
        <v>36</v>
      </c>
      <c r="H439" s="69">
        <v>6.3</v>
      </c>
      <c r="I439" s="70">
        <v>0.55000000000000004</v>
      </c>
      <c r="J439" s="70">
        <v>2.5</v>
      </c>
      <c r="K439" s="69">
        <v>8.6</v>
      </c>
      <c r="L439" s="69">
        <v>1.4</v>
      </c>
      <c r="M439" s="69" t="s">
        <v>241</v>
      </c>
      <c r="N439" s="69">
        <v>2000</v>
      </c>
      <c r="O439" s="69" t="s">
        <v>71</v>
      </c>
      <c r="P439" s="69">
        <v>317404</v>
      </c>
      <c r="Q439" s="92" t="s">
        <v>616</v>
      </c>
      <c r="R439" s="92" t="s">
        <v>260</v>
      </c>
      <c r="S439" s="92"/>
    </row>
    <row r="440" spans="1:19" x14ac:dyDescent="0.2">
      <c r="A440" s="92" t="s">
        <v>665</v>
      </c>
      <c r="B440" s="69">
        <v>28</v>
      </c>
      <c r="C440" s="69">
        <v>9</v>
      </c>
      <c r="D440" s="69">
        <v>19</v>
      </c>
      <c r="E440" s="69">
        <v>28</v>
      </c>
      <c r="F440" s="69">
        <v>91</v>
      </c>
      <c r="G440" s="69">
        <v>105</v>
      </c>
      <c r="H440" s="69">
        <v>15.4</v>
      </c>
      <c r="I440" s="70">
        <v>0.55000000000000004</v>
      </c>
      <c r="J440" s="70">
        <v>1.4</v>
      </c>
      <c r="K440" s="69">
        <v>12.3</v>
      </c>
      <c r="L440" s="69">
        <v>1.7</v>
      </c>
      <c r="M440" s="69" t="s">
        <v>241</v>
      </c>
      <c r="N440" s="69">
        <v>2000</v>
      </c>
      <c r="O440" s="69" t="s">
        <v>71</v>
      </c>
      <c r="P440" s="69">
        <v>174086</v>
      </c>
      <c r="Q440" s="92" t="s">
        <v>616</v>
      </c>
      <c r="R440" s="92" t="s">
        <v>245</v>
      </c>
      <c r="S440" s="87"/>
    </row>
    <row r="441" spans="1:19" x14ac:dyDescent="0.2">
      <c r="A441" s="92" t="s">
        <v>660</v>
      </c>
      <c r="B441" s="69">
        <v>10</v>
      </c>
      <c r="C441" s="69">
        <v>6</v>
      </c>
      <c r="D441" s="69">
        <v>4</v>
      </c>
      <c r="E441" s="69">
        <v>10</v>
      </c>
      <c r="F441" s="69">
        <v>70</v>
      </c>
      <c r="G441" s="69"/>
      <c r="H441" s="69"/>
      <c r="I441" s="70">
        <v>0.55000000000000004</v>
      </c>
      <c r="J441" s="70">
        <v>1.3</v>
      </c>
      <c r="K441" s="69">
        <v>10.8</v>
      </c>
      <c r="L441" s="69">
        <v>1.6</v>
      </c>
      <c r="M441" s="69" t="s">
        <v>170</v>
      </c>
      <c r="N441" s="69">
        <v>2011</v>
      </c>
      <c r="O441" s="69" t="s">
        <v>171</v>
      </c>
      <c r="P441" s="69">
        <v>584979</v>
      </c>
      <c r="Q441" s="92" t="s">
        <v>661</v>
      </c>
      <c r="R441" s="92" t="s">
        <v>264</v>
      </c>
      <c r="S441" s="92"/>
    </row>
    <row r="442" spans="1:19" x14ac:dyDescent="0.2">
      <c r="A442" s="92" t="s">
        <v>662</v>
      </c>
      <c r="B442" s="69">
        <v>11</v>
      </c>
      <c r="C442" s="69">
        <v>3</v>
      </c>
      <c r="D442" s="69">
        <v>4</v>
      </c>
      <c r="E442" s="69">
        <v>11</v>
      </c>
      <c r="F442" s="69">
        <v>52</v>
      </c>
      <c r="G442" s="69">
        <v>28</v>
      </c>
      <c r="H442" s="69">
        <v>5</v>
      </c>
      <c r="I442" s="70">
        <v>0.55000000000000004</v>
      </c>
      <c r="J442" s="70">
        <v>1.3</v>
      </c>
      <c r="K442" s="69">
        <v>8.8000000000000007</v>
      </c>
      <c r="L442" s="69">
        <v>1.5</v>
      </c>
      <c r="M442" s="69" t="s">
        <v>241</v>
      </c>
      <c r="N442" s="69">
        <v>2001</v>
      </c>
      <c r="O442" s="69" t="s">
        <v>71</v>
      </c>
      <c r="P442" s="69">
        <v>899773</v>
      </c>
      <c r="Q442" s="92" t="s">
        <v>495</v>
      </c>
      <c r="R442" s="92" t="s">
        <v>260</v>
      </c>
      <c r="S442" s="92"/>
    </row>
    <row r="443" spans="1:19" x14ac:dyDescent="0.2">
      <c r="A443" s="92" t="s">
        <v>663</v>
      </c>
      <c r="B443" s="69">
        <v>28</v>
      </c>
      <c r="C443" s="69">
        <v>10</v>
      </c>
      <c r="D443" s="69">
        <v>20</v>
      </c>
      <c r="E443" s="69">
        <v>28</v>
      </c>
      <c r="F443" s="69"/>
      <c r="G443" s="69"/>
      <c r="H443" s="69"/>
      <c r="I443" s="70">
        <v>0.55000000000000004</v>
      </c>
      <c r="J443" s="70">
        <v>1.3</v>
      </c>
      <c r="K443" s="69"/>
      <c r="L443" s="69"/>
      <c r="M443" s="69" t="s">
        <v>170</v>
      </c>
      <c r="N443" s="69">
        <v>2012</v>
      </c>
      <c r="O443" s="69" t="s">
        <v>171</v>
      </c>
      <c r="P443" s="69">
        <v>297689</v>
      </c>
      <c r="Q443" s="92" t="s">
        <v>538</v>
      </c>
      <c r="R443" s="92" t="s">
        <v>245</v>
      </c>
      <c r="S443" s="87"/>
    </row>
    <row r="444" spans="1:19" x14ac:dyDescent="0.2">
      <c r="A444" s="92" t="s">
        <v>666</v>
      </c>
      <c r="B444" s="69">
        <v>16</v>
      </c>
      <c r="C444" s="69">
        <v>6</v>
      </c>
      <c r="D444" s="69">
        <v>7</v>
      </c>
      <c r="E444" s="69">
        <v>15</v>
      </c>
      <c r="F444" s="69">
        <v>34</v>
      </c>
      <c r="G444" s="69">
        <v>17</v>
      </c>
      <c r="H444" s="69">
        <v>3.1</v>
      </c>
      <c r="I444" s="70">
        <v>0.55000000000000004</v>
      </c>
      <c r="J444" s="70">
        <v>1.42</v>
      </c>
      <c r="K444" s="69">
        <v>5.4</v>
      </c>
      <c r="L444" s="69">
        <v>1.6</v>
      </c>
      <c r="M444" s="69" t="s">
        <v>241</v>
      </c>
      <c r="N444" s="69">
        <v>2003</v>
      </c>
      <c r="O444" s="69" t="s">
        <v>71</v>
      </c>
      <c r="P444" s="69">
        <v>352583</v>
      </c>
      <c r="Q444" s="92" t="s">
        <v>454</v>
      </c>
      <c r="R444" s="92" t="s">
        <v>223</v>
      </c>
      <c r="S444" s="87"/>
    </row>
    <row r="445" spans="1:19" x14ac:dyDescent="0.2">
      <c r="A445" s="92" t="s">
        <v>657</v>
      </c>
      <c r="B445" s="69">
        <v>12</v>
      </c>
      <c r="C445" s="69">
        <v>4</v>
      </c>
      <c r="D445" s="69">
        <v>2</v>
      </c>
      <c r="E445" s="69">
        <v>12</v>
      </c>
      <c r="F445" s="69">
        <v>60</v>
      </c>
      <c r="G445" s="69">
        <v>65</v>
      </c>
      <c r="H445" s="69">
        <v>10.5</v>
      </c>
      <c r="I445" s="70">
        <v>0.55000000000000004</v>
      </c>
      <c r="J445" s="70">
        <v>1.54</v>
      </c>
      <c r="K445" s="69">
        <v>10.1</v>
      </c>
      <c r="L445" s="69">
        <v>1.5</v>
      </c>
      <c r="M445" s="69" t="s">
        <v>170</v>
      </c>
      <c r="N445" s="69">
        <v>2000</v>
      </c>
      <c r="O445" s="69" t="s">
        <v>171</v>
      </c>
      <c r="P445" s="69">
        <v>937433</v>
      </c>
      <c r="Q445" s="92" t="s">
        <v>247</v>
      </c>
      <c r="R445" s="92" t="s">
        <v>260</v>
      </c>
      <c r="S445" s="87"/>
    </row>
    <row r="446" spans="1:19" x14ac:dyDescent="0.2">
      <c r="A446" s="92" t="s">
        <v>659</v>
      </c>
      <c r="B446" s="69">
        <v>25</v>
      </c>
      <c r="C446" s="69">
        <v>8</v>
      </c>
      <c r="D446" s="69">
        <v>14</v>
      </c>
      <c r="E446" s="69">
        <v>25</v>
      </c>
      <c r="F446" s="69">
        <v>83</v>
      </c>
      <c r="G446" s="69">
        <v>92</v>
      </c>
      <c r="H446" s="69">
        <v>13.9</v>
      </c>
      <c r="I446" s="70">
        <v>0.55000000000000004</v>
      </c>
      <c r="J446" s="70">
        <v>1.62</v>
      </c>
      <c r="K446" s="69">
        <v>6.7</v>
      </c>
      <c r="L446" s="69">
        <v>2.9</v>
      </c>
      <c r="M446" s="69" t="s">
        <v>170</v>
      </c>
      <c r="N446" s="69">
        <v>2000</v>
      </c>
      <c r="O446" s="69" t="s">
        <v>171</v>
      </c>
      <c r="P446" s="69">
        <v>749788</v>
      </c>
      <c r="Q446" s="92" t="s">
        <v>194</v>
      </c>
      <c r="R446" s="92" t="s">
        <v>404</v>
      </c>
      <c r="S446" s="92"/>
    </row>
    <row r="447" spans="1:19" x14ac:dyDescent="0.2">
      <c r="A447" s="92" t="s">
        <v>655</v>
      </c>
      <c r="B447" s="69">
        <v>21</v>
      </c>
      <c r="C447" s="69">
        <v>10</v>
      </c>
      <c r="D447" s="69">
        <v>17</v>
      </c>
      <c r="E447" s="69">
        <v>21</v>
      </c>
      <c r="F447" s="69">
        <v>54</v>
      </c>
      <c r="G447" s="69">
        <v>51</v>
      </c>
      <c r="H447" s="69">
        <v>8.5</v>
      </c>
      <c r="I447" s="70">
        <v>0.55000000000000004</v>
      </c>
      <c r="J447" s="70">
        <v>1.5</v>
      </c>
      <c r="K447" s="69">
        <v>7.3</v>
      </c>
      <c r="L447" s="69">
        <v>1.8</v>
      </c>
      <c r="M447" s="69" t="s">
        <v>451</v>
      </c>
      <c r="N447" s="69">
        <v>2002</v>
      </c>
      <c r="O447" s="69" t="s">
        <v>71</v>
      </c>
      <c r="P447" s="69">
        <v>872440</v>
      </c>
      <c r="Q447" s="92" t="s">
        <v>580</v>
      </c>
      <c r="R447" s="92" t="s">
        <v>212</v>
      </c>
      <c r="S447" s="87"/>
    </row>
    <row r="448" spans="1:19" x14ac:dyDescent="0.2">
      <c r="A448" s="92" t="s">
        <v>667</v>
      </c>
      <c r="B448" s="69">
        <v>9</v>
      </c>
      <c r="C448" s="69">
        <v>4</v>
      </c>
      <c r="D448" s="69">
        <v>1</v>
      </c>
      <c r="E448" s="69">
        <v>9</v>
      </c>
      <c r="F448" s="69">
        <v>50</v>
      </c>
      <c r="G448" s="69">
        <v>35</v>
      </c>
      <c r="H448" s="69">
        <v>6.2</v>
      </c>
      <c r="I448" s="70">
        <v>0.55000000000000004</v>
      </c>
      <c r="J448" s="70">
        <v>1.45</v>
      </c>
      <c r="K448" s="69">
        <v>8.3000000000000007</v>
      </c>
      <c r="L448" s="69">
        <v>1.5</v>
      </c>
      <c r="M448" s="69" t="s">
        <v>241</v>
      </c>
      <c r="N448" s="69">
        <v>2006</v>
      </c>
      <c r="O448" s="69" t="s">
        <v>71</v>
      </c>
      <c r="P448" s="69">
        <v>900894</v>
      </c>
      <c r="Q448" s="92" t="s">
        <v>553</v>
      </c>
      <c r="R448" s="92" t="s">
        <v>243</v>
      </c>
      <c r="S448" s="92"/>
    </row>
    <row r="449" spans="1:19" x14ac:dyDescent="0.2">
      <c r="A449" s="92" t="s">
        <v>658</v>
      </c>
      <c r="B449" s="69">
        <v>23</v>
      </c>
      <c r="C449" s="69">
        <v>8</v>
      </c>
      <c r="D449" s="69">
        <v>11</v>
      </c>
      <c r="E449" s="69">
        <v>23</v>
      </c>
      <c r="F449" s="69">
        <v>34</v>
      </c>
      <c r="G449" s="69">
        <v>26</v>
      </c>
      <c r="H449" s="69">
        <v>4.7</v>
      </c>
      <c r="I449" s="70">
        <v>0.55000000000000004</v>
      </c>
      <c r="J449" s="70">
        <v>1.72</v>
      </c>
      <c r="K449" s="69">
        <v>10.7</v>
      </c>
      <c r="L449" s="69">
        <v>0.8</v>
      </c>
      <c r="M449" s="69" t="s">
        <v>170</v>
      </c>
      <c r="N449" s="69">
        <v>2000</v>
      </c>
      <c r="O449" s="69" t="s">
        <v>171</v>
      </c>
      <c r="P449" s="69">
        <v>618629</v>
      </c>
      <c r="Q449" s="92" t="s">
        <v>277</v>
      </c>
      <c r="R449" s="92" t="s">
        <v>310</v>
      </c>
      <c r="S449" s="92" t="s">
        <v>189</v>
      </c>
    </row>
    <row r="450" spans="1:19" x14ac:dyDescent="0.2">
      <c r="A450" s="92" t="s">
        <v>656</v>
      </c>
      <c r="B450" s="69">
        <v>-6</v>
      </c>
      <c r="C450" s="69">
        <v>-3</v>
      </c>
      <c r="D450" s="69">
        <v>-14</v>
      </c>
      <c r="E450" s="69">
        <v>-6</v>
      </c>
      <c r="F450" s="69">
        <v>49</v>
      </c>
      <c r="G450" s="69">
        <v>30</v>
      </c>
      <c r="H450" s="69">
        <v>5.4</v>
      </c>
      <c r="I450" s="70">
        <v>0.55000000000000004</v>
      </c>
      <c r="J450" s="70">
        <v>1.53</v>
      </c>
      <c r="K450" s="69">
        <v>16.600000000000001</v>
      </c>
      <c r="L450" s="69">
        <v>0.8</v>
      </c>
      <c r="M450" s="69" t="s">
        <v>170</v>
      </c>
      <c r="N450" s="69">
        <v>2005</v>
      </c>
      <c r="O450" s="69" t="s">
        <v>171</v>
      </c>
      <c r="P450" s="69">
        <v>832899</v>
      </c>
      <c r="Q450" s="92" t="s">
        <v>247</v>
      </c>
      <c r="R450" s="92" t="s">
        <v>264</v>
      </c>
      <c r="S450" s="87"/>
    </row>
    <row r="451" spans="1:19" x14ac:dyDescent="0.2">
      <c r="A451" s="92" t="s">
        <v>670</v>
      </c>
      <c r="B451" s="69">
        <v>32</v>
      </c>
      <c r="C451" s="69">
        <v>13</v>
      </c>
      <c r="D451" s="69">
        <v>16</v>
      </c>
      <c r="E451" s="69">
        <v>32</v>
      </c>
      <c r="F451" s="69">
        <v>67</v>
      </c>
      <c r="G451" s="69">
        <v>61</v>
      </c>
      <c r="H451" s="69">
        <v>10</v>
      </c>
      <c r="I451" s="70">
        <v>0.56000000000000005</v>
      </c>
      <c r="J451" s="70">
        <v>2.8</v>
      </c>
      <c r="K451" s="69">
        <v>9.1999999999999993</v>
      </c>
      <c r="L451" s="69">
        <v>1.8</v>
      </c>
      <c r="M451" s="69" t="s">
        <v>451</v>
      </c>
      <c r="N451" s="69">
        <v>2007</v>
      </c>
      <c r="O451" s="69" t="s">
        <v>71</v>
      </c>
      <c r="P451" s="69">
        <v>136895</v>
      </c>
      <c r="Q451" s="92" t="s">
        <v>616</v>
      </c>
      <c r="R451" s="92" t="s">
        <v>370</v>
      </c>
      <c r="S451" s="92"/>
    </row>
    <row r="452" spans="1:19" x14ac:dyDescent="0.2">
      <c r="A452" s="92" t="s">
        <v>671</v>
      </c>
      <c r="B452" s="69">
        <v>5</v>
      </c>
      <c r="C452" s="69">
        <v>2</v>
      </c>
      <c r="D452" s="69">
        <v>1</v>
      </c>
      <c r="E452" s="69">
        <v>5</v>
      </c>
      <c r="F452" s="69"/>
      <c r="G452" s="69"/>
      <c r="H452" s="69"/>
      <c r="I452" s="70">
        <v>0.56000000000000005</v>
      </c>
      <c r="J452" s="70">
        <v>1.52</v>
      </c>
      <c r="K452" s="69"/>
      <c r="L452" s="69"/>
      <c r="M452" s="69" t="s">
        <v>170</v>
      </c>
      <c r="N452" s="69">
        <v>2012</v>
      </c>
      <c r="O452" s="69" t="s">
        <v>171</v>
      </c>
      <c r="P452" s="69">
        <v>447086</v>
      </c>
      <c r="Q452" s="92" t="s">
        <v>672</v>
      </c>
      <c r="R452" s="92" t="s">
        <v>173</v>
      </c>
      <c r="S452" s="92"/>
    </row>
    <row r="453" spans="1:19" x14ac:dyDescent="0.2">
      <c r="A453" s="92" t="s">
        <v>669</v>
      </c>
      <c r="B453" s="69">
        <v>19</v>
      </c>
      <c r="C453" s="69">
        <v>9</v>
      </c>
      <c r="D453" s="69">
        <v>11</v>
      </c>
      <c r="E453" s="69">
        <v>18</v>
      </c>
      <c r="F453" s="69">
        <v>42</v>
      </c>
      <c r="G453" s="69">
        <v>34</v>
      </c>
      <c r="H453" s="69">
        <v>6.1</v>
      </c>
      <c r="I453" s="70">
        <v>0.56000000000000005</v>
      </c>
      <c r="J453" s="70">
        <v>1.4</v>
      </c>
      <c r="K453" s="69">
        <v>6</v>
      </c>
      <c r="L453" s="69">
        <v>1.7</v>
      </c>
      <c r="M453" s="69" t="s">
        <v>241</v>
      </c>
      <c r="N453" s="69">
        <v>2006</v>
      </c>
      <c r="O453" s="69" t="s">
        <v>71</v>
      </c>
      <c r="P453" s="69">
        <v>985895</v>
      </c>
      <c r="Q453" s="92" t="s">
        <v>431</v>
      </c>
      <c r="R453" s="92" t="s">
        <v>212</v>
      </c>
      <c r="S453" s="92" t="s">
        <v>189</v>
      </c>
    </row>
    <row r="454" spans="1:19" x14ac:dyDescent="0.2">
      <c r="A454" s="92" t="s">
        <v>675</v>
      </c>
      <c r="B454" s="69">
        <v>16</v>
      </c>
      <c r="C454" s="69">
        <v>6</v>
      </c>
      <c r="D454" s="69">
        <v>4</v>
      </c>
      <c r="E454" s="69">
        <v>16</v>
      </c>
      <c r="F454" s="69">
        <v>74</v>
      </c>
      <c r="G454" s="69">
        <v>78</v>
      </c>
      <c r="H454" s="69">
        <v>12.3</v>
      </c>
      <c r="I454" s="70">
        <v>0.56000000000000005</v>
      </c>
      <c r="J454" s="70">
        <v>1.51</v>
      </c>
      <c r="K454" s="69">
        <v>11.1</v>
      </c>
      <c r="L454" s="69">
        <v>1.6</v>
      </c>
      <c r="M454" s="69" t="s">
        <v>170</v>
      </c>
      <c r="N454" s="69">
        <v>2000</v>
      </c>
      <c r="O454" s="69" t="s">
        <v>171</v>
      </c>
      <c r="P454" s="69">
        <v>220244</v>
      </c>
      <c r="Q454" s="92" t="s">
        <v>427</v>
      </c>
      <c r="R454" s="92" t="s">
        <v>264</v>
      </c>
      <c r="S454" s="92"/>
    </row>
    <row r="455" spans="1:19" x14ac:dyDescent="0.2">
      <c r="A455" s="92" t="s">
        <v>677</v>
      </c>
      <c r="B455" s="69">
        <v>39</v>
      </c>
      <c r="C455" s="69">
        <v>16</v>
      </c>
      <c r="D455" s="69">
        <v>25</v>
      </c>
      <c r="E455" s="69">
        <v>39</v>
      </c>
      <c r="F455" s="69">
        <v>91</v>
      </c>
      <c r="G455" s="69">
        <v>104</v>
      </c>
      <c r="H455" s="69">
        <v>15.3</v>
      </c>
      <c r="I455" s="70">
        <v>0.56000000000000005</v>
      </c>
      <c r="J455" s="70">
        <v>1.31</v>
      </c>
      <c r="K455" s="69">
        <v>8.1999999999999993</v>
      </c>
      <c r="L455" s="69">
        <v>2.5</v>
      </c>
      <c r="M455" s="69" t="s">
        <v>451</v>
      </c>
      <c r="N455" s="69">
        <v>2000</v>
      </c>
      <c r="O455" s="69" t="s">
        <v>71</v>
      </c>
      <c r="P455" s="69">
        <v>304659</v>
      </c>
      <c r="Q455" s="92" t="s">
        <v>489</v>
      </c>
      <c r="R455" s="92" t="s">
        <v>245</v>
      </c>
      <c r="S455" s="92"/>
    </row>
    <row r="456" spans="1:19" x14ac:dyDescent="0.2">
      <c r="A456" s="92" t="s">
        <v>673</v>
      </c>
      <c r="B456" s="69">
        <v>12</v>
      </c>
      <c r="C456" s="69">
        <v>4</v>
      </c>
      <c r="D456" s="69">
        <v>4</v>
      </c>
      <c r="E456" s="69">
        <v>12</v>
      </c>
      <c r="F456" s="69">
        <v>63</v>
      </c>
      <c r="G456" s="69">
        <v>57</v>
      </c>
      <c r="H456" s="69">
        <v>9.4</v>
      </c>
      <c r="I456" s="70">
        <v>0.56000000000000005</v>
      </c>
      <c r="J456" s="70">
        <v>1.56</v>
      </c>
      <c r="K456" s="69">
        <v>8.6999999999999993</v>
      </c>
      <c r="L456" s="69">
        <v>1.8</v>
      </c>
      <c r="M456" s="69" t="s">
        <v>170</v>
      </c>
      <c r="N456" s="69">
        <v>2000</v>
      </c>
      <c r="O456" s="69" t="s">
        <v>171</v>
      </c>
      <c r="P456" s="69">
        <v>144923</v>
      </c>
      <c r="Q456" s="92" t="s">
        <v>247</v>
      </c>
      <c r="R456" s="92" t="s">
        <v>260</v>
      </c>
      <c r="S456" s="87"/>
    </row>
    <row r="457" spans="1:19" x14ac:dyDescent="0.2">
      <c r="A457" s="92" t="s">
        <v>668</v>
      </c>
      <c r="B457" s="69">
        <v>12</v>
      </c>
      <c r="C457" s="69">
        <v>5</v>
      </c>
      <c r="D457" s="69">
        <v>4</v>
      </c>
      <c r="E457" s="69">
        <v>11</v>
      </c>
      <c r="F457" s="69">
        <v>38</v>
      </c>
      <c r="G457" s="69">
        <v>18</v>
      </c>
      <c r="H457" s="69">
        <v>3.4</v>
      </c>
      <c r="I457" s="70">
        <v>0.56000000000000005</v>
      </c>
      <c r="J457" s="70">
        <v>1.4</v>
      </c>
      <c r="K457" s="69">
        <v>6.5</v>
      </c>
      <c r="L457" s="69">
        <v>1.5</v>
      </c>
      <c r="M457" s="69" t="s">
        <v>241</v>
      </c>
      <c r="N457" s="69">
        <v>2013</v>
      </c>
      <c r="O457" s="69" t="s">
        <v>71</v>
      </c>
      <c r="P457" s="69">
        <v>717900</v>
      </c>
      <c r="Q457" s="92" t="s">
        <v>1152</v>
      </c>
      <c r="R457" s="92" t="s">
        <v>223</v>
      </c>
      <c r="S457" s="92"/>
    </row>
    <row r="458" spans="1:19" x14ac:dyDescent="0.2">
      <c r="A458" s="92" t="s">
        <v>674</v>
      </c>
      <c r="B458" s="69">
        <v>12</v>
      </c>
      <c r="C458" s="69">
        <v>4</v>
      </c>
      <c r="D458" s="69">
        <v>5</v>
      </c>
      <c r="E458" s="69">
        <v>12</v>
      </c>
      <c r="F458" s="69">
        <v>29</v>
      </c>
      <c r="G458" s="69">
        <v>16</v>
      </c>
      <c r="H458" s="69">
        <v>3</v>
      </c>
      <c r="I458" s="70">
        <v>0.56000000000000005</v>
      </c>
      <c r="J458" s="70">
        <v>1.31</v>
      </c>
      <c r="K458" s="69">
        <v>4.2</v>
      </c>
      <c r="L458" s="69">
        <v>1.7</v>
      </c>
      <c r="M458" s="69" t="s">
        <v>241</v>
      </c>
      <c r="N458" s="69">
        <v>2008</v>
      </c>
      <c r="O458" s="69" t="s">
        <v>71</v>
      </c>
      <c r="P458" s="69">
        <v>271064</v>
      </c>
      <c r="Q458" s="92" t="s">
        <v>497</v>
      </c>
      <c r="R458" s="92" t="s">
        <v>173</v>
      </c>
      <c r="S458" s="92"/>
    </row>
    <row r="459" spans="1:19" x14ac:dyDescent="0.2">
      <c r="A459" s="92" t="s">
        <v>676</v>
      </c>
      <c r="B459" s="69">
        <v>28</v>
      </c>
      <c r="C459" s="69">
        <v>11</v>
      </c>
      <c r="D459" s="69">
        <v>6</v>
      </c>
      <c r="E459" s="69">
        <v>28</v>
      </c>
      <c r="F459" s="69">
        <v>89</v>
      </c>
      <c r="G459" s="69">
        <v>76</v>
      </c>
      <c r="H459" s="69">
        <v>12</v>
      </c>
      <c r="I459" s="70">
        <v>0.56000000000000005</v>
      </c>
      <c r="J459" s="70">
        <v>1.51</v>
      </c>
      <c r="K459" s="69">
        <v>11</v>
      </c>
      <c r="L459" s="69">
        <v>1.9</v>
      </c>
      <c r="M459" s="69" t="s">
        <v>170</v>
      </c>
      <c r="N459" s="69">
        <v>2000</v>
      </c>
      <c r="O459" s="69" t="s">
        <v>171</v>
      </c>
      <c r="P459" s="69">
        <v>184416</v>
      </c>
      <c r="Q459" s="92" t="s">
        <v>427</v>
      </c>
      <c r="R459" s="92" t="s">
        <v>331</v>
      </c>
      <c r="S459" s="92"/>
    </row>
    <row r="460" spans="1:19" x14ac:dyDescent="0.2">
      <c r="A460" s="92" t="s">
        <v>678</v>
      </c>
      <c r="B460" s="69">
        <v>15</v>
      </c>
      <c r="C460" s="69">
        <v>6</v>
      </c>
      <c r="D460" s="69">
        <v>7</v>
      </c>
      <c r="E460" s="69">
        <v>14</v>
      </c>
      <c r="F460" s="69">
        <v>36</v>
      </c>
      <c r="G460" s="69">
        <v>20</v>
      </c>
      <c r="H460" s="69">
        <v>3.7</v>
      </c>
      <c r="I460" s="70">
        <v>0.56999999999999995</v>
      </c>
      <c r="J460" s="70">
        <v>1.66</v>
      </c>
      <c r="K460" s="69">
        <v>5</v>
      </c>
      <c r="L460" s="69">
        <v>1.8</v>
      </c>
      <c r="M460" s="69" t="s">
        <v>241</v>
      </c>
      <c r="N460" s="69">
        <v>2000</v>
      </c>
      <c r="O460" s="69" t="s">
        <v>71</v>
      </c>
      <c r="P460" s="69">
        <v>722454</v>
      </c>
      <c r="Q460" s="92" t="s">
        <v>535</v>
      </c>
      <c r="R460" s="92" t="s">
        <v>173</v>
      </c>
      <c r="S460" s="92"/>
    </row>
    <row r="461" spans="1:19" x14ac:dyDescent="0.2">
      <c r="A461" s="92" t="s">
        <v>683</v>
      </c>
      <c r="B461" s="69">
        <v>13</v>
      </c>
      <c r="C461" s="69">
        <v>1</v>
      </c>
      <c r="D461" s="69">
        <v>4</v>
      </c>
      <c r="E461" s="69">
        <v>13</v>
      </c>
      <c r="F461" s="69">
        <v>23</v>
      </c>
      <c r="G461" s="69">
        <v>11</v>
      </c>
      <c r="H461" s="69">
        <v>2.2000000000000002</v>
      </c>
      <c r="I461" s="70">
        <v>0.56999999999999995</v>
      </c>
      <c r="J461" s="70">
        <v>2.95</v>
      </c>
      <c r="K461" s="69">
        <v>9.4</v>
      </c>
      <c r="L461" s="69">
        <v>0.6</v>
      </c>
      <c r="M461" s="69" t="s">
        <v>451</v>
      </c>
      <c r="N461" s="69">
        <v>2001</v>
      </c>
      <c r="O461" s="69" t="s">
        <v>71</v>
      </c>
      <c r="P461" s="69">
        <v>317990</v>
      </c>
      <c r="Q461" s="92" t="s">
        <v>616</v>
      </c>
      <c r="R461" s="92" t="s">
        <v>379</v>
      </c>
      <c r="S461" s="87"/>
    </row>
    <row r="462" spans="1:19" x14ac:dyDescent="0.2">
      <c r="A462" s="92" t="s">
        <v>684</v>
      </c>
      <c r="B462" s="69">
        <v>68</v>
      </c>
      <c r="C462" s="69">
        <v>14</v>
      </c>
      <c r="D462" s="69">
        <v>34</v>
      </c>
      <c r="E462" s="69">
        <v>68</v>
      </c>
      <c r="F462" s="69">
        <v>83</v>
      </c>
      <c r="G462" s="69">
        <v>33</v>
      </c>
      <c r="H462" s="69">
        <v>5.9</v>
      </c>
      <c r="I462" s="70">
        <v>0.56999999999999995</v>
      </c>
      <c r="J462" s="70">
        <v>3</v>
      </c>
      <c r="K462" s="69">
        <v>18.5</v>
      </c>
      <c r="L462" s="69">
        <v>1.1000000000000001</v>
      </c>
      <c r="M462" s="69" t="s">
        <v>451</v>
      </c>
      <c r="N462" s="69">
        <v>2007</v>
      </c>
      <c r="O462" s="69" t="s">
        <v>71</v>
      </c>
      <c r="P462" s="69">
        <v>780007</v>
      </c>
      <c r="Q462" s="92" t="s">
        <v>616</v>
      </c>
      <c r="R462" s="92" t="s">
        <v>383</v>
      </c>
      <c r="S462" s="92"/>
    </row>
    <row r="463" spans="1:19" x14ac:dyDescent="0.2">
      <c r="A463" s="92" t="s">
        <v>685</v>
      </c>
      <c r="B463" s="69">
        <v>2</v>
      </c>
      <c r="C463" s="69">
        <v>-8</v>
      </c>
      <c r="D463" s="69">
        <v>-6</v>
      </c>
      <c r="E463" s="69">
        <v>2</v>
      </c>
      <c r="F463" s="69">
        <v>-8</v>
      </c>
      <c r="G463" s="69">
        <v>-21</v>
      </c>
      <c r="H463" s="69">
        <v>-4.5999999999999996</v>
      </c>
      <c r="I463" s="70">
        <v>0.56999999999999995</v>
      </c>
      <c r="J463" s="70">
        <v>2.95</v>
      </c>
      <c r="K463" s="69">
        <v>16.100000000000001</v>
      </c>
      <c r="L463" s="69">
        <v>-0.2</v>
      </c>
      <c r="M463" s="69" t="s">
        <v>451</v>
      </c>
      <c r="N463" s="69">
        <v>2001</v>
      </c>
      <c r="O463" s="69" t="s">
        <v>71</v>
      </c>
      <c r="P463" s="69">
        <v>174672</v>
      </c>
      <c r="Q463" s="92" t="s">
        <v>616</v>
      </c>
      <c r="R463" s="92" t="s">
        <v>471</v>
      </c>
      <c r="S463" s="92"/>
    </row>
    <row r="464" spans="1:19" x14ac:dyDescent="0.2">
      <c r="A464" s="92" t="s">
        <v>139</v>
      </c>
      <c r="B464" s="69">
        <v>27</v>
      </c>
      <c r="C464" s="69">
        <v>13</v>
      </c>
      <c r="D464" s="69">
        <v>5</v>
      </c>
      <c r="E464" s="69">
        <v>27</v>
      </c>
      <c r="F464" s="69">
        <v>95</v>
      </c>
      <c r="G464" s="69">
        <v>134</v>
      </c>
      <c r="H464" s="69">
        <v>18.5</v>
      </c>
      <c r="I464" s="70">
        <v>0.56999999999999995</v>
      </c>
      <c r="J464" s="70">
        <v>1.6</v>
      </c>
      <c r="K464" s="69">
        <v>12.6</v>
      </c>
      <c r="L464" s="69">
        <v>1.7</v>
      </c>
      <c r="M464" s="69" t="s">
        <v>170</v>
      </c>
      <c r="N464" s="69">
        <v>2008</v>
      </c>
      <c r="O464" s="69" t="s">
        <v>71</v>
      </c>
      <c r="P464" s="69">
        <v>420463</v>
      </c>
      <c r="Q464" s="92" t="s">
        <v>235</v>
      </c>
      <c r="R464" s="92" t="s">
        <v>331</v>
      </c>
      <c r="S464" s="87"/>
    </row>
    <row r="465" spans="1:19" x14ac:dyDescent="0.2">
      <c r="A465" s="92" t="s">
        <v>687</v>
      </c>
      <c r="B465" s="69">
        <v>22</v>
      </c>
      <c r="C465" s="69">
        <v>8</v>
      </c>
      <c r="D465" s="69">
        <v>16</v>
      </c>
      <c r="E465" s="69">
        <v>22</v>
      </c>
      <c r="F465" s="69">
        <v>23</v>
      </c>
      <c r="G465" s="69">
        <v>-9</v>
      </c>
      <c r="H465" s="69">
        <v>-2</v>
      </c>
      <c r="I465" s="70">
        <v>0.56999999999999995</v>
      </c>
      <c r="J465" s="70">
        <v>1.35</v>
      </c>
      <c r="K465" s="69">
        <v>6.1</v>
      </c>
      <c r="L465" s="69">
        <v>1</v>
      </c>
      <c r="M465" s="69" t="s">
        <v>241</v>
      </c>
      <c r="N465" s="69">
        <v>2010</v>
      </c>
      <c r="O465" s="69" t="s">
        <v>71</v>
      </c>
      <c r="P465" s="69">
        <v>809699</v>
      </c>
      <c r="Q465" s="92" t="s">
        <v>495</v>
      </c>
      <c r="R465" s="92" t="s">
        <v>383</v>
      </c>
      <c r="S465" s="92"/>
    </row>
    <row r="466" spans="1:19" x14ac:dyDescent="0.2">
      <c r="A466" s="92" t="s">
        <v>691</v>
      </c>
      <c r="B466" s="69">
        <v>12</v>
      </c>
      <c r="C466" s="69">
        <v>10</v>
      </c>
      <c r="D466" s="69">
        <v>3</v>
      </c>
      <c r="E466" s="69">
        <v>11</v>
      </c>
      <c r="F466" s="69">
        <v>79</v>
      </c>
      <c r="G466" s="69">
        <v>60</v>
      </c>
      <c r="H466" s="69">
        <v>9.8000000000000007</v>
      </c>
      <c r="I466" s="70">
        <v>0.56999999999999995</v>
      </c>
      <c r="J466" s="70">
        <v>1.34</v>
      </c>
      <c r="K466" s="69">
        <v>9.5</v>
      </c>
      <c r="L466" s="69">
        <v>1.9</v>
      </c>
      <c r="M466" s="69" t="s">
        <v>241</v>
      </c>
      <c r="N466" s="69">
        <v>2011</v>
      </c>
      <c r="O466" s="69" t="s">
        <v>71</v>
      </c>
      <c r="P466" s="69">
        <v>891036</v>
      </c>
      <c r="Q466" s="92" t="s">
        <v>489</v>
      </c>
      <c r="R466" s="92" t="s">
        <v>408</v>
      </c>
      <c r="S466" s="92"/>
    </row>
    <row r="467" spans="1:19" x14ac:dyDescent="0.2">
      <c r="A467" s="92" t="s">
        <v>690</v>
      </c>
      <c r="B467" s="69">
        <v>22</v>
      </c>
      <c r="C467" s="69">
        <v>10</v>
      </c>
      <c r="D467" s="69">
        <v>5</v>
      </c>
      <c r="E467" s="69">
        <v>22</v>
      </c>
      <c r="F467" s="69">
        <v>72</v>
      </c>
      <c r="G467" s="69">
        <v>60</v>
      </c>
      <c r="H467" s="69">
        <v>9.8000000000000007</v>
      </c>
      <c r="I467" s="70">
        <v>0.56999999999999995</v>
      </c>
      <c r="J467" s="70">
        <v>1.6</v>
      </c>
      <c r="K467" s="69">
        <v>10.1</v>
      </c>
      <c r="L467" s="69">
        <v>1.7</v>
      </c>
      <c r="M467" s="69" t="s">
        <v>241</v>
      </c>
      <c r="N467" s="69">
        <v>2007</v>
      </c>
      <c r="O467" s="69" t="s">
        <v>71</v>
      </c>
      <c r="P467" s="69">
        <v>668269</v>
      </c>
      <c r="Q467" s="92" t="s">
        <v>235</v>
      </c>
      <c r="R467" s="92" t="s">
        <v>410</v>
      </c>
      <c r="S467" s="87"/>
    </row>
    <row r="468" spans="1:19" x14ac:dyDescent="0.2">
      <c r="A468" s="92" t="s">
        <v>680</v>
      </c>
      <c r="B468" s="69">
        <v>16</v>
      </c>
      <c r="C468" s="69">
        <v>5</v>
      </c>
      <c r="D468" s="69">
        <v>12</v>
      </c>
      <c r="E468" s="69">
        <v>17</v>
      </c>
      <c r="F468" s="69">
        <v>42</v>
      </c>
      <c r="G468" s="69">
        <v>30</v>
      </c>
      <c r="H468" s="69">
        <v>5.5</v>
      </c>
      <c r="I468" s="70">
        <v>0.56999999999999995</v>
      </c>
      <c r="J468" s="70">
        <v>1.35</v>
      </c>
      <c r="K468" s="69">
        <v>10.9</v>
      </c>
      <c r="L468" s="69">
        <v>1</v>
      </c>
      <c r="M468" s="69" t="s">
        <v>681</v>
      </c>
      <c r="N468" s="69">
        <v>2000</v>
      </c>
      <c r="O468" s="69" t="s">
        <v>71</v>
      </c>
      <c r="P468" s="69">
        <v>365981</v>
      </c>
      <c r="Q468" s="92" t="s">
        <v>682</v>
      </c>
      <c r="R468" s="92" t="s">
        <v>239</v>
      </c>
      <c r="S468" s="87"/>
    </row>
    <row r="469" spans="1:19" x14ac:dyDescent="0.2">
      <c r="A469" s="92" t="s">
        <v>686</v>
      </c>
      <c r="B469" s="69">
        <v>-29</v>
      </c>
      <c r="C469" s="69">
        <v>-23</v>
      </c>
      <c r="D469" s="69">
        <v>-28</v>
      </c>
      <c r="E469" s="69">
        <v>-29</v>
      </c>
      <c r="F469" s="69">
        <v>-20</v>
      </c>
      <c r="G469" s="69">
        <v>-28</v>
      </c>
      <c r="H469" s="69">
        <v>-6.3</v>
      </c>
      <c r="I469" s="70">
        <v>0.56999999999999995</v>
      </c>
      <c r="J469" s="70">
        <v>2.4900000000000002</v>
      </c>
      <c r="K469" s="69">
        <v>19.5</v>
      </c>
      <c r="L469" s="69">
        <v>-0.3</v>
      </c>
      <c r="M469" s="69" t="s">
        <v>170</v>
      </c>
      <c r="N469" s="69">
        <v>2000</v>
      </c>
      <c r="O469" s="69" t="s">
        <v>171</v>
      </c>
      <c r="P469" s="69">
        <v>249995</v>
      </c>
      <c r="Q469" s="92" t="s">
        <v>221</v>
      </c>
      <c r="R469" s="92" t="s">
        <v>487</v>
      </c>
      <c r="S469" s="92"/>
    </row>
    <row r="470" spans="1:19" x14ac:dyDescent="0.2">
      <c r="A470" s="92" t="s">
        <v>679</v>
      </c>
      <c r="B470" s="69">
        <v>15</v>
      </c>
      <c r="C470" s="69">
        <v>5</v>
      </c>
      <c r="D470" s="69">
        <v>7</v>
      </c>
      <c r="E470" s="69">
        <v>15</v>
      </c>
      <c r="F470" s="69">
        <v>23</v>
      </c>
      <c r="G470" s="69"/>
      <c r="H470" s="69"/>
      <c r="I470" s="70">
        <v>0.56999999999999995</v>
      </c>
      <c r="J470" s="70">
        <v>1.44</v>
      </c>
      <c r="K470" s="69">
        <v>6.3</v>
      </c>
      <c r="L470" s="69">
        <v>1</v>
      </c>
      <c r="M470" s="69" t="s">
        <v>451</v>
      </c>
      <c r="N470" s="69">
        <v>2013</v>
      </c>
      <c r="O470" s="69" t="s">
        <v>71</v>
      </c>
      <c r="P470" s="69">
        <v>467092</v>
      </c>
      <c r="Q470" s="92" t="s">
        <v>1152</v>
      </c>
      <c r="R470" s="92" t="s">
        <v>223</v>
      </c>
      <c r="S470" s="87"/>
    </row>
    <row r="471" spans="1:19" x14ac:dyDescent="0.2">
      <c r="A471" s="92" t="s">
        <v>688</v>
      </c>
      <c r="B471" s="69">
        <v>28</v>
      </c>
      <c r="C471" s="69">
        <v>12</v>
      </c>
      <c r="D471" s="69">
        <v>17</v>
      </c>
      <c r="E471" s="69">
        <v>26</v>
      </c>
      <c r="F471" s="69"/>
      <c r="G471" s="69"/>
      <c r="H471" s="69"/>
      <c r="I471" s="70">
        <v>0.56999999999999995</v>
      </c>
      <c r="J471" s="70">
        <v>2.48</v>
      </c>
      <c r="K471" s="69"/>
      <c r="L471" s="69"/>
      <c r="M471" s="69" t="s">
        <v>170</v>
      </c>
      <c r="N471" s="69">
        <v>2012</v>
      </c>
      <c r="O471" s="69" t="s">
        <v>171</v>
      </c>
      <c r="P471" s="69">
        <v>392423</v>
      </c>
      <c r="Q471" s="92" t="s">
        <v>305</v>
      </c>
      <c r="R471" s="92" t="s">
        <v>212</v>
      </c>
      <c r="S471" s="87"/>
    </row>
    <row r="472" spans="1:19" x14ac:dyDescent="0.2">
      <c r="A472" s="92" t="s">
        <v>689</v>
      </c>
      <c r="B472" s="69">
        <v>18</v>
      </c>
      <c r="C472" s="69">
        <v>9</v>
      </c>
      <c r="D472" s="69">
        <v>7</v>
      </c>
      <c r="E472" s="69">
        <v>17</v>
      </c>
      <c r="F472" s="69">
        <v>87</v>
      </c>
      <c r="G472" s="69">
        <v>79</v>
      </c>
      <c r="H472" s="69">
        <v>12.3</v>
      </c>
      <c r="I472" s="70">
        <v>0.56999999999999995</v>
      </c>
      <c r="J472" s="70">
        <v>1.6</v>
      </c>
      <c r="K472" s="69">
        <v>8.1999999999999993</v>
      </c>
      <c r="L472" s="69">
        <v>2.4</v>
      </c>
      <c r="M472" s="69" t="s">
        <v>241</v>
      </c>
      <c r="N472" s="69">
        <v>2001</v>
      </c>
      <c r="O472" s="69" t="s">
        <v>71</v>
      </c>
      <c r="P472" s="69">
        <v>764951</v>
      </c>
      <c r="Q472" s="92" t="s">
        <v>235</v>
      </c>
      <c r="R472" s="92" t="s">
        <v>260</v>
      </c>
      <c r="S472" s="92"/>
    </row>
    <row r="473" spans="1:19" x14ac:dyDescent="0.2">
      <c r="A473" s="92" t="s">
        <v>702</v>
      </c>
      <c r="B473" s="69">
        <v>32</v>
      </c>
      <c r="C473" s="69">
        <v>11</v>
      </c>
      <c r="D473" s="69">
        <v>11</v>
      </c>
      <c r="E473" s="69">
        <v>32</v>
      </c>
      <c r="F473" s="69">
        <v>79</v>
      </c>
      <c r="G473" s="69">
        <v>52</v>
      </c>
      <c r="H473" s="69">
        <v>8.6999999999999993</v>
      </c>
      <c r="I473" s="70">
        <v>0.57999999999999996</v>
      </c>
      <c r="J473" s="70">
        <v>2.7</v>
      </c>
      <c r="K473" s="69">
        <v>9.6</v>
      </c>
      <c r="L473" s="69">
        <v>1.9</v>
      </c>
      <c r="M473" s="69" t="s">
        <v>241</v>
      </c>
      <c r="N473" s="69">
        <v>2000</v>
      </c>
      <c r="O473" s="69" t="s">
        <v>71</v>
      </c>
      <c r="P473" s="69">
        <v>353235</v>
      </c>
      <c r="Q473" s="92" t="s">
        <v>616</v>
      </c>
      <c r="R473" s="92" t="s">
        <v>370</v>
      </c>
      <c r="S473" s="87"/>
    </row>
    <row r="474" spans="1:19" x14ac:dyDescent="0.2">
      <c r="A474" s="92" t="s">
        <v>699</v>
      </c>
      <c r="B474" s="69">
        <v>72</v>
      </c>
      <c r="C474" s="69">
        <v>9</v>
      </c>
      <c r="D474" s="69">
        <v>22</v>
      </c>
      <c r="E474" s="69">
        <v>72</v>
      </c>
      <c r="F474" s="69">
        <v>84</v>
      </c>
      <c r="G474" s="69">
        <v>35</v>
      </c>
      <c r="H474" s="69">
        <v>6.2</v>
      </c>
      <c r="I474" s="70">
        <v>0.57999999999999996</v>
      </c>
      <c r="J474" s="70">
        <v>1.73</v>
      </c>
      <c r="K474" s="69">
        <v>21.7</v>
      </c>
      <c r="L474" s="69">
        <v>1</v>
      </c>
      <c r="M474" s="69" t="s">
        <v>170</v>
      </c>
      <c r="N474" s="69">
        <v>2013</v>
      </c>
      <c r="O474" s="69" t="s">
        <v>71</v>
      </c>
      <c r="P474" s="69">
        <v>481671</v>
      </c>
      <c r="Q474" s="92" t="s">
        <v>275</v>
      </c>
      <c r="R474" s="92" t="s">
        <v>383</v>
      </c>
      <c r="S474" s="92"/>
    </row>
    <row r="475" spans="1:19" x14ac:dyDescent="0.2">
      <c r="A475" s="92" t="s">
        <v>700</v>
      </c>
      <c r="B475" s="69">
        <v>14</v>
      </c>
      <c r="C475" s="69">
        <v>3</v>
      </c>
      <c r="D475" s="69">
        <v>5</v>
      </c>
      <c r="E475" s="69">
        <v>14</v>
      </c>
      <c r="F475" s="69">
        <v>61</v>
      </c>
      <c r="G475" s="69">
        <v>51</v>
      </c>
      <c r="H475" s="69">
        <v>8.6</v>
      </c>
      <c r="I475" s="70">
        <v>0.57999999999999996</v>
      </c>
      <c r="J475" s="70">
        <v>1.72</v>
      </c>
      <c r="K475" s="69">
        <v>9.6</v>
      </c>
      <c r="L475" s="69">
        <v>1.6</v>
      </c>
      <c r="M475" s="69" t="s">
        <v>170</v>
      </c>
      <c r="N475" s="69">
        <v>2000</v>
      </c>
      <c r="O475" s="69" t="s">
        <v>171</v>
      </c>
      <c r="P475" s="69">
        <v>857276</v>
      </c>
      <c r="Q475" s="92" t="s">
        <v>194</v>
      </c>
      <c r="R475" s="92" t="s">
        <v>410</v>
      </c>
      <c r="S475" s="87" t="s">
        <v>189</v>
      </c>
    </row>
    <row r="476" spans="1:19" x14ac:dyDescent="0.2">
      <c r="A476" s="92" t="s">
        <v>694</v>
      </c>
      <c r="B476" s="69">
        <v>15</v>
      </c>
      <c r="C476" s="69">
        <v>6</v>
      </c>
      <c r="D476" s="69">
        <v>7</v>
      </c>
      <c r="E476" s="69">
        <v>15</v>
      </c>
      <c r="F476" s="69">
        <v>34</v>
      </c>
      <c r="G476" s="69">
        <v>21</v>
      </c>
      <c r="H476" s="69">
        <v>3.9</v>
      </c>
      <c r="I476" s="70">
        <v>0.57999999999999996</v>
      </c>
      <c r="J476" s="70">
        <v>1.47</v>
      </c>
      <c r="K476" s="69">
        <v>5.3</v>
      </c>
      <c r="L476" s="69">
        <v>1.7</v>
      </c>
      <c r="M476" s="69" t="s">
        <v>241</v>
      </c>
      <c r="N476" s="69">
        <v>2002</v>
      </c>
      <c r="O476" s="69" t="s">
        <v>71</v>
      </c>
      <c r="P476" s="69">
        <v>543892</v>
      </c>
      <c r="Q476" s="92" t="s">
        <v>695</v>
      </c>
      <c r="R476" s="92" t="s">
        <v>243</v>
      </c>
      <c r="S476" s="92"/>
    </row>
    <row r="477" spans="1:19" x14ac:dyDescent="0.2">
      <c r="A477" s="92" t="s">
        <v>698</v>
      </c>
      <c r="B477" s="69">
        <v>9</v>
      </c>
      <c r="C477" s="69">
        <v>2</v>
      </c>
      <c r="D477" s="69">
        <v>-1</v>
      </c>
      <c r="E477" s="69">
        <v>9</v>
      </c>
      <c r="F477" s="69">
        <v>28</v>
      </c>
      <c r="G477" s="69">
        <v>24</v>
      </c>
      <c r="H477" s="69">
        <v>4.3</v>
      </c>
      <c r="I477" s="70">
        <v>0.57999999999999996</v>
      </c>
      <c r="J477" s="70">
        <v>2</v>
      </c>
      <c r="K477" s="69">
        <v>11.5</v>
      </c>
      <c r="L477" s="69">
        <v>0.7</v>
      </c>
      <c r="M477" s="69" t="s">
        <v>376</v>
      </c>
      <c r="N477" s="69">
        <v>2002</v>
      </c>
      <c r="O477" s="69" t="s">
        <v>71</v>
      </c>
      <c r="P477" s="69">
        <v>501981</v>
      </c>
      <c r="Q477" s="92" t="s">
        <v>207</v>
      </c>
      <c r="R477" s="92" t="s">
        <v>379</v>
      </c>
      <c r="S477" s="87"/>
    </row>
    <row r="478" spans="1:19" x14ac:dyDescent="0.2">
      <c r="A478" s="92" t="s">
        <v>701</v>
      </c>
      <c r="B478" s="69">
        <v>16</v>
      </c>
      <c r="C478" s="69">
        <v>6</v>
      </c>
      <c r="D478" s="69">
        <v>6</v>
      </c>
      <c r="E478" s="69">
        <v>16</v>
      </c>
      <c r="F478" s="69">
        <v>59</v>
      </c>
      <c r="G478" s="69">
        <v>62</v>
      </c>
      <c r="H478" s="69">
        <v>10.1</v>
      </c>
      <c r="I478" s="70">
        <v>0.57999999999999996</v>
      </c>
      <c r="J478" s="70">
        <v>1.65</v>
      </c>
      <c r="K478" s="69">
        <v>8</v>
      </c>
      <c r="L478" s="69">
        <v>1.8</v>
      </c>
      <c r="M478" s="69" t="s">
        <v>170</v>
      </c>
      <c r="N478" s="69">
        <v>2005</v>
      </c>
      <c r="O478" s="69" t="s">
        <v>171</v>
      </c>
      <c r="P478" s="69">
        <v>891804</v>
      </c>
      <c r="Q478" s="92" t="s">
        <v>247</v>
      </c>
      <c r="R478" s="92" t="s">
        <v>265</v>
      </c>
      <c r="S478" s="92"/>
    </row>
    <row r="479" spans="1:19" x14ac:dyDescent="0.2">
      <c r="A479" s="92" t="s">
        <v>692</v>
      </c>
      <c r="B479" s="69">
        <v>19</v>
      </c>
      <c r="C479" s="69">
        <v>-2</v>
      </c>
      <c r="D479" s="69">
        <v>0</v>
      </c>
      <c r="E479" s="69">
        <v>18</v>
      </c>
      <c r="F479" s="69">
        <v>63</v>
      </c>
      <c r="G479" s="69">
        <v>41</v>
      </c>
      <c r="H479" s="69">
        <v>7.1</v>
      </c>
      <c r="I479" s="70">
        <v>0.57999999999999996</v>
      </c>
      <c r="J479" s="70">
        <v>1.5</v>
      </c>
      <c r="K479" s="69">
        <v>12.9</v>
      </c>
      <c r="L479" s="69">
        <v>1.2</v>
      </c>
      <c r="M479" s="69" t="s">
        <v>376</v>
      </c>
      <c r="N479" s="69">
        <v>2001</v>
      </c>
      <c r="O479" s="69" t="s">
        <v>71</v>
      </c>
      <c r="P479" s="69">
        <v>147348</v>
      </c>
      <c r="Q479" s="92" t="s">
        <v>377</v>
      </c>
      <c r="R479" s="92" t="s">
        <v>383</v>
      </c>
      <c r="S479" s="92"/>
    </row>
    <row r="480" spans="1:19" x14ac:dyDescent="0.2">
      <c r="A480" s="92" t="s">
        <v>693</v>
      </c>
      <c r="B480" s="69">
        <v>19</v>
      </c>
      <c r="C480" s="69">
        <v>6</v>
      </c>
      <c r="D480" s="69">
        <v>5</v>
      </c>
      <c r="E480" s="69">
        <v>18</v>
      </c>
      <c r="F480" s="69">
        <v>82</v>
      </c>
      <c r="G480" s="69">
        <v>47</v>
      </c>
      <c r="H480" s="69">
        <v>7.9</v>
      </c>
      <c r="I480" s="70">
        <v>0.57999999999999996</v>
      </c>
      <c r="J480" s="70">
        <v>1.5</v>
      </c>
      <c r="K480" s="69">
        <v>9.5</v>
      </c>
      <c r="L480" s="69">
        <v>2</v>
      </c>
      <c r="M480" s="69" t="s">
        <v>376</v>
      </c>
      <c r="N480" s="69">
        <v>2001</v>
      </c>
      <c r="O480" s="69" t="s">
        <v>71</v>
      </c>
      <c r="P480" s="69">
        <v>219006</v>
      </c>
      <c r="Q480" s="92" t="s">
        <v>377</v>
      </c>
      <c r="R480" s="92" t="s">
        <v>410</v>
      </c>
      <c r="S480" s="87"/>
    </row>
    <row r="481" spans="1:19" x14ac:dyDescent="0.2">
      <c r="A481" s="92" t="s">
        <v>696</v>
      </c>
      <c r="B481" s="69">
        <v>14</v>
      </c>
      <c r="C481" s="69">
        <v>7</v>
      </c>
      <c r="D481" s="69">
        <v>4</v>
      </c>
      <c r="E481" s="69">
        <v>13</v>
      </c>
      <c r="F481" s="69">
        <v>76</v>
      </c>
      <c r="G481" s="69">
        <v>27</v>
      </c>
      <c r="H481" s="69">
        <v>4.9000000000000004</v>
      </c>
      <c r="I481" s="70">
        <v>0.57999999999999996</v>
      </c>
      <c r="J481" s="70">
        <v>1.37</v>
      </c>
      <c r="K481" s="69">
        <v>12.1</v>
      </c>
      <c r="L481" s="69">
        <v>1.5</v>
      </c>
      <c r="M481" s="69" t="s">
        <v>241</v>
      </c>
      <c r="N481" s="69">
        <v>2000</v>
      </c>
      <c r="O481" s="69" t="s">
        <v>71</v>
      </c>
      <c r="P481" s="69">
        <v>151001</v>
      </c>
      <c r="Q481" s="92" t="s">
        <v>682</v>
      </c>
      <c r="R481" s="92" t="s">
        <v>697</v>
      </c>
      <c r="S481" s="87"/>
    </row>
    <row r="482" spans="1:19" x14ac:dyDescent="0.2">
      <c r="A482" s="92" t="s">
        <v>703</v>
      </c>
      <c r="B482" s="69">
        <v>8</v>
      </c>
      <c r="C482" s="69">
        <v>7</v>
      </c>
      <c r="D482" s="69">
        <v>2</v>
      </c>
      <c r="E482" s="69">
        <v>7</v>
      </c>
      <c r="F482" s="69">
        <v>47</v>
      </c>
      <c r="G482" s="69">
        <v>11</v>
      </c>
      <c r="H482" s="69">
        <v>2.1</v>
      </c>
      <c r="I482" s="70">
        <v>0.59</v>
      </c>
      <c r="J482" s="70">
        <v>1.5</v>
      </c>
      <c r="K482" s="69">
        <v>13.5</v>
      </c>
      <c r="L482" s="69">
        <v>0.9</v>
      </c>
      <c r="M482" s="69" t="s">
        <v>241</v>
      </c>
      <c r="N482" s="69">
        <v>2010</v>
      </c>
      <c r="O482" s="69" t="s">
        <v>71</v>
      </c>
      <c r="P482" s="69">
        <v>167171</v>
      </c>
      <c r="Q482" s="92" t="s">
        <v>415</v>
      </c>
      <c r="R482" s="92" t="s">
        <v>383</v>
      </c>
      <c r="S482" s="87"/>
    </row>
    <row r="483" spans="1:19" x14ac:dyDescent="0.2">
      <c r="A483" s="92" t="s">
        <v>713</v>
      </c>
      <c r="B483" s="69">
        <v>-3</v>
      </c>
      <c r="C483" s="69">
        <v>0</v>
      </c>
      <c r="D483" s="69">
        <v>-5</v>
      </c>
      <c r="E483" s="69">
        <v>-3</v>
      </c>
      <c r="F483" s="69">
        <v>25</v>
      </c>
      <c r="G483" s="69">
        <v>7</v>
      </c>
      <c r="H483" s="69">
        <v>1.4</v>
      </c>
      <c r="I483" s="70">
        <v>0.59</v>
      </c>
      <c r="J483" s="70">
        <v>2.9</v>
      </c>
      <c r="K483" s="69">
        <v>11.9</v>
      </c>
      <c r="L483" s="69">
        <v>0.6</v>
      </c>
      <c r="M483" s="69" t="s">
        <v>241</v>
      </c>
      <c r="N483" s="69">
        <v>2001</v>
      </c>
      <c r="O483" s="69" t="s">
        <v>71</v>
      </c>
      <c r="P483" s="69">
        <v>353821</v>
      </c>
      <c r="Q483" s="92" t="s">
        <v>616</v>
      </c>
      <c r="R483" s="92" t="s">
        <v>413</v>
      </c>
      <c r="S483" s="87"/>
    </row>
    <row r="484" spans="1:19" x14ac:dyDescent="0.2">
      <c r="A484" s="92" t="s">
        <v>709</v>
      </c>
      <c r="B484" s="69">
        <v>6</v>
      </c>
      <c r="C484" s="69">
        <v>3</v>
      </c>
      <c r="D484" s="69">
        <v>2</v>
      </c>
      <c r="E484" s="69">
        <v>6</v>
      </c>
      <c r="F484" s="69">
        <v>63</v>
      </c>
      <c r="G484" s="69">
        <v>29</v>
      </c>
      <c r="H484" s="69">
        <v>5.2</v>
      </c>
      <c r="I484" s="70">
        <v>0.59</v>
      </c>
      <c r="J484" s="70">
        <v>2.7</v>
      </c>
      <c r="K484" s="69">
        <v>11</v>
      </c>
      <c r="L484" s="69">
        <v>1.4</v>
      </c>
      <c r="M484" s="69" t="s">
        <v>241</v>
      </c>
      <c r="N484" s="69">
        <v>2004</v>
      </c>
      <c r="O484" s="69" t="s">
        <v>71</v>
      </c>
      <c r="P484" s="69">
        <v>155788</v>
      </c>
      <c r="Q484" s="92" t="s">
        <v>616</v>
      </c>
      <c r="R484" s="92" t="s">
        <v>260</v>
      </c>
      <c r="S484" s="87"/>
    </row>
    <row r="485" spans="1:19" x14ac:dyDescent="0.2">
      <c r="A485" s="92" t="s">
        <v>705</v>
      </c>
      <c r="B485" s="69">
        <v>15</v>
      </c>
      <c r="C485" s="69">
        <v>6</v>
      </c>
      <c r="D485" s="69">
        <v>4</v>
      </c>
      <c r="E485" s="69">
        <v>14</v>
      </c>
      <c r="F485" s="69">
        <v>65</v>
      </c>
      <c r="G485" s="69">
        <v>41</v>
      </c>
      <c r="H485" s="69">
        <v>7.1</v>
      </c>
      <c r="I485" s="70">
        <v>0.59</v>
      </c>
      <c r="J485" s="70">
        <v>1.4</v>
      </c>
      <c r="K485" s="69">
        <v>8.4</v>
      </c>
      <c r="L485" s="69">
        <v>1.9</v>
      </c>
      <c r="M485" s="69" t="s">
        <v>241</v>
      </c>
      <c r="N485" s="69">
        <v>2000</v>
      </c>
      <c r="O485" s="69" t="s">
        <v>71</v>
      </c>
      <c r="P485" s="69">
        <v>473470</v>
      </c>
      <c r="Q485" s="92" t="s">
        <v>682</v>
      </c>
      <c r="R485" s="92" t="s">
        <v>260</v>
      </c>
      <c r="S485" s="92"/>
    </row>
    <row r="486" spans="1:19" x14ac:dyDescent="0.2">
      <c r="A486" s="92" t="s">
        <v>707</v>
      </c>
      <c r="B486" s="69">
        <v>5</v>
      </c>
      <c r="C486" s="69">
        <v>1</v>
      </c>
      <c r="D486" s="69">
        <v>1</v>
      </c>
      <c r="E486" s="69">
        <v>5</v>
      </c>
      <c r="F486" s="69"/>
      <c r="G486" s="69"/>
      <c r="H486" s="69"/>
      <c r="I486" s="70">
        <v>0.59</v>
      </c>
      <c r="J486" s="70">
        <v>1.87</v>
      </c>
      <c r="K486" s="69"/>
      <c r="L486" s="69"/>
      <c r="M486" s="69" t="s">
        <v>170</v>
      </c>
      <c r="N486" s="69">
        <v>2012</v>
      </c>
      <c r="O486" s="69" t="s">
        <v>71</v>
      </c>
      <c r="P486" s="69">
        <v>997288</v>
      </c>
      <c r="Q486" s="92" t="s">
        <v>708</v>
      </c>
      <c r="R486" s="92" t="s">
        <v>173</v>
      </c>
      <c r="S486" s="92"/>
    </row>
    <row r="487" spans="1:19" x14ac:dyDescent="0.2">
      <c r="A487" s="92" t="s">
        <v>712</v>
      </c>
      <c r="B487" s="69">
        <v>9</v>
      </c>
      <c r="C487" s="69">
        <v>-2</v>
      </c>
      <c r="D487" s="69">
        <v>-1</v>
      </c>
      <c r="E487" s="69">
        <v>9</v>
      </c>
      <c r="F487" s="69">
        <v>25</v>
      </c>
      <c r="G487" s="69">
        <v>19</v>
      </c>
      <c r="H487" s="69">
        <v>3.6</v>
      </c>
      <c r="I487" s="70">
        <v>0.59</v>
      </c>
      <c r="J487" s="70">
        <v>2.58</v>
      </c>
      <c r="K487" s="69">
        <v>12</v>
      </c>
      <c r="L487" s="69">
        <v>0.6</v>
      </c>
      <c r="M487" s="69" t="s">
        <v>170</v>
      </c>
      <c r="N487" s="69">
        <v>2006</v>
      </c>
      <c r="O487" s="69" t="s">
        <v>171</v>
      </c>
      <c r="P487" s="69">
        <v>184291</v>
      </c>
      <c r="Q487" s="92" t="s">
        <v>221</v>
      </c>
      <c r="R487" s="92" t="s">
        <v>379</v>
      </c>
      <c r="S487" s="87"/>
    </row>
    <row r="488" spans="1:19" x14ac:dyDescent="0.2">
      <c r="A488" s="92" t="s">
        <v>704</v>
      </c>
      <c r="B488" s="69">
        <v>18</v>
      </c>
      <c r="C488" s="69">
        <v>5</v>
      </c>
      <c r="D488" s="69">
        <v>4</v>
      </c>
      <c r="E488" s="69">
        <v>18</v>
      </c>
      <c r="F488" s="69">
        <v>72</v>
      </c>
      <c r="G488" s="69">
        <v>85</v>
      </c>
      <c r="H488" s="69">
        <v>13.1</v>
      </c>
      <c r="I488" s="70">
        <v>0.59</v>
      </c>
      <c r="J488" s="70">
        <v>1.41</v>
      </c>
      <c r="K488" s="69">
        <v>10.1</v>
      </c>
      <c r="L488" s="69">
        <v>1.7</v>
      </c>
      <c r="M488" s="69" t="s">
        <v>170</v>
      </c>
      <c r="N488" s="69">
        <v>2000</v>
      </c>
      <c r="O488" s="69" t="s">
        <v>171</v>
      </c>
      <c r="P488" s="69">
        <v>344739</v>
      </c>
      <c r="Q488" s="92" t="s">
        <v>403</v>
      </c>
      <c r="R488" s="92" t="s">
        <v>264</v>
      </c>
      <c r="S488" s="92" t="s">
        <v>189</v>
      </c>
    </row>
    <row r="489" spans="1:19" x14ac:dyDescent="0.2">
      <c r="A489" s="92" t="s">
        <v>710</v>
      </c>
      <c r="B489" s="69">
        <v>17</v>
      </c>
      <c r="C489" s="69">
        <v>10</v>
      </c>
      <c r="D489" s="69">
        <v>7</v>
      </c>
      <c r="E489" s="69">
        <v>17</v>
      </c>
      <c r="F489" s="69">
        <v>67</v>
      </c>
      <c r="G489" s="69">
        <v>90</v>
      </c>
      <c r="H489" s="69">
        <v>13.7</v>
      </c>
      <c r="I489" s="70">
        <v>0.59</v>
      </c>
      <c r="J489" s="70">
        <v>1.53</v>
      </c>
      <c r="K489" s="69">
        <v>9.1999999999999993</v>
      </c>
      <c r="L489" s="69">
        <v>1.8</v>
      </c>
      <c r="M489" s="69" t="s">
        <v>170</v>
      </c>
      <c r="N489" s="69">
        <v>2004</v>
      </c>
      <c r="O489" s="69" t="s">
        <v>171</v>
      </c>
      <c r="P489" s="69">
        <v>339184</v>
      </c>
      <c r="Q489" s="92" t="s">
        <v>191</v>
      </c>
      <c r="R489" s="92" t="s">
        <v>264</v>
      </c>
      <c r="S489" s="92"/>
    </row>
    <row r="490" spans="1:19" x14ac:dyDescent="0.2">
      <c r="A490" s="92" t="s">
        <v>711</v>
      </c>
      <c r="B490" s="69">
        <v>16</v>
      </c>
      <c r="C490" s="69">
        <v>10</v>
      </c>
      <c r="D490" s="69">
        <v>4</v>
      </c>
      <c r="E490" s="69">
        <v>16</v>
      </c>
      <c r="F490" s="69">
        <v>78</v>
      </c>
      <c r="G490" s="69">
        <v>100</v>
      </c>
      <c r="H490" s="69">
        <v>14.9</v>
      </c>
      <c r="I490" s="70">
        <v>0.59</v>
      </c>
      <c r="J490" s="70">
        <v>1.53</v>
      </c>
      <c r="K490" s="69">
        <v>11.7</v>
      </c>
      <c r="L490" s="69">
        <v>1.6</v>
      </c>
      <c r="M490" s="69" t="s">
        <v>170</v>
      </c>
      <c r="N490" s="69">
        <v>2003</v>
      </c>
      <c r="O490" s="69" t="s">
        <v>171</v>
      </c>
      <c r="P490" s="69">
        <v>152181</v>
      </c>
      <c r="Q490" s="92" t="s">
        <v>191</v>
      </c>
      <c r="R490" s="92" t="s">
        <v>264</v>
      </c>
      <c r="S490" s="87"/>
    </row>
    <row r="491" spans="1:19" x14ac:dyDescent="0.2">
      <c r="A491" s="92" t="s">
        <v>706</v>
      </c>
      <c r="B491" s="69">
        <v>39</v>
      </c>
      <c r="C491" s="69">
        <v>15</v>
      </c>
      <c r="D491" s="69">
        <v>24</v>
      </c>
      <c r="E491" s="69">
        <v>39</v>
      </c>
      <c r="F491" s="69">
        <v>96</v>
      </c>
      <c r="G491" s="69">
        <v>115</v>
      </c>
      <c r="H491" s="69">
        <v>16.5</v>
      </c>
      <c r="I491" s="70">
        <v>0.59</v>
      </c>
      <c r="J491" s="70">
        <v>1.42</v>
      </c>
      <c r="K491" s="69">
        <v>8.1</v>
      </c>
      <c r="L491" s="69">
        <v>2.7</v>
      </c>
      <c r="M491" s="69" t="s">
        <v>451</v>
      </c>
      <c r="N491" s="69">
        <v>2000</v>
      </c>
      <c r="O491" s="69" t="s">
        <v>71</v>
      </c>
      <c r="P491" s="69">
        <v>616797</v>
      </c>
      <c r="Q491" s="92" t="s">
        <v>682</v>
      </c>
      <c r="R491" s="92" t="s">
        <v>245</v>
      </c>
      <c r="S491" s="87"/>
    </row>
    <row r="492" spans="1:19" x14ac:dyDescent="0.2">
      <c r="A492" s="92" t="s">
        <v>716</v>
      </c>
      <c r="B492" s="69">
        <v>12</v>
      </c>
      <c r="C492" s="69">
        <v>1</v>
      </c>
      <c r="D492" s="69">
        <v>4</v>
      </c>
      <c r="E492" s="69">
        <v>12</v>
      </c>
      <c r="F492" s="69">
        <v>7</v>
      </c>
      <c r="G492" s="69"/>
      <c r="H492" s="69"/>
      <c r="I492" s="70">
        <v>0.6</v>
      </c>
      <c r="J492" s="70">
        <v>2.82</v>
      </c>
      <c r="K492" s="69">
        <v>8.8000000000000007</v>
      </c>
      <c r="L492" s="69">
        <v>0.2</v>
      </c>
      <c r="M492" s="69" t="s">
        <v>170</v>
      </c>
      <c r="N492" s="69">
        <v>2011</v>
      </c>
      <c r="O492" s="69" t="s">
        <v>71</v>
      </c>
      <c r="P492" s="69">
        <v>948117</v>
      </c>
      <c r="Q492" s="92" t="s">
        <v>368</v>
      </c>
      <c r="R492" s="92" t="s">
        <v>173</v>
      </c>
      <c r="S492" s="87"/>
    </row>
    <row r="493" spans="1:19" x14ac:dyDescent="0.2">
      <c r="A493" s="92" t="s">
        <v>496</v>
      </c>
      <c r="B493" s="69">
        <v>-6</v>
      </c>
      <c r="C493" s="69">
        <v>-11</v>
      </c>
      <c r="D493" s="69">
        <v>-13</v>
      </c>
      <c r="E493" s="69">
        <v>-6</v>
      </c>
      <c r="F493" s="69">
        <v>17</v>
      </c>
      <c r="G493" s="69"/>
      <c r="H493" s="69"/>
      <c r="I493" s="70">
        <v>0.6</v>
      </c>
      <c r="J493" s="70">
        <v>1.54</v>
      </c>
      <c r="K493" s="69">
        <v>8.1</v>
      </c>
      <c r="L493" s="69">
        <v>0.6</v>
      </c>
      <c r="M493" s="69" t="s">
        <v>170</v>
      </c>
      <c r="N493" s="69">
        <v>2013</v>
      </c>
      <c r="O493" s="69" t="s">
        <v>71</v>
      </c>
      <c r="P493" s="69">
        <v>365684</v>
      </c>
      <c r="Q493" s="92" t="s">
        <v>497</v>
      </c>
      <c r="R493" s="92" t="s">
        <v>223</v>
      </c>
      <c r="S493" s="92"/>
    </row>
    <row r="494" spans="1:19" x14ac:dyDescent="0.2">
      <c r="A494" s="92" t="s">
        <v>718</v>
      </c>
      <c r="B494" s="69">
        <v>20</v>
      </c>
      <c r="C494" s="69">
        <v>7</v>
      </c>
      <c r="D494" s="69">
        <v>1</v>
      </c>
      <c r="E494" s="69">
        <v>20</v>
      </c>
      <c r="F494" s="69">
        <v>98</v>
      </c>
      <c r="G494" s="69">
        <v>109</v>
      </c>
      <c r="H494" s="69">
        <v>15.8</v>
      </c>
      <c r="I494" s="70">
        <v>0.6</v>
      </c>
      <c r="J494" s="70">
        <v>1.54</v>
      </c>
      <c r="K494" s="69">
        <v>12.5</v>
      </c>
      <c r="L494" s="69">
        <v>1.8</v>
      </c>
      <c r="M494" s="69" t="s">
        <v>170</v>
      </c>
      <c r="N494" s="69">
        <v>2008</v>
      </c>
      <c r="O494" s="69" t="s">
        <v>171</v>
      </c>
      <c r="P494" s="69">
        <v>272898</v>
      </c>
      <c r="Q494" s="92" t="s">
        <v>191</v>
      </c>
      <c r="R494" s="92" t="s">
        <v>264</v>
      </c>
      <c r="S494" s="87"/>
    </row>
    <row r="495" spans="1:19" x14ac:dyDescent="0.2">
      <c r="A495" s="92" t="s">
        <v>717</v>
      </c>
      <c r="B495" s="69">
        <v>12</v>
      </c>
      <c r="C495" s="69">
        <v>3</v>
      </c>
      <c r="D495" s="69">
        <v>2</v>
      </c>
      <c r="E495" s="69">
        <v>12</v>
      </c>
      <c r="F495" s="69">
        <v>55</v>
      </c>
      <c r="G495" s="69">
        <v>57</v>
      </c>
      <c r="H495" s="69">
        <v>9.4</v>
      </c>
      <c r="I495" s="70">
        <v>0.6</v>
      </c>
      <c r="J495" s="70">
        <v>1.59</v>
      </c>
      <c r="K495" s="69">
        <v>6.5</v>
      </c>
      <c r="L495" s="69">
        <v>2.1</v>
      </c>
      <c r="M495" s="69" t="s">
        <v>552</v>
      </c>
      <c r="N495" s="69">
        <v>2006</v>
      </c>
      <c r="O495" s="69" t="s">
        <v>71</v>
      </c>
      <c r="P495" s="69">
        <v>793406</v>
      </c>
      <c r="Q495" s="92" t="s">
        <v>553</v>
      </c>
      <c r="R495" s="92" t="s">
        <v>223</v>
      </c>
      <c r="S495" s="87"/>
    </row>
    <row r="496" spans="1:19" x14ac:dyDescent="0.2">
      <c r="A496" s="92" t="s">
        <v>714</v>
      </c>
      <c r="B496" s="69">
        <v>17</v>
      </c>
      <c r="C496" s="69">
        <v>10</v>
      </c>
      <c r="D496" s="69">
        <v>18</v>
      </c>
      <c r="E496" s="69">
        <v>16</v>
      </c>
      <c r="F496" s="69">
        <v>-9</v>
      </c>
      <c r="G496" s="69">
        <v>-4</v>
      </c>
      <c r="H496" s="69">
        <v>-0.9</v>
      </c>
      <c r="I496" s="70">
        <v>0.6</v>
      </c>
      <c r="J496" s="70">
        <v>1.61</v>
      </c>
      <c r="K496" s="69">
        <v>12.2</v>
      </c>
      <c r="L496" s="69">
        <v>-0.3</v>
      </c>
      <c r="M496" s="69" t="s">
        <v>451</v>
      </c>
      <c r="N496" s="69">
        <v>2009</v>
      </c>
      <c r="O496" s="69" t="s">
        <v>71</v>
      </c>
      <c r="P496" s="69">
        <v>303230</v>
      </c>
      <c r="Q496" s="92" t="s">
        <v>715</v>
      </c>
      <c r="R496" s="92" t="s">
        <v>212</v>
      </c>
      <c r="S496" s="92"/>
    </row>
    <row r="497" spans="1:19" x14ac:dyDescent="0.2">
      <c r="A497" s="92" t="s">
        <v>719</v>
      </c>
      <c r="B497" s="69">
        <v>34</v>
      </c>
      <c r="C497" s="69">
        <v>13</v>
      </c>
      <c r="D497" s="69">
        <v>19</v>
      </c>
      <c r="E497" s="69">
        <v>32</v>
      </c>
      <c r="F497" s="69">
        <v>80</v>
      </c>
      <c r="G497" s="69">
        <v>86</v>
      </c>
      <c r="H497" s="69">
        <v>13.2</v>
      </c>
      <c r="I497" s="70">
        <v>0.6</v>
      </c>
      <c r="J497" s="70">
        <v>1.81</v>
      </c>
      <c r="K497" s="69">
        <v>7.4</v>
      </c>
      <c r="L497" s="69">
        <v>2.6</v>
      </c>
      <c r="M497" s="69" t="s">
        <v>376</v>
      </c>
      <c r="N497" s="69">
        <v>2013</v>
      </c>
      <c r="O497" s="69" t="s">
        <v>71</v>
      </c>
      <c r="P497" s="69">
        <v>553339</v>
      </c>
      <c r="Q497" s="92" t="s">
        <v>625</v>
      </c>
      <c r="R497" s="92" t="s">
        <v>245</v>
      </c>
      <c r="S497" s="92"/>
    </row>
    <row r="498" spans="1:19" x14ac:dyDescent="0.2">
      <c r="A498" s="92" t="s">
        <v>720</v>
      </c>
      <c r="B498" s="69">
        <v>18</v>
      </c>
      <c r="C498" s="69">
        <v>10</v>
      </c>
      <c r="D498" s="69">
        <v>8</v>
      </c>
      <c r="E498" s="69">
        <v>18</v>
      </c>
      <c r="F498" s="69">
        <v>96</v>
      </c>
      <c r="G498" s="69">
        <v>101</v>
      </c>
      <c r="H498" s="69">
        <v>15</v>
      </c>
      <c r="I498" s="70">
        <v>0.6</v>
      </c>
      <c r="J498" s="70">
        <v>1.82</v>
      </c>
      <c r="K498" s="69">
        <v>8.1999999999999993</v>
      </c>
      <c r="L498" s="69">
        <v>2.7</v>
      </c>
      <c r="M498" s="69" t="s">
        <v>170</v>
      </c>
      <c r="N498" s="69">
        <v>2013</v>
      </c>
      <c r="O498" s="69" t="s">
        <v>71</v>
      </c>
      <c r="P498" s="69">
        <v>445841</v>
      </c>
      <c r="Q498" s="92" t="s">
        <v>275</v>
      </c>
      <c r="R498" s="92" t="s">
        <v>370</v>
      </c>
      <c r="S498" s="92"/>
    </row>
    <row r="499" spans="1:19" x14ac:dyDescent="0.2">
      <c r="A499" s="92" t="s">
        <v>1132</v>
      </c>
      <c r="B499" s="69">
        <v>28</v>
      </c>
      <c r="C499" s="69">
        <v>6</v>
      </c>
      <c r="D499" s="69">
        <v>11</v>
      </c>
      <c r="E499" s="69">
        <v>27</v>
      </c>
      <c r="F499" s="69">
        <v>29</v>
      </c>
      <c r="G499" s="69">
        <v>48</v>
      </c>
      <c r="H499" s="69">
        <v>8.1999999999999993</v>
      </c>
      <c r="I499" s="70">
        <v>0.6</v>
      </c>
      <c r="J499" s="70">
        <v>1.54</v>
      </c>
      <c r="K499" s="69">
        <v>7.7</v>
      </c>
      <c r="L499" s="69">
        <v>1</v>
      </c>
      <c r="M499" s="69" t="s">
        <v>451</v>
      </c>
      <c r="N499" s="69">
        <v>2008</v>
      </c>
      <c r="O499" s="69" t="s">
        <v>71</v>
      </c>
      <c r="P499" s="69">
        <v>909333</v>
      </c>
      <c r="Q499" s="92" t="s">
        <v>635</v>
      </c>
      <c r="R499" s="92" t="s">
        <v>223</v>
      </c>
      <c r="S499" s="92"/>
    </row>
    <row r="500" spans="1:19" x14ac:dyDescent="0.2">
      <c r="A500" s="92" t="s">
        <v>735</v>
      </c>
      <c r="B500" s="69">
        <v>12</v>
      </c>
      <c r="C500" s="69">
        <v>3</v>
      </c>
      <c r="D500" s="69">
        <v>2</v>
      </c>
      <c r="E500" s="69">
        <v>12</v>
      </c>
      <c r="F500" s="69">
        <v>41</v>
      </c>
      <c r="G500" s="69">
        <v>25</v>
      </c>
      <c r="H500" s="69">
        <v>4.5999999999999996</v>
      </c>
      <c r="I500" s="70">
        <v>0.61</v>
      </c>
      <c r="J500" s="70">
        <v>1.47</v>
      </c>
      <c r="K500" s="69">
        <v>9.1</v>
      </c>
      <c r="L500" s="69">
        <v>1.2</v>
      </c>
      <c r="M500" s="69" t="s">
        <v>170</v>
      </c>
      <c r="N500" s="69">
        <v>2007</v>
      </c>
      <c r="O500" s="69" t="s">
        <v>171</v>
      </c>
      <c r="P500" s="69">
        <v>102897</v>
      </c>
      <c r="Q500" s="92" t="s">
        <v>736</v>
      </c>
      <c r="R500" s="92" t="s">
        <v>260</v>
      </c>
      <c r="S500" s="92"/>
    </row>
    <row r="501" spans="1:19" x14ac:dyDescent="0.2">
      <c r="A501" s="92" t="s">
        <v>721</v>
      </c>
      <c r="B501" s="69">
        <v>13</v>
      </c>
      <c r="C501" s="69">
        <v>3</v>
      </c>
      <c r="D501" s="69">
        <v>-4</v>
      </c>
      <c r="E501" s="69">
        <v>12</v>
      </c>
      <c r="F501" s="69">
        <v>61</v>
      </c>
      <c r="G501" s="69"/>
      <c r="H501" s="69"/>
      <c r="I501" s="70">
        <v>0.61</v>
      </c>
      <c r="J501" s="70">
        <v>1.3</v>
      </c>
      <c r="K501" s="69">
        <v>14.2</v>
      </c>
      <c r="L501" s="69">
        <v>1.1000000000000001</v>
      </c>
      <c r="M501" s="69" t="s">
        <v>241</v>
      </c>
      <c r="N501" s="69">
        <v>2011</v>
      </c>
      <c r="O501" s="69" t="s">
        <v>71</v>
      </c>
      <c r="P501" s="69">
        <v>157438</v>
      </c>
      <c r="Q501" s="92" t="s">
        <v>722</v>
      </c>
      <c r="R501" s="92" t="s">
        <v>383</v>
      </c>
      <c r="S501" s="92" t="s">
        <v>189</v>
      </c>
    </row>
    <row r="502" spans="1:19" x14ac:dyDescent="0.2">
      <c r="A502" s="92" t="s">
        <v>723</v>
      </c>
      <c r="B502" s="69">
        <v>15</v>
      </c>
      <c r="C502" s="69">
        <v>7</v>
      </c>
      <c r="D502" s="69">
        <v>7</v>
      </c>
      <c r="E502" s="69">
        <v>14</v>
      </c>
      <c r="F502" s="69">
        <v>43</v>
      </c>
      <c r="G502" s="69">
        <v>23</v>
      </c>
      <c r="H502" s="69">
        <v>4.3</v>
      </c>
      <c r="I502" s="70">
        <v>0.61</v>
      </c>
      <c r="J502" s="70">
        <v>1.83</v>
      </c>
      <c r="K502" s="69">
        <v>5.9</v>
      </c>
      <c r="L502" s="69">
        <v>1.8</v>
      </c>
      <c r="M502" s="69" t="s">
        <v>241</v>
      </c>
      <c r="N502" s="69">
        <v>2000</v>
      </c>
      <c r="O502" s="69" t="s">
        <v>71</v>
      </c>
      <c r="P502" s="69">
        <v>794115</v>
      </c>
      <c r="Q502" s="92" t="s">
        <v>535</v>
      </c>
      <c r="R502" s="92" t="s">
        <v>173</v>
      </c>
      <c r="S502" s="87"/>
    </row>
    <row r="503" spans="1:19" x14ac:dyDescent="0.2">
      <c r="A503" s="92" t="s">
        <v>733</v>
      </c>
      <c r="B503" s="69">
        <v>49</v>
      </c>
      <c r="C503" s="69">
        <v>8</v>
      </c>
      <c r="D503" s="69">
        <v>22</v>
      </c>
      <c r="E503" s="69">
        <v>49</v>
      </c>
      <c r="F503" s="69">
        <v>79</v>
      </c>
      <c r="G503" s="69">
        <v>15</v>
      </c>
      <c r="H503" s="69">
        <v>2.8</v>
      </c>
      <c r="I503" s="70">
        <v>0.61</v>
      </c>
      <c r="J503" s="70">
        <v>1.84</v>
      </c>
      <c r="K503" s="69">
        <v>14.6</v>
      </c>
      <c r="L503" s="69">
        <v>1.3</v>
      </c>
      <c r="M503" s="69" t="s">
        <v>170</v>
      </c>
      <c r="N503" s="69">
        <v>2001</v>
      </c>
      <c r="O503" s="69" t="s">
        <v>71</v>
      </c>
      <c r="P503" s="69">
        <v>362327</v>
      </c>
      <c r="Q503" s="92" t="s">
        <v>275</v>
      </c>
      <c r="R503" s="92" t="s">
        <v>310</v>
      </c>
      <c r="S503" s="87"/>
    </row>
    <row r="504" spans="1:19" x14ac:dyDescent="0.2">
      <c r="A504" s="92" t="s">
        <v>734</v>
      </c>
      <c r="B504" s="69">
        <v>34</v>
      </c>
      <c r="C504" s="69">
        <v>9</v>
      </c>
      <c r="D504" s="69">
        <v>19</v>
      </c>
      <c r="E504" s="69">
        <v>34</v>
      </c>
      <c r="F504" s="69">
        <v>73</v>
      </c>
      <c r="G504" s="69">
        <v>75</v>
      </c>
      <c r="H504" s="69">
        <v>11.9</v>
      </c>
      <c r="I504" s="70">
        <v>0.61</v>
      </c>
      <c r="J504" s="70">
        <v>1.82</v>
      </c>
      <c r="K504" s="69">
        <v>10</v>
      </c>
      <c r="L504" s="69">
        <v>1.8</v>
      </c>
      <c r="M504" s="69" t="s">
        <v>170</v>
      </c>
      <c r="N504" s="69">
        <v>2000</v>
      </c>
      <c r="O504" s="69" t="s">
        <v>171</v>
      </c>
      <c r="P504" s="69">
        <v>785618</v>
      </c>
      <c r="Q504" s="92" t="s">
        <v>194</v>
      </c>
      <c r="R504" s="92" t="s">
        <v>315</v>
      </c>
      <c r="S504" s="87"/>
    </row>
    <row r="505" spans="1:19" x14ac:dyDescent="0.2">
      <c r="A505" s="92" t="s">
        <v>728</v>
      </c>
      <c r="B505" s="69">
        <v>26</v>
      </c>
      <c r="C505" s="69">
        <v>10</v>
      </c>
      <c r="D505" s="69">
        <v>17</v>
      </c>
      <c r="E505" s="69">
        <v>26</v>
      </c>
      <c r="F505" s="69">
        <v>67</v>
      </c>
      <c r="G505" s="69">
        <v>78</v>
      </c>
      <c r="H505" s="69">
        <v>12.3</v>
      </c>
      <c r="I505" s="70">
        <v>0.61</v>
      </c>
      <c r="J505" s="70">
        <v>1.82</v>
      </c>
      <c r="K505" s="69">
        <v>7.9</v>
      </c>
      <c r="L505" s="69">
        <v>2</v>
      </c>
      <c r="M505" s="69" t="s">
        <v>170</v>
      </c>
      <c r="N505" s="69">
        <v>2000</v>
      </c>
      <c r="O505" s="69" t="s">
        <v>171</v>
      </c>
      <c r="P505" s="69">
        <v>964767</v>
      </c>
      <c r="Q505" s="92" t="s">
        <v>194</v>
      </c>
      <c r="R505" s="92" t="s">
        <v>212</v>
      </c>
      <c r="S505" s="87"/>
    </row>
    <row r="506" spans="1:19" x14ac:dyDescent="0.2">
      <c r="A506" s="92" t="s">
        <v>725</v>
      </c>
      <c r="B506" s="69">
        <v>30</v>
      </c>
      <c r="C506" s="69">
        <v>13</v>
      </c>
      <c r="D506" s="69">
        <v>17</v>
      </c>
      <c r="E506" s="69">
        <v>29</v>
      </c>
      <c r="F506" s="69">
        <v>56</v>
      </c>
      <c r="G506" s="69">
        <v>50</v>
      </c>
      <c r="H506" s="69">
        <v>8.5</v>
      </c>
      <c r="I506" s="70">
        <v>0.61</v>
      </c>
      <c r="J506" s="70">
        <v>1.6</v>
      </c>
      <c r="K506" s="69">
        <v>6.8</v>
      </c>
      <c r="L506" s="69">
        <v>2.1</v>
      </c>
      <c r="M506" s="69" t="s">
        <v>376</v>
      </c>
      <c r="N506" s="69">
        <v>2001</v>
      </c>
      <c r="O506" s="69" t="s">
        <v>71</v>
      </c>
      <c r="P506" s="69">
        <v>290668</v>
      </c>
      <c r="Q506" s="92" t="s">
        <v>377</v>
      </c>
      <c r="R506" s="92" t="s">
        <v>212</v>
      </c>
      <c r="S506" s="92"/>
    </row>
    <row r="507" spans="1:19" x14ac:dyDescent="0.2">
      <c r="A507" s="92" t="s">
        <v>727</v>
      </c>
      <c r="B507" s="69">
        <v>17</v>
      </c>
      <c r="C507" s="69">
        <v>8</v>
      </c>
      <c r="D507" s="69">
        <v>6</v>
      </c>
      <c r="E507" s="69">
        <v>17</v>
      </c>
      <c r="F507" s="69">
        <v>44</v>
      </c>
      <c r="G507" s="69">
        <v>44</v>
      </c>
      <c r="H507" s="69">
        <v>7.5</v>
      </c>
      <c r="I507" s="70">
        <v>0.61</v>
      </c>
      <c r="J507" s="70">
        <v>1.46</v>
      </c>
      <c r="K507" s="69">
        <v>12.8</v>
      </c>
      <c r="L507" s="69">
        <v>0.9</v>
      </c>
      <c r="M507" s="69" t="s">
        <v>451</v>
      </c>
      <c r="N507" s="69">
        <v>2000</v>
      </c>
      <c r="O507" s="69" t="s">
        <v>71</v>
      </c>
      <c r="P507" s="69">
        <v>401810</v>
      </c>
      <c r="Q507" s="92" t="s">
        <v>682</v>
      </c>
      <c r="R507" s="92" t="s">
        <v>310</v>
      </c>
      <c r="S507" s="92"/>
    </row>
    <row r="508" spans="1:19" x14ac:dyDescent="0.2">
      <c r="A508" s="92" t="s">
        <v>729</v>
      </c>
      <c r="B508" s="69">
        <v>-20</v>
      </c>
      <c r="C508" s="69">
        <v>-17</v>
      </c>
      <c r="D508" s="69">
        <v>-23</v>
      </c>
      <c r="E508" s="69">
        <v>-19</v>
      </c>
      <c r="F508" s="69">
        <v>-4</v>
      </c>
      <c r="G508" s="69">
        <v>-22</v>
      </c>
      <c r="H508" s="69">
        <v>-4.8</v>
      </c>
      <c r="I508" s="70">
        <v>0.61</v>
      </c>
      <c r="J508" s="70">
        <v>1.46</v>
      </c>
      <c r="K508" s="69">
        <v>19.5</v>
      </c>
      <c r="L508" s="69">
        <v>0</v>
      </c>
      <c r="M508" s="69" t="s">
        <v>451</v>
      </c>
      <c r="N508" s="69">
        <v>2000</v>
      </c>
      <c r="O508" s="69" t="s">
        <v>71</v>
      </c>
      <c r="P508" s="69">
        <v>376319</v>
      </c>
      <c r="Q508" s="92" t="s">
        <v>489</v>
      </c>
      <c r="R508" s="92" t="s">
        <v>413</v>
      </c>
      <c r="S508" s="87"/>
    </row>
    <row r="509" spans="1:19" x14ac:dyDescent="0.2">
      <c r="A509" s="87" t="s">
        <v>730</v>
      </c>
      <c r="B509" s="69">
        <v>-9</v>
      </c>
      <c r="C509" s="69">
        <v>-12</v>
      </c>
      <c r="D509" s="69">
        <v>-16</v>
      </c>
      <c r="E509" s="69">
        <v>-9</v>
      </c>
      <c r="F509" s="69">
        <v>28</v>
      </c>
      <c r="G509" s="69">
        <v>20</v>
      </c>
      <c r="H509" s="69">
        <v>3.7</v>
      </c>
      <c r="I509" s="85">
        <v>0.61</v>
      </c>
      <c r="J509" s="85">
        <v>1.55</v>
      </c>
      <c r="K509" s="69">
        <v>9.6999999999999993</v>
      </c>
      <c r="L509" s="69">
        <v>0.8</v>
      </c>
      <c r="M509" s="86" t="s">
        <v>241</v>
      </c>
      <c r="N509" s="11">
        <v>2006</v>
      </c>
      <c r="O509" s="86" t="s">
        <v>71</v>
      </c>
      <c r="P509" s="86">
        <v>917898</v>
      </c>
      <c r="Q509" s="87" t="s">
        <v>497</v>
      </c>
      <c r="R509" s="87" t="s">
        <v>243</v>
      </c>
      <c r="S509" s="87"/>
    </row>
    <row r="510" spans="1:19" x14ac:dyDescent="0.2">
      <c r="A510" s="92" t="s">
        <v>731</v>
      </c>
      <c r="B510" s="69">
        <v>-11</v>
      </c>
      <c r="C510" s="69">
        <v>-13</v>
      </c>
      <c r="D510" s="69">
        <v>-18</v>
      </c>
      <c r="E510" s="69">
        <v>-11</v>
      </c>
      <c r="F510" s="69">
        <v>26</v>
      </c>
      <c r="G510" s="69"/>
      <c r="H510" s="69"/>
      <c r="I510" s="70">
        <v>0.61</v>
      </c>
      <c r="J510" s="70">
        <v>1.56</v>
      </c>
      <c r="K510" s="69">
        <v>10.3</v>
      </c>
      <c r="L510" s="69">
        <v>0.7</v>
      </c>
      <c r="M510" s="69" t="s">
        <v>241</v>
      </c>
      <c r="N510" s="69">
        <v>2010</v>
      </c>
      <c r="O510" s="69" t="s">
        <v>71</v>
      </c>
      <c r="P510" s="69">
        <v>515148</v>
      </c>
      <c r="Q510" s="92" t="s">
        <v>497</v>
      </c>
      <c r="R510" s="92" t="s">
        <v>223</v>
      </c>
      <c r="S510" s="92" t="s">
        <v>189</v>
      </c>
    </row>
    <row r="511" spans="1:19" x14ac:dyDescent="0.2">
      <c r="A511" s="92" t="s">
        <v>732</v>
      </c>
      <c r="B511" s="69">
        <v>-14</v>
      </c>
      <c r="C511" s="69">
        <v>-15</v>
      </c>
      <c r="D511" s="69">
        <v>-19</v>
      </c>
      <c r="E511" s="69">
        <v>-14</v>
      </c>
      <c r="F511" s="69">
        <v>24</v>
      </c>
      <c r="G511" s="69"/>
      <c r="H511" s="69"/>
      <c r="I511" s="70">
        <v>0.61</v>
      </c>
      <c r="J511" s="70">
        <v>1.55</v>
      </c>
      <c r="K511" s="69">
        <v>10.3</v>
      </c>
      <c r="L511" s="69">
        <v>0.6</v>
      </c>
      <c r="M511" s="69" t="s">
        <v>170</v>
      </c>
      <c r="N511" s="69">
        <v>2011</v>
      </c>
      <c r="O511" s="69" t="s">
        <v>71</v>
      </c>
      <c r="P511" s="69">
        <v>690636</v>
      </c>
      <c r="Q511" s="92" t="s">
        <v>497</v>
      </c>
      <c r="R511" s="92" t="s">
        <v>223</v>
      </c>
      <c r="S511" s="87"/>
    </row>
    <row r="512" spans="1:19" x14ac:dyDescent="0.2">
      <c r="A512" s="92" t="s">
        <v>724</v>
      </c>
      <c r="B512" s="69">
        <v>14</v>
      </c>
      <c r="C512" s="69">
        <v>1</v>
      </c>
      <c r="D512" s="69">
        <v>2</v>
      </c>
      <c r="E512" s="69">
        <v>14</v>
      </c>
      <c r="F512" s="69">
        <v>54</v>
      </c>
      <c r="G512" s="69">
        <v>43</v>
      </c>
      <c r="H512" s="69">
        <v>7.4</v>
      </c>
      <c r="I512" s="70">
        <v>0.61</v>
      </c>
      <c r="J512" s="70">
        <v>1.46</v>
      </c>
      <c r="K512" s="69">
        <v>8.1</v>
      </c>
      <c r="L512" s="69">
        <v>1.7</v>
      </c>
      <c r="M512" s="69" t="s">
        <v>170</v>
      </c>
      <c r="N512" s="69">
        <v>2000</v>
      </c>
      <c r="O512" s="69" t="s">
        <v>171</v>
      </c>
      <c r="P512" s="69">
        <v>273078</v>
      </c>
      <c r="Q512" s="92" t="s">
        <v>403</v>
      </c>
      <c r="R512" s="92" t="s">
        <v>260</v>
      </c>
      <c r="S512" s="87" t="s">
        <v>189</v>
      </c>
    </row>
    <row r="513" spans="1:19" x14ac:dyDescent="0.2">
      <c r="A513" s="92" t="s">
        <v>726</v>
      </c>
      <c r="B513" s="69">
        <v>29</v>
      </c>
      <c r="C513" s="69">
        <v>11</v>
      </c>
      <c r="D513" s="69">
        <v>16</v>
      </c>
      <c r="E513" s="69">
        <v>29</v>
      </c>
      <c r="F513" s="69">
        <v>79</v>
      </c>
      <c r="G513" s="69">
        <v>76</v>
      </c>
      <c r="H513" s="69">
        <v>12</v>
      </c>
      <c r="I513" s="70">
        <v>0.61</v>
      </c>
      <c r="J513" s="70">
        <v>1.45</v>
      </c>
      <c r="K513" s="69">
        <v>6.9</v>
      </c>
      <c r="L513" s="69">
        <v>2.7</v>
      </c>
      <c r="M513" s="69" t="s">
        <v>451</v>
      </c>
      <c r="N513" s="69">
        <v>2000</v>
      </c>
      <c r="O513" s="69" t="s">
        <v>71</v>
      </c>
      <c r="P513" s="69">
        <v>294322</v>
      </c>
      <c r="Q513" s="92" t="s">
        <v>682</v>
      </c>
      <c r="R513" s="92" t="s">
        <v>212</v>
      </c>
      <c r="S513" s="92"/>
    </row>
    <row r="514" spans="1:19" x14ac:dyDescent="0.2">
      <c r="A514" s="92" t="s">
        <v>742</v>
      </c>
      <c r="B514" s="69">
        <v>20</v>
      </c>
      <c r="C514" s="69">
        <v>4</v>
      </c>
      <c r="D514" s="69">
        <v>9</v>
      </c>
      <c r="E514" s="69">
        <v>20</v>
      </c>
      <c r="F514" s="69">
        <v>32</v>
      </c>
      <c r="G514" s="69">
        <v>22</v>
      </c>
      <c r="H514" s="69">
        <v>4</v>
      </c>
      <c r="I514" s="70">
        <v>0.62</v>
      </c>
      <c r="J514" s="70">
        <v>2.75</v>
      </c>
      <c r="K514" s="69">
        <v>9.3000000000000007</v>
      </c>
      <c r="L514" s="69">
        <v>0.9</v>
      </c>
      <c r="M514" s="69" t="s">
        <v>451</v>
      </c>
      <c r="N514" s="69">
        <v>2001</v>
      </c>
      <c r="O514" s="69" t="s">
        <v>71</v>
      </c>
      <c r="P514" s="69">
        <v>389650</v>
      </c>
      <c r="Q514" s="92" t="s">
        <v>616</v>
      </c>
      <c r="R514" s="92" t="s">
        <v>310</v>
      </c>
      <c r="S514" s="87"/>
    </row>
    <row r="515" spans="1:19" x14ac:dyDescent="0.2">
      <c r="A515" s="92" t="s">
        <v>738</v>
      </c>
      <c r="B515" s="69">
        <v>12</v>
      </c>
      <c r="C515" s="69">
        <v>5</v>
      </c>
      <c r="D515" s="69">
        <v>2</v>
      </c>
      <c r="E515" s="69">
        <v>12</v>
      </c>
      <c r="F515" s="69">
        <v>58</v>
      </c>
      <c r="G515" s="69">
        <v>54</v>
      </c>
      <c r="H515" s="69">
        <v>9</v>
      </c>
      <c r="I515" s="70">
        <v>0.62</v>
      </c>
      <c r="J515" s="70">
        <v>1.62</v>
      </c>
      <c r="K515" s="69">
        <v>10.1</v>
      </c>
      <c r="L515" s="69">
        <v>1.4</v>
      </c>
      <c r="M515" s="69" t="s">
        <v>170</v>
      </c>
      <c r="N515" s="69">
        <v>2007</v>
      </c>
      <c r="O515" s="69" t="s">
        <v>171</v>
      </c>
      <c r="P515" s="69">
        <v>119891</v>
      </c>
      <c r="Q515" s="92" t="s">
        <v>191</v>
      </c>
      <c r="R515" s="92" t="s">
        <v>264</v>
      </c>
      <c r="S515" s="92"/>
    </row>
    <row r="516" spans="1:19" x14ac:dyDescent="0.2">
      <c r="A516" s="92" t="s">
        <v>755</v>
      </c>
      <c r="B516" s="69">
        <v>27</v>
      </c>
      <c r="C516" s="69">
        <v>14</v>
      </c>
      <c r="D516" s="69">
        <v>17</v>
      </c>
      <c r="E516" s="69">
        <v>26</v>
      </c>
      <c r="F516" s="69">
        <v>71</v>
      </c>
      <c r="G516" s="69">
        <v>85</v>
      </c>
      <c r="H516" s="69">
        <v>13</v>
      </c>
      <c r="I516" s="70">
        <v>0.62</v>
      </c>
      <c r="J516" s="70">
        <v>1.85</v>
      </c>
      <c r="K516" s="69">
        <v>9.6</v>
      </c>
      <c r="L516" s="69">
        <v>1.8</v>
      </c>
      <c r="M516" s="69" t="s">
        <v>451</v>
      </c>
      <c r="N516" s="69">
        <v>2009</v>
      </c>
      <c r="O516" s="69" t="s">
        <v>71</v>
      </c>
      <c r="P516" s="69">
        <v>889261</v>
      </c>
      <c r="Q516" s="92" t="s">
        <v>535</v>
      </c>
      <c r="R516" s="92" t="s">
        <v>245</v>
      </c>
      <c r="S516" s="92"/>
    </row>
    <row r="517" spans="1:19" x14ac:dyDescent="0.2">
      <c r="A517" s="92" t="s">
        <v>739</v>
      </c>
      <c r="B517" s="69">
        <v>27</v>
      </c>
      <c r="C517" s="69">
        <v>7</v>
      </c>
      <c r="D517" s="69">
        <v>13</v>
      </c>
      <c r="E517" s="69">
        <v>27</v>
      </c>
      <c r="F517" s="69">
        <v>58</v>
      </c>
      <c r="G517" s="69">
        <v>74</v>
      </c>
      <c r="H517" s="69">
        <v>11.7</v>
      </c>
      <c r="I517" s="70">
        <v>0.62</v>
      </c>
      <c r="J517" s="70">
        <v>1.86</v>
      </c>
      <c r="K517" s="69">
        <v>12.9</v>
      </c>
      <c r="L517" s="69">
        <v>1.2</v>
      </c>
      <c r="M517" s="69" t="s">
        <v>681</v>
      </c>
      <c r="N517" s="69">
        <v>2005</v>
      </c>
      <c r="O517" s="69" t="s">
        <v>71</v>
      </c>
      <c r="P517" s="69">
        <v>944637</v>
      </c>
      <c r="Q517" s="92" t="s">
        <v>535</v>
      </c>
      <c r="R517" s="92" t="s">
        <v>239</v>
      </c>
      <c r="S517" s="87"/>
    </row>
    <row r="518" spans="1:19" x14ac:dyDescent="0.2">
      <c r="A518" s="92" t="s">
        <v>740</v>
      </c>
      <c r="B518" s="69">
        <v>39</v>
      </c>
      <c r="C518" s="69">
        <v>15</v>
      </c>
      <c r="D518" s="69">
        <v>24</v>
      </c>
      <c r="E518" s="69">
        <v>38</v>
      </c>
      <c r="F518" s="69">
        <v>92</v>
      </c>
      <c r="G518" s="69">
        <v>101</v>
      </c>
      <c r="H518" s="69">
        <v>14.9</v>
      </c>
      <c r="I518" s="70">
        <v>0.62</v>
      </c>
      <c r="J518" s="70">
        <v>1.85</v>
      </c>
      <c r="K518" s="69">
        <v>8.8000000000000007</v>
      </c>
      <c r="L518" s="69">
        <v>2.4</v>
      </c>
      <c r="M518" s="69" t="s">
        <v>451</v>
      </c>
      <c r="N518" s="69">
        <v>2000</v>
      </c>
      <c r="O518" s="69" t="s">
        <v>71</v>
      </c>
      <c r="P518" s="69">
        <v>686626</v>
      </c>
      <c r="Q518" s="92" t="s">
        <v>535</v>
      </c>
      <c r="R518" s="92" t="s">
        <v>245</v>
      </c>
      <c r="S518" s="92"/>
    </row>
    <row r="519" spans="1:19" x14ac:dyDescent="0.2">
      <c r="A519" s="92" t="s">
        <v>741</v>
      </c>
      <c r="B519" s="69">
        <v>5</v>
      </c>
      <c r="C519" s="69">
        <v>4</v>
      </c>
      <c r="D519" s="69">
        <v>0</v>
      </c>
      <c r="E519" s="69">
        <v>5</v>
      </c>
      <c r="F519" s="69">
        <v>47</v>
      </c>
      <c r="G519" s="69">
        <v>24</v>
      </c>
      <c r="H519" s="69">
        <v>4.5</v>
      </c>
      <c r="I519" s="70">
        <v>0.62</v>
      </c>
      <c r="J519" s="70">
        <v>1.58</v>
      </c>
      <c r="K519" s="69">
        <v>8.3000000000000007</v>
      </c>
      <c r="L519" s="69">
        <v>1.4</v>
      </c>
      <c r="M519" s="69" t="s">
        <v>241</v>
      </c>
      <c r="N519" s="69">
        <v>2010</v>
      </c>
      <c r="O519" s="69" t="s">
        <v>71</v>
      </c>
      <c r="P519" s="69">
        <v>238832</v>
      </c>
      <c r="Q519" s="92" t="s">
        <v>415</v>
      </c>
      <c r="R519" s="92" t="s">
        <v>260</v>
      </c>
      <c r="S519" s="87"/>
    </row>
    <row r="520" spans="1:19" x14ac:dyDescent="0.2">
      <c r="A520" s="92" t="s">
        <v>745</v>
      </c>
      <c r="B520" s="69">
        <v>38</v>
      </c>
      <c r="C520" s="69">
        <v>13</v>
      </c>
      <c r="D520" s="69">
        <v>22</v>
      </c>
      <c r="E520" s="69">
        <v>37</v>
      </c>
      <c r="F520" s="69">
        <v>80</v>
      </c>
      <c r="G520" s="69">
        <v>82</v>
      </c>
      <c r="H520" s="69">
        <v>12.8</v>
      </c>
      <c r="I520" s="70">
        <v>0.62</v>
      </c>
      <c r="J520" s="70">
        <v>1.83</v>
      </c>
      <c r="K520" s="69">
        <v>7.6</v>
      </c>
      <c r="L520" s="69">
        <v>2.5</v>
      </c>
      <c r="M520" s="69" t="s">
        <v>451</v>
      </c>
      <c r="N520" s="69">
        <v>2005</v>
      </c>
      <c r="O520" s="69" t="s">
        <v>71</v>
      </c>
      <c r="P520" s="69">
        <v>563254</v>
      </c>
      <c r="Q520" s="92" t="s">
        <v>746</v>
      </c>
      <c r="R520" s="92" t="s">
        <v>245</v>
      </c>
      <c r="S520" s="87"/>
    </row>
    <row r="521" spans="1:19" x14ac:dyDescent="0.2">
      <c r="A521" s="92" t="s">
        <v>747</v>
      </c>
      <c r="B521" s="69">
        <v>35</v>
      </c>
      <c r="C521" s="69">
        <v>25</v>
      </c>
      <c r="D521" s="69">
        <v>38</v>
      </c>
      <c r="E521" s="69">
        <v>35</v>
      </c>
      <c r="F521" s="69">
        <v>39</v>
      </c>
      <c r="G521" s="69"/>
      <c r="H521" s="69"/>
      <c r="I521" s="70">
        <v>0.62</v>
      </c>
      <c r="J521" s="70">
        <v>1.5</v>
      </c>
      <c r="K521" s="69">
        <v>18.2</v>
      </c>
      <c r="L521" s="69">
        <v>0.6</v>
      </c>
      <c r="M521" s="69" t="s">
        <v>170</v>
      </c>
      <c r="N521" s="69">
        <v>2011</v>
      </c>
      <c r="O521" s="69" t="s">
        <v>171</v>
      </c>
      <c r="P521" s="69">
        <v>620807</v>
      </c>
      <c r="Q521" s="92" t="s">
        <v>661</v>
      </c>
      <c r="R521" s="92" t="s">
        <v>449</v>
      </c>
      <c r="S521" s="92"/>
    </row>
    <row r="522" spans="1:19" x14ac:dyDescent="0.2">
      <c r="A522" s="92" t="s">
        <v>748</v>
      </c>
      <c r="B522" s="69">
        <v>14</v>
      </c>
      <c r="C522" s="69">
        <v>4</v>
      </c>
      <c r="D522" s="69">
        <v>3</v>
      </c>
      <c r="E522" s="69">
        <v>14</v>
      </c>
      <c r="F522" s="69">
        <v>61</v>
      </c>
      <c r="G522" s="69">
        <v>60</v>
      </c>
      <c r="H522" s="69">
        <v>9.8000000000000007</v>
      </c>
      <c r="I522" s="70">
        <v>0.62</v>
      </c>
      <c r="J522" s="70">
        <v>1.5</v>
      </c>
      <c r="K522" s="69">
        <v>11.1</v>
      </c>
      <c r="L522" s="69">
        <v>1.4</v>
      </c>
      <c r="M522" s="69" t="s">
        <v>170</v>
      </c>
      <c r="N522" s="69">
        <v>2003</v>
      </c>
      <c r="O522" s="69" t="s">
        <v>171</v>
      </c>
      <c r="P522" s="69">
        <v>569988</v>
      </c>
      <c r="Q522" s="92" t="s">
        <v>749</v>
      </c>
      <c r="R522" s="92" t="s">
        <v>264</v>
      </c>
      <c r="S522" s="92"/>
    </row>
    <row r="523" spans="1:19" x14ac:dyDescent="0.2">
      <c r="A523" s="92" t="s">
        <v>750</v>
      </c>
      <c r="B523" s="69">
        <v>8</v>
      </c>
      <c r="C523" s="69">
        <v>-2</v>
      </c>
      <c r="D523" s="69">
        <v>-4</v>
      </c>
      <c r="E523" s="69">
        <v>8</v>
      </c>
      <c r="F523" s="69">
        <v>42</v>
      </c>
      <c r="G523" s="69">
        <v>23</v>
      </c>
      <c r="H523" s="69">
        <v>4.2</v>
      </c>
      <c r="I523" s="70">
        <v>0.62</v>
      </c>
      <c r="J523" s="70">
        <v>1.5</v>
      </c>
      <c r="K523" s="69">
        <v>11.5</v>
      </c>
      <c r="L523" s="69">
        <v>1</v>
      </c>
      <c r="M523" s="69" t="s">
        <v>376</v>
      </c>
      <c r="N523" s="69">
        <v>2007</v>
      </c>
      <c r="O523" s="69" t="s">
        <v>71</v>
      </c>
      <c r="P523" s="69">
        <v>354290</v>
      </c>
      <c r="Q523" s="92" t="s">
        <v>462</v>
      </c>
      <c r="R523" s="92" t="s">
        <v>410</v>
      </c>
      <c r="S523" s="87"/>
    </row>
    <row r="524" spans="1:19" x14ac:dyDescent="0.2">
      <c r="A524" s="92" t="s">
        <v>751</v>
      </c>
      <c r="B524" s="69">
        <v>-1</v>
      </c>
      <c r="C524" s="69">
        <v>-10</v>
      </c>
      <c r="D524" s="69">
        <v>-10</v>
      </c>
      <c r="E524" s="69">
        <v>-1</v>
      </c>
      <c r="F524" s="69">
        <v>21</v>
      </c>
      <c r="G524" s="69">
        <v>-11</v>
      </c>
      <c r="H524" s="69">
        <v>-2.2999999999999998</v>
      </c>
      <c r="I524" s="70">
        <v>0.62</v>
      </c>
      <c r="J524" s="70">
        <v>1.5</v>
      </c>
      <c r="K524" s="69">
        <v>12.8</v>
      </c>
      <c r="L524" s="69">
        <v>0.5</v>
      </c>
      <c r="M524" s="69" t="s">
        <v>376</v>
      </c>
      <c r="N524" s="69">
        <v>2007</v>
      </c>
      <c r="O524" s="69" t="s">
        <v>71</v>
      </c>
      <c r="P524" s="69">
        <v>318469</v>
      </c>
      <c r="Q524" s="92" t="s">
        <v>462</v>
      </c>
      <c r="R524" s="92" t="s">
        <v>383</v>
      </c>
      <c r="S524" s="87"/>
    </row>
    <row r="525" spans="1:19" x14ac:dyDescent="0.2">
      <c r="A525" s="92" t="s">
        <v>752</v>
      </c>
      <c r="B525" s="69">
        <v>-3</v>
      </c>
      <c r="C525" s="69">
        <v>-1</v>
      </c>
      <c r="D525" s="69">
        <v>-2</v>
      </c>
      <c r="E525" s="69">
        <v>-3</v>
      </c>
      <c r="F525" s="69">
        <v>13</v>
      </c>
      <c r="G525" s="69">
        <v>-20</v>
      </c>
      <c r="H525" s="69">
        <v>-4.3</v>
      </c>
      <c r="I525" s="70">
        <v>0.62</v>
      </c>
      <c r="J525" s="70">
        <v>1.68</v>
      </c>
      <c r="K525" s="69">
        <v>8.8000000000000007</v>
      </c>
      <c r="L525" s="69">
        <v>0.4</v>
      </c>
      <c r="M525" s="69" t="s">
        <v>170</v>
      </c>
      <c r="N525" s="69">
        <v>2010</v>
      </c>
      <c r="O525" s="69" t="s">
        <v>171</v>
      </c>
      <c r="P525" s="69">
        <v>554634</v>
      </c>
      <c r="Q525" s="92" t="s">
        <v>172</v>
      </c>
      <c r="R525" s="92" t="s">
        <v>173</v>
      </c>
      <c r="S525" s="87"/>
    </row>
    <row r="526" spans="1:19" x14ac:dyDescent="0.2">
      <c r="A526" s="92" t="s">
        <v>753</v>
      </c>
      <c r="B526" s="69">
        <v>23</v>
      </c>
      <c r="C526" s="69">
        <v>5</v>
      </c>
      <c r="D526" s="69">
        <v>10</v>
      </c>
      <c r="E526" s="69">
        <v>23</v>
      </c>
      <c r="F526" s="69">
        <v>55</v>
      </c>
      <c r="G526" s="69">
        <v>42</v>
      </c>
      <c r="H526" s="69">
        <v>7.3</v>
      </c>
      <c r="I526" s="70">
        <v>0.62</v>
      </c>
      <c r="J526" s="70">
        <v>1.88</v>
      </c>
      <c r="K526" s="69">
        <v>7</v>
      </c>
      <c r="L526" s="69">
        <v>1.9</v>
      </c>
      <c r="M526" s="69" t="s">
        <v>241</v>
      </c>
      <c r="N526" s="69">
        <v>2010</v>
      </c>
      <c r="O526" s="69" t="s">
        <v>71</v>
      </c>
      <c r="P526" s="69">
        <v>523050</v>
      </c>
      <c r="Q526" s="92" t="s">
        <v>495</v>
      </c>
      <c r="R526" s="92" t="s">
        <v>212</v>
      </c>
      <c r="S526" s="92"/>
    </row>
    <row r="527" spans="1:19" x14ac:dyDescent="0.2">
      <c r="A527" s="92" t="s">
        <v>754</v>
      </c>
      <c r="B527" s="69">
        <v>10</v>
      </c>
      <c r="C527" s="69">
        <v>-4</v>
      </c>
      <c r="D527" s="69">
        <v>-1</v>
      </c>
      <c r="E527" s="69">
        <v>10</v>
      </c>
      <c r="F527" s="69">
        <v>15</v>
      </c>
      <c r="G527" s="69"/>
      <c r="H527" s="69"/>
      <c r="I527" s="70">
        <v>0.62</v>
      </c>
      <c r="J527" s="70">
        <v>1.5</v>
      </c>
      <c r="K527" s="69">
        <v>10.9</v>
      </c>
      <c r="L527" s="69">
        <v>0.4</v>
      </c>
      <c r="M527" s="69" t="s">
        <v>170</v>
      </c>
      <c r="N527" s="69">
        <v>2011</v>
      </c>
      <c r="O527" s="69" t="s">
        <v>171</v>
      </c>
      <c r="P527" s="69">
        <v>357830</v>
      </c>
      <c r="Q527" s="92" t="s">
        <v>538</v>
      </c>
      <c r="R527" s="92" t="s">
        <v>310</v>
      </c>
      <c r="S527" s="87"/>
    </row>
    <row r="528" spans="1:19" x14ac:dyDescent="0.2">
      <c r="A528" s="92" t="s">
        <v>743</v>
      </c>
      <c r="B528" s="69">
        <v>-38</v>
      </c>
      <c r="C528" s="69">
        <v>-26</v>
      </c>
      <c r="D528" s="69">
        <v>-34</v>
      </c>
      <c r="E528" s="69">
        <v>-38</v>
      </c>
      <c r="F528" s="69">
        <v>-34</v>
      </c>
      <c r="G528" s="69">
        <v>-43</v>
      </c>
      <c r="H528" s="69">
        <v>-10.6</v>
      </c>
      <c r="I528" s="70">
        <v>0.62</v>
      </c>
      <c r="J528" s="70">
        <v>2.59</v>
      </c>
      <c r="K528" s="69">
        <v>22.3</v>
      </c>
      <c r="L528" s="69">
        <v>-0.6</v>
      </c>
      <c r="M528" s="69" t="s">
        <v>170</v>
      </c>
      <c r="N528" s="69">
        <v>2011</v>
      </c>
      <c r="O528" s="69" t="s">
        <v>71</v>
      </c>
      <c r="P528" s="69">
        <v>473231</v>
      </c>
      <c r="Q528" s="92" t="s">
        <v>289</v>
      </c>
      <c r="R528" s="92" t="s">
        <v>487</v>
      </c>
      <c r="S528" s="92"/>
    </row>
    <row r="529" spans="1:19" x14ac:dyDescent="0.2">
      <c r="A529" s="92" t="s">
        <v>744</v>
      </c>
      <c r="B529" s="69">
        <v>15</v>
      </c>
      <c r="C529" s="69">
        <v>6</v>
      </c>
      <c r="D529" s="69">
        <v>5</v>
      </c>
      <c r="E529" s="69">
        <v>14</v>
      </c>
      <c r="F529" s="69">
        <v>56</v>
      </c>
      <c r="G529" s="69"/>
      <c r="H529" s="69"/>
      <c r="I529" s="70">
        <v>0.62</v>
      </c>
      <c r="J529" s="70">
        <v>1.7</v>
      </c>
      <c r="K529" s="69">
        <v>9.8000000000000007</v>
      </c>
      <c r="L529" s="69">
        <v>1.4</v>
      </c>
      <c r="M529" s="69" t="s">
        <v>170</v>
      </c>
      <c r="N529" s="69">
        <v>2013</v>
      </c>
      <c r="O529" s="69" t="s">
        <v>71</v>
      </c>
      <c r="P529" s="69">
        <v>694828</v>
      </c>
      <c r="Q529" s="92" t="s">
        <v>368</v>
      </c>
      <c r="R529" s="92" t="s">
        <v>173</v>
      </c>
      <c r="S529" s="92"/>
    </row>
    <row r="530" spans="1:19" x14ac:dyDescent="0.2">
      <c r="A530" s="92" t="s">
        <v>737</v>
      </c>
      <c r="B530" s="69">
        <v>21</v>
      </c>
      <c r="C530" s="69">
        <v>9</v>
      </c>
      <c r="D530" s="69">
        <v>14</v>
      </c>
      <c r="E530" s="69">
        <v>20</v>
      </c>
      <c r="F530" s="69">
        <v>93</v>
      </c>
      <c r="G530" s="69">
        <v>48</v>
      </c>
      <c r="H530" s="69">
        <v>8.1999999999999993</v>
      </c>
      <c r="I530" s="70">
        <v>0.62</v>
      </c>
      <c r="J530" s="70">
        <v>1.85</v>
      </c>
      <c r="K530" s="69">
        <v>8.8000000000000007</v>
      </c>
      <c r="L530" s="69">
        <v>2.4</v>
      </c>
      <c r="M530" s="69" t="s">
        <v>241</v>
      </c>
      <c r="N530" s="69">
        <v>2000</v>
      </c>
      <c r="O530" s="69" t="s">
        <v>71</v>
      </c>
      <c r="P530" s="69">
        <v>543306</v>
      </c>
      <c r="Q530" s="92" t="s">
        <v>535</v>
      </c>
      <c r="R530" s="92" t="s">
        <v>370</v>
      </c>
      <c r="S530" s="92"/>
    </row>
    <row r="531" spans="1:19" x14ac:dyDescent="0.2">
      <c r="A531" s="92" t="s">
        <v>756</v>
      </c>
      <c r="B531" s="69">
        <v>11</v>
      </c>
      <c r="C531" s="69">
        <v>1</v>
      </c>
      <c r="D531" s="69">
        <v>-1</v>
      </c>
      <c r="E531" s="69">
        <v>11</v>
      </c>
      <c r="F531" s="69">
        <v>27</v>
      </c>
      <c r="G531" s="69"/>
      <c r="H531" s="69"/>
      <c r="I531" s="70">
        <v>0.63</v>
      </c>
      <c r="J531" s="70">
        <v>1.62</v>
      </c>
      <c r="K531" s="69">
        <v>8</v>
      </c>
      <c r="L531" s="69">
        <v>0.9</v>
      </c>
      <c r="M531" s="69" t="s">
        <v>241</v>
      </c>
      <c r="N531" s="69">
        <v>2011</v>
      </c>
      <c r="O531" s="69" t="s">
        <v>71</v>
      </c>
      <c r="P531" s="69">
        <v>323832</v>
      </c>
      <c r="Q531" s="92" t="s">
        <v>495</v>
      </c>
      <c r="R531" s="92" t="s">
        <v>223</v>
      </c>
      <c r="S531" s="87"/>
    </row>
    <row r="532" spans="1:19" x14ac:dyDescent="0.2">
      <c r="A532" s="92" t="s">
        <v>758</v>
      </c>
      <c r="B532" s="69">
        <v>26</v>
      </c>
      <c r="C532" s="69">
        <v>15</v>
      </c>
      <c r="D532" s="69">
        <v>24</v>
      </c>
      <c r="E532" s="69">
        <v>26</v>
      </c>
      <c r="F532" s="69">
        <v>43</v>
      </c>
      <c r="G532" s="69">
        <v>14</v>
      </c>
      <c r="H532" s="69">
        <v>2.7</v>
      </c>
      <c r="I532" s="70">
        <v>0.63</v>
      </c>
      <c r="J532" s="70">
        <v>1.78</v>
      </c>
      <c r="K532" s="69">
        <v>13.7</v>
      </c>
      <c r="L532" s="69">
        <v>0.8</v>
      </c>
      <c r="M532" s="69" t="s">
        <v>451</v>
      </c>
      <c r="N532" s="69">
        <v>2000</v>
      </c>
      <c r="O532" s="69" t="s">
        <v>71</v>
      </c>
      <c r="P532" s="69">
        <v>334409</v>
      </c>
      <c r="Q532" s="92" t="s">
        <v>580</v>
      </c>
      <c r="R532" s="92" t="s">
        <v>449</v>
      </c>
      <c r="S532" s="92"/>
    </row>
    <row r="533" spans="1:19" x14ac:dyDescent="0.2">
      <c r="A533" s="92" t="s">
        <v>759</v>
      </c>
      <c r="B533" s="69">
        <v>18</v>
      </c>
      <c r="C533" s="69">
        <v>3</v>
      </c>
      <c r="D533" s="69">
        <v>7</v>
      </c>
      <c r="E533" s="69">
        <v>18</v>
      </c>
      <c r="F533" s="69">
        <v>27</v>
      </c>
      <c r="G533" s="69">
        <v>9</v>
      </c>
      <c r="H533" s="69">
        <v>1.7</v>
      </c>
      <c r="I533" s="70">
        <v>0.63</v>
      </c>
      <c r="J533" s="70">
        <v>1.91</v>
      </c>
      <c r="K533" s="69">
        <v>11.4</v>
      </c>
      <c r="L533" s="69">
        <v>0.7</v>
      </c>
      <c r="M533" s="69" t="s">
        <v>170</v>
      </c>
      <c r="N533" s="69">
        <v>2000</v>
      </c>
      <c r="O533" s="69" t="s">
        <v>71</v>
      </c>
      <c r="P533" s="69">
        <v>819029</v>
      </c>
      <c r="Q533" s="92" t="s">
        <v>275</v>
      </c>
      <c r="R533" s="92" t="s">
        <v>379</v>
      </c>
      <c r="S533" s="92" t="s">
        <v>189</v>
      </c>
    </row>
    <row r="534" spans="1:19" x14ac:dyDescent="0.2">
      <c r="A534" s="92" t="s">
        <v>757</v>
      </c>
      <c r="B534" s="69">
        <v>10</v>
      </c>
      <c r="C534" s="69">
        <v>3</v>
      </c>
      <c r="D534" s="69">
        <v>4</v>
      </c>
      <c r="E534" s="69">
        <v>9</v>
      </c>
      <c r="F534" s="69">
        <v>13</v>
      </c>
      <c r="G534" s="69">
        <v>-2</v>
      </c>
      <c r="H534" s="69">
        <v>-0.4</v>
      </c>
      <c r="I534" s="70">
        <v>0.63</v>
      </c>
      <c r="J534" s="70">
        <v>1.1599999999999999</v>
      </c>
      <c r="K534" s="69">
        <v>4.7</v>
      </c>
      <c r="L534" s="69">
        <v>0.6</v>
      </c>
      <c r="M534" s="69" t="s">
        <v>241</v>
      </c>
      <c r="N534" s="69">
        <v>2004</v>
      </c>
      <c r="O534" s="69" t="s">
        <v>71</v>
      </c>
      <c r="P534" s="69">
        <v>808634</v>
      </c>
      <c r="Q534" s="92" t="s">
        <v>1133</v>
      </c>
      <c r="R534" s="92" t="s">
        <v>223</v>
      </c>
      <c r="S534" s="92"/>
    </row>
    <row r="535" spans="1:19" x14ac:dyDescent="0.2">
      <c r="A535" s="92" t="s">
        <v>761</v>
      </c>
      <c r="B535" s="69">
        <v>23</v>
      </c>
      <c r="C535" s="69">
        <v>9</v>
      </c>
      <c r="D535" s="69">
        <v>13</v>
      </c>
      <c r="E535" s="69">
        <v>23</v>
      </c>
      <c r="F535" s="69">
        <v>59</v>
      </c>
      <c r="G535" s="69">
        <v>51</v>
      </c>
      <c r="H535" s="69">
        <v>8.6</v>
      </c>
      <c r="I535" s="70">
        <v>0.64</v>
      </c>
      <c r="J535" s="70">
        <v>1.87</v>
      </c>
      <c r="K535" s="69">
        <v>7.3</v>
      </c>
      <c r="L535" s="69">
        <v>2</v>
      </c>
      <c r="M535" s="69" t="s">
        <v>170</v>
      </c>
      <c r="N535" s="69">
        <v>2005</v>
      </c>
      <c r="O535" s="69" t="s">
        <v>71</v>
      </c>
      <c r="P535" s="69">
        <v>432096</v>
      </c>
      <c r="Q535" s="92" t="s">
        <v>500</v>
      </c>
      <c r="R535" s="92" t="s">
        <v>212</v>
      </c>
      <c r="S535" s="92"/>
    </row>
    <row r="536" spans="1:19" x14ac:dyDescent="0.2">
      <c r="A536" s="92" t="s">
        <v>760</v>
      </c>
      <c r="B536" s="69">
        <v>23</v>
      </c>
      <c r="C536" s="69">
        <v>4</v>
      </c>
      <c r="D536" s="69">
        <v>11</v>
      </c>
      <c r="E536" s="69">
        <v>23</v>
      </c>
      <c r="F536" s="69">
        <v>30</v>
      </c>
      <c r="G536" s="69">
        <v>50</v>
      </c>
      <c r="H536" s="69">
        <v>8.4</v>
      </c>
      <c r="I536" s="70">
        <v>0.64</v>
      </c>
      <c r="J536" s="70">
        <v>1.7</v>
      </c>
      <c r="K536" s="69">
        <v>6.3</v>
      </c>
      <c r="L536" s="69">
        <v>1.2</v>
      </c>
      <c r="M536" s="69" t="s">
        <v>451</v>
      </c>
      <c r="N536" s="69">
        <v>2006</v>
      </c>
      <c r="O536" s="69" t="s">
        <v>71</v>
      </c>
      <c r="P536" s="69">
        <v>721746</v>
      </c>
      <c r="Q536" s="92" t="s">
        <v>553</v>
      </c>
      <c r="R536" s="92" t="s">
        <v>223</v>
      </c>
      <c r="S536" s="92"/>
    </row>
    <row r="537" spans="1:19" x14ac:dyDescent="0.2">
      <c r="A537" s="92" t="s">
        <v>762</v>
      </c>
      <c r="B537" s="69">
        <v>8</v>
      </c>
      <c r="C537" s="69">
        <v>3</v>
      </c>
      <c r="D537" s="69">
        <v>-1</v>
      </c>
      <c r="E537" s="69">
        <v>8</v>
      </c>
      <c r="F537" s="69">
        <v>44</v>
      </c>
      <c r="G537" s="69">
        <v>37</v>
      </c>
      <c r="H537" s="69">
        <v>6.4</v>
      </c>
      <c r="I537" s="70">
        <v>0.64</v>
      </c>
      <c r="J537" s="70">
        <v>1.65</v>
      </c>
      <c r="K537" s="69">
        <v>6.3</v>
      </c>
      <c r="L537" s="69">
        <v>1.8</v>
      </c>
      <c r="M537" s="69" t="s">
        <v>241</v>
      </c>
      <c r="N537" s="69">
        <v>2012</v>
      </c>
      <c r="O537" s="69" t="s">
        <v>71</v>
      </c>
      <c r="P537" s="69">
        <v>830885</v>
      </c>
      <c r="Q537" s="92" t="s">
        <v>763</v>
      </c>
      <c r="R537" s="92" t="s">
        <v>243</v>
      </c>
      <c r="S537" s="87"/>
    </row>
    <row r="538" spans="1:19" x14ac:dyDescent="0.2">
      <c r="A538" s="92" t="s">
        <v>764</v>
      </c>
      <c r="B538" s="69">
        <v>12</v>
      </c>
      <c r="C538" s="69">
        <v>6</v>
      </c>
      <c r="D538" s="69">
        <v>5</v>
      </c>
      <c r="E538" s="69">
        <v>11</v>
      </c>
      <c r="F538" s="69">
        <v>38</v>
      </c>
      <c r="G538" s="69">
        <v>19</v>
      </c>
      <c r="H538" s="69">
        <v>3.6</v>
      </c>
      <c r="I538" s="70">
        <v>0.64</v>
      </c>
      <c r="J538" s="70">
        <v>1.83</v>
      </c>
      <c r="K538" s="69">
        <v>5.6</v>
      </c>
      <c r="L538" s="69">
        <v>1.7</v>
      </c>
      <c r="M538" s="69" t="s">
        <v>241</v>
      </c>
      <c r="N538" s="69">
        <v>2001</v>
      </c>
      <c r="O538" s="69" t="s">
        <v>71</v>
      </c>
      <c r="P538" s="69">
        <v>657460</v>
      </c>
      <c r="Q538" s="92" t="s">
        <v>235</v>
      </c>
      <c r="R538" s="92" t="s">
        <v>173</v>
      </c>
      <c r="S538" s="87"/>
    </row>
    <row r="539" spans="1:19" x14ac:dyDescent="0.2">
      <c r="A539" s="92" t="s">
        <v>769</v>
      </c>
      <c r="B539" s="69">
        <v>37</v>
      </c>
      <c r="C539" s="69">
        <v>14</v>
      </c>
      <c r="D539" s="69">
        <v>23</v>
      </c>
      <c r="E539" s="69">
        <v>36</v>
      </c>
      <c r="F539" s="69">
        <v>89</v>
      </c>
      <c r="G539" s="69">
        <v>70</v>
      </c>
      <c r="H539" s="69">
        <v>11.2</v>
      </c>
      <c r="I539" s="70">
        <v>0.65</v>
      </c>
      <c r="J539" s="70">
        <v>1.58</v>
      </c>
      <c r="K539" s="69">
        <v>10.4</v>
      </c>
      <c r="L539" s="69">
        <v>2</v>
      </c>
      <c r="M539" s="69" t="s">
        <v>241</v>
      </c>
      <c r="N539" s="69">
        <v>2002</v>
      </c>
      <c r="O539" s="69" t="s">
        <v>71</v>
      </c>
      <c r="P539" s="69">
        <v>360495</v>
      </c>
      <c r="Q539" s="92" t="s">
        <v>770</v>
      </c>
      <c r="R539" s="92" t="s">
        <v>245</v>
      </c>
      <c r="S539" s="92"/>
    </row>
    <row r="540" spans="1:19" x14ac:dyDescent="0.2">
      <c r="A540" s="92" t="s">
        <v>765</v>
      </c>
      <c r="B540" s="69">
        <v>11</v>
      </c>
      <c r="C540" s="69">
        <v>5</v>
      </c>
      <c r="D540" s="69">
        <v>3</v>
      </c>
      <c r="E540" s="69">
        <v>10</v>
      </c>
      <c r="F540" s="69">
        <v>62</v>
      </c>
      <c r="G540" s="69">
        <v>17</v>
      </c>
      <c r="H540" s="69">
        <v>3.2</v>
      </c>
      <c r="I540" s="70">
        <v>0.65</v>
      </c>
      <c r="J540" s="70">
        <v>1.77</v>
      </c>
      <c r="K540" s="69">
        <v>11.4</v>
      </c>
      <c r="L540" s="69">
        <v>1.3</v>
      </c>
      <c r="M540" s="69" t="s">
        <v>241</v>
      </c>
      <c r="N540" s="69">
        <v>2011</v>
      </c>
      <c r="O540" s="69" t="s">
        <v>71</v>
      </c>
      <c r="P540" s="69">
        <v>125856</v>
      </c>
      <c r="Q540" s="92" t="s">
        <v>715</v>
      </c>
      <c r="R540" s="92" t="s">
        <v>697</v>
      </c>
      <c r="S540" s="87"/>
    </row>
    <row r="541" spans="1:19" x14ac:dyDescent="0.2">
      <c r="A541" s="92" t="s">
        <v>771</v>
      </c>
      <c r="B541" s="69">
        <v>22</v>
      </c>
      <c r="C541" s="69">
        <v>10</v>
      </c>
      <c r="D541" s="69">
        <v>10</v>
      </c>
      <c r="E541" s="69">
        <v>21</v>
      </c>
      <c r="F541" s="69">
        <v>64</v>
      </c>
      <c r="G541" s="69">
        <v>43</v>
      </c>
      <c r="H541" s="69">
        <v>7.4</v>
      </c>
      <c r="I541" s="70">
        <v>0.65</v>
      </c>
      <c r="J541" s="70">
        <v>1.63</v>
      </c>
      <c r="K541" s="69">
        <v>7.8</v>
      </c>
      <c r="L541" s="69">
        <v>2</v>
      </c>
      <c r="M541" s="69" t="s">
        <v>241</v>
      </c>
      <c r="N541" s="69">
        <v>2003</v>
      </c>
      <c r="O541" s="69" t="s">
        <v>71</v>
      </c>
      <c r="P541" s="69">
        <v>810465</v>
      </c>
      <c r="Q541" s="92" t="s">
        <v>454</v>
      </c>
      <c r="R541" s="92" t="s">
        <v>260</v>
      </c>
      <c r="S541" s="87" t="s">
        <v>189</v>
      </c>
    </row>
    <row r="542" spans="1:19" x14ac:dyDescent="0.2">
      <c r="A542" s="92" t="s">
        <v>767</v>
      </c>
      <c r="B542" s="69">
        <v>23</v>
      </c>
      <c r="C542" s="69">
        <v>7</v>
      </c>
      <c r="D542" s="69">
        <v>14</v>
      </c>
      <c r="E542" s="69">
        <v>23</v>
      </c>
      <c r="F542" s="69">
        <v>42</v>
      </c>
      <c r="G542" s="69">
        <v>41</v>
      </c>
      <c r="H542" s="69">
        <v>7.2</v>
      </c>
      <c r="I542" s="70">
        <v>0.65</v>
      </c>
      <c r="J542" s="70">
        <v>1.77</v>
      </c>
      <c r="K542" s="69">
        <v>4.9000000000000004</v>
      </c>
      <c r="L542" s="69">
        <v>2.1</v>
      </c>
      <c r="M542" s="69" t="s">
        <v>451</v>
      </c>
      <c r="N542" s="69">
        <v>2004</v>
      </c>
      <c r="O542" s="69" t="s">
        <v>71</v>
      </c>
      <c r="P542" s="69">
        <v>302760</v>
      </c>
      <c r="Q542" s="92" t="s">
        <v>768</v>
      </c>
      <c r="R542" s="92" t="s">
        <v>173</v>
      </c>
      <c r="S542" s="87"/>
    </row>
    <row r="543" spans="1:19" x14ac:dyDescent="0.2">
      <c r="A543" s="92" t="s">
        <v>766</v>
      </c>
      <c r="B543" s="69">
        <v>19</v>
      </c>
      <c r="C543" s="69">
        <v>5</v>
      </c>
      <c r="D543" s="69">
        <v>11</v>
      </c>
      <c r="E543" s="69">
        <v>20</v>
      </c>
      <c r="F543" s="69">
        <v>41</v>
      </c>
      <c r="G543" s="69">
        <v>47</v>
      </c>
      <c r="H543" s="69">
        <v>7.9</v>
      </c>
      <c r="I543" s="70">
        <v>0.65</v>
      </c>
      <c r="J543" s="70">
        <v>1.58</v>
      </c>
      <c r="K543" s="69">
        <v>11.9</v>
      </c>
      <c r="L543" s="69">
        <v>0.9</v>
      </c>
      <c r="M543" s="69" t="s">
        <v>681</v>
      </c>
      <c r="N543" s="69">
        <v>2000</v>
      </c>
      <c r="O543" s="69" t="s">
        <v>71</v>
      </c>
      <c r="P543" s="69">
        <v>652628</v>
      </c>
      <c r="Q543" s="92" t="s">
        <v>682</v>
      </c>
      <c r="R543" s="92" t="s">
        <v>239</v>
      </c>
      <c r="S543" s="87"/>
    </row>
    <row r="544" spans="1:19" x14ac:dyDescent="0.2">
      <c r="A544" s="92" t="s">
        <v>772</v>
      </c>
      <c r="B544" s="69">
        <v>15</v>
      </c>
      <c r="C544" s="69">
        <v>7</v>
      </c>
      <c r="D544" s="69">
        <v>3</v>
      </c>
      <c r="E544" s="69">
        <v>15</v>
      </c>
      <c r="F544" s="69">
        <v>91</v>
      </c>
      <c r="G544" s="69">
        <v>80</v>
      </c>
      <c r="H544" s="69">
        <v>12.4</v>
      </c>
      <c r="I544" s="70">
        <v>0.66</v>
      </c>
      <c r="J544" s="70">
        <v>1.98</v>
      </c>
      <c r="K544" s="69">
        <v>10.1</v>
      </c>
      <c r="L544" s="69">
        <v>2</v>
      </c>
      <c r="M544" s="69" t="s">
        <v>241</v>
      </c>
      <c r="N544" s="69">
        <v>2005</v>
      </c>
      <c r="O544" s="69" t="s">
        <v>71</v>
      </c>
      <c r="P544" s="69">
        <v>116293</v>
      </c>
      <c r="Q544" s="92" t="s">
        <v>535</v>
      </c>
      <c r="R544" s="92" t="s">
        <v>408</v>
      </c>
      <c r="S544" s="92"/>
    </row>
    <row r="545" spans="1:19" x14ac:dyDescent="0.2">
      <c r="A545" s="92" t="s">
        <v>774</v>
      </c>
      <c r="B545" s="69">
        <v>15</v>
      </c>
      <c r="C545" s="69">
        <v>6</v>
      </c>
      <c r="D545" s="69">
        <v>6</v>
      </c>
      <c r="E545" s="69">
        <v>15</v>
      </c>
      <c r="F545" s="69">
        <v>72</v>
      </c>
      <c r="G545" s="69">
        <v>77</v>
      </c>
      <c r="H545" s="69">
        <v>12.1</v>
      </c>
      <c r="I545" s="70">
        <v>0.66</v>
      </c>
      <c r="J545" s="70">
        <v>1.74</v>
      </c>
      <c r="K545" s="69">
        <v>10.6</v>
      </c>
      <c r="L545" s="69">
        <v>1.7</v>
      </c>
      <c r="M545" s="69" t="s">
        <v>170</v>
      </c>
      <c r="N545" s="69">
        <v>2012</v>
      </c>
      <c r="O545" s="69" t="s">
        <v>171</v>
      </c>
      <c r="P545" s="69">
        <v>647487</v>
      </c>
      <c r="Q545" s="92" t="s">
        <v>282</v>
      </c>
      <c r="R545" s="92" t="s">
        <v>264</v>
      </c>
      <c r="S545" s="87"/>
    </row>
    <row r="546" spans="1:19" x14ac:dyDescent="0.2">
      <c r="A546" s="92" t="s">
        <v>778</v>
      </c>
      <c r="B546" s="69">
        <v>4</v>
      </c>
      <c r="C546" s="69">
        <v>-9</v>
      </c>
      <c r="D546" s="69">
        <v>-11</v>
      </c>
      <c r="E546" s="69">
        <v>4</v>
      </c>
      <c r="F546" s="69">
        <v>-18</v>
      </c>
      <c r="G546" s="69">
        <v>-22</v>
      </c>
      <c r="H546" s="69">
        <v>-4.9000000000000004</v>
      </c>
      <c r="I546" s="70">
        <v>0.66</v>
      </c>
      <c r="J546" s="70">
        <v>1.61</v>
      </c>
      <c r="K546" s="69">
        <v>17</v>
      </c>
      <c r="L546" s="69">
        <v>-0.4</v>
      </c>
      <c r="M546" s="69" t="s">
        <v>552</v>
      </c>
      <c r="N546" s="69">
        <v>2003</v>
      </c>
      <c r="O546" s="69" t="s">
        <v>71</v>
      </c>
      <c r="P546" s="69">
        <v>899120</v>
      </c>
      <c r="Q546" s="92" t="s">
        <v>777</v>
      </c>
      <c r="R546" s="92" t="s">
        <v>370</v>
      </c>
      <c r="S546" s="92"/>
    </row>
    <row r="547" spans="1:19" x14ac:dyDescent="0.2">
      <c r="A547" s="92" t="s">
        <v>779</v>
      </c>
      <c r="B547" s="69">
        <v>1</v>
      </c>
      <c r="C547" s="69">
        <v>-1</v>
      </c>
      <c r="D547" s="69">
        <v>-2</v>
      </c>
      <c r="E547" s="69">
        <v>2</v>
      </c>
      <c r="F547" s="69"/>
      <c r="G547" s="69"/>
      <c r="H547" s="69"/>
      <c r="I547" s="70">
        <v>0.66</v>
      </c>
      <c r="J547" s="70">
        <v>1.6</v>
      </c>
      <c r="K547" s="69"/>
      <c r="L547" s="69"/>
      <c r="M547" s="69" t="s">
        <v>170</v>
      </c>
      <c r="N547" s="69">
        <v>2012</v>
      </c>
      <c r="O547" s="69" t="s">
        <v>171</v>
      </c>
      <c r="P547" s="69">
        <v>154369</v>
      </c>
      <c r="Q547" s="92" t="s">
        <v>538</v>
      </c>
      <c r="R547" s="92" t="s">
        <v>383</v>
      </c>
      <c r="S547" s="87"/>
    </row>
    <row r="548" spans="1:19" x14ac:dyDescent="0.2">
      <c r="A548" s="92" t="s">
        <v>780</v>
      </c>
      <c r="B548" s="69">
        <v>31</v>
      </c>
      <c r="C548" s="69">
        <v>8</v>
      </c>
      <c r="D548" s="69">
        <v>12</v>
      </c>
      <c r="E548" s="69">
        <v>30</v>
      </c>
      <c r="F548" s="69"/>
      <c r="G548" s="69"/>
      <c r="H548" s="69"/>
      <c r="I548" s="70">
        <v>0.66</v>
      </c>
      <c r="J548" s="70">
        <v>1.6</v>
      </c>
      <c r="K548" s="69"/>
      <c r="L548" s="69"/>
      <c r="M548" s="69" t="s">
        <v>170</v>
      </c>
      <c r="N548" s="69">
        <v>2012</v>
      </c>
      <c r="O548" s="69" t="s">
        <v>171</v>
      </c>
      <c r="P548" s="69">
        <v>261859</v>
      </c>
      <c r="Q548" s="92" t="s">
        <v>538</v>
      </c>
      <c r="R548" s="92" t="s">
        <v>383</v>
      </c>
      <c r="S548" s="87"/>
    </row>
    <row r="549" spans="1:19" x14ac:dyDescent="0.2">
      <c r="A549" s="92" t="s">
        <v>781</v>
      </c>
      <c r="B549" s="69">
        <v>-22</v>
      </c>
      <c r="C549" s="69">
        <v>-18</v>
      </c>
      <c r="D549" s="69">
        <v>-23</v>
      </c>
      <c r="E549" s="69">
        <v>-22</v>
      </c>
      <c r="F549" s="69">
        <v>-12</v>
      </c>
      <c r="G549" s="69">
        <v>-30</v>
      </c>
      <c r="H549" s="69">
        <v>-6.9</v>
      </c>
      <c r="I549" s="70">
        <v>0.66</v>
      </c>
      <c r="J549" s="70">
        <v>2.0499999999999998</v>
      </c>
      <c r="K549" s="69">
        <v>17.899999999999999</v>
      </c>
      <c r="L549" s="69">
        <v>-0.2</v>
      </c>
      <c r="M549" s="69" t="s">
        <v>376</v>
      </c>
      <c r="N549" s="69">
        <v>2013</v>
      </c>
      <c r="O549" s="69" t="s">
        <v>71</v>
      </c>
      <c r="P549" s="69">
        <v>589168</v>
      </c>
      <c r="Q549" s="92" t="s">
        <v>625</v>
      </c>
      <c r="R549" s="92" t="s">
        <v>413</v>
      </c>
      <c r="S549" s="87"/>
    </row>
    <row r="550" spans="1:19" x14ac:dyDescent="0.2">
      <c r="A550" s="92" t="s">
        <v>782</v>
      </c>
      <c r="B550" s="69">
        <v>16</v>
      </c>
      <c r="C550" s="69">
        <v>8</v>
      </c>
      <c r="D550" s="69">
        <v>3</v>
      </c>
      <c r="E550" s="69">
        <v>15</v>
      </c>
      <c r="F550" s="69">
        <v>88</v>
      </c>
      <c r="G550" s="69">
        <v>39</v>
      </c>
      <c r="H550" s="69">
        <v>6.8</v>
      </c>
      <c r="I550" s="70">
        <v>0.66</v>
      </c>
      <c r="J550" s="70">
        <v>1.6</v>
      </c>
      <c r="K550" s="69">
        <v>15.1</v>
      </c>
      <c r="L550" s="69">
        <v>1.4</v>
      </c>
      <c r="M550" s="69" t="s">
        <v>241</v>
      </c>
      <c r="N550" s="69">
        <v>2002</v>
      </c>
      <c r="O550" s="69" t="s">
        <v>71</v>
      </c>
      <c r="P550" s="69">
        <v>324665</v>
      </c>
      <c r="Q550" s="92" t="s">
        <v>770</v>
      </c>
      <c r="R550" s="92" t="s">
        <v>383</v>
      </c>
      <c r="S550" s="87"/>
    </row>
    <row r="551" spans="1:19" x14ac:dyDescent="0.2">
      <c r="A551" s="92" t="s">
        <v>775</v>
      </c>
      <c r="B551" s="69">
        <v>12</v>
      </c>
      <c r="C551" s="69">
        <v>5</v>
      </c>
      <c r="D551" s="69">
        <v>5</v>
      </c>
      <c r="E551" s="69">
        <v>11</v>
      </c>
      <c r="F551" s="69">
        <v>61</v>
      </c>
      <c r="G551" s="69">
        <v>29</v>
      </c>
      <c r="H551" s="69">
        <v>5.3</v>
      </c>
      <c r="I551" s="70">
        <v>0.66</v>
      </c>
      <c r="J551" s="70">
        <v>1.78</v>
      </c>
      <c r="K551" s="69">
        <v>9.4</v>
      </c>
      <c r="L551" s="69">
        <v>1.6</v>
      </c>
      <c r="M551" s="69" t="s">
        <v>241</v>
      </c>
      <c r="N551" s="69">
        <v>2011</v>
      </c>
      <c r="O551" s="69" t="s">
        <v>71</v>
      </c>
      <c r="P551" s="69">
        <v>707638</v>
      </c>
      <c r="Q551" s="92" t="s">
        <v>715</v>
      </c>
      <c r="R551" s="92" t="s">
        <v>260</v>
      </c>
      <c r="S551" s="87"/>
    </row>
    <row r="552" spans="1:19" x14ac:dyDescent="0.2">
      <c r="A552" s="92" t="s">
        <v>783</v>
      </c>
      <c r="B552" s="69">
        <v>10</v>
      </c>
      <c r="C552" s="69">
        <v>3</v>
      </c>
      <c r="D552" s="69">
        <v>4</v>
      </c>
      <c r="E552" s="69">
        <v>10</v>
      </c>
      <c r="F552" s="69">
        <v>65</v>
      </c>
      <c r="G552" s="69">
        <v>37</v>
      </c>
      <c r="H552" s="69">
        <v>6.5</v>
      </c>
      <c r="I552" s="70">
        <v>0.66</v>
      </c>
      <c r="J552" s="70">
        <v>1.9</v>
      </c>
      <c r="K552" s="69">
        <v>10.1</v>
      </c>
      <c r="L552" s="69">
        <v>1.6</v>
      </c>
      <c r="M552" s="69" t="s">
        <v>451</v>
      </c>
      <c r="N552" s="69">
        <v>2000</v>
      </c>
      <c r="O552" s="69" t="s">
        <v>71</v>
      </c>
      <c r="P552" s="69">
        <v>155259</v>
      </c>
      <c r="Q552" s="92" t="s">
        <v>580</v>
      </c>
      <c r="R552" s="92" t="s">
        <v>260</v>
      </c>
      <c r="S552" s="87"/>
    </row>
    <row r="553" spans="1:19" x14ac:dyDescent="0.2">
      <c r="A553" s="92" t="s">
        <v>784</v>
      </c>
      <c r="B553" s="69">
        <v>2</v>
      </c>
      <c r="C553" s="69">
        <v>2</v>
      </c>
      <c r="D553" s="69">
        <v>-3</v>
      </c>
      <c r="E553" s="69">
        <v>2</v>
      </c>
      <c r="F553" s="69">
        <v>68</v>
      </c>
      <c r="G553" s="69">
        <v>31</v>
      </c>
      <c r="H553" s="69">
        <v>5.6</v>
      </c>
      <c r="I553" s="70">
        <v>0.66</v>
      </c>
      <c r="J553" s="70">
        <v>1.81</v>
      </c>
      <c r="K553" s="69">
        <v>11.7</v>
      </c>
      <c r="L553" s="69">
        <v>1.4</v>
      </c>
      <c r="M553" s="69" t="s">
        <v>241</v>
      </c>
      <c r="N553" s="69">
        <v>2004</v>
      </c>
      <c r="O553" s="69" t="s">
        <v>71</v>
      </c>
      <c r="P553" s="69">
        <v>916122</v>
      </c>
      <c r="Q553" s="92" t="s">
        <v>768</v>
      </c>
      <c r="R553" s="92" t="s">
        <v>697</v>
      </c>
      <c r="S553" s="87"/>
    </row>
    <row r="554" spans="1:19" x14ac:dyDescent="0.2">
      <c r="A554" s="92" t="s">
        <v>785</v>
      </c>
      <c r="B554" s="69">
        <v>9</v>
      </c>
      <c r="C554" s="69">
        <v>5</v>
      </c>
      <c r="D554" s="69">
        <v>4</v>
      </c>
      <c r="E554" s="69">
        <v>9</v>
      </c>
      <c r="F554" s="69">
        <v>59</v>
      </c>
      <c r="G554" s="69">
        <v>40</v>
      </c>
      <c r="H554" s="69">
        <v>6.9</v>
      </c>
      <c r="I554" s="70">
        <v>0.66</v>
      </c>
      <c r="J554" s="70">
        <v>1.81</v>
      </c>
      <c r="K554" s="69">
        <v>8.8000000000000007</v>
      </c>
      <c r="L554" s="69">
        <v>1.7</v>
      </c>
      <c r="M554" s="69" t="s">
        <v>241</v>
      </c>
      <c r="N554" s="69">
        <v>2004</v>
      </c>
      <c r="O554" s="69" t="s">
        <v>71</v>
      </c>
      <c r="P554" s="69">
        <v>732727</v>
      </c>
      <c r="Q554" s="92" t="s">
        <v>768</v>
      </c>
      <c r="R554" s="92" t="s">
        <v>260</v>
      </c>
      <c r="S554" s="92"/>
    </row>
    <row r="555" spans="1:19" x14ac:dyDescent="0.2">
      <c r="A555" s="92" t="s">
        <v>786</v>
      </c>
      <c r="B555" s="69">
        <v>35</v>
      </c>
      <c r="C555" s="69">
        <v>15</v>
      </c>
      <c r="D555" s="69">
        <v>20</v>
      </c>
      <c r="E555" s="69">
        <v>35</v>
      </c>
      <c r="F555" s="69">
        <v>88</v>
      </c>
      <c r="G555" s="69">
        <v>97</v>
      </c>
      <c r="H555" s="69">
        <v>14.6</v>
      </c>
      <c r="I555" s="70">
        <v>0.66</v>
      </c>
      <c r="J555" s="70">
        <v>1.81</v>
      </c>
      <c r="K555" s="69">
        <v>9.5</v>
      </c>
      <c r="L555" s="69">
        <v>2.1</v>
      </c>
      <c r="M555" s="69" t="s">
        <v>451</v>
      </c>
      <c r="N555" s="69">
        <v>2004</v>
      </c>
      <c r="O555" s="69" t="s">
        <v>71</v>
      </c>
      <c r="P555" s="69">
        <v>625236</v>
      </c>
      <c r="Q555" s="92" t="s">
        <v>768</v>
      </c>
      <c r="R555" s="92" t="s">
        <v>507</v>
      </c>
      <c r="S555" s="92"/>
    </row>
    <row r="556" spans="1:19" x14ac:dyDescent="0.2">
      <c r="A556" s="92" t="s">
        <v>787</v>
      </c>
      <c r="B556" s="69">
        <v>32</v>
      </c>
      <c r="C556" s="69">
        <v>11</v>
      </c>
      <c r="D556" s="69">
        <v>19</v>
      </c>
      <c r="E556" s="69">
        <v>32</v>
      </c>
      <c r="F556" s="69">
        <v>87</v>
      </c>
      <c r="G556" s="69">
        <v>90</v>
      </c>
      <c r="H556" s="69">
        <v>13.7</v>
      </c>
      <c r="I556" s="70">
        <v>0.66</v>
      </c>
      <c r="J556" s="70">
        <v>1.81</v>
      </c>
      <c r="K556" s="69">
        <v>8.6</v>
      </c>
      <c r="L556" s="69">
        <v>2.2999999999999998</v>
      </c>
      <c r="M556" s="69" t="s">
        <v>451</v>
      </c>
      <c r="N556" s="69">
        <v>2004</v>
      </c>
      <c r="O556" s="69" t="s">
        <v>71</v>
      </c>
      <c r="P556" s="69">
        <v>768556</v>
      </c>
      <c r="Q556" s="92" t="s">
        <v>768</v>
      </c>
      <c r="R556" s="92" t="s">
        <v>245</v>
      </c>
      <c r="S556" s="92"/>
    </row>
    <row r="557" spans="1:19" x14ac:dyDescent="0.2">
      <c r="A557" s="92" t="s">
        <v>788</v>
      </c>
      <c r="B557" s="69">
        <v>35</v>
      </c>
      <c r="C557" s="69">
        <v>14</v>
      </c>
      <c r="D557" s="69">
        <v>24</v>
      </c>
      <c r="E557" s="69">
        <v>35</v>
      </c>
      <c r="F557" s="69">
        <v>85</v>
      </c>
      <c r="G557" s="69">
        <v>91</v>
      </c>
      <c r="H557" s="69">
        <v>13.8</v>
      </c>
      <c r="I557" s="70">
        <v>0.66</v>
      </c>
      <c r="J557" s="70">
        <v>1.81</v>
      </c>
      <c r="K557" s="69">
        <v>8.5</v>
      </c>
      <c r="L557" s="69">
        <v>2.2999999999999998</v>
      </c>
      <c r="M557" s="69" t="s">
        <v>451</v>
      </c>
      <c r="N557" s="69">
        <v>2004</v>
      </c>
      <c r="O557" s="69" t="s">
        <v>71</v>
      </c>
      <c r="P557" s="69">
        <v>804385</v>
      </c>
      <c r="Q557" s="92" t="s">
        <v>768</v>
      </c>
      <c r="R557" s="92" t="s">
        <v>245</v>
      </c>
      <c r="S557" s="87"/>
    </row>
    <row r="558" spans="1:19" x14ac:dyDescent="0.2">
      <c r="A558" s="92" t="s">
        <v>773</v>
      </c>
      <c r="B558" s="69">
        <v>22</v>
      </c>
      <c r="C558" s="69">
        <v>10</v>
      </c>
      <c r="D558" s="69">
        <v>16</v>
      </c>
      <c r="E558" s="69">
        <v>22</v>
      </c>
      <c r="F558" s="69">
        <v>92</v>
      </c>
      <c r="G558" s="69">
        <v>49</v>
      </c>
      <c r="H558" s="69">
        <v>8.3000000000000007</v>
      </c>
      <c r="I558" s="70">
        <v>0.66</v>
      </c>
      <c r="J558" s="70">
        <v>1.81</v>
      </c>
      <c r="K558" s="69">
        <v>8.9</v>
      </c>
      <c r="L558" s="69">
        <v>2.4</v>
      </c>
      <c r="M558" s="69" t="s">
        <v>451</v>
      </c>
      <c r="N558" s="69">
        <v>2004</v>
      </c>
      <c r="O558" s="69" t="s">
        <v>71</v>
      </c>
      <c r="P558" s="69">
        <v>410258</v>
      </c>
      <c r="Q558" s="92" t="s">
        <v>768</v>
      </c>
      <c r="R558" s="92" t="s">
        <v>370</v>
      </c>
      <c r="S558" s="87"/>
    </row>
    <row r="559" spans="1:19" x14ac:dyDescent="0.2">
      <c r="A559" s="92" t="s">
        <v>789</v>
      </c>
      <c r="B559" s="69">
        <v>37</v>
      </c>
      <c r="C559" s="69">
        <v>15</v>
      </c>
      <c r="D559" s="69">
        <v>12</v>
      </c>
      <c r="E559" s="69">
        <v>37</v>
      </c>
      <c r="F559" s="69">
        <v>90</v>
      </c>
      <c r="G559" s="69"/>
      <c r="H559" s="69"/>
      <c r="I559" s="70">
        <v>0.66</v>
      </c>
      <c r="J559" s="70">
        <v>1.75</v>
      </c>
      <c r="K559" s="69">
        <v>11.7</v>
      </c>
      <c r="L559" s="69">
        <v>1.8</v>
      </c>
      <c r="M559" s="69" t="s">
        <v>170</v>
      </c>
      <c r="N559" s="69">
        <v>2011</v>
      </c>
      <c r="O559" s="69" t="s">
        <v>171</v>
      </c>
      <c r="P559" s="69">
        <v>320176</v>
      </c>
      <c r="Q559" s="92" t="s">
        <v>282</v>
      </c>
      <c r="R559" s="92" t="s">
        <v>370</v>
      </c>
      <c r="S559" s="92"/>
    </row>
    <row r="560" spans="1:19" x14ac:dyDescent="0.2">
      <c r="A560" s="92" t="s">
        <v>776</v>
      </c>
      <c r="B560" s="69">
        <v>40</v>
      </c>
      <c r="C560" s="69">
        <v>12</v>
      </c>
      <c r="D560" s="69">
        <v>19</v>
      </c>
      <c r="E560" s="69">
        <v>40</v>
      </c>
      <c r="F560" s="69">
        <v>83</v>
      </c>
      <c r="G560" s="69">
        <v>107</v>
      </c>
      <c r="H560" s="69">
        <v>15.7</v>
      </c>
      <c r="I560" s="70">
        <v>0.66</v>
      </c>
      <c r="J560" s="70">
        <v>1.6</v>
      </c>
      <c r="K560" s="69">
        <v>7.2</v>
      </c>
      <c r="L560" s="69">
        <v>2.7</v>
      </c>
      <c r="M560" s="69" t="s">
        <v>552</v>
      </c>
      <c r="N560" s="69">
        <v>2009</v>
      </c>
      <c r="O560" s="69" t="s">
        <v>71</v>
      </c>
      <c r="P560" s="69">
        <v>724690</v>
      </c>
      <c r="Q560" s="92" t="s">
        <v>777</v>
      </c>
      <c r="R560" s="92" t="s">
        <v>370</v>
      </c>
      <c r="S560" s="92"/>
    </row>
    <row r="561" spans="1:19" x14ac:dyDescent="0.2">
      <c r="A561" s="92" t="s">
        <v>790</v>
      </c>
      <c r="B561" s="69">
        <v>16</v>
      </c>
      <c r="C561" s="69">
        <v>8</v>
      </c>
      <c r="D561" s="69">
        <v>0</v>
      </c>
      <c r="E561" s="69">
        <v>15</v>
      </c>
      <c r="F561" s="69"/>
      <c r="G561" s="69"/>
      <c r="H561" s="69"/>
      <c r="I561" s="70">
        <v>0.67</v>
      </c>
      <c r="J561" s="70">
        <v>1.44</v>
      </c>
      <c r="K561" s="69"/>
      <c r="L561" s="69"/>
      <c r="M561" s="69" t="s">
        <v>241</v>
      </c>
      <c r="N561" s="69">
        <v>2012</v>
      </c>
      <c r="O561" s="69" t="s">
        <v>71</v>
      </c>
      <c r="P561" s="69">
        <v>849711</v>
      </c>
      <c r="Q561" s="92" t="s">
        <v>722</v>
      </c>
      <c r="R561" s="92" t="s">
        <v>383</v>
      </c>
      <c r="S561" s="87"/>
    </row>
    <row r="562" spans="1:19" x14ac:dyDescent="0.2">
      <c r="A562" s="92" t="s">
        <v>794</v>
      </c>
      <c r="B562" s="69">
        <v>33</v>
      </c>
      <c r="C562" s="69">
        <v>8</v>
      </c>
      <c r="D562" s="69">
        <v>15</v>
      </c>
      <c r="E562" s="69">
        <v>33</v>
      </c>
      <c r="F562" s="69">
        <v>78</v>
      </c>
      <c r="G562" s="69">
        <v>105</v>
      </c>
      <c r="H562" s="69">
        <v>15.4</v>
      </c>
      <c r="I562" s="70">
        <v>0.67</v>
      </c>
      <c r="J562" s="70">
        <v>1.69</v>
      </c>
      <c r="K562" s="69">
        <v>12.6</v>
      </c>
      <c r="L562" s="69">
        <v>1.5</v>
      </c>
      <c r="M562" s="69" t="s">
        <v>681</v>
      </c>
      <c r="N562" s="69">
        <v>2008</v>
      </c>
      <c r="O562" s="69" t="s">
        <v>71</v>
      </c>
      <c r="P562" s="69">
        <v>192146</v>
      </c>
      <c r="Q562" s="92" t="s">
        <v>553</v>
      </c>
      <c r="R562" s="92" t="s">
        <v>239</v>
      </c>
      <c r="S562" s="92"/>
    </row>
    <row r="563" spans="1:19" x14ac:dyDescent="0.2">
      <c r="A563" s="92" t="s">
        <v>796</v>
      </c>
      <c r="B563" s="69">
        <v>16</v>
      </c>
      <c r="C563" s="69">
        <v>6</v>
      </c>
      <c r="D563" s="69">
        <v>-1</v>
      </c>
      <c r="E563" s="69">
        <v>16</v>
      </c>
      <c r="F563" s="69">
        <v>57</v>
      </c>
      <c r="G563" s="69">
        <v>73</v>
      </c>
      <c r="H563" s="69">
        <v>11.5</v>
      </c>
      <c r="I563" s="70">
        <v>0.67</v>
      </c>
      <c r="J563" s="70">
        <v>1.63</v>
      </c>
      <c r="K563" s="69">
        <v>11.9</v>
      </c>
      <c r="L563" s="69">
        <v>1.2</v>
      </c>
      <c r="M563" s="69" t="s">
        <v>170</v>
      </c>
      <c r="N563" s="69">
        <v>2011</v>
      </c>
      <c r="O563" s="69" t="s">
        <v>171</v>
      </c>
      <c r="P563" s="69">
        <v>524231</v>
      </c>
      <c r="Q563" s="92" t="s">
        <v>749</v>
      </c>
      <c r="R563" s="92" t="s">
        <v>331</v>
      </c>
      <c r="S563" s="87"/>
    </row>
    <row r="564" spans="1:19" x14ac:dyDescent="0.2">
      <c r="A564" s="92" t="s">
        <v>64</v>
      </c>
      <c r="B564" s="69">
        <v>50</v>
      </c>
      <c r="C564" s="69">
        <v>15</v>
      </c>
      <c r="D564" s="69">
        <v>29</v>
      </c>
      <c r="E564" s="69">
        <v>50</v>
      </c>
      <c r="F564" s="69">
        <v>134</v>
      </c>
      <c r="G564" s="69">
        <v>140</v>
      </c>
      <c r="H564" s="69">
        <v>19.2</v>
      </c>
      <c r="I564" s="70">
        <v>0.67</v>
      </c>
      <c r="J564" s="70">
        <v>1.82</v>
      </c>
      <c r="K564" s="69">
        <v>9.5</v>
      </c>
      <c r="L564" s="69">
        <v>2.9</v>
      </c>
      <c r="M564" s="69" t="s">
        <v>451</v>
      </c>
      <c r="N564" s="69">
        <v>2004</v>
      </c>
      <c r="O564" s="69" t="s">
        <v>71</v>
      </c>
      <c r="P564" s="69">
        <v>374421</v>
      </c>
      <c r="Q564" s="92" t="s">
        <v>768</v>
      </c>
      <c r="R564" s="92" t="s">
        <v>404</v>
      </c>
      <c r="S564" s="92"/>
    </row>
    <row r="565" spans="1:19" x14ac:dyDescent="0.2">
      <c r="A565" s="92" t="s">
        <v>802</v>
      </c>
      <c r="B565" s="69">
        <v>31</v>
      </c>
      <c r="C565" s="69">
        <v>11</v>
      </c>
      <c r="D565" s="69">
        <v>22</v>
      </c>
      <c r="E565" s="69">
        <v>31</v>
      </c>
      <c r="F565" s="69">
        <v>74</v>
      </c>
      <c r="G565" s="69">
        <v>69</v>
      </c>
      <c r="H565" s="69">
        <v>11.1</v>
      </c>
      <c r="I565" s="70">
        <v>0.67</v>
      </c>
      <c r="J565" s="70">
        <v>1.83</v>
      </c>
      <c r="K565" s="69">
        <v>10.3</v>
      </c>
      <c r="L565" s="69">
        <v>1.7</v>
      </c>
      <c r="M565" s="69" t="s">
        <v>451</v>
      </c>
      <c r="N565" s="69">
        <v>2004</v>
      </c>
      <c r="O565" s="69" t="s">
        <v>71</v>
      </c>
      <c r="P565" s="69">
        <v>446088</v>
      </c>
      <c r="Q565" s="92" t="s">
        <v>768</v>
      </c>
      <c r="R565" s="92" t="s">
        <v>315</v>
      </c>
      <c r="S565" s="87"/>
    </row>
    <row r="566" spans="1:19" x14ac:dyDescent="0.2">
      <c r="A566" s="92" t="s">
        <v>803</v>
      </c>
      <c r="B566" s="69">
        <v>11</v>
      </c>
      <c r="C566" s="69">
        <v>7</v>
      </c>
      <c r="D566" s="69">
        <v>8</v>
      </c>
      <c r="E566" s="69">
        <v>11</v>
      </c>
      <c r="F566" s="69">
        <v>36</v>
      </c>
      <c r="G566" s="69">
        <v>26</v>
      </c>
      <c r="H566" s="69">
        <v>4.7</v>
      </c>
      <c r="I566" s="70">
        <v>0.67</v>
      </c>
      <c r="J566" s="70">
        <v>1.64</v>
      </c>
      <c r="K566" s="69">
        <v>5.0999999999999996</v>
      </c>
      <c r="L566" s="69">
        <v>1.8</v>
      </c>
      <c r="M566" s="69" t="s">
        <v>170</v>
      </c>
      <c r="N566" s="69">
        <v>2005</v>
      </c>
      <c r="O566" s="69" t="s">
        <v>171</v>
      </c>
      <c r="P566" s="69">
        <v>855973</v>
      </c>
      <c r="Q566" s="92" t="s">
        <v>365</v>
      </c>
      <c r="R566" s="92" t="s">
        <v>173</v>
      </c>
      <c r="S566" s="92"/>
    </row>
    <row r="567" spans="1:19" x14ac:dyDescent="0.2">
      <c r="A567" s="92" t="s">
        <v>804</v>
      </c>
      <c r="B567" s="69">
        <v>11</v>
      </c>
      <c r="C567" s="69">
        <v>1</v>
      </c>
      <c r="D567" s="69">
        <v>4</v>
      </c>
      <c r="E567" s="69">
        <v>11</v>
      </c>
      <c r="F567" s="69">
        <v>40</v>
      </c>
      <c r="G567" s="69">
        <v>8</v>
      </c>
      <c r="H567" s="69">
        <v>1.5</v>
      </c>
      <c r="I567" s="70">
        <v>0.67</v>
      </c>
      <c r="J567" s="70">
        <v>1.95</v>
      </c>
      <c r="K567" s="69">
        <v>13.7</v>
      </c>
      <c r="L567" s="69">
        <v>0.8</v>
      </c>
      <c r="M567" s="69" t="s">
        <v>170</v>
      </c>
      <c r="N567" s="69">
        <v>2005</v>
      </c>
      <c r="O567" s="69" t="s">
        <v>71</v>
      </c>
      <c r="P567" s="69">
        <v>539585</v>
      </c>
      <c r="Q567" s="92" t="s">
        <v>500</v>
      </c>
      <c r="R567" s="92" t="s">
        <v>413</v>
      </c>
      <c r="S567" s="92"/>
    </row>
    <row r="568" spans="1:19" x14ac:dyDescent="0.2">
      <c r="A568" s="92" t="s">
        <v>797</v>
      </c>
      <c r="B568" s="69">
        <v>12</v>
      </c>
      <c r="C568" s="69">
        <v>4</v>
      </c>
      <c r="D568" s="69">
        <v>2</v>
      </c>
      <c r="E568" s="69">
        <v>12</v>
      </c>
      <c r="F568" s="69">
        <v>78</v>
      </c>
      <c r="G568" s="69">
        <v>54</v>
      </c>
      <c r="H568" s="69">
        <v>9</v>
      </c>
      <c r="I568" s="70">
        <v>0.67</v>
      </c>
      <c r="J568" s="70">
        <v>1.82</v>
      </c>
      <c r="K568" s="69">
        <v>9.5</v>
      </c>
      <c r="L568" s="69">
        <v>2</v>
      </c>
      <c r="M568" s="69" t="s">
        <v>241</v>
      </c>
      <c r="N568" s="69">
        <v>2004</v>
      </c>
      <c r="O568" s="69" t="s">
        <v>71</v>
      </c>
      <c r="P568" s="69">
        <v>696898</v>
      </c>
      <c r="Q568" s="92" t="s">
        <v>768</v>
      </c>
      <c r="R568" s="92" t="s">
        <v>260</v>
      </c>
      <c r="S568" s="92"/>
    </row>
    <row r="569" spans="1:19" x14ac:dyDescent="0.2">
      <c r="A569" s="92" t="s">
        <v>798</v>
      </c>
      <c r="B569" s="69">
        <v>20</v>
      </c>
      <c r="C569" s="69">
        <v>8</v>
      </c>
      <c r="D569" s="69">
        <v>12</v>
      </c>
      <c r="E569" s="69">
        <v>20</v>
      </c>
      <c r="F569" s="69">
        <v>53</v>
      </c>
      <c r="G569" s="69">
        <v>39</v>
      </c>
      <c r="H569" s="69">
        <v>6.8</v>
      </c>
      <c r="I569" s="70">
        <v>0.67</v>
      </c>
      <c r="J569" s="70">
        <v>1.82</v>
      </c>
      <c r="K569" s="69">
        <v>7.9</v>
      </c>
      <c r="L569" s="69">
        <v>1.7</v>
      </c>
      <c r="M569" s="69" t="s">
        <v>451</v>
      </c>
      <c r="N569" s="69">
        <v>2006</v>
      </c>
      <c r="O569" s="69" t="s">
        <v>71</v>
      </c>
      <c r="P569" s="69">
        <v>549261</v>
      </c>
      <c r="Q569" s="92" t="s">
        <v>768</v>
      </c>
      <c r="R569" s="92" t="s">
        <v>212</v>
      </c>
      <c r="S569" s="92"/>
    </row>
    <row r="570" spans="1:19" x14ac:dyDescent="0.2">
      <c r="A570" s="92" t="s">
        <v>799</v>
      </c>
      <c r="B570" s="69">
        <v>37</v>
      </c>
      <c r="C570" s="69">
        <v>17</v>
      </c>
      <c r="D570" s="69">
        <v>32</v>
      </c>
      <c r="E570" s="69">
        <v>37</v>
      </c>
      <c r="F570" s="69">
        <v>64</v>
      </c>
      <c r="G570" s="69">
        <v>36</v>
      </c>
      <c r="H570" s="69">
        <v>6.3</v>
      </c>
      <c r="I570" s="70">
        <v>0.67</v>
      </c>
      <c r="J570" s="70">
        <v>1.83</v>
      </c>
      <c r="K570" s="69">
        <v>15.3</v>
      </c>
      <c r="L570" s="69">
        <v>1.1000000000000001</v>
      </c>
      <c r="M570" s="69" t="s">
        <v>451</v>
      </c>
      <c r="N570" s="69">
        <v>2009</v>
      </c>
      <c r="O570" s="69" t="s">
        <v>71</v>
      </c>
      <c r="P570" s="69">
        <v>391896</v>
      </c>
      <c r="Q570" s="92" t="s">
        <v>768</v>
      </c>
      <c r="R570" s="92" t="s">
        <v>449</v>
      </c>
      <c r="S570" s="87"/>
    </row>
    <row r="571" spans="1:19" x14ac:dyDescent="0.2">
      <c r="A571" s="92" t="s">
        <v>800</v>
      </c>
      <c r="B571" s="69">
        <v>21</v>
      </c>
      <c r="C571" s="69">
        <v>9</v>
      </c>
      <c r="D571" s="69">
        <v>8</v>
      </c>
      <c r="E571" s="69">
        <v>21</v>
      </c>
      <c r="F571" s="69">
        <v>77</v>
      </c>
      <c r="G571" s="69">
        <v>78</v>
      </c>
      <c r="H571" s="69">
        <v>12.2</v>
      </c>
      <c r="I571" s="70">
        <v>0.67</v>
      </c>
      <c r="J571" s="70">
        <v>1.83</v>
      </c>
      <c r="K571" s="69">
        <v>8.4</v>
      </c>
      <c r="L571" s="69">
        <v>2.2000000000000002</v>
      </c>
      <c r="M571" s="69" t="s">
        <v>451</v>
      </c>
      <c r="N571" s="69">
        <v>2004</v>
      </c>
      <c r="O571" s="69" t="s">
        <v>71</v>
      </c>
      <c r="P571" s="69">
        <v>195271</v>
      </c>
      <c r="Q571" s="92" t="s">
        <v>768</v>
      </c>
      <c r="R571" s="92" t="s">
        <v>212</v>
      </c>
      <c r="S571" s="92"/>
    </row>
    <row r="572" spans="1:19" x14ac:dyDescent="0.2">
      <c r="A572" s="92" t="s">
        <v>801</v>
      </c>
      <c r="B572" s="69">
        <v>11</v>
      </c>
      <c r="C572" s="69">
        <v>3</v>
      </c>
      <c r="D572" s="69">
        <v>9</v>
      </c>
      <c r="E572" s="69">
        <v>11</v>
      </c>
      <c r="F572" s="69">
        <v>53</v>
      </c>
      <c r="G572" s="69">
        <v>33</v>
      </c>
      <c r="H572" s="69">
        <v>5.8</v>
      </c>
      <c r="I572" s="70">
        <v>0.67</v>
      </c>
      <c r="J572" s="70">
        <v>1.84</v>
      </c>
      <c r="K572" s="69">
        <v>13.4</v>
      </c>
      <c r="L572" s="69">
        <v>1</v>
      </c>
      <c r="M572" s="69" t="s">
        <v>451</v>
      </c>
      <c r="N572" s="69">
        <v>2005</v>
      </c>
      <c r="O572" s="69" t="s">
        <v>71</v>
      </c>
      <c r="P572" s="69">
        <v>299693</v>
      </c>
      <c r="Q572" s="92" t="s">
        <v>768</v>
      </c>
      <c r="R572" s="92" t="s">
        <v>239</v>
      </c>
      <c r="S572" s="92"/>
    </row>
    <row r="573" spans="1:19" x14ac:dyDescent="0.2">
      <c r="A573" s="92" t="s">
        <v>805</v>
      </c>
      <c r="B573" s="69">
        <v>17</v>
      </c>
      <c r="C573" s="69">
        <v>0</v>
      </c>
      <c r="D573" s="69">
        <v>4</v>
      </c>
      <c r="E573" s="69">
        <v>17</v>
      </c>
      <c r="F573" s="69">
        <v>26</v>
      </c>
      <c r="G573" s="69">
        <v>-4</v>
      </c>
      <c r="H573" s="69">
        <v>-0.8</v>
      </c>
      <c r="I573" s="70">
        <v>0.67</v>
      </c>
      <c r="J573" s="70">
        <v>1.63</v>
      </c>
      <c r="K573" s="69">
        <v>11</v>
      </c>
      <c r="L573" s="69">
        <v>0.6</v>
      </c>
      <c r="M573" s="69" t="s">
        <v>451</v>
      </c>
      <c r="N573" s="69">
        <v>2000</v>
      </c>
      <c r="O573" s="69" t="s">
        <v>71</v>
      </c>
      <c r="P573" s="69">
        <v>232991</v>
      </c>
      <c r="Q573" s="92" t="s">
        <v>489</v>
      </c>
      <c r="R573" s="92" t="s">
        <v>379</v>
      </c>
      <c r="S573" s="92"/>
    </row>
    <row r="574" spans="1:19" x14ac:dyDescent="0.2">
      <c r="A574" s="92" t="s">
        <v>791</v>
      </c>
      <c r="B574" s="69">
        <v>21</v>
      </c>
      <c r="C574" s="69">
        <v>7</v>
      </c>
      <c r="D574" s="69">
        <v>8</v>
      </c>
      <c r="E574" s="69">
        <v>21</v>
      </c>
      <c r="F574" s="69">
        <v>73</v>
      </c>
      <c r="G574" s="69">
        <v>52</v>
      </c>
      <c r="H574" s="69">
        <v>8.6999999999999993</v>
      </c>
      <c r="I574" s="70">
        <v>0.67</v>
      </c>
      <c r="J574" s="70">
        <v>1.63</v>
      </c>
      <c r="K574" s="69">
        <v>11.9</v>
      </c>
      <c r="L574" s="69">
        <v>1.5</v>
      </c>
      <c r="M574" s="69" t="s">
        <v>170</v>
      </c>
      <c r="N574" s="69">
        <v>2002</v>
      </c>
      <c r="O574" s="69" t="s">
        <v>171</v>
      </c>
      <c r="P574" s="69">
        <v>484980</v>
      </c>
      <c r="Q574" s="92" t="s">
        <v>216</v>
      </c>
      <c r="R574" s="92" t="s">
        <v>410</v>
      </c>
      <c r="S574" s="87"/>
    </row>
    <row r="575" spans="1:19" x14ac:dyDescent="0.2">
      <c r="A575" s="92" t="s">
        <v>792</v>
      </c>
      <c r="B575" s="69">
        <v>10</v>
      </c>
      <c r="C575" s="69">
        <v>2</v>
      </c>
      <c r="D575" s="69">
        <v>0</v>
      </c>
      <c r="E575" s="69">
        <v>10</v>
      </c>
      <c r="F575" s="69">
        <v>47</v>
      </c>
      <c r="G575" s="69">
        <v>38</v>
      </c>
      <c r="H575" s="69">
        <v>6.7</v>
      </c>
      <c r="I575" s="70">
        <v>0.67</v>
      </c>
      <c r="J575" s="70">
        <v>1.7</v>
      </c>
      <c r="K575" s="69">
        <v>7.6</v>
      </c>
      <c r="L575" s="69">
        <v>1.6</v>
      </c>
      <c r="M575" s="69" t="s">
        <v>241</v>
      </c>
      <c r="N575" s="69">
        <v>2006</v>
      </c>
      <c r="O575" s="69" t="s">
        <v>71</v>
      </c>
      <c r="P575" s="69">
        <v>367698</v>
      </c>
      <c r="Q575" s="92" t="s">
        <v>553</v>
      </c>
      <c r="R575" s="92" t="s">
        <v>260</v>
      </c>
      <c r="S575" s="92"/>
    </row>
    <row r="576" spans="1:19" x14ac:dyDescent="0.2">
      <c r="A576" s="92" t="s">
        <v>793</v>
      </c>
      <c r="B576" s="69">
        <v>22</v>
      </c>
      <c r="C576" s="69">
        <v>5</v>
      </c>
      <c r="D576" s="69">
        <v>11</v>
      </c>
      <c r="E576" s="69">
        <v>22</v>
      </c>
      <c r="F576" s="69">
        <v>51</v>
      </c>
      <c r="G576" s="69">
        <v>61</v>
      </c>
      <c r="H576" s="69">
        <v>10.1</v>
      </c>
      <c r="I576" s="70">
        <v>0.67</v>
      </c>
      <c r="J576" s="70">
        <v>1.68</v>
      </c>
      <c r="K576" s="69">
        <v>10.199999999999999</v>
      </c>
      <c r="L576" s="69">
        <v>1.3</v>
      </c>
      <c r="M576" s="69" t="s">
        <v>681</v>
      </c>
      <c r="N576" s="69">
        <v>2006</v>
      </c>
      <c r="O576" s="69" t="s">
        <v>71</v>
      </c>
      <c r="P576" s="69">
        <v>757575</v>
      </c>
      <c r="Q576" s="92" t="s">
        <v>553</v>
      </c>
      <c r="R576" s="92" t="s">
        <v>239</v>
      </c>
      <c r="S576" s="92"/>
    </row>
    <row r="577" spans="1:19" x14ac:dyDescent="0.2">
      <c r="A577" s="92" t="s">
        <v>795</v>
      </c>
      <c r="B577" s="69">
        <v>44</v>
      </c>
      <c r="C577" s="69">
        <v>16</v>
      </c>
      <c r="D577" s="69">
        <v>23</v>
      </c>
      <c r="E577" s="69">
        <v>44</v>
      </c>
      <c r="F577" s="69">
        <v>78</v>
      </c>
      <c r="G577" s="69">
        <v>115</v>
      </c>
      <c r="H577" s="69">
        <v>16.600000000000001</v>
      </c>
      <c r="I577" s="70">
        <v>0.67</v>
      </c>
      <c r="J577" s="70">
        <v>1.64</v>
      </c>
      <c r="K577" s="69">
        <v>9.3000000000000007</v>
      </c>
      <c r="L577" s="69">
        <v>2</v>
      </c>
      <c r="M577" s="69" t="s">
        <v>552</v>
      </c>
      <c r="N577" s="69">
        <v>2007</v>
      </c>
      <c r="O577" s="69" t="s">
        <v>71</v>
      </c>
      <c r="P577" s="69">
        <v>800664</v>
      </c>
      <c r="Q577" s="92" t="s">
        <v>777</v>
      </c>
      <c r="R577" s="92" t="s">
        <v>212</v>
      </c>
      <c r="S577" s="92"/>
    </row>
    <row r="578" spans="1:19" x14ac:dyDescent="0.2">
      <c r="A578" s="92" t="s">
        <v>810</v>
      </c>
      <c r="B578" s="69">
        <v>18</v>
      </c>
      <c r="C578" s="69">
        <v>9</v>
      </c>
      <c r="D578" s="69">
        <v>10</v>
      </c>
      <c r="E578" s="69">
        <v>17</v>
      </c>
      <c r="F578" s="69">
        <v>42</v>
      </c>
      <c r="G578" s="69">
        <v>33</v>
      </c>
      <c r="H578" s="69">
        <v>5.8</v>
      </c>
      <c r="I578" s="70">
        <v>0.68</v>
      </c>
      <c r="J578" s="70">
        <v>1.65</v>
      </c>
      <c r="K578" s="69">
        <v>5.6</v>
      </c>
      <c r="L578" s="69">
        <v>1.9</v>
      </c>
      <c r="M578" s="69" t="s">
        <v>241</v>
      </c>
      <c r="N578" s="69">
        <v>2000</v>
      </c>
      <c r="O578" s="69" t="s">
        <v>71</v>
      </c>
      <c r="P578" s="69">
        <v>996348</v>
      </c>
      <c r="Q578" s="92" t="s">
        <v>811</v>
      </c>
      <c r="R578" s="92" t="s">
        <v>173</v>
      </c>
      <c r="S578" s="92"/>
    </row>
    <row r="579" spans="1:19" x14ac:dyDescent="0.2">
      <c r="A579" s="92" t="s">
        <v>806</v>
      </c>
      <c r="B579" s="69">
        <v>24</v>
      </c>
      <c r="C579" s="69">
        <v>12</v>
      </c>
      <c r="D579" s="69">
        <v>13</v>
      </c>
      <c r="E579" s="69">
        <v>23</v>
      </c>
      <c r="F579" s="69">
        <v>67</v>
      </c>
      <c r="G579" s="69">
        <v>5</v>
      </c>
      <c r="H579" s="69">
        <v>1</v>
      </c>
      <c r="I579" s="70">
        <v>0.68</v>
      </c>
      <c r="J579" s="70">
        <v>2.0699999999999998</v>
      </c>
      <c r="K579" s="69">
        <v>7.9</v>
      </c>
      <c r="L579" s="69">
        <v>2</v>
      </c>
      <c r="M579" s="69" t="s">
        <v>241</v>
      </c>
      <c r="N579" s="69">
        <v>2007</v>
      </c>
      <c r="O579" s="69" t="s">
        <v>71</v>
      </c>
      <c r="P579" s="69">
        <v>118067</v>
      </c>
      <c r="Q579" s="92" t="s">
        <v>535</v>
      </c>
      <c r="R579" s="92" t="s">
        <v>212</v>
      </c>
      <c r="S579" s="87" t="s">
        <v>189</v>
      </c>
    </row>
    <row r="580" spans="1:19" x14ac:dyDescent="0.2">
      <c r="A580" s="92" t="s">
        <v>807</v>
      </c>
      <c r="B580" s="69">
        <v>20</v>
      </c>
      <c r="C580" s="69">
        <v>5</v>
      </c>
      <c r="D580" s="69">
        <v>7</v>
      </c>
      <c r="E580" s="69">
        <v>20</v>
      </c>
      <c r="F580" s="69">
        <v>32</v>
      </c>
      <c r="G580" s="69">
        <v>-14</v>
      </c>
      <c r="H580" s="69">
        <v>-2.9</v>
      </c>
      <c r="I580" s="70">
        <v>0.68</v>
      </c>
      <c r="J580" s="70">
        <v>2.0699999999999998</v>
      </c>
      <c r="K580" s="69">
        <v>12.5</v>
      </c>
      <c r="L580" s="69">
        <v>0.7</v>
      </c>
      <c r="M580" s="69" t="s">
        <v>451</v>
      </c>
      <c r="N580" s="69">
        <v>2010</v>
      </c>
      <c r="O580" s="69" t="s">
        <v>71</v>
      </c>
      <c r="P580" s="69">
        <v>807867</v>
      </c>
      <c r="Q580" s="92" t="s">
        <v>535</v>
      </c>
      <c r="R580" s="92" t="s">
        <v>379</v>
      </c>
      <c r="S580" s="92" t="s">
        <v>189</v>
      </c>
    </row>
    <row r="581" spans="1:19" x14ac:dyDescent="0.2">
      <c r="A581" s="92" t="s">
        <v>813</v>
      </c>
      <c r="B581" s="69">
        <v>16</v>
      </c>
      <c r="C581" s="69">
        <v>4</v>
      </c>
      <c r="D581" s="69">
        <v>11</v>
      </c>
      <c r="E581" s="69">
        <v>16</v>
      </c>
      <c r="F581" s="69">
        <v>47</v>
      </c>
      <c r="G581" s="69">
        <v>36</v>
      </c>
      <c r="H581" s="69">
        <v>6.4</v>
      </c>
      <c r="I581" s="70">
        <v>0.68</v>
      </c>
      <c r="J581" s="70">
        <v>1.66</v>
      </c>
      <c r="K581" s="69">
        <v>11.5</v>
      </c>
      <c r="L581" s="69">
        <v>1.1000000000000001</v>
      </c>
      <c r="M581" s="69" t="s">
        <v>681</v>
      </c>
      <c r="N581" s="69">
        <v>2000</v>
      </c>
      <c r="O581" s="69" t="s">
        <v>71</v>
      </c>
      <c r="P581" s="69">
        <v>920439</v>
      </c>
      <c r="Q581" s="92" t="s">
        <v>495</v>
      </c>
      <c r="R581" s="92" t="s">
        <v>239</v>
      </c>
      <c r="S581" s="92"/>
    </row>
    <row r="582" spans="1:19" x14ac:dyDescent="0.2">
      <c r="A582" s="92" t="s">
        <v>814</v>
      </c>
      <c r="B582" s="69">
        <v>23</v>
      </c>
      <c r="C582" s="69">
        <v>8</v>
      </c>
      <c r="D582" s="69">
        <v>14</v>
      </c>
      <c r="E582" s="69">
        <v>23</v>
      </c>
      <c r="F582" s="69">
        <v>65</v>
      </c>
      <c r="G582" s="69">
        <v>54</v>
      </c>
      <c r="H582" s="69">
        <v>9</v>
      </c>
      <c r="I582" s="70">
        <v>0.68</v>
      </c>
      <c r="J582" s="70">
        <v>1.67</v>
      </c>
      <c r="K582" s="69">
        <v>6.8</v>
      </c>
      <c r="L582" s="69">
        <v>2.2999999999999998</v>
      </c>
      <c r="M582" s="69" t="s">
        <v>241</v>
      </c>
      <c r="N582" s="69">
        <v>2002</v>
      </c>
      <c r="O582" s="69" t="s">
        <v>71</v>
      </c>
      <c r="P582" s="69">
        <v>526897</v>
      </c>
      <c r="Q582" s="92" t="s">
        <v>495</v>
      </c>
      <c r="R582" s="92" t="s">
        <v>212</v>
      </c>
      <c r="S582" s="92"/>
    </row>
    <row r="583" spans="1:19" x14ac:dyDescent="0.2">
      <c r="A583" s="92" t="s">
        <v>808</v>
      </c>
      <c r="B583" s="69">
        <v>26</v>
      </c>
      <c r="C583" s="69">
        <v>0</v>
      </c>
      <c r="D583" s="69">
        <v>4</v>
      </c>
      <c r="E583" s="69">
        <v>26</v>
      </c>
      <c r="F583" s="69">
        <v>75</v>
      </c>
      <c r="G583" s="69">
        <v>56</v>
      </c>
      <c r="H583" s="69">
        <v>9.4</v>
      </c>
      <c r="I583" s="70">
        <v>0.68</v>
      </c>
      <c r="J583" s="70">
        <v>1.8</v>
      </c>
      <c r="K583" s="69">
        <v>11.1</v>
      </c>
      <c r="L583" s="69">
        <v>1.6</v>
      </c>
      <c r="M583" s="69" t="s">
        <v>376</v>
      </c>
      <c r="N583" s="69">
        <v>2004</v>
      </c>
      <c r="O583" s="69" t="s">
        <v>71</v>
      </c>
      <c r="P583" s="69">
        <v>821389</v>
      </c>
      <c r="Q583" s="92" t="s">
        <v>377</v>
      </c>
      <c r="R583" s="92" t="s">
        <v>383</v>
      </c>
      <c r="S583" s="92"/>
    </row>
    <row r="584" spans="1:19" x14ac:dyDescent="0.2">
      <c r="A584" s="92" t="s">
        <v>815</v>
      </c>
      <c r="B584" s="69">
        <v>31</v>
      </c>
      <c r="C584" s="69">
        <v>14</v>
      </c>
      <c r="D584" s="69">
        <v>19</v>
      </c>
      <c r="E584" s="69">
        <v>31</v>
      </c>
      <c r="F584" s="69">
        <v>47</v>
      </c>
      <c r="G584" s="69">
        <v>29</v>
      </c>
      <c r="H584" s="69">
        <v>5.3</v>
      </c>
      <c r="I584" s="70">
        <v>0.68</v>
      </c>
      <c r="J584" s="70">
        <v>1.97</v>
      </c>
      <c r="K584" s="69">
        <v>10.7</v>
      </c>
      <c r="L584" s="69">
        <v>1.1000000000000001</v>
      </c>
      <c r="M584" s="69" t="s">
        <v>451</v>
      </c>
      <c r="N584" s="69">
        <v>2000</v>
      </c>
      <c r="O584" s="69" t="s">
        <v>71</v>
      </c>
      <c r="P584" s="69">
        <v>477729</v>
      </c>
      <c r="Q584" s="92" t="s">
        <v>580</v>
      </c>
      <c r="R584" s="92" t="s">
        <v>310</v>
      </c>
      <c r="S584" s="87"/>
    </row>
    <row r="585" spans="1:19" x14ac:dyDescent="0.2">
      <c r="A585" s="92" t="s">
        <v>816</v>
      </c>
      <c r="B585" s="69">
        <v>5</v>
      </c>
      <c r="C585" s="69">
        <v>-6</v>
      </c>
      <c r="D585" s="69">
        <v>-4</v>
      </c>
      <c r="E585" s="69">
        <v>5</v>
      </c>
      <c r="F585" s="69">
        <v>-6</v>
      </c>
      <c r="G585" s="69">
        <v>-18</v>
      </c>
      <c r="H585" s="69">
        <v>-3.9</v>
      </c>
      <c r="I585" s="70">
        <v>0.68</v>
      </c>
      <c r="J585" s="70">
        <v>1.96</v>
      </c>
      <c r="K585" s="69">
        <v>16.100000000000001</v>
      </c>
      <c r="L585" s="69">
        <v>-0.1</v>
      </c>
      <c r="M585" s="69" t="s">
        <v>451</v>
      </c>
      <c r="N585" s="69">
        <v>2006</v>
      </c>
      <c r="O585" s="69" t="s">
        <v>71</v>
      </c>
      <c r="P585" s="69">
        <v>235291</v>
      </c>
      <c r="Q585" s="92" t="s">
        <v>580</v>
      </c>
      <c r="R585" s="92" t="s">
        <v>471</v>
      </c>
      <c r="S585" s="92"/>
    </row>
    <row r="586" spans="1:19" x14ac:dyDescent="0.2">
      <c r="A586" s="92" t="s">
        <v>817</v>
      </c>
      <c r="B586" s="69">
        <v>18</v>
      </c>
      <c r="C586" s="69">
        <v>4</v>
      </c>
      <c r="D586" s="69">
        <v>9</v>
      </c>
      <c r="E586" s="69">
        <v>18</v>
      </c>
      <c r="F586" s="69">
        <v>27</v>
      </c>
      <c r="G586" s="69">
        <v>16</v>
      </c>
      <c r="H586" s="69">
        <v>3.1</v>
      </c>
      <c r="I586" s="70">
        <v>0.68</v>
      </c>
      <c r="J586" s="70">
        <v>1.86</v>
      </c>
      <c r="K586" s="69">
        <v>10.7</v>
      </c>
      <c r="L586" s="69">
        <v>0.7</v>
      </c>
      <c r="M586" s="69" t="s">
        <v>451</v>
      </c>
      <c r="N586" s="69">
        <v>2004</v>
      </c>
      <c r="O586" s="69" t="s">
        <v>71</v>
      </c>
      <c r="P586" s="69">
        <v>231100</v>
      </c>
      <c r="Q586" s="92" t="s">
        <v>768</v>
      </c>
      <c r="R586" s="92" t="s">
        <v>379</v>
      </c>
      <c r="S586" s="92"/>
    </row>
    <row r="587" spans="1:19" x14ac:dyDescent="0.2">
      <c r="A587" s="92" t="s">
        <v>812</v>
      </c>
      <c r="B587" s="69">
        <v>16</v>
      </c>
      <c r="C587" s="69">
        <v>2</v>
      </c>
      <c r="D587" s="69">
        <v>9</v>
      </c>
      <c r="E587" s="69">
        <v>16</v>
      </c>
      <c r="F587" s="69">
        <v>55</v>
      </c>
      <c r="G587" s="69">
        <v>53</v>
      </c>
      <c r="H587" s="69">
        <v>8.9</v>
      </c>
      <c r="I587" s="70">
        <v>0.68</v>
      </c>
      <c r="J587" s="70">
        <v>1.85</v>
      </c>
      <c r="K587" s="69">
        <v>15.1</v>
      </c>
      <c r="L587" s="69">
        <v>1</v>
      </c>
      <c r="M587" s="69" t="s">
        <v>451</v>
      </c>
      <c r="N587" s="69">
        <v>2004</v>
      </c>
      <c r="O587" s="69" t="s">
        <v>71</v>
      </c>
      <c r="P587" s="69">
        <v>159442</v>
      </c>
      <c r="Q587" s="92" t="s">
        <v>768</v>
      </c>
      <c r="R587" s="92" t="s">
        <v>239</v>
      </c>
      <c r="S587" s="92"/>
    </row>
    <row r="588" spans="1:19" x14ac:dyDescent="0.2">
      <c r="A588" s="92" t="s">
        <v>818</v>
      </c>
      <c r="B588" s="69">
        <v>30</v>
      </c>
      <c r="C588" s="69">
        <v>12</v>
      </c>
      <c r="D588" s="69">
        <v>19</v>
      </c>
      <c r="E588" s="69">
        <v>30</v>
      </c>
      <c r="F588" s="69">
        <v>93</v>
      </c>
      <c r="G588" s="69">
        <v>95</v>
      </c>
      <c r="H588" s="69">
        <v>14.3</v>
      </c>
      <c r="I588" s="70">
        <v>0.68</v>
      </c>
      <c r="J588" s="70">
        <v>1.71</v>
      </c>
      <c r="K588" s="69">
        <v>9.6999999999999993</v>
      </c>
      <c r="L588" s="69">
        <v>2.2000000000000002</v>
      </c>
      <c r="M588" s="69" t="s">
        <v>451</v>
      </c>
      <c r="N588" s="69">
        <v>2006</v>
      </c>
      <c r="O588" s="69" t="s">
        <v>71</v>
      </c>
      <c r="P588" s="69">
        <v>407775</v>
      </c>
      <c r="Q588" s="92" t="s">
        <v>553</v>
      </c>
      <c r="R588" s="92" t="s">
        <v>245</v>
      </c>
      <c r="S588" s="92"/>
    </row>
    <row r="589" spans="1:19" x14ac:dyDescent="0.2">
      <c r="A589" s="92" t="s">
        <v>809</v>
      </c>
      <c r="B589" s="69">
        <v>16</v>
      </c>
      <c r="C589" s="69">
        <v>6</v>
      </c>
      <c r="D589" s="69">
        <v>5</v>
      </c>
      <c r="E589" s="69">
        <v>15</v>
      </c>
      <c r="F589" s="69">
        <v>72</v>
      </c>
      <c r="G589" s="69">
        <v>37</v>
      </c>
      <c r="H589" s="69">
        <v>6.5</v>
      </c>
      <c r="I589" s="70">
        <v>0.68</v>
      </c>
      <c r="J589" s="70">
        <v>1.67</v>
      </c>
      <c r="K589" s="69">
        <v>9.9</v>
      </c>
      <c r="L589" s="69">
        <v>1.7</v>
      </c>
      <c r="M589" s="69" t="s">
        <v>241</v>
      </c>
      <c r="N589" s="69">
        <v>2000</v>
      </c>
      <c r="O589" s="69" t="s">
        <v>71</v>
      </c>
      <c r="P589" s="69">
        <v>222661</v>
      </c>
      <c r="Q589" s="92" t="s">
        <v>682</v>
      </c>
      <c r="R589" s="92" t="s">
        <v>260</v>
      </c>
      <c r="S589" s="87"/>
    </row>
    <row r="590" spans="1:19" x14ac:dyDescent="0.2">
      <c r="A590" s="92" t="s">
        <v>819</v>
      </c>
      <c r="B590" s="69">
        <v>15</v>
      </c>
      <c r="C590" s="69">
        <v>2</v>
      </c>
      <c r="D590" s="69">
        <v>8</v>
      </c>
      <c r="E590" s="69">
        <v>15</v>
      </c>
      <c r="F590" s="69">
        <v>31</v>
      </c>
      <c r="G590" s="69">
        <v>39</v>
      </c>
      <c r="H590" s="69">
        <v>6.8</v>
      </c>
      <c r="I590" s="70">
        <v>0.69</v>
      </c>
      <c r="J590" s="70">
        <v>2.09</v>
      </c>
      <c r="K590" s="69">
        <v>9.5</v>
      </c>
      <c r="L590" s="69">
        <v>0.9</v>
      </c>
      <c r="M590" s="69" t="s">
        <v>451</v>
      </c>
      <c r="N590" s="69">
        <v>2010</v>
      </c>
      <c r="O590" s="69" t="s">
        <v>71</v>
      </c>
      <c r="P590" s="69">
        <v>843698</v>
      </c>
      <c r="Q590" s="92" t="s">
        <v>535</v>
      </c>
      <c r="R590" s="92" t="s">
        <v>370</v>
      </c>
      <c r="S590" s="92"/>
    </row>
    <row r="591" spans="1:19" x14ac:dyDescent="0.2">
      <c r="A591" s="92" t="s">
        <v>144</v>
      </c>
      <c r="B591" s="69">
        <v>75</v>
      </c>
      <c r="C591" s="69">
        <v>21</v>
      </c>
      <c r="D591" s="69">
        <v>47</v>
      </c>
      <c r="E591" s="69">
        <v>74</v>
      </c>
      <c r="F591" s="69">
        <v>237</v>
      </c>
      <c r="G591" s="69">
        <v>274</v>
      </c>
      <c r="H591" s="69">
        <v>30.2</v>
      </c>
      <c r="I591" s="70">
        <v>0.69</v>
      </c>
      <c r="J591" s="70">
        <v>2.09</v>
      </c>
      <c r="K591" s="69">
        <v>20.7</v>
      </c>
      <c r="L591" s="69">
        <v>2</v>
      </c>
      <c r="M591" s="69" t="s">
        <v>451</v>
      </c>
      <c r="N591" s="69">
        <v>2000</v>
      </c>
      <c r="O591" s="69" t="s">
        <v>71</v>
      </c>
      <c r="P591" s="69">
        <v>364158</v>
      </c>
      <c r="Q591" s="92" t="s">
        <v>535</v>
      </c>
      <c r="R591" s="92" t="s">
        <v>820</v>
      </c>
      <c r="S591" s="87"/>
    </row>
    <row r="592" spans="1:19" x14ac:dyDescent="0.2">
      <c r="A592" s="92" t="s">
        <v>821</v>
      </c>
      <c r="B592" s="69">
        <v>12</v>
      </c>
      <c r="C592" s="69">
        <v>7</v>
      </c>
      <c r="D592" s="69">
        <v>6</v>
      </c>
      <c r="E592" s="69">
        <v>11</v>
      </c>
      <c r="F592" s="69">
        <v>72</v>
      </c>
      <c r="G592" s="69">
        <v>30</v>
      </c>
      <c r="H592" s="69">
        <v>5.3</v>
      </c>
      <c r="I592" s="70">
        <v>0.69</v>
      </c>
      <c r="J592" s="70">
        <v>2.09</v>
      </c>
      <c r="K592" s="69">
        <v>8.6</v>
      </c>
      <c r="L592" s="69">
        <v>2</v>
      </c>
      <c r="M592" s="69" t="s">
        <v>241</v>
      </c>
      <c r="N592" s="69">
        <v>2014</v>
      </c>
      <c r="O592" s="69" t="s">
        <v>71</v>
      </c>
      <c r="P592" s="69">
        <v>529016</v>
      </c>
      <c r="Q592" s="92" t="s">
        <v>535</v>
      </c>
      <c r="R592" s="92" t="s">
        <v>697</v>
      </c>
      <c r="S592" s="87"/>
    </row>
    <row r="593" spans="1:19" x14ac:dyDescent="0.2">
      <c r="A593" s="92" t="s">
        <v>822</v>
      </c>
      <c r="B593" s="69">
        <v>33</v>
      </c>
      <c r="C593" s="69">
        <v>14</v>
      </c>
      <c r="D593" s="69">
        <v>23</v>
      </c>
      <c r="E593" s="69">
        <v>32</v>
      </c>
      <c r="F593" s="69">
        <v>73</v>
      </c>
      <c r="G593" s="69">
        <v>63</v>
      </c>
      <c r="H593" s="69">
        <v>10.3</v>
      </c>
      <c r="I593" s="70">
        <v>0.69</v>
      </c>
      <c r="J593" s="70">
        <v>2.09</v>
      </c>
      <c r="K593" s="69">
        <v>10</v>
      </c>
      <c r="L593" s="69">
        <v>1.8</v>
      </c>
      <c r="M593" s="69" t="s">
        <v>451</v>
      </c>
      <c r="N593" s="69">
        <v>2000</v>
      </c>
      <c r="O593" s="69" t="s">
        <v>71</v>
      </c>
      <c r="P593" s="69">
        <v>614966</v>
      </c>
      <c r="Q593" s="92" t="s">
        <v>535</v>
      </c>
      <c r="R593" s="92" t="s">
        <v>315</v>
      </c>
      <c r="S593" s="92"/>
    </row>
    <row r="594" spans="1:19" x14ac:dyDescent="0.2">
      <c r="A594" s="92" t="s">
        <v>823</v>
      </c>
      <c r="B594" s="69">
        <v>30</v>
      </c>
      <c r="C594" s="69">
        <v>11</v>
      </c>
      <c r="D594" s="69">
        <v>18</v>
      </c>
      <c r="E594" s="69">
        <v>29</v>
      </c>
      <c r="F594" s="69">
        <v>79</v>
      </c>
      <c r="G594" s="69">
        <v>73</v>
      </c>
      <c r="H594" s="69">
        <v>11.6</v>
      </c>
      <c r="I594" s="70">
        <v>0.69</v>
      </c>
      <c r="J594" s="70">
        <v>2.09</v>
      </c>
      <c r="K594" s="69">
        <v>7.8</v>
      </c>
      <c r="L594" s="69">
        <v>2.2999999999999998</v>
      </c>
      <c r="M594" s="69" t="s">
        <v>451</v>
      </c>
      <c r="N594" s="69">
        <v>2014</v>
      </c>
      <c r="O594" s="69" t="s">
        <v>71</v>
      </c>
      <c r="P594" s="69">
        <v>488932</v>
      </c>
      <c r="Q594" s="92" t="s">
        <v>535</v>
      </c>
      <c r="R594" s="92" t="s">
        <v>212</v>
      </c>
      <c r="S594" s="87" t="s">
        <v>189</v>
      </c>
    </row>
    <row r="595" spans="1:19" x14ac:dyDescent="0.2">
      <c r="A595" s="92" t="s">
        <v>824</v>
      </c>
      <c r="B595" s="69">
        <v>48</v>
      </c>
      <c r="C595" s="69">
        <v>12</v>
      </c>
      <c r="D595" s="69">
        <v>24</v>
      </c>
      <c r="E595" s="69">
        <v>48</v>
      </c>
      <c r="F595" s="69">
        <v>114</v>
      </c>
      <c r="G595" s="69">
        <v>102</v>
      </c>
      <c r="H595" s="69">
        <v>15.1</v>
      </c>
      <c r="I595" s="70">
        <v>0.69</v>
      </c>
      <c r="J595" s="70">
        <v>2.09</v>
      </c>
      <c r="K595" s="69">
        <v>8.6999999999999993</v>
      </c>
      <c r="L595" s="69">
        <v>2.8</v>
      </c>
      <c r="M595" s="69" t="s">
        <v>451</v>
      </c>
      <c r="N595" s="69">
        <v>2000</v>
      </c>
      <c r="O595" s="69" t="s">
        <v>71</v>
      </c>
      <c r="P595" s="69">
        <v>579136</v>
      </c>
      <c r="Q595" s="92" t="s">
        <v>535</v>
      </c>
      <c r="R595" s="92" t="s">
        <v>404</v>
      </c>
      <c r="S595" s="92"/>
    </row>
    <row r="596" spans="1:19" x14ac:dyDescent="0.2">
      <c r="A596" s="92" t="s">
        <v>826</v>
      </c>
      <c r="B596" s="69">
        <v>10</v>
      </c>
      <c r="C596" s="69">
        <v>3</v>
      </c>
      <c r="D596" s="69">
        <v>2</v>
      </c>
      <c r="E596" s="69">
        <v>10</v>
      </c>
      <c r="F596" s="69">
        <v>49</v>
      </c>
      <c r="G596" s="69">
        <v>64</v>
      </c>
      <c r="H596" s="69">
        <v>10.4</v>
      </c>
      <c r="I596" s="70">
        <v>0.69</v>
      </c>
      <c r="J596" s="70">
        <v>1.75</v>
      </c>
      <c r="K596" s="69">
        <v>7.9</v>
      </c>
      <c r="L596" s="69">
        <v>1.6</v>
      </c>
      <c r="M596" s="69" t="s">
        <v>552</v>
      </c>
      <c r="N596" s="69">
        <v>2006</v>
      </c>
      <c r="O596" s="69" t="s">
        <v>71</v>
      </c>
      <c r="P596" s="69">
        <v>515262</v>
      </c>
      <c r="Q596" s="92" t="s">
        <v>553</v>
      </c>
      <c r="R596" s="92" t="s">
        <v>383</v>
      </c>
      <c r="S596" s="87"/>
    </row>
    <row r="597" spans="1:19" x14ac:dyDescent="0.2">
      <c r="A597" s="92" t="s">
        <v>825</v>
      </c>
      <c r="B597" s="69">
        <v>28</v>
      </c>
      <c r="C597" s="69">
        <v>8</v>
      </c>
      <c r="D597" s="69">
        <v>16</v>
      </c>
      <c r="E597" s="69">
        <v>28</v>
      </c>
      <c r="F597" s="69">
        <v>43</v>
      </c>
      <c r="G597" s="69">
        <v>31</v>
      </c>
      <c r="H597" s="69">
        <v>5.5</v>
      </c>
      <c r="I597" s="70">
        <v>0.69</v>
      </c>
      <c r="J597" s="70">
        <v>2.1</v>
      </c>
      <c r="K597" s="69">
        <v>10.3</v>
      </c>
      <c r="L597" s="69">
        <v>1.1000000000000001</v>
      </c>
      <c r="M597" s="69" t="s">
        <v>451</v>
      </c>
      <c r="N597" s="69">
        <v>2009</v>
      </c>
      <c r="O597" s="69" t="s">
        <v>71</v>
      </c>
      <c r="P597" s="69">
        <v>817601</v>
      </c>
      <c r="Q597" s="92" t="s">
        <v>535</v>
      </c>
      <c r="R597" s="92" t="s">
        <v>310</v>
      </c>
      <c r="S597" s="87"/>
    </row>
    <row r="598" spans="1:19" x14ac:dyDescent="0.2">
      <c r="A598" s="92" t="s">
        <v>827</v>
      </c>
      <c r="B598" s="69">
        <v>17</v>
      </c>
      <c r="C598" s="69">
        <v>6</v>
      </c>
      <c r="D598" s="69">
        <v>0</v>
      </c>
      <c r="E598" s="69">
        <v>17</v>
      </c>
      <c r="F598" s="69">
        <v>102</v>
      </c>
      <c r="G598" s="69"/>
      <c r="H598" s="69"/>
      <c r="I598" s="70">
        <v>0.69</v>
      </c>
      <c r="J598" s="70">
        <v>1.7</v>
      </c>
      <c r="K598" s="69">
        <v>13.5</v>
      </c>
      <c r="L598" s="69">
        <v>1.7</v>
      </c>
      <c r="M598" s="69" t="s">
        <v>170</v>
      </c>
      <c r="N598" s="69">
        <v>2011</v>
      </c>
      <c r="O598" s="69" t="s">
        <v>171</v>
      </c>
      <c r="P598" s="69">
        <v>656637</v>
      </c>
      <c r="Q598" s="92" t="s">
        <v>661</v>
      </c>
      <c r="R598" s="92" t="s">
        <v>331</v>
      </c>
      <c r="S598" s="92"/>
    </row>
    <row r="599" spans="1:19" x14ac:dyDescent="0.2">
      <c r="A599" s="92" t="s">
        <v>828</v>
      </c>
      <c r="B599" s="69">
        <v>9</v>
      </c>
      <c r="C599" s="69">
        <v>3</v>
      </c>
      <c r="D599" s="69">
        <v>2</v>
      </c>
      <c r="E599" s="69">
        <v>9</v>
      </c>
      <c r="F599" s="69">
        <v>55</v>
      </c>
      <c r="G599" s="69">
        <v>15</v>
      </c>
      <c r="H599" s="69">
        <v>2.9</v>
      </c>
      <c r="I599" s="70">
        <v>0.69</v>
      </c>
      <c r="J599" s="70">
        <v>1.69</v>
      </c>
      <c r="K599" s="69">
        <v>11.5</v>
      </c>
      <c r="L599" s="69">
        <v>1.2</v>
      </c>
      <c r="M599" s="69" t="s">
        <v>241</v>
      </c>
      <c r="N599" s="69">
        <v>2000</v>
      </c>
      <c r="O599" s="69" t="s">
        <v>71</v>
      </c>
      <c r="P599" s="69">
        <v>848770</v>
      </c>
      <c r="Q599" s="92" t="s">
        <v>495</v>
      </c>
      <c r="R599" s="92" t="s">
        <v>697</v>
      </c>
      <c r="S599" s="87"/>
    </row>
    <row r="600" spans="1:19" x14ac:dyDescent="0.2">
      <c r="A600" s="92" t="s">
        <v>1153</v>
      </c>
      <c r="B600" s="69">
        <v>12</v>
      </c>
      <c r="C600" s="69">
        <v>5</v>
      </c>
      <c r="D600" s="69">
        <v>3</v>
      </c>
      <c r="E600" s="69">
        <v>12</v>
      </c>
      <c r="F600" s="69">
        <v>58</v>
      </c>
      <c r="G600" s="69">
        <v>54</v>
      </c>
      <c r="H600" s="69">
        <v>9.1</v>
      </c>
      <c r="I600" s="70">
        <v>0.69</v>
      </c>
      <c r="J600" s="70">
        <v>1.8</v>
      </c>
      <c r="K600" s="69">
        <v>12.4</v>
      </c>
      <c r="L600" s="69">
        <v>1.2</v>
      </c>
      <c r="M600" s="69" t="s">
        <v>170</v>
      </c>
      <c r="N600" s="69">
        <v>2001</v>
      </c>
      <c r="O600" s="69" t="s">
        <v>71</v>
      </c>
      <c r="P600" s="69">
        <v>524470</v>
      </c>
      <c r="Q600" s="92" t="s">
        <v>362</v>
      </c>
      <c r="R600" s="92" t="s">
        <v>264</v>
      </c>
      <c r="S600" s="92"/>
    </row>
    <row r="601" spans="1:19" x14ac:dyDescent="0.2">
      <c r="A601" s="92" t="s">
        <v>1134</v>
      </c>
      <c r="B601" s="69">
        <v>12</v>
      </c>
      <c r="C601" s="69">
        <v>8</v>
      </c>
      <c r="D601" s="69">
        <v>8</v>
      </c>
      <c r="E601" s="69">
        <v>11</v>
      </c>
      <c r="F601" s="69">
        <v>81</v>
      </c>
      <c r="G601" s="69">
        <v>62</v>
      </c>
      <c r="H601" s="69">
        <v>10.199999999999999</v>
      </c>
      <c r="I601" s="70">
        <v>0.69</v>
      </c>
      <c r="J601" s="70">
        <v>1.69</v>
      </c>
      <c r="K601" s="69">
        <v>7.8</v>
      </c>
      <c r="L601" s="69">
        <v>2.4</v>
      </c>
      <c r="M601" s="69" t="s">
        <v>241</v>
      </c>
      <c r="N601" s="69">
        <v>2008</v>
      </c>
      <c r="O601" s="69" t="s">
        <v>71</v>
      </c>
      <c r="P601" s="69">
        <v>188482</v>
      </c>
      <c r="Q601" s="92" t="s">
        <v>635</v>
      </c>
      <c r="R601" s="92" t="s">
        <v>260</v>
      </c>
      <c r="S601" s="87"/>
    </row>
    <row r="602" spans="1:19" x14ac:dyDescent="0.2">
      <c r="A602" s="92" t="s">
        <v>829</v>
      </c>
      <c r="B602" s="69">
        <v>36</v>
      </c>
      <c r="C602" s="69">
        <v>13</v>
      </c>
      <c r="D602" s="69">
        <v>24</v>
      </c>
      <c r="E602" s="69">
        <v>36</v>
      </c>
      <c r="F602" s="69">
        <v>96</v>
      </c>
      <c r="G602" s="69">
        <v>111</v>
      </c>
      <c r="H602" s="69">
        <v>16.100000000000001</v>
      </c>
      <c r="I602" s="70">
        <v>0.69</v>
      </c>
      <c r="J602" s="70">
        <v>2.09</v>
      </c>
      <c r="K602" s="69">
        <v>9.1999999999999993</v>
      </c>
      <c r="L602" s="69">
        <v>2.4</v>
      </c>
      <c r="M602" s="69" t="s">
        <v>451</v>
      </c>
      <c r="N602" s="69">
        <v>2008</v>
      </c>
      <c r="O602" s="69" t="s">
        <v>71</v>
      </c>
      <c r="P602" s="69">
        <v>626945</v>
      </c>
      <c r="Q602" s="92" t="s">
        <v>535</v>
      </c>
      <c r="R602" s="92" t="s">
        <v>245</v>
      </c>
      <c r="S602" s="92"/>
    </row>
    <row r="603" spans="1:19" x14ac:dyDescent="0.2">
      <c r="A603" s="92" t="s">
        <v>833</v>
      </c>
      <c r="B603" s="69">
        <v>16</v>
      </c>
      <c r="C603" s="69">
        <v>8</v>
      </c>
      <c r="D603" s="69">
        <v>5</v>
      </c>
      <c r="E603" s="69">
        <v>16</v>
      </c>
      <c r="F603" s="69">
        <v>61</v>
      </c>
      <c r="G603" s="69">
        <v>63</v>
      </c>
      <c r="H603" s="69">
        <v>10.3</v>
      </c>
      <c r="I603" s="70">
        <v>0.7</v>
      </c>
      <c r="J603" s="70">
        <v>1.72</v>
      </c>
      <c r="K603" s="69">
        <v>10.8</v>
      </c>
      <c r="L603" s="69">
        <v>1.4</v>
      </c>
      <c r="M603" s="69" t="s">
        <v>170</v>
      </c>
      <c r="N603" s="69">
        <v>2001</v>
      </c>
      <c r="O603" s="69" t="s">
        <v>171</v>
      </c>
      <c r="P603" s="69">
        <v>170423</v>
      </c>
      <c r="Q603" s="92" t="s">
        <v>293</v>
      </c>
      <c r="R603" s="92" t="s">
        <v>264</v>
      </c>
      <c r="S603" s="87"/>
    </row>
    <row r="604" spans="1:19" x14ac:dyDescent="0.2">
      <c r="A604" s="92" t="s">
        <v>830</v>
      </c>
      <c r="B604" s="69">
        <v>30</v>
      </c>
      <c r="C604" s="69">
        <v>12</v>
      </c>
      <c r="D604" s="69">
        <v>18</v>
      </c>
      <c r="E604" s="69">
        <v>30</v>
      </c>
      <c r="F604" s="69"/>
      <c r="G604" s="69"/>
      <c r="H604" s="69"/>
      <c r="I604" s="70">
        <v>0.7</v>
      </c>
      <c r="J604" s="70">
        <v>1.92</v>
      </c>
      <c r="K604" s="69"/>
      <c r="L604" s="69"/>
      <c r="M604" s="69" t="s">
        <v>451</v>
      </c>
      <c r="N604" s="69">
        <v>2013</v>
      </c>
      <c r="O604" s="69" t="s">
        <v>71</v>
      </c>
      <c r="P604" s="69">
        <v>728824</v>
      </c>
      <c r="Q604" s="92" t="s">
        <v>715</v>
      </c>
      <c r="R604" s="92" t="s">
        <v>212</v>
      </c>
      <c r="S604" s="87"/>
    </row>
    <row r="605" spans="1:19" x14ac:dyDescent="0.2">
      <c r="A605" s="92" t="s">
        <v>832</v>
      </c>
      <c r="B605" s="69">
        <v>19</v>
      </c>
      <c r="C605" s="69">
        <v>7</v>
      </c>
      <c r="D605" s="69">
        <v>9</v>
      </c>
      <c r="E605" s="69">
        <v>19</v>
      </c>
      <c r="F605" s="69">
        <v>57</v>
      </c>
      <c r="G605" s="69">
        <v>49</v>
      </c>
      <c r="H605" s="69">
        <v>8.3000000000000007</v>
      </c>
      <c r="I605" s="70">
        <v>0.7</v>
      </c>
      <c r="J605" s="70">
        <v>1.73</v>
      </c>
      <c r="K605" s="69">
        <v>5.3</v>
      </c>
      <c r="L605" s="69">
        <v>2.7</v>
      </c>
      <c r="M605" s="69" t="s">
        <v>241</v>
      </c>
      <c r="N605" s="69">
        <v>2008</v>
      </c>
      <c r="O605" s="69" t="s">
        <v>71</v>
      </c>
      <c r="P605" s="69">
        <v>235234</v>
      </c>
      <c r="Q605" s="92" t="s">
        <v>497</v>
      </c>
      <c r="R605" s="92" t="s">
        <v>173</v>
      </c>
      <c r="S605" s="87"/>
    </row>
    <row r="606" spans="1:19" x14ac:dyDescent="0.2">
      <c r="A606" s="92" t="s">
        <v>834</v>
      </c>
      <c r="B606" s="69">
        <v>10</v>
      </c>
      <c r="C606" s="69">
        <v>-1</v>
      </c>
      <c r="D606" s="69">
        <v>-1</v>
      </c>
      <c r="E606" s="69">
        <v>10</v>
      </c>
      <c r="F606" s="69">
        <v>-7</v>
      </c>
      <c r="G606" s="69">
        <v>-18</v>
      </c>
      <c r="H606" s="69">
        <v>-3.9</v>
      </c>
      <c r="I606" s="70">
        <v>0.7</v>
      </c>
      <c r="J606" s="70">
        <v>2.0099999999999998</v>
      </c>
      <c r="K606" s="69">
        <v>13.3</v>
      </c>
      <c r="L606" s="69">
        <v>-0.2</v>
      </c>
      <c r="M606" s="69" t="s">
        <v>451</v>
      </c>
      <c r="N606" s="69">
        <v>2000</v>
      </c>
      <c r="O606" s="69" t="s">
        <v>71</v>
      </c>
      <c r="P606" s="69">
        <v>262741</v>
      </c>
      <c r="Q606" s="92" t="s">
        <v>580</v>
      </c>
      <c r="R606" s="92" t="s">
        <v>370</v>
      </c>
      <c r="S606" s="92"/>
    </row>
    <row r="607" spans="1:19" x14ac:dyDescent="0.2">
      <c r="A607" s="92" t="s">
        <v>835</v>
      </c>
      <c r="B607" s="69">
        <v>66</v>
      </c>
      <c r="C607" s="69">
        <v>11</v>
      </c>
      <c r="D607" s="69">
        <v>25</v>
      </c>
      <c r="E607" s="69">
        <v>66</v>
      </c>
      <c r="F607" s="69">
        <v>79</v>
      </c>
      <c r="G607" s="69">
        <v>33</v>
      </c>
      <c r="H607" s="69">
        <v>5.9</v>
      </c>
      <c r="I607" s="70">
        <v>0.7</v>
      </c>
      <c r="J607" s="70">
        <v>1.93</v>
      </c>
      <c r="K607" s="69">
        <v>20.5</v>
      </c>
      <c r="L607" s="69">
        <v>1</v>
      </c>
      <c r="M607" s="69" t="s">
        <v>451</v>
      </c>
      <c r="N607" s="69">
        <v>2006</v>
      </c>
      <c r="O607" s="69" t="s">
        <v>71</v>
      </c>
      <c r="P607" s="69">
        <v>768499</v>
      </c>
      <c r="Q607" s="92" t="s">
        <v>768</v>
      </c>
      <c r="R607" s="92" t="s">
        <v>383</v>
      </c>
      <c r="S607" s="92"/>
    </row>
    <row r="608" spans="1:19" x14ac:dyDescent="0.2">
      <c r="A608" s="92" t="s">
        <v>831</v>
      </c>
      <c r="B608" s="69">
        <v>27</v>
      </c>
      <c r="C608" s="69">
        <v>10</v>
      </c>
      <c r="D608" s="69">
        <v>17</v>
      </c>
      <c r="E608" s="69">
        <v>27</v>
      </c>
      <c r="F608" s="69">
        <v>55</v>
      </c>
      <c r="G608" s="69">
        <v>49</v>
      </c>
      <c r="H608" s="69">
        <v>8.3000000000000007</v>
      </c>
      <c r="I608" s="70">
        <v>0.7</v>
      </c>
      <c r="J608" s="70">
        <v>1.92</v>
      </c>
      <c r="K608" s="69">
        <v>6.9</v>
      </c>
      <c r="L608" s="69">
        <v>2</v>
      </c>
      <c r="M608" s="69" t="s">
        <v>451</v>
      </c>
      <c r="N608" s="69">
        <v>2002</v>
      </c>
      <c r="O608" s="69" t="s">
        <v>71</v>
      </c>
      <c r="P608" s="69">
        <v>303412</v>
      </c>
      <c r="Q608" s="92" t="s">
        <v>715</v>
      </c>
      <c r="R608" s="92" t="s">
        <v>212</v>
      </c>
      <c r="S608" s="92"/>
    </row>
    <row r="609" spans="1:19" x14ac:dyDescent="0.2">
      <c r="A609" s="92" t="s">
        <v>836</v>
      </c>
      <c r="B609" s="69">
        <v>34</v>
      </c>
      <c r="C609" s="69">
        <v>13</v>
      </c>
      <c r="D609" s="69">
        <v>24</v>
      </c>
      <c r="E609" s="69">
        <v>34</v>
      </c>
      <c r="F609" s="69">
        <v>80</v>
      </c>
      <c r="G609" s="69"/>
      <c r="H609" s="69"/>
      <c r="I609" s="70">
        <v>0.71</v>
      </c>
      <c r="J609" s="70">
        <v>1.75</v>
      </c>
      <c r="K609" s="69">
        <v>8.9</v>
      </c>
      <c r="L609" s="69">
        <v>2.1</v>
      </c>
      <c r="M609" s="69" t="s">
        <v>170</v>
      </c>
      <c r="N609" s="69">
        <v>2011</v>
      </c>
      <c r="O609" s="69" t="s">
        <v>171</v>
      </c>
      <c r="P609" s="69">
        <v>456236</v>
      </c>
      <c r="Q609" s="92" t="s">
        <v>749</v>
      </c>
      <c r="R609" s="92" t="s">
        <v>370</v>
      </c>
      <c r="S609" s="87"/>
    </row>
    <row r="610" spans="1:19" x14ac:dyDescent="0.2">
      <c r="A610" s="92" t="s">
        <v>839</v>
      </c>
      <c r="B610" s="69">
        <v>-20</v>
      </c>
      <c r="C610" s="69">
        <v>-14</v>
      </c>
      <c r="D610" s="69">
        <v>-21</v>
      </c>
      <c r="E610" s="69">
        <v>-20</v>
      </c>
      <c r="F610" s="69">
        <v>-8</v>
      </c>
      <c r="G610" s="69">
        <v>-30</v>
      </c>
      <c r="H610" s="69">
        <v>-6.9</v>
      </c>
      <c r="I610" s="70">
        <v>0.71</v>
      </c>
      <c r="J610" s="70">
        <v>2.0499999999999998</v>
      </c>
      <c r="K610" s="69">
        <v>17.899999999999999</v>
      </c>
      <c r="L610" s="69">
        <v>-0.1</v>
      </c>
      <c r="M610" s="69" t="s">
        <v>451</v>
      </c>
      <c r="N610" s="69">
        <v>2000</v>
      </c>
      <c r="O610" s="69" t="s">
        <v>71</v>
      </c>
      <c r="P610" s="69">
        <v>983593</v>
      </c>
      <c r="Q610" s="92" t="s">
        <v>580</v>
      </c>
      <c r="R610" s="92" t="s">
        <v>413</v>
      </c>
      <c r="S610" s="87"/>
    </row>
    <row r="611" spans="1:19" x14ac:dyDescent="0.2">
      <c r="A611" s="92" t="s">
        <v>840</v>
      </c>
      <c r="B611" s="69">
        <v>8</v>
      </c>
      <c r="C611" s="69">
        <v>6</v>
      </c>
      <c r="D611" s="69">
        <v>1</v>
      </c>
      <c r="E611" s="69">
        <v>7</v>
      </c>
      <c r="F611" s="69">
        <v>55</v>
      </c>
      <c r="G611" s="69">
        <v>19</v>
      </c>
      <c r="H611" s="69">
        <v>3.5</v>
      </c>
      <c r="I611" s="70">
        <v>0.71</v>
      </c>
      <c r="J611" s="70">
        <v>2.08</v>
      </c>
      <c r="K611" s="69">
        <v>13.5</v>
      </c>
      <c r="L611" s="69">
        <v>1</v>
      </c>
      <c r="M611" s="69" t="s">
        <v>241</v>
      </c>
      <c r="N611" s="69">
        <v>2000</v>
      </c>
      <c r="O611" s="69" t="s">
        <v>71</v>
      </c>
      <c r="P611" s="69">
        <v>570044</v>
      </c>
      <c r="Q611" s="92" t="s">
        <v>235</v>
      </c>
      <c r="R611" s="92" t="s">
        <v>383</v>
      </c>
      <c r="S611" s="87"/>
    </row>
    <row r="612" spans="1:19" x14ac:dyDescent="0.2">
      <c r="A612" s="92" t="s">
        <v>837</v>
      </c>
      <c r="B612" s="69">
        <v>15</v>
      </c>
      <c r="C612" s="69">
        <v>8</v>
      </c>
      <c r="D612" s="69">
        <v>4</v>
      </c>
      <c r="E612" s="69">
        <v>14</v>
      </c>
      <c r="F612" s="69">
        <v>73</v>
      </c>
      <c r="G612" s="69">
        <v>48</v>
      </c>
      <c r="H612" s="69">
        <v>8.1999999999999993</v>
      </c>
      <c r="I612" s="70">
        <v>0.71</v>
      </c>
      <c r="J612" s="70">
        <v>0.61</v>
      </c>
      <c r="K612" s="69">
        <v>9.1999999999999993</v>
      </c>
      <c r="L612" s="69">
        <v>1.9</v>
      </c>
      <c r="M612" s="69" t="s">
        <v>241</v>
      </c>
      <c r="N612" s="69">
        <v>2009</v>
      </c>
      <c r="O612" s="69" t="s">
        <v>71</v>
      </c>
      <c r="P612" s="69">
        <v>942094</v>
      </c>
      <c r="Q612" s="92" t="s">
        <v>838</v>
      </c>
      <c r="R612" s="92" t="s">
        <v>370</v>
      </c>
      <c r="S612" s="87"/>
    </row>
    <row r="613" spans="1:19" x14ac:dyDescent="0.2">
      <c r="A613" s="92" t="s">
        <v>841</v>
      </c>
      <c r="B613" s="69">
        <v>23</v>
      </c>
      <c r="C613" s="69">
        <v>5</v>
      </c>
      <c r="D613" s="69">
        <v>12</v>
      </c>
      <c r="E613" s="69">
        <v>21</v>
      </c>
      <c r="F613" s="69">
        <v>89</v>
      </c>
      <c r="G613" s="69">
        <v>78</v>
      </c>
      <c r="H613" s="69">
        <v>12.2</v>
      </c>
      <c r="I613" s="70">
        <v>0.72</v>
      </c>
      <c r="J613" s="70">
        <v>2.21</v>
      </c>
      <c r="K613" s="69">
        <v>8.4</v>
      </c>
      <c r="L613" s="69">
        <v>2.4</v>
      </c>
      <c r="M613" s="69" t="s">
        <v>241</v>
      </c>
      <c r="N613" s="69">
        <v>2012</v>
      </c>
      <c r="O613" s="69" t="s">
        <v>71</v>
      </c>
      <c r="P613" s="69">
        <v>384511</v>
      </c>
      <c r="Q613" s="92" t="s">
        <v>535</v>
      </c>
      <c r="R613" s="92" t="s">
        <v>260</v>
      </c>
      <c r="S613" s="87"/>
    </row>
    <row r="614" spans="1:19" x14ac:dyDescent="0.2">
      <c r="A614" s="92" t="s">
        <v>855</v>
      </c>
      <c r="B614" s="69">
        <v>12</v>
      </c>
      <c r="C614" s="69">
        <v>3</v>
      </c>
      <c r="D614" s="69">
        <v>2</v>
      </c>
      <c r="E614" s="69">
        <v>12</v>
      </c>
      <c r="F614" s="69">
        <v>49</v>
      </c>
      <c r="G614" s="69">
        <v>32</v>
      </c>
      <c r="H614" s="69">
        <v>5.7</v>
      </c>
      <c r="I614" s="70">
        <v>0.72</v>
      </c>
      <c r="J614" s="70">
        <v>1.83</v>
      </c>
      <c r="K614" s="69">
        <v>7.5</v>
      </c>
      <c r="L614" s="69">
        <v>1.7</v>
      </c>
      <c r="M614" s="69" t="s">
        <v>241</v>
      </c>
      <c r="N614" s="69">
        <v>2006</v>
      </c>
      <c r="O614" s="69" t="s">
        <v>71</v>
      </c>
      <c r="P614" s="69">
        <v>865063</v>
      </c>
      <c r="Q614" s="92" t="s">
        <v>553</v>
      </c>
      <c r="R614" s="92" t="s">
        <v>260</v>
      </c>
      <c r="S614" s="92"/>
    </row>
    <row r="615" spans="1:19" x14ac:dyDescent="0.2">
      <c r="A615" s="92" t="s">
        <v>857</v>
      </c>
      <c r="B615" s="69">
        <v>21</v>
      </c>
      <c r="C615" s="69">
        <v>10</v>
      </c>
      <c r="D615" s="69">
        <v>13</v>
      </c>
      <c r="E615" s="69">
        <v>21</v>
      </c>
      <c r="F615" s="69">
        <v>63</v>
      </c>
      <c r="G615" s="69">
        <v>60</v>
      </c>
      <c r="H615" s="69">
        <v>9.9</v>
      </c>
      <c r="I615" s="70">
        <v>0.72</v>
      </c>
      <c r="J615" s="70">
        <v>1.78</v>
      </c>
      <c r="K615" s="69">
        <v>7.3</v>
      </c>
      <c r="L615" s="69">
        <v>2.1</v>
      </c>
      <c r="M615" s="69" t="s">
        <v>552</v>
      </c>
      <c r="N615" s="69">
        <v>2003</v>
      </c>
      <c r="O615" s="69" t="s">
        <v>71</v>
      </c>
      <c r="P615" s="69">
        <v>175265</v>
      </c>
      <c r="Q615" s="92" t="s">
        <v>777</v>
      </c>
      <c r="R615" s="92" t="s">
        <v>212</v>
      </c>
      <c r="S615" s="87"/>
    </row>
    <row r="616" spans="1:19" x14ac:dyDescent="0.2">
      <c r="A616" s="92" t="s">
        <v>858</v>
      </c>
      <c r="B616" s="69">
        <v>18</v>
      </c>
      <c r="C616" s="69">
        <v>8</v>
      </c>
      <c r="D616" s="69">
        <v>9</v>
      </c>
      <c r="E616" s="69">
        <v>18</v>
      </c>
      <c r="F616" s="69">
        <v>36</v>
      </c>
      <c r="G616" s="69">
        <v>34</v>
      </c>
      <c r="H616" s="69">
        <v>6.1</v>
      </c>
      <c r="I616" s="70">
        <v>0.72</v>
      </c>
      <c r="J616" s="70">
        <v>1.77</v>
      </c>
      <c r="K616" s="69">
        <v>4.7</v>
      </c>
      <c r="L616" s="69">
        <v>1.9</v>
      </c>
      <c r="M616" s="69" t="s">
        <v>451</v>
      </c>
      <c r="N616" s="69">
        <v>2002</v>
      </c>
      <c r="O616" s="69" t="s">
        <v>71</v>
      </c>
      <c r="P616" s="69">
        <v>999359</v>
      </c>
      <c r="Q616" s="92" t="s">
        <v>695</v>
      </c>
      <c r="R616" s="92" t="s">
        <v>173</v>
      </c>
      <c r="S616" s="87"/>
    </row>
    <row r="617" spans="1:19" x14ac:dyDescent="0.2">
      <c r="A617" s="92" t="s">
        <v>842</v>
      </c>
      <c r="B617" s="69">
        <v>17</v>
      </c>
      <c r="C617" s="69">
        <v>6</v>
      </c>
      <c r="D617" s="69">
        <v>10</v>
      </c>
      <c r="E617" s="69">
        <v>17</v>
      </c>
      <c r="F617" s="69">
        <v>17</v>
      </c>
      <c r="G617" s="69">
        <v>2</v>
      </c>
      <c r="H617" s="69">
        <v>0.3</v>
      </c>
      <c r="I617" s="70">
        <v>0.72</v>
      </c>
      <c r="J617" s="70">
        <v>2.11</v>
      </c>
      <c r="K617" s="69">
        <v>12.2</v>
      </c>
      <c r="L617" s="69">
        <v>0.4</v>
      </c>
      <c r="M617" s="69" t="s">
        <v>451</v>
      </c>
      <c r="N617" s="69">
        <v>2000</v>
      </c>
      <c r="O617" s="69" t="s">
        <v>71</v>
      </c>
      <c r="P617" s="69">
        <v>191080</v>
      </c>
      <c r="Q617" s="92" t="s">
        <v>580</v>
      </c>
      <c r="R617" s="92" t="s">
        <v>379</v>
      </c>
      <c r="S617" s="87"/>
    </row>
    <row r="618" spans="1:19" x14ac:dyDescent="0.2">
      <c r="A618" s="92" t="s">
        <v>843</v>
      </c>
      <c r="B618" s="69">
        <v>24</v>
      </c>
      <c r="C618" s="69">
        <v>11</v>
      </c>
      <c r="D618" s="69">
        <v>8</v>
      </c>
      <c r="E618" s="69">
        <v>24</v>
      </c>
      <c r="F618" s="69">
        <v>70</v>
      </c>
      <c r="G618" s="69"/>
      <c r="H618" s="69"/>
      <c r="I618" s="70">
        <v>0.72</v>
      </c>
      <c r="J618" s="70">
        <v>2</v>
      </c>
      <c r="K618" s="69">
        <v>10.5</v>
      </c>
      <c r="L618" s="69">
        <v>1.6</v>
      </c>
      <c r="M618" s="69" t="s">
        <v>376</v>
      </c>
      <c r="N618" s="69">
        <v>2013</v>
      </c>
      <c r="O618" s="69" t="s">
        <v>71</v>
      </c>
      <c r="P618" s="69">
        <v>490763</v>
      </c>
      <c r="Q618" s="92" t="s">
        <v>844</v>
      </c>
      <c r="R618" s="92" t="s">
        <v>370</v>
      </c>
      <c r="S618" s="87"/>
    </row>
    <row r="619" spans="1:19" x14ac:dyDescent="0.2">
      <c r="A619" s="92" t="s">
        <v>845</v>
      </c>
      <c r="B619" s="69">
        <v>14</v>
      </c>
      <c r="C619" s="69">
        <v>3</v>
      </c>
      <c r="D619" s="69">
        <v>5</v>
      </c>
      <c r="E619" s="69">
        <v>14</v>
      </c>
      <c r="F619" s="69">
        <v>37</v>
      </c>
      <c r="G619" s="69">
        <v>23</v>
      </c>
      <c r="H619" s="69">
        <v>4.2</v>
      </c>
      <c r="I619" s="70">
        <v>0.72</v>
      </c>
      <c r="J619" s="70">
        <v>2</v>
      </c>
      <c r="K619" s="69">
        <v>9.8000000000000007</v>
      </c>
      <c r="L619" s="69">
        <v>1</v>
      </c>
      <c r="M619" s="69" t="s">
        <v>376</v>
      </c>
      <c r="N619" s="69">
        <v>2013</v>
      </c>
      <c r="O619" s="69" t="s">
        <v>71</v>
      </c>
      <c r="P619" s="69">
        <v>419101</v>
      </c>
      <c r="Q619" s="92" t="s">
        <v>844</v>
      </c>
      <c r="R619" s="92" t="s">
        <v>379</v>
      </c>
      <c r="S619" s="87"/>
    </row>
    <row r="620" spans="1:19" x14ac:dyDescent="0.2">
      <c r="A620" s="92" t="s">
        <v>846</v>
      </c>
      <c r="B620" s="69">
        <v>13</v>
      </c>
      <c r="C620" s="69">
        <v>8</v>
      </c>
      <c r="D620" s="69">
        <v>5</v>
      </c>
      <c r="E620" s="69">
        <v>13</v>
      </c>
      <c r="F620" s="69">
        <v>79</v>
      </c>
      <c r="G620" s="69">
        <v>58</v>
      </c>
      <c r="H620" s="69">
        <v>9.6</v>
      </c>
      <c r="I620" s="70">
        <v>0.72</v>
      </c>
      <c r="J620" s="70">
        <v>2</v>
      </c>
      <c r="K620" s="69">
        <v>10.6</v>
      </c>
      <c r="L620" s="69">
        <v>1.8</v>
      </c>
      <c r="M620" s="69" t="s">
        <v>376</v>
      </c>
      <c r="N620" s="69">
        <v>2006</v>
      </c>
      <c r="O620" s="69" t="s">
        <v>71</v>
      </c>
      <c r="P620" s="69">
        <v>280867</v>
      </c>
      <c r="Q620" s="92" t="s">
        <v>844</v>
      </c>
      <c r="R620" s="92" t="s">
        <v>260</v>
      </c>
      <c r="S620" s="92"/>
    </row>
    <row r="621" spans="1:19" x14ac:dyDescent="0.2">
      <c r="A621" s="92" t="s">
        <v>847</v>
      </c>
      <c r="B621" s="69">
        <v>9</v>
      </c>
      <c r="C621" s="69">
        <v>4</v>
      </c>
      <c r="D621" s="69">
        <v>-1</v>
      </c>
      <c r="E621" s="69">
        <v>9</v>
      </c>
      <c r="F621" s="69">
        <v>69</v>
      </c>
      <c r="G621" s="69">
        <v>39</v>
      </c>
      <c r="H621" s="69">
        <v>6.8</v>
      </c>
      <c r="I621" s="70">
        <v>0.72</v>
      </c>
      <c r="J621" s="70">
        <v>2</v>
      </c>
      <c r="K621" s="69">
        <v>14.4</v>
      </c>
      <c r="L621" s="69">
        <v>1.2</v>
      </c>
      <c r="M621" s="69" t="s">
        <v>376</v>
      </c>
      <c r="N621" s="69">
        <v>2002</v>
      </c>
      <c r="O621" s="69" t="s">
        <v>71</v>
      </c>
      <c r="P621" s="69">
        <v>634386</v>
      </c>
      <c r="Q621" s="92" t="s">
        <v>844</v>
      </c>
      <c r="R621" s="92" t="s">
        <v>383</v>
      </c>
      <c r="S621" s="87"/>
    </row>
    <row r="622" spans="1:19" x14ac:dyDescent="0.2">
      <c r="A622" s="92" t="s">
        <v>848</v>
      </c>
      <c r="B622" s="69">
        <v>23</v>
      </c>
      <c r="C622" s="69">
        <v>8</v>
      </c>
      <c r="D622" s="69">
        <v>10</v>
      </c>
      <c r="E622" s="69">
        <v>23</v>
      </c>
      <c r="F622" s="69">
        <v>61</v>
      </c>
      <c r="G622" s="69">
        <v>61</v>
      </c>
      <c r="H622" s="69">
        <v>10</v>
      </c>
      <c r="I622" s="70">
        <v>0.72</v>
      </c>
      <c r="J622" s="70">
        <v>2</v>
      </c>
      <c r="K622" s="69">
        <v>6.6</v>
      </c>
      <c r="L622" s="69">
        <v>2.2999999999999998</v>
      </c>
      <c r="M622" s="69" t="s">
        <v>376</v>
      </c>
      <c r="N622" s="69">
        <v>2013</v>
      </c>
      <c r="O622" s="69" t="s">
        <v>71</v>
      </c>
      <c r="P622" s="69">
        <v>562421</v>
      </c>
      <c r="Q622" s="92" t="s">
        <v>844</v>
      </c>
      <c r="R622" s="92" t="s">
        <v>212</v>
      </c>
      <c r="S622" s="92"/>
    </row>
    <row r="623" spans="1:19" x14ac:dyDescent="0.2">
      <c r="A623" s="92" t="s">
        <v>849</v>
      </c>
      <c r="B623" s="69">
        <v>-13</v>
      </c>
      <c r="C623" s="69">
        <v>-5</v>
      </c>
      <c r="D623" s="69">
        <v>-12</v>
      </c>
      <c r="E623" s="69">
        <v>-13</v>
      </c>
      <c r="F623" s="69">
        <v>19</v>
      </c>
      <c r="G623" s="69">
        <v>-14</v>
      </c>
      <c r="H623" s="69">
        <v>-3</v>
      </c>
      <c r="I623" s="70">
        <v>0.72</v>
      </c>
      <c r="J623" s="70">
        <v>2</v>
      </c>
      <c r="K623" s="69">
        <v>14.2</v>
      </c>
      <c r="L623" s="69">
        <v>0.4</v>
      </c>
      <c r="M623" s="69" t="s">
        <v>376</v>
      </c>
      <c r="N623" s="69">
        <v>2013</v>
      </c>
      <c r="O623" s="69" t="s">
        <v>71</v>
      </c>
      <c r="P623" s="69">
        <v>454934</v>
      </c>
      <c r="Q623" s="92" t="s">
        <v>844</v>
      </c>
      <c r="R623" s="92" t="s">
        <v>370</v>
      </c>
      <c r="S623" s="87"/>
    </row>
    <row r="624" spans="1:19" x14ac:dyDescent="0.2">
      <c r="A624" s="92" t="s">
        <v>850</v>
      </c>
      <c r="B624" s="69">
        <v>13</v>
      </c>
      <c r="C624" s="69">
        <v>2</v>
      </c>
      <c r="D624" s="69">
        <v>3</v>
      </c>
      <c r="E624" s="69">
        <v>13</v>
      </c>
      <c r="F624" s="69">
        <v>51</v>
      </c>
      <c r="G624" s="69">
        <v>27</v>
      </c>
      <c r="H624" s="69">
        <v>5</v>
      </c>
      <c r="I624" s="70">
        <v>0.72</v>
      </c>
      <c r="J624" s="70">
        <v>2</v>
      </c>
      <c r="K624" s="69">
        <v>10.7</v>
      </c>
      <c r="L624" s="69">
        <v>1.2</v>
      </c>
      <c r="M624" s="69" t="s">
        <v>376</v>
      </c>
      <c r="N624" s="69">
        <v>2002</v>
      </c>
      <c r="O624" s="69" t="s">
        <v>71</v>
      </c>
      <c r="P624" s="69">
        <v>598557</v>
      </c>
      <c r="Q624" s="92" t="s">
        <v>844</v>
      </c>
      <c r="R624" s="92" t="s">
        <v>410</v>
      </c>
      <c r="S624" s="92"/>
    </row>
    <row r="625" spans="1:19" x14ac:dyDescent="0.2">
      <c r="A625" s="92" t="s">
        <v>851</v>
      </c>
      <c r="B625" s="69">
        <v>12</v>
      </c>
      <c r="C625" s="69">
        <v>-3</v>
      </c>
      <c r="D625" s="69">
        <v>0</v>
      </c>
      <c r="E625" s="69">
        <v>12</v>
      </c>
      <c r="F625" s="69">
        <v>29</v>
      </c>
      <c r="G625" s="69">
        <v>5</v>
      </c>
      <c r="H625" s="69">
        <v>0.9</v>
      </c>
      <c r="I625" s="70">
        <v>0.72</v>
      </c>
      <c r="J625" s="70">
        <v>2</v>
      </c>
      <c r="K625" s="69">
        <v>12</v>
      </c>
      <c r="L625" s="69">
        <v>0.7</v>
      </c>
      <c r="M625" s="69" t="s">
        <v>376</v>
      </c>
      <c r="N625" s="69">
        <v>2002</v>
      </c>
      <c r="O625" s="69" t="s">
        <v>71</v>
      </c>
      <c r="P625" s="69">
        <v>562728</v>
      </c>
      <c r="Q625" s="92" t="s">
        <v>844</v>
      </c>
      <c r="R625" s="92" t="s">
        <v>383</v>
      </c>
      <c r="S625" s="92"/>
    </row>
    <row r="626" spans="1:19" x14ac:dyDescent="0.2">
      <c r="A626" s="92" t="s">
        <v>852</v>
      </c>
      <c r="B626" s="69">
        <v>-21</v>
      </c>
      <c r="C626" s="69">
        <v>-23</v>
      </c>
      <c r="D626" s="69">
        <v>-29</v>
      </c>
      <c r="E626" s="69">
        <v>-21</v>
      </c>
      <c r="F626" s="69">
        <v>-6</v>
      </c>
      <c r="G626" s="69">
        <v>-20</v>
      </c>
      <c r="H626" s="69">
        <v>-4.4000000000000004</v>
      </c>
      <c r="I626" s="70">
        <v>0.72</v>
      </c>
      <c r="J626" s="70">
        <v>2</v>
      </c>
      <c r="K626" s="69">
        <v>17.7</v>
      </c>
      <c r="L626" s="69">
        <v>-0.1</v>
      </c>
      <c r="M626" s="69" t="s">
        <v>376</v>
      </c>
      <c r="N626" s="69">
        <v>2013</v>
      </c>
      <c r="O626" s="69" t="s">
        <v>71</v>
      </c>
      <c r="P626" s="69">
        <v>526590</v>
      </c>
      <c r="Q626" s="92" t="s">
        <v>844</v>
      </c>
      <c r="R626" s="92" t="s">
        <v>370</v>
      </c>
      <c r="S626" s="92"/>
    </row>
    <row r="627" spans="1:19" x14ac:dyDescent="0.2">
      <c r="A627" s="92" t="s">
        <v>853</v>
      </c>
      <c r="B627" s="69">
        <v>9</v>
      </c>
      <c r="C627" s="69">
        <v>8</v>
      </c>
      <c r="D627" s="69">
        <v>-1</v>
      </c>
      <c r="E627" s="69">
        <v>9</v>
      </c>
      <c r="F627" s="69">
        <v>84</v>
      </c>
      <c r="G627" s="69">
        <v>90</v>
      </c>
      <c r="H627" s="69">
        <v>13.7</v>
      </c>
      <c r="I627" s="70">
        <v>0.72</v>
      </c>
      <c r="J627" s="70">
        <v>2</v>
      </c>
      <c r="K627" s="69">
        <v>10.9</v>
      </c>
      <c r="L627" s="69">
        <v>1.8</v>
      </c>
      <c r="M627" s="69" t="s">
        <v>376</v>
      </c>
      <c r="N627" s="69">
        <v>2002</v>
      </c>
      <c r="O627" s="69" t="s">
        <v>71</v>
      </c>
      <c r="P627" s="69">
        <v>450981</v>
      </c>
      <c r="Q627" s="92" t="s">
        <v>844</v>
      </c>
      <c r="R627" s="92" t="s">
        <v>264</v>
      </c>
      <c r="S627" s="87"/>
    </row>
    <row r="628" spans="1:19" x14ac:dyDescent="0.2">
      <c r="A628" s="92" t="s">
        <v>854</v>
      </c>
      <c r="B628" s="69">
        <v>29</v>
      </c>
      <c r="C628" s="69">
        <v>8</v>
      </c>
      <c r="D628" s="69">
        <v>16</v>
      </c>
      <c r="E628" s="69">
        <v>29</v>
      </c>
      <c r="F628" s="69">
        <v>31</v>
      </c>
      <c r="G628" s="69">
        <v>44</v>
      </c>
      <c r="H628" s="69">
        <v>7.6</v>
      </c>
      <c r="I628" s="70">
        <v>0.72</v>
      </c>
      <c r="J628" s="70">
        <v>1.92</v>
      </c>
      <c r="K628" s="69">
        <v>7.6</v>
      </c>
      <c r="L628" s="69">
        <v>1.1000000000000001</v>
      </c>
      <c r="M628" s="69" t="s">
        <v>451</v>
      </c>
      <c r="N628" s="69">
        <v>2003</v>
      </c>
      <c r="O628" s="69" t="s">
        <v>71</v>
      </c>
      <c r="P628" s="69">
        <v>173435</v>
      </c>
      <c r="Q628" s="92" t="s">
        <v>454</v>
      </c>
      <c r="R628" s="92" t="s">
        <v>223</v>
      </c>
      <c r="S628" s="87"/>
    </row>
    <row r="629" spans="1:19" x14ac:dyDescent="0.2">
      <c r="A629" s="92" t="s">
        <v>856</v>
      </c>
      <c r="B629" s="69">
        <v>4</v>
      </c>
      <c r="C629" s="69">
        <v>-1</v>
      </c>
      <c r="D629" s="69">
        <v>-2</v>
      </c>
      <c r="E629" s="69">
        <v>5</v>
      </c>
      <c r="F629" s="69">
        <v>49</v>
      </c>
      <c r="G629" s="69"/>
      <c r="H629" s="69"/>
      <c r="I629" s="70">
        <v>0.72</v>
      </c>
      <c r="J629" s="70">
        <v>1.76</v>
      </c>
      <c r="K629" s="69">
        <v>12.7</v>
      </c>
      <c r="L629" s="69">
        <v>1</v>
      </c>
      <c r="M629" s="69" t="s">
        <v>241</v>
      </c>
      <c r="N629" s="69">
        <v>2013</v>
      </c>
      <c r="O629" s="69" t="s">
        <v>71</v>
      </c>
      <c r="P629" s="69">
        <v>161620</v>
      </c>
      <c r="Q629" s="92" t="s">
        <v>586</v>
      </c>
      <c r="R629" s="92" t="s">
        <v>413</v>
      </c>
      <c r="S629" s="87"/>
    </row>
    <row r="630" spans="1:19" x14ac:dyDescent="0.2">
      <c r="A630" s="92" t="s">
        <v>860</v>
      </c>
      <c r="B630" s="69">
        <v>6</v>
      </c>
      <c r="C630" s="69">
        <v>2</v>
      </c>
      <c r="D630" s="69">
        <v>2</v>
      </c>
      <c r="E630" s="69">
        <v>6</v>
      </c>
      <c r="F630" s="69"/>
      <c r="G630" s="69"/>
      <c r="H630" s="69"/>
      <c r="I630" s="70">
        <v>0.73</v>
      </c>
      <c r="J630" s="70">
        <v>1.8</v>
      </c>
      <c r="K630" s="69"/>
      <c r="L630" s="69"/>
      <c r="M630" s="69" t="s">
        <v>170</v>
      </c>
      <c r="N630" s="69">
        <v>2012</v>
      </c>
      <c r="O630" s="69" t="s">
        <v>71</v>
      </c>
      <c r="P630" s="69">
        <v>961573</v>
      </c>
      <c r="Q630" s="92" t="s">
        <v>861</v>
      </c>
      <c r="R630" s="92" t="s">
        <v>173</v>
      </c>
      <c r="S630" s="92"/>
    </row>
    <row r="631" spans="1:19" x14ac:dyDescent="0.2">
      <c r="A631" s="92" t="s">
        <v>859</v>
      </c>
      <c r="B631" s="69">
        <v>8</v>
      </c>
      <c r="C631" s="69">
        <v>5</v>
      </c>
      <c r="D631" s="69">
        <v>2</v>
      </c>
      <c r="E631" s="69">
        <v>7</v>
      </c>
      <c r="F631" s="69">
        <v>40</v>
      </c>
      <c r="G631" s="69">
        <v>16</v>
      </c>
      <c r="H631" s="69">
        <v>3</v>
      </c>
      <c r="I631" s="70">
        <v>0.73</v>
      </c>
      <c r="J631" s="70">
        <v>1.92</v>
      </c>
      <c r="K631" s="69">
        <v>6.5</v>
      </c>
      <c r="L631" s="69">
        <v>1.5</v>
      </c>
      <c r="M631" s="69" t="s">
        <v>241</v>
      </c>
      <c r="N631" s="69">
        <v>2010</v>
      </c>
      <c r="O631" s="69" t="s">
        <v>71</v>
      </c>
      <c r="P631" s="69">
        <v>131342</v>
      </c>
      <c r="Q631" s="92" t="s">
        <v>415</v>
      </c>
      <c r="R631" s="92" t="s">
        <v>173</v>
      </c>
      <c r="S631" s="92"/>
    </row>
    <row r="632" spans="1:19" x14ac:dyDescent="0.2">
      <c r="A632" s="92" t="s">
        <v>863</v>
      </c>
      <c r="B632" s="69">
        <v>5</v>
      </c>
      <c r="C632" s="69">
        <v>3</v>
      </c>
      <c r="D632" s="69">
        <v>-4</v>
      </c>
      <c r="E632" s="69">
        <v>5</v>
      </c>
      <c r="F632" s="69">
        <v>64</v>
      </c>
      <c r="G632" s="69">
        <v>58</v>
      </c>
      <c r="H632" s="69">
        <v>9.6</v>
      </c>
      <c r="I632" s="70">
        <v>0.73</v>
      </c>
      <c r="J632" s="70">
        <v>1.82</v>
      </c>
      <c r="K632" s="69">
        <v>8.1999999999999993</v>
      </c>
      <c r="L632" s="69">
        <v>1.9</v>
      </c>
      <c r="M632" s="69" t="s">
        <v>241</v>
      </c>
      <c r="N632" s="69">
        <v>2005</v>
      </c>
      <c r="O632" s="69" t="s">
        <v>71</v>
      </c>
      <c r="P632" s="69">
        <v>666495</v>
      </c>
      <c r="Q632" s="92" t="s">
        <v>746</v>
      </c>
      <c r="R632" s="92" t="s">
        <v>260</v>
      </c>
      <c r="S632" s="87"/>
    </row>
    <row r="633" spans="1:19" x14ac:dyDescent="0.2">
      <c r="A633" s="92" t="s">
        <v>867</v>
      </c>
      <c r="B633" s="69">
        <v>32</v>
      </c>
      <c r="C633" s="69">
        <v>13</v>
      </c>
      <c r="D633" s="69">
        <v>22</v>
      </c>
      <c r="E633" s="69">
        <v>32</v>
      </c>
      <c r="F633" s="69">
        <v>86</v>
      </c>
      <c r="G633" s="69">
        <v>107</v>
      </c>
      <c r="H633" s="69">
        <v>15.6</v>
      </c>
      <c r="I633" s="70">
        <v>0.73</v>
      </c>
      <c r="J633" s="70">
        <v>1.81</v>
      </c>
      <c r="K633" s="69">
        <v>9.6999999999999993</v>
      </c>
      <c r="L633" s="69">
        <v>2.1</v>
      </c>
      <c r="M633" s="69" t="s">
        <v>451</v>
      </c>
      <c r="N633" s="69">
        <v>2005</v>
      </c>
      <c r="O633" s="69" t="s">
        <v>71</v>
      </c>
      <c r="P633" s="69">
        <v>384107</v>
      </c>
      <c r="Q633" s="92" t="s">
        <v>746</v>
      </c>
      <c r="R633" s="92" t="s">
        <v>245</v>
      </c>
      <c r="S633" s="92"/>
    </row>
    <row r="634" spans="1:19" x14ac:dyDescent="0.2">
      <c r="A634" s="92" t="s">
        <v>862</v>
      </c>
      <c r="B634" s="69">
        <v>16</v>
      </c>
      <c r="C634" s="69">
        <v>4</v>
      </c>
      <c r="D634" s="69">
        <v>0</v>
      </c>
      <c r="E634" s="69">
        <v>16</v>
      </c>
      <c r="F634" s="69">
        <v>95</v>
      </c>
      <c r="G634" s="69">
        <v>39</v>
      </c>
      <c r="H634" s="69">
        <v>6.8</v>
      </c>
      <c r="I634" s="70">
        <v>0.73</v>
      </c>
      <c r="J634" s="70">
        <v>1.82</v>
      </c>
      <c r="K634" s="69">
        <v>14.9</v>
      </c>
      <c r="L634" s="69">
        <v>1.5</v>
      </c>
      <c r="M634" s="69" t="s">
        <v>241</v>
      </c>
      <c r="N634" s="69">
        <v>2005</v>
      </c>
      <c r="O634" s="69" t="s">
        <v>71</v>
      </c>
      <c r="P634" s="69">
        <v>390187</v>
      </c>
      <c r="Q634" s="92" t="s">
        <v>770</v>
      </c>
      <c r="R634" s="92" t="s">
        <v>410</v>
      </c>
      <c r="S634" s="87"/>
    </row>
    <row r="635" spans="1:19" x14ac:dyDescent="0.2">
      <c r="A635" s="92" t="s">
        <v>865</v>
      </c>
      <c r="B635" s="69">
        <v>23</v>
      </c>
      <c r="C635" s="69">
        <v>11</v>
      </c>
      <c r="D635" s="69">
        <v>14</v>
      </c>
      <c r="E635" s="69">
        <v>22</v>
      </c>
      <c r="F635" s="69">
        <v>97</v>
      </c>
      <c r="G635" s="69">
        <v>93</v>
      </c>
      <c r="H635" s="69">
        <v>14.1</v>
      </c>
      <c r="I635" s="70">
        <v>0.73</v>
      </c>
      <c r="J635" s="70">
        <v>1.81</v>
      </c>
      <c r="K635" s="69">
        <v>8.9</v>
      </c>
      <c r="L635" s="69">
        <v>2.5</v>
      </c>
      <c r="M635" s="69" t="s">
        <v>241</v>
      </c>
      <c r="N635" s="69">
        <v>2002</v>
      </c>
      <c r="O635" s="69" t="s">
        <v>71</v>
      </c>
      <c r="P635" s="69">
        <v>432153</v>
      </c>
      <c r="Q635" s="92" t="s">
        <v>770</v>
      </c>
      <c r="R635" s="92" t="s">
        <v>370</v>
      </c>
      <c r="S635" s="92"/>
    </row>
    <row r="636" spans="1:19" x14ac:dyDescent="0.2">
      <c r="A636" s="92" t="s">
        <v>866</v>
      </c>
      <c r="B636" s="69">
        <v>10</v>
      </c>
      <c r="C636" s="69">
        <v>5</v>
      </c>
      <c r="D636" s="69">
        <v>4</v>
      </c>
      <c r="E636" s="69">
        <v>9</v>
      </c>
      <c r="F636" s="69">
        <v>78</v>
      </c>
      <c r="G636" s="69">
        <v>25</v>
      </c>
      <c r="H636" s="69">
        <v>4.5999999999999996</v>
      </c>
      <c r="I636" s="70">
        <v>0.73</v>
      </c>
      <c r="J636" s="70">
        <v>1.81</v>
      </c>
      <c r="K636" s="69">
        <v>12.3</v>
      </c>
      <c r="L636" s="69">
        <v>1.5</v>
      </c>
      <c r="M636" s="69" t="s">
        <v>241</v>
      </c>
      <c r="N636" s="69">
        <v>2008</v>
      </c>
      <c r="O636" s="69" t="s">
        <v>71</v>
      </c>
      <c r="P636" s="69">
        <v>755090</v>
      </c>
      <c r="Q636" s="92" t="s">
        <v>770</v>
      </c>
      <c r="R636" s="92" t="s">
        <v>697</v>
      </c>
      <c r="S636" s="87"/>
    </row>
    <row r="637" spans="1:19" x14ac:dyDescent="0.2">
      <c r="A637" s="92" t="s">
        <v>864</v>
      </c>
      <c r="B637" s="69">
        <v>19</v>
      </c>
      <c r="C637" s="69">
        <v>6</v>
      </c>
      <c r="D637" s="69">
        <v>11</v>
      </c>
      <c r="E637" s="69">
        <v>19</v>
      </c>
      <c r="F637" s="69">
        <v>65</v>
      </c>
      <c r="G637" s="69">
        <v>17</v>
      </c>
      <c r="H637" s="69">
        <v>3.2</v>
      </c>
      <c r="I637" s="70">
        <v>0.73</v>
      </c>
      <c r="J637" s="70">
        <v>1.82</v>
      </c>
      <c r="K637" s="69">
        <v>11.1</v>
      </c>
      <c r="L637" s="69">
        <v>1.4</v>
      </c>
      <c r="M637" s="69" t="s">
        <v>241</v>
      </c>
      <c r="N637" s="69">
        <v>2008</v>
      </c>
      <c r="O637" s="69" t="s">
        <v>71</v>
      </c>
      <c r="P637" s="69">
        <v>989491</v>
      </c>
      <c r="Q637" s="92" t="s">
        <v>770</v>
      </c>
      <c r="R637" s="92" t="s">
        <v>212</v>
      </c>
      <c r="S637" s="87"/>
    </row>
    <row r="638" spans="1:19" x14ac:dyDescent="0.2">
      <c r="A638" s="92" t="s">
        <v>1135</v>
      </c>
      <c r="B638" s="69">
        <v>18</v>
      </c>
      <c r="C638" s="69">
        <v>6</v>
      </c>
      <c r="D638" s="69">
        <v>12</v>
      </c>
      <c r="E638" s="69">
        <v>18</v>
      </c>
      <c r="F638" s="69">
        <v>50</v>
      </c>
      <c r="G638" s="69">
        <v>25</v>
      </c>
      <c r="H638" s="69">
        <v>4.5</v>
      </c>
      <c r="I638" s="70">
        <v>0.73</v>
      </c>
      <c r="J638" s="70">
        <v>1.8</v>
      </c>
      <c r="K638" s="69">
        <v>10.1</v>
      </c>
      <c r="L638" s="69">
        <v>1.2</v>
      </c>
      <c r="M638" s="69" t="s">
        <v>241</v>
      </c>
      <c r="N638" s="69">
        <v>2008</v>
      </c>
      <c r="O638" s="69" t="s">
        <v>71</v>
      </c>
      <c r="P638" s="69">
        <v>367631</v>
      </c>
      <c r="Q638" s="92" t="s">
        <v>635</v>
      </c>
      <c r="R638" s="92" t="s">
        <v>239</v>
      </c>
      <c r="S638" s="92"/>
    </row>
    <row r="639" spans="1:19" x14ac:dyDescent="0.2">
      <c r="A639" s="92" t="s">
        <v>873</v>
      </c>
      <c r="B639" s="69">
        <v>25</v>
      </c>
      <c r="C639" s="69">
        <v>10</v>
      </c>
      <c r="D639" s="69">
        <v>16</v>
      </c>
      <c r="E639" s="69">
        <v>25</v>
      </c>
      <c r="F639" s="69">
        <v>80</v>
      </c>
      <c r="G639" s="69">
        <v>70</v>
      </c>
      <c r="H639" s="69">
        <v>11.1</v>
      </c>
      <c r="I639" s="70">
        <v>0.74</v>
      </c>
      <c r="J639" s="70">
        <v>1.84</v>
      </c>
      <c r="K639" s="69">
        <v>13.5</v>
      </c>
      <c r="L639" s="69">
        <v>1.4</v>
      </c>
      <c r="M639" s="69" t="s">
        <v>552</v>
      </c>
      <c r="N639" s="69">
        <v>2007</v>
      </c>
      <c r="O639" s="69" t="s">
        <v>71</v>
      </c>
      <c r="P639" s="69">
        <v>836494</v>
      </c>
      <c r="Q639" s="92" t="s">
        <v>777</v>
      </c>
      <c r="R639" s="92" t="s">
        <v>370</v>
      </c>
      <c r="S639" s="87"/>
    </row>
    <row r="640" spans="1:19" x14ac:dyDescent="0.2">
      <c r="A640" s="92" t="s">
        <v>874</v>
      </c>
      <c r="B640" s="69">
        <v>19</v>
      </c>
      <c r="C640" s="69">
        <v>7</v>
      </c>
      <c r="D640" s="69">
        <v>10</v>
      </c>
      <c r="E640" s="69">
        <v>19</v>
      </c>
      <c r="F640" s="69">
        <v>62</v>
      </c>
      <c r="G640" s="69">
        <v>58</v>
      </c>
      <c r="H640" s="69">
        <v>9.6</v>
      </c>
      <c r="I640" s="70">
        <v>0.74</v>
      </c>
      <c r="J640" s="70">
        <v>1.83</v>
      </c>
      <c r="K640" s="69">
        <v>6.2</v>
      </c>
      <c r="L640" s="69">
        <v>2.4</v>
      </c>
      <c r="M640" s="69" t="s">
        <v>451</v>
      </c>
      <c r="N640" s="69">
        <v>2006</v>
      </c>
      <c r="O640" s="69" t="s">
        <v>71</v>
      </c>
      <c r="P640" s="69">
        <v>717496</v>
      </c>
      <c r="Q640" s="92" t="s">
        <v>746</v>
      </c>
      <c r="R640" s="92" t="s">
        <v>212</v>
      </c>
      <c r="S640" s="92"/>
    </row>
    <row r="641" spans="1:19" x14ac:dyDescent="0.2">
      <c r="A641" s="92" t="s">
        <v>875</v>
      </c>
      <c r="B641" s="69">
        <v>4</v>
      </c>
      <c r="C641" s="69">
        <v>1</v>
      </c>
      <c r="D641" s="69">
        <v>2</v>
      </c>
      <c r="E641" s="69">
        <v>4</v>
      </c>
      <c r="F641" s="69">
        <v>16</v>
      </c>
      <c r="G641" s="69"/>
      <c r="H641" s="69"/>
      <c r="I641" s="70">
        <v>0.74</v>
      </c>
      <c r="J641" s="70">
        <v>3.02</v>
      </c>
      <c r="K641" s="69">
        <v>3.4</v>
      </c>
      <c r="L641" s="69">
        <v>1.1000000000000001</v>
      </c>
      <c r="M641" s="69" t="s">
        <v>170</v>
      </c>
      <c r="N641" s="69">
        <v>2011</v>
      </c>
      <c r="O641" s="69" t="s">
        <v>171</v>
      </c>
      <c r="P641" s="69">
        <v>322008</v>
      </c>
      <c r="Q641" s="92" t="s">
        <v>749</v>
      </c>
      <c r="R641" s="92" t="s">
        <v>173</v>
      </c>
      <c r="S641" s="92"/>
    </row>
    <row r="642" spans="1:19" x14ac:dyDescent="0.2">
      <c r="A642" s="92" t="s">
        <v>876</v>
      </c>
      <c r="B642" s="69">
        <v>13</v>
      </c>
      <c r="C642" s="69">
        <v>4</v>
      </c>
      <c r="D642" s="69">
        <v>7</v>
      </c>
      <c r="E642" s="69">
        <v>13</v>
      </c>
      <c r="F642" s="69">
        <v>37</v>
      </c>
      <c r="G642" s="69"/>
      <c r="H642" s="69"/>
      <c r="I642" s="70">
        <v>0.74</v>
      </c>
      <c r="J642" s="70">
        <v>3.01</v>
      </c>
      <c r="K642" s="69">
        <v>5.5</v>
      </c>
      <c r="L642" s="69">
        <v>1.7</v>
      </c>
      <c r="M642" s="69" t="s">
        <v>170</v>
      </c>
      <c r="N642" s="69">
        <v>2011</v>
      </c>
      <c r="O642" s="69" t="s">
        <v>171</v>
      </c>
      <c r="P642" s="69">
        <v>286179</v>
      </c>
      <c r="Q642" s="92" t="s">
        <v>749</v>
      </c>
      <c r="R642" s="92" t="s">
        <v>173</v>
      </c>
      <c r="S642" s="92"/>
    </row>
    <row r="643" spans="1:19" x14ac:dyDescent="0.2">
      <c r="A643" s="92" t="s">
        <v>877</v>
      </c>
      <c r="B643" s="69">
        <v>12</v>
      </c>
      <c r="C643" s="69">
        <v>5</v>
      </c>
      <c r="D643" s="69">
        <v>8</v>
      </c>
      <c r="E643" s="69">
        <v>12</v>
      </c>
      <c r="F643" s="69">
        <v>41</v>
      </c>
      <c r="G643" s="69"/>
      <c r="H643" s="69"/>
      <c r="I643" s="70">
        <v>0.74</v>
      </c>
      <c r="J643" s="70">
        <v>3.02</v>
      </c>
      <c r="K643" s="69">
        <v>6.3</v>
      </c>
      <c r="L643" s="69">
        <v>1.7</v>
      </c>
      <c r="M643" s="69" t="s">
        <v>170</v>
      </c>
      <c r="N643" s="69">
        <v>2011</v>
      </c>
      <c r="O643" s="69" t="s">
        <v>171</v>
      </c>
      <c r="P643" s="69">
        <v>250340</v>
      </c>
      <c r="Q643" s="92" t="s">
        <v>749</v>
      </c>
      <c r="R643" s="92" t="s">
        <v>173</v>
      </c>
      <c r="S643" s="92"/>
    </row>
    <row r="644" spans="1:19" x14ac:dyDescent="0.2">
      <c r="A644" s="92" t="s">
        <v>878</v>
      </c>
      <c r="B644" s="69">
        <v>36</v>
      </c>
      <c r="C644" s="69">
        <v>17</v>
      </c>
      <c r="D644" s="69">
        <v>19</v>
      </c>
      <c r="E644" s="69">
        <v>36</v>
      </c>
      <c r="F644" s="69">
        <v>62</v>
      </c>
      <c r="G644" s="69">
        <v>70</v>
      </c>
      <c r="H644" s="69">
        <v>11.3</v>
      </c>
      <c r="I644" s="70">
        <v>0.74</v>
      </c>
      <c r="J644" s="70">
        <v>1.84</v>
      </c>
      <c r="K644" s="69">
        <v>10.9</v>
      </c>
      <c r="L644" s="69">
        <v>1.4</v>
      </c>
      <c r="M644" s="69" t="s">
        <v>241</v>
      </c>
      <c r="N644" s="69">
        <v>2010</v>
      </c>
      <c r="O644" s="69" t="s">
        <v>71</v>
      </c>
      <c r="P644" s="69">
        <v>558882</v>
      </c>
      <c r="Q644" s="92" t="s">
        <v>495</v>
      </c>
      <c r="R644" s="92" t="s">
        <v>370</v>
      </c>
      <c r="S644" s="92"/>
    </row>
    <row r="645" spans="1:19" x14ac:dyDescent="0.2">
      <c r="A645" s="92" t="s">
        <v>870</v>
      </c>
      <c r="B645" s="69">
        <v>-7</v>
      </c>
      <c r="C645" s="69">
        <v>-9</v>
      </c>
      <c r="D645" s="69">
        <v>-12</v>
      </c>
      <c r="E645" s="69">
        <v>-7</v>
      </c>
      <c r="F645" s="69">
        <v>-36</v>
      </c>
      <c r="G645" s="69">
        <v>-42</v>
      </c>
      <c r="H645" s="69">
        <v>-10.5</v>
      </c>
      <c r="I645" s="70">
        <v>0.74</v>
      </c>
      <c r="J645" s="70">
        <v>2.0699999999999998</v>
      </c>
      <c r="K645" s="69">
        <v>19.8</v>
      </c>
      <c r="L645" s="69">
        <v>-0.7</v>
      </c>
      <c r="M645" s="69" t="s">
        <v>451</v>
      </c>
      <c r="N645" s="69">
        <v>2004</v>
      </c>
      <c r="O645" s="69" t="s">
        <v>71</v>
      </c>
      <c r="P645" s="69">
        <v>481911</v>
      </c>
      <c r="Q645" s="92" t="s">
        <v>768</v>
      </c>
      <c r="R645" s="92" t="s">
        <v>370</v>
      </c>
      <c r="S645" s="92"/>
    </row>
    <row r="646" spans="1:19" x14ac:dyDescent="0.2">
      <c r="A646" s="92" t="s">
        <v>879</v>
      </c>
      <c r="B646" s="69">
        <v>21</v>
      </c>
      <c r="C646" s="69">
        <v>10</v>
      </c>
      <c r="D646" s="69">
        <v>16</v>
      </c>
      <c r="E646" s="69">
        <v>21</v>
      </c>
      <c r="F646" s="69">
        <v>41</v>
      </c>
      <c r="G646" s="69"/>
      <c r="H646" s="69"/>
      <c r="I646" s="70">
        <v>0.74</v>
      </c>
      <c r="J646" s="70">
        <v>2.25</v>
      </c>
      <c r="K646" s="69">
        <v>11.7</v>
      </c>
      <c r="L646" s="69">
        <v>0.9</v>
      </c>
      <c r="M646" s="69" t="s">
        <v>170</v>
      </c>
      <c r="N646" s="69">
        <v>2013</v>
      </c>
      <c r="O646" s="69" t="s">
        <v>71</v>
      </c>
      <c r="P646" s="69">
        <v>178624</v>
      </c>
      <c r="Q646" s="92" t="s">
        <v>880</v>
      </c>
      <c r="R646" s="92" t="s">
        <v>310</v>
      </c>
      <c r="S646" s="92"/>
    </row>
    <row r="647" spans="1:19" x14ac:dyDescent="0.2">
      <c r="A647" s="92" t="s">
        <v>881</v>
      </c>
      <c r="B647" s="69">
        <v>24</v>
      </c>
      <c r="C647" s="69">
        <v>11</v>
      </c>
      <c r="D647" s="69">
        <v>19</v>
      </c>
      <c r="E647" s="69">
        <v>23</v>
      </c>
      <c r="F647" s="69">
        <v>70</v>
      </c>
      <c r="G647" s="69">
        <v>62</v>
      </c>
      <c r="H647" s="69">
        <v>10.1</v>
      </c>
      <c r="I647" s="70">
        <v>0.74</v>
      </c>
      <c r="J647" s="70">
        <v>1.83</v>
      </c>
      <c r="K647" s="69">
        <v>7.1</v>
      </c>
      <c r="L647" s="69">
        <v>2.4</v>
      </c>
      <c r="M647" s="69" t="s">
        <v>241</v>
      </c>
      <c r="N647" s="69">
        <v>2008</v>
      </c>
      <c r="O647" s="69" t="s">
        <v>71</v>
      </c>
      <c r="P647" s="69">
        <v>224311</v>
      </c>
      <c r="Q647" s="92" t="s">
        <v>635</v>
      </c>
      <c r="R647" s="92" t="s">
        <v>212</v>
      </c>
      <c r="S647" s="87" t="s">
        <v>189</v>
      </c>
    </row>
    <row r="648" spans="1:19" x14ac:dyDescent="0.2">
      <c r="A648" s="92" t="s">
        <v>884</v>
      </c>
      <c r="B648" s="69">
        <v>-8</v>
      </c>
      <c r="C648" s="69">
        <v>-12</v>
      </c>
      <c r="D648" s="69">
        <v>-16</v>
      </c>
      <c r="E648" s="69">
        <v>-8</v>
      </c>
      <c r="F648" s="69">
        <v>-39</v>
      </c>
      <c r="G648" s="69">
        <v>-51</v>
      </c>
      <c r="H648" s="69">
        <v>-13.4</v>
      </c>
      <c r="I648" s="70">
        <v>0.74</v>
      </c>
      <c r="J648" s="70">
        <v>1.84</v>
      </c>
      <c r="K648" s="69">
        <v>20.5</v>
      </c>
      <c r="L648" s="69">
        <v>-0.8</v>
      </c>
      <c r="M648" s="69" t="s">
        <v>241</v>
      </c>
      <c r="N648" s="69">
        <v>2013</v>
      </c>
      <c r="O648" s="69" t="s">
        <v>71</v>
      </c>
      <c r="P648" s="69">
        <v>502922</v>
      </c>
      <c r="Q648" s="92" t="s">
        <v>1152</v>
      </c>
      <c r="R648" s="92" t="s">
        <v>370</v>
      </c>
      <c r="S648" s="92"/>
    </row>
    <row r="649" spans="1:19" x14ac:dyDescent="0.2">
      <c r="A649" s="92" t="s">
        <v>871</v>
      </c>
      <c r="B649" s="69"/>
      <c r="C649" s="69">
        <v>8</v>
      </c>
      <c r="D649" s="69"/>
      <c r="E649" s="69"/>
      <c r="F649" s="69"/>
      <c r="G649" s="69"/>
      <c r="H649" s="69"/>
      <c r="I649" s="70">
        <v>0.74</v>
      </c>
      <c r="J649" s="70">
        <v>1.7</v>
      </c>
      <c r="K649" s="69"/>
      <c r="L649" s="69"/>
      <c r="M649" s="69" t="s">
        <v>241</v>
      </c>
      <c r="N649" s="69">
        <v>2014</v>
      </c>
      <c r="O649" s="69" t="s">
        <v>71</v>
      </c>
      <c r="P649" s="69">
        <v>103309</v>
      </c>
      <c r="Q649" s="92" t="s">
        <v>715</v>
      </c>
      <c r="R649" s="92" t="s">
        <v>260</v>
      </c>
      <c r="S649" s="87"/>
    </row>
    <row r="650" spans="1:19" x14ac:dyDescent="0.2">
      <c r="A650" s="92" t="s">
        <v>872</v>
      </c>
      <c r="B650" s="69">
        <v>14</v>
      </c>
      <c r="C650" s="69">
        <v>4</v>
      </c>
      <c r="D650" s="69">
        <v>10</v>
      </c>
      <c r="E650" s="69">
        <v>14</v>
      </c>
      <c r="F650" s="69">
        <v>43</v>
      </c>
      <c r="G650" s="69">
        <v>32</v>
      </c>
      <c r="H650" s="69">
        <v>5.7</v>
      </c>
      <c r="I650" s="70">
        <v>0.74</v>
      </c>
      <c r="J650" s="70">
        <v>2.06</v>
      </c>
      <c r="K650" s="69">
        <v>10.8</v>
      </c>
      <c r="L650" s="69">
        <v>1</v>
      </c>
      <c r="M650" s="69" t="s">
        <v>681</v>
      </c>
      <c r="N650" s="69">
        <v>2009</v>
      </c>
      <c r="O650" s="69" t="s">
        <v>71</v>
      </c>
      <c r="P650" s="69">
        <v>174490</v>
      </c>
      <c r="Q650" s="92" t="s">
        <v>715</v>
      </c>
      <c r="R650" s="92" t="s">
        <v>239</v>
      </c>
      <c r="S650" s="92"/>
    </row>
    <row r="651" spans="1:19" x14ac:dyDescent="0.2">
      <c r="A651" s="92" t="s">
        <v>882</v>
      </c>
      <c r="B651" s="69">
        <v>17</v>
      </c>
      <c r="C651" s="69">
        <v>5</v>
      </c>
      <c r="D651" s="69">
        <v>4</v>
      </c>
      <c r="E651" s="69">
        <v>17</v>
      </c>
      <c r="F651" s="69">
        <v>44</v>
      </c>
      <c r="G651" s="69">
        <v>-5</v>
      </c>
      <c r="H651" s="69">
        <v>-1</v>
      </c>
      <c r="I651" s="70">
        <v>0.74</v>
      </c>
      <c r="J651" s="70">
        <v>2.06</v>
      </c>
      <c r="K651" s="69">
        <v>6.8</v>
      </c>
      <c r="L651" s="69">
        <v>1.6</v>
      </c>
      <c r="M651" s="69" t="s">
        <v>451</v>
      </c>
      <c r="N651" s="69">
        <v>2004</v>
      </c>
      <c r="O651" s="69" t="s">
        <v>71</v>
      </c>
      <c r="P651" s="69">
        <v>553578</v>
      </c>
      <c r="Q651" s="92" t="s">
        <v>768</v>
      </c>
      <c r="R651" s="92" t="s">
        <v>370</v>
      </c>
      <c r="S651" s="92"/>
    </row>
    <row r="652" spans="1:19" x14ac:dyDescent="0.2">
      <c r="A652" s="92" t="s">
        <v>883</v>
      </c>
      <c r="B652" s="69">
        <v>3</v>
      </c>
      <c r="C652" s="69">
        <v>-9</v>
      </c>
      <c r="D652" s="69">
        <v>-12</v>
      </c>
      <c r="E652" s="69">
        <v>3</v>
      </c>
      <c r="F652" s="69">
        <v>5</v>
      </c>
      <c r="G652" s="69">
        <v>2</v>
      </c>
      <c r="H652" s="69">
        <v>0.4</v>
      </c>
      <c r="I652" s="70">
        <v>0.74</v>
      </c>
      <c r="J652" s="70">
        <v>2.06</v>
      </c>
      <c r="K652" s="69">
        <v>12.2</v>
      </c>
      <c r="L652" s="69">
        <v>0.1</v>
      </c>
      <c r="M652" s="69" t="s">
        <v>451</v>
      </c>
      <c r="N652" s="69">
        <v>2004</v>
      </c>
      <c r="O652" s="69" t="s">
        <v>71</v>
      </c>
      <c r="P652" s="69">
        <v>517748</v>
      </c>
      <c r="Q652" s="92" t="s">
        <v>768</v>
      </c>
      <c r="R652" s="92" t="s">
        <v>370</v>
      </c>
      <c r="S652" s="87"/>
    </row>
    <row r="653" spans="1:19" x14ac:dyDescent="0.2">
      <c r="A653" s="92" t="s">
        <v>868</v>
      </c>
      <c r="B653" s="69">
        <v>8</v>
      </c>
      <c r="C653" s="69">
        <v>6</v>
      </c>
      <c r="D653" s="69">
        <v>1</v>
      </c>
      <c r="E653" s="69">
        <v>8</v>
      </c>
      <c r="F653" s="69">
        <v>66</v>
      </c>
      <c r="G653" s="69">
        <v>36</v>
      </c>
      <c r="H653" s="69">
        <v>6.3</v>
      </c>
      <c r="I653" s="70">
        <v>0.74</v>
      </c>
      <c r="J653" s="70">
        <v>1.83</v>
      </c>
      <c r="K653" s="69">
        <v>13.2</v>
      </c>
      <c r="L653" s="69">
        <v>1.3</v>
      </c>
      <c r="M653" s="69" t="s">
        <v>241</v>
      </c>
      <c r="N653" s="69">
        <v>2000</v>
      </c>
      <c r="O653" s="69" t="s">
        <v>71</v>
      </c>
      <c r="P653" s="69">
        <v>182584</v>
      </c>
      <c r="Q653" s="92" t="s">
        <v>869</v>
      </c>
      <c r="R653" s="92" t="s">
        <v>383</v>
      </c>
      <c r="S653" s="92"/>
    </row>
    <row r="654" spans="1:19" x14ac:dyDescent="0.2">
      <c r="A654" s="92" t="s">
        <v>887</v>
      </c>
      <c r="B654" s="69">
        <v>36</v>
      </c>
      <c r="C654" s="69">
        <v>13</v>
      </c>
      <c r="D654" s="69">
        <v>25</v>
      </c>
      <c r="E654" s="69">
        <v>36</v>
      </c>
      <c r="F654" s="69">
        <v>72</v>
      </c>
      <c r="G654" s="69">
        <v>76</v>
      </c>
      <c r="H654" s="69">
        <v>12</v>
      </c>
      <c r="I654" s="70">
        <v>0.75</v>
      </c>
      <c r="J654" s="70">
        <v>1.86</v>
      </c>
      <c r="K654" s="69">
        <v>9.3000000000000007</v>
      </c>
      <c r="L654" s="69">
        <v>1.9</v>
      </c>
      <c r="M654" s="69" t="s">
        <v>451</v>
      </c>
      <c r="N654" s="69">
        <v>2006</v>
      </c>
      <c r="O654" s="69" t="s">
        <v>71</v>
      </c>
      <c r="P654" s="69">
        <v>401695</v>
      </c>
      <c r="Q654" s="92" t="s">
        <v>495</v>
      </c>
      <c r="R654" s="92" t="s">
        <v>315</v>
      </c>
      <c r="S654" s="92"/>
    </row>
    <row r="655" spans="1:19" x14ac:dyDescent="0.2">
      <c r="A655" s="92" t="s">
        <v>888</v>
      </c>
      <c r="B655" s="69">
        <v>26</v>
      </c>
      <c r="C655" s="69">
        <v>10</v>
      </c>
      <c r="D655" s="69">
        <v>15</v>
      </c>
      <c r="E655" s="69">
        <v>26</v>
      </c>
      <c r="F655" s="69">
        <v>62</v>
      </c>
      <c r="G655" s="69">
        <v>61</v>
      </c>
      <c r="H655" s="69">
        <v>10.1</v>
      </c>
      <c r="I655" s="70">
        <v>0.75</v>
      </c>
      <c r="J655" s="70">
        <v>1.86</v>
      </c>
      <c r="K655" s="69">
        <v>6.7</v>
      </c>
      <c r="L655" s="69">
        <v>2.2000000000000002</v>
      </c>
      <c r="M655" s="69" t="s">
        <v>241</v>
      </c>
      <c r="N655" s="69">
        <v>2010</v>
      </c>
      <c r="O655" s="69" t="s">
        <v>71</v>
      </c>
      <c r="P655" s="69">
        <v>594713</v>
      </c>
      <c r="Q655" s="92" t="s">
        <v>495</v>
      </c>
      <c r="R655" s="92" t="s">
        <v>212</v>
      </c>
      <c r="S655" s="92" t="s">
        <v>189</v>
      </c>
    </row>
    <row r="656" spans="1:19" x14ac:dyDescent="0.2">
      <c r="A656" s="92" t="s">
        <v>1137</v>
      </c>
      <c r="B656" s="69">
        <v>20</v>
      </c>
      <c r="C656" s="69">
        <v>13</v>
      </c>
      <c r="D656" s="69">
        <v>11</v>
      </c>
      <c r="E656" s="69">
        <v>19</v>
      </c>
      <c r="F656" s="69">
        <v>110</v>
      </c>
      <c r="G656" s="69">
        <v>125</v>
      </c>
      <c r="H656" s="69">
        <v>17.600000000000001</v>
      </c>
      <c r="I656" s="70">
        <v>0.75</v>
      </c>
      <c r="J656" s="70">
        <v>1.85</v>
      </c>
      <c r="K656" s="69">
        <v>9.3000000000000007</v>
      </c>
      <c r="L656" s="69">
        <v>2.6</v>
      </c>
      <c r="M656" s="69" t="s">
        <v>241</v>
      </c>
      <c r="N656" s="69">
        <v>2008</v>
      </c>
      <c r="O656" s="69" t="s">
        <v>71</v>
      </c>
      <c r="P656" s="69">
        <v>152652</v>
      </c>
      <c r="Q656" s="92" t="s">
        <v>635</v>
      </c>
      <c r="R656" s="92" t="s">
        <v>408</v>
      </c>
      <c r="S656" s="92"/>
    </row>
    <row r="657" spans="1:19" x14ac:dyDescent="0.2">
      <c r="A657" s="92" t="s">
        <v>890</v>
      </c>
      <c r="B657" s="69">
        <v>8</v>
      </c>
      <c r="C657" s="69">
        <v>4</v>
      </c>
      <c r="D657" s="69">
        <v>-1</v>
      </c>
      <c r="E657" s="69">
        <v>7</v>
      </c>
      <c r="F657" s="69">
        <v>75</v>
      </c>
      <c r="G657" s="69">
        <v>57</v>
      </c>
      <c r="H657" s="69">
        <v>9.5</v>
      </c>
      <c r="I657" s="70">
        <v>0.75</v>
      </c>
      <c r="J657" s="70">
        <v>1.86</v>
      </c>
      <c r="K657" s="69">
        <v>11</v>
      </c>
      <c r="L657" s="69">
        <v>1.6</v>
      </c>
      <c r="M657" s="69" t="s">
        <v>241</v>
      </c>
      <c r="N657" s="69">
        <v>2004</v>
      </c>
      <c r="O657" s="69" t="s">
        <v>71</v>
      </c>
      <c r="P657" s="69">
        <v>452755</v>
      </c>
      <c r="Q657" s="92" t="s">
        <v>770</v>
      </c>
      <c r="R657" s="92" t="s">
        <v>408</v>
      </c>
      <c r="S657" s="92"/>
    </row>
    <row r="658" spans="1:19" x14ac:dyDescent="0.2">
      <c r="A658" s="92" t="s">
        <v>1138</v>
      </c>
      <c r="B658" s="69">
        <v>11</v>
      </c>
      <c r="C658" s="69">
        <v>8</v>
      </c>
      <c r="D658" s="69">
        <v>4</v>
      </c>
      <c r="E658" s="69">
        <v>11</v>
      </c>
      <c r="F658" s="69">
        <v>84</v>
      </c>
      <c r="G658" s="69">
        <v>68</v>
      </c>
      <c r="H658" s="69">
        <v>10.9</v>
      </c>
      <c r="I658" s="70">
        <v>0.75</v>
      </c>
      <c r="J658" s="70">
        <v>1.85</v>
      </c>
      <c r="K658" s="69">
        <v>11.8</v>
      </c>
      <c r="L658" s="69">
        <v>1.7</v>
      </c>
      <c r="M658" s="69" t="s">
        <v>241</v>
      </c>
      <c r="N658" s="69">
        <v>2014</v>
      </c>
      <c r="O658" s="69" t="s">
        <v>71</v>
      </c>
      <c r="P658" s="69">
        <v>215046</v>
      </c>
      <c r="Q658" s="92" t="s">
        <v>1152</v>
      </c>
      <c r="R658" s="92" t="s">
        <v>383</v>
      </c>
      <c r="S658" s="92"/>
    </row>
    <row r="659" spans="1:19" x14ac:dyDescent="0.2">
      <c r="A659" s="92" t="s">
        <v>1136</v>
      </c>
      <c r="B659" s="69">
        <v>21</v>
      </c>
      <c r="C659" s="69">
        <v>7</v>
      </c>
      <c r="D659" s="69">
        <v>8</v>
      </c>
      <c r="E659" s="69">
        <v>22</v>
      </c>
      <c r="F659" s="69"/>
      <c r="G659" s="69"/>
      <c r="H659" s="69"/>
      <c r="I659" s="70">
        <v>0.75</v>
      </c>
      <c r="J659" s="70">
        <v>1.85</v>
      </c>
      <c r="K659" s="69"/>
      <c r="L659" s="69"/>
      <c r="M659" s="69" t="s">
        <v>241</v>
      </c>
      <c r="N659" s="69">
        <v>2014</v>
      </c>
      <c r="O659" s="69" t="s">
        <v>71</v>
      </c>
      <c r="P659" s="69">
        <v>634675</v>
      </c>
      <c r="Q659" s="92" t="s">
        <v>1152</v>
      </c>
      <c r="R659" s="92" t="s">
        <v>260</v>
      </c>
      <c r="S659" s="87"/>
    </row>
    <row r="660" spans="1:19" x14ac:dyDescent="0.2">
      <c r="A660" s="92" t="s">
        <v>891</v>
      </c>
      <c r="B660" s="69">
        <v>-9</v>
      </c>
      <c r="C660" s="69">
        <v>-7</v>
      </c>
      <c r="D660" s="69">
        <v>-14</v>
      </c>
      <c r="E660" s="69">
        <v>-9</v>
      </c>
      <c r="F660" s="69">
        <v>3</v>
      </c>
      <c r="G660" s="69">
        <v>-12</v>
      </c>
      <c r="H660" s="69">
        <v>-2.6</v>
      </c>
      <c r="I660" s="70">
        <v>0.75</v>
      </c>
      <c r="J660" s="70">
        <v>2.1</v>
      </c>
      <c r="K660" s="69">
        <v>17.5</v>
      </c>
      <c r="L660" s="69">
        <v>0.1</v>
      </c>
      <c r="M660" s="69" t="s">
        <v>241</v>
      </c>
      <c r="N660" s="69">
        <v>2004</v>
      </c>
      <c r="O660" s="69" t="s">
        <v>71</v>
      </c>
      <c r="P660" s="69">
        <v>987784</v>
      </c>
      <c r="Q660" s="92" t="s">
        <v>768</v>
      </c>
      <c r="R660" s="92" t="s">
        <v>413</v>
      </c>
      <c r="S660" s="92"/>
    </row>
    <row r="661" spans="1:19" x14ac:dyDescent="0.2">
      <c r="A661" s="92" t="s">
        <v>892</v>
      </c>
      <c r="B661" s="69">
        <v>10</v>
      </c>
      <c r="C661" s="69">
        <v>-4</v>
      </c>
      <c r="D661" s="69">
        <v>-3</v>
      </c>
      <c r="E661" s="69">
        <v>10</v>
      </c>
      <c r="F661" s="69">
        <v>-6</v>
      </c>
      <c r="G661" s="69">
        <v>-19</v>
      </c>
      <c r="H661" s="69">
        <v>-4.0999999999999996</v>
      </c>
      <c r="I661" s="70">
        <v>0.75</v>
      </c>
      <c r="J661" s="70">
        <v>2.09</v>
      </c>
      <c r="K661" s="69">
        <v>16.8</v>
      </c>
      <c r="L661" s="69">
        <v>-0.1</v>
      </c>
      <c r="M661" s="69" t="s">
        <v>451</v>
      </c>
      <c r="N661" s="69">
        <v>2004</v>
      </c>
      <c r="O661" s="69" t="s">
        <v>71</v>
      </c>
      <c r="P661" s="69">
        <v>661066</v>
      </c>
      <c r="Q661" s="92" t="s">
        <v>768</v>
      </c>
      <c r="R661" s="92" t="s">
        <v>471</v>
      </c>
      <c r="S661" s="92"/>
    </row>
    <row r="662" spans="1:19" x14ac:dyDescent="0.2">
      <c r="A662" s="92" t="s">
        <v>893</v>
      </c>
      <c r="B662" s="69">
        <v>14</v>
      </c>
      <c r="C662" s="69">
        <v>-2</v>
      </c>
      <c r="D662" s="69">
        <v>-9</v>
      </c>
      <c r="E662" s="69">
        <v>14</v>
      </c>
      <c r="F662" s="69">
        <v>-49</v>
      </c>
      <c r="G662" s="69">
        <v>-44</v>
      </c>
      <c r="H662" s="69">
        <v>-11.1</v>
      </c>
      <c r="I662" s="70">
        <v>0.75</v>
      </c>
      <c r="J662" s="70">
        <v>2.08</v>
      </c>
      <c r="K662" s="69">
        <v>29.2</v>
      </c>
      <c r="L662" s="69">
        <v>-0.6</v>
      </c>
      <c r="M662" s="69" t="s">
        <v>451</v>
      </c>
      <c r="N662" s="69">
        <v>2004</v>
      </c>
      <c r="O662" s="69" t="s">
        <v>71</v>
      </c>
      <c r="P662" s="69">
        <v>338590</v>
      </c>
      <c r="Q662" s="92" t="s">
        <v>768</v>
      </c>
      <c r="R662" s="92" t="s">
        <v>370</v>
      </c>
      <c r="S662" s="92"/>
    </row>
    <row r="663" spans="1:19" x14ac:dyDescent="0.2">
      <c r="A663" s="92" t="s">
        <v>889</v>
      </c>
      <c r="B663" s="69">
        <v>21</v>
      </c>
      <c r="C663" s="69">
        <v>9</v>
      </c>
      <c r="D663" s="69">
        <v>11</v>
      </c>
      <c r="E663" s="69">
        <v>20</v>
      </c>
      <c r="F663" s="69"/>
      <c r="G663" s="69"/>
      <c r="H663" s="69"/>
      <c r="I663" s="70">
        <v>0.75</v>
      </c>
      <c r="J663" s="70">
        <v>2.4500000000000002</v>
      </c>
      <c r="K663" s="69"/>
      <c r="L663" s="69"/>
      <c r="M663" s="69" t="s">
        <v>170</v>
      </c>
      <c r="N663" s="69">
        <v>2012</v>
      </c>
      <c r="O663" s="69" t="s">
        <v>71</v>
      </c>
      <c r="P663" s="69">
        <v>961458</v>
      </c>
      <c r="Q663" s="92" t="s">
        <v>708</v>
      </c>
      <c r="R663" s="92" t="s">
        <v>265</v>
      </c>
      <c r="S663" s="92"/>
    </row>
    <row r="664" spans="1:19" x14ac:dyDescent="0.2">
      <c r="A664" s="92" t="s">
        <v>885</v>
      </c>
      <c r="B664" s="69">
        <v>19</v>
      </c>
      <c r="C664" s="69">
        <v>10</v>
      </c>
      <c r="D664" s="69">
        <v>9</v>
      </c>
      <c r="E664" s="69">
        <v>19</v>
      </c>
      <c r="F664" s="69">
        <v>74</v>
      </c>
      <c r="G664" s="69">
        <v>88</v>
      </c>
      <c r="H664" s="69">
        <v>13.5</v>
      </c>
      <c r="I664" s="70">
        <v>0.75</v>
      </c>
      <c r="J664" s="70">
        <v>1.85</v>
      </c>
      <c r="K664" s="69">
        <v>7.8</v>
      </c>
      <c r="L664" s="69">
        <v>2.2999999999999998</v>
      </c>
      <c r="M664" s="69" t="s">
        <v>241</v>
      </c>
      <c r="N664" s="69">
        <v>2013</v>
      </c>
      <c r="O664" s="69" t="s">
        <v>71</v>
      </c>
      <c r="P664" s="69">
        <v>682070</v>
      </c>
      <c r="Q664" s="92" t="s">
        <v>1152</v>
      </c>
      <c r="R664" s="92" t="s">
        <v>260</v>
      </c>
      <c r="S664" s="92"/>
    </row>
    <row r="665" spans="1:19" x14ac:dyDescent="0.2">
      <c r="A665" s="92" t="s">
        <v>886</v>
      </c>
      <c r="B665" s="69">
        <v>36</v>
      </c>
      <c r="C665" s="69">
        <v>13</v>
      </c>
      <c r="D665" s="69">
        <v>22</v>
      </c>
      <c r="E665" s="69">
        <v>35</v>
      </c>
      <c r="F665" s="69"/>
      <c r="G665" s="69"/>
      <c r="H665" s="69"/>
      <c r="I665" s="70">
        <v>0.75</v>
      </c>
      <c r="J665" s="70">
        <v>1.86</v>
      </c>
      <c r="K665" s="69"/>
      <c r="L665" s="69"/>
      <c r="M665" s="69" t="s">
        <v>451</v>
      </c>
      <c r="N665" s="69">
        <v>2013</v>
      </c>
      <c r="O665" s="69" t="s">
        <v>71</v>
      </c>
      <c r="P665" s="69">
        <v>359604</v>
      </c>
      <c r="Q665" s="92" t="s">
        <v>1152</v>
      </c>
      <c r="R665" s="92" t="s">
        <v>245</v>
      </c>
      <c r="S665" s="87"/>
    </row>
    <row r="666" spans="1:19" x14ac:dyDescent="0.2">
      <c r="A666" s="92" t="s">
        <v>898</v>
      </c>
      <c r="B666" s="69">
        <v>20</v>
      </c>
      <c r="C666" s="69">
        <v>6</v>
      </c>
      <c r="D666" s="69">
        <v>8</v>
      </c>
      <c r="E666" s="69">
        <v>20</v>
      </c>
      <c r="F666" s="69">
        <v>26</v>
      </c>
      <c r="G666" s="69">
        <v>16</v>
      </c>
      <c r="H666" s="69">
        <v>3</v>
      </c>
      <c r="I666" s="70">
        <v>0.76</v>
      </c>
      <c r="J666" s="70">
        <v>1.9</v>
      </c>
      <c r="K666" s="69">
        <v>11.8</v>
      </c>
      <c r="L666" s="69">
        <v>0.6</v>
      </c>
      <c r="M666" s="69" t="s">
        <v>451</v>
      </c>
      <c r="N666" s="69">
        <v>2000</v>
      </c>
      <c r="O666" s="69" t="s">
        <v>71</v>
      </c>
      <c r="P666" s="69">
        <v>305243</v>
      </c>
      <c r="Q666" s="92" t="s">
        <v>811</v>
      </c>
      <c r="R666" s="92" t="s">
        <v>379</v>
      </c>
      <c r="S666" s="87"/>
    </row>
    <row r="667" spans="1:19" x14ac:dyDescent="0.2">
      <c r="A667" s="92" t="s">
        <v>899</v>
      </c>
      <c r="B667" s="69">
        <v>15</v>
      </c>
      <c r="C667" s="69">
        <v>4</v>
      </c>
      <c r="D667" s="69">
        <v>11</v>
      </c>
      <c r="E667" s="69">
        <v>15</v>
      </c>
      <c r="F667" s="69">
        <v>45</v>
      </c>
      <c r="G667" s="69">
        <v>28</v>
      </c>
      <c r="H667" s="69">
        <v>5</v>
      </c>
      <c r="I667" s="70">
        <v>0.76</v>
      </c>
      <c r="J667" s="70">
        <v>1.9</v>
      </c>
      <c r="K667" s="69">
        <v>11.8</v>
      </c>
      <c r="L667" s="69">
        <v>1</v>
      </c>
      <c r="M667" s="69" t="s">
        <v>681</v>
      </c>
      <c r="N667" s="69">
        <v>2000</v>
      </c>
      <c r="O667" s="69" t="s">
        <v>71</v>
      </c>
      <c r="P667" s="69">
        <v>275495</v>
      </c>
      <c r="Q667" s="92" t="s">
        <v>811</v>
      </c>
      <c r="R667" s="92" t="s">
        <v>239</v>
      </c>
      <c r="S667" s="92"/>
    </row>
    <row r="668" spans="1:19" x14ac:dyDescent="0.2">
      <c r="A668" s="92" t="s">
        <v>905</v>
      </c>
      <c r="B668" s="69">
        <v>11</v>
      </c>
      <c r="C668" s="69">
        <v>4</v>
      </c>
      <c r="D668" s="69">
        <v>5</v>
      </c>
      <c r="E668" s="69">
        <v>11</v>
      </c>
      <c r="F668" s="69">
        <v>33</v>
      </c>
      <c r="G668" s="69">
        <v>27</v>
      </c>
      <c r="H668" s="69">
        <v>4.9000000000000004</v>
      </c>
      <c r="I668" s="70">
        <v>0.76</v>
      </c>
      <c r="J668" s="70">
        <v>2.08</v>
      </c>
      <c r="K668" s="69">
        <v>4.7</v>
      </c>
      <c r="L668" s="69">
        <v>1.8</v>
      </c>
      <c r="M668" s="69" t="s">
        <v>170</v>
      </c>
      <c r="N668" s="69">
        <v>2011</v>
      </c>
      <c r="O668" s="69" t="s">
        <v>171</v>
      </c>
      <c r="P668" s="69">
        <v>172601</v>
      </c>
      <c r="Q668" s="92" t="s">
        <v>906</v>
      </c>
      <c r="R668" s="92" t="s">
        <v>173</v>
      </c>
      <c r="S668" s="92"/>
    </row>
    <row r="669" spans="1:19" x14ac:dyDescent="0.2">
      <c r="A669" s="92" t="s">
        <v>894</v>
      </c>
      <c r="B669" s="69">
        <v>23</v>
      </c>
      <c r="C669" s="69">
        <v>8</v>
      </c>
      <c r="D669" s="69">
        <v>12</v>
      </c>
      <c r="E669" s="69">
        <v>22</v>
      </c>
      <c r="F669" s="69">
        <v>45</v>
      </c>
      <c r="G669" s="69"/>
      <c r="H669" s="69"/>
      <c r="I669" s="70">
        <v>0.76</v>
      </c>
      <c r="J669" s="70">
        <v>2.86</v>
      </c>
      <c r="K669" s="69">
        <v>4.7</v>
      </c>
      <c r="L669" s="69">
        <v>2.4</v>
      </c>
      <c r="M669" s="69" t="s">
        <v>170</v>
      </c>
      <c r="N669" s="69">
        <v>2011</v>
      </c>
      <c r="O669" s="69" t="s">
        <v>71</v>
      </c>
      <c r="P669" s="69">
        <v>356006</v>
      </c>
      <c r="Q669" s="92" t="s">
        <v>895</v>
      </c>
      <c r="R669" s="92" t="s">
        <v>173</v>
      </c>
      <c r="S669" s="92"/>
    </row>
    <row r="670" spans="1:19" x14ac:dyDescent="0.2">
      <c r="A670" s="92" t="s">
        <v>900</v>
      </c>
      <c r="B670" s="69">
        <v>69</v>
      </c>
      <c r="C670" s="69">
        <v>14</v>
      </c>
      <c r="D670" s="69">
        <v>29</v>
      </c>
      <c r="E670" s="69">
        <v>68</v>
      </c>
      <c r="F670" s="69">
        <v>84</v>
      </c>
      <c r="G670" s="69">
        <v>56</v>
      </c>
      <c r="H670" s="69">
        <v>9.3000000000000007</v>
      </c>
      <c r="I670" s="70">
        <v>0.76</v>
      </c>
      <c r="J670" s="70">
        <v>1.9</v>
      </c>
      <c r="K670" s="69">
        <v>20.7</v>
      </c>
      <c r="L670" s="69">
        <v>1</v>
      </c>
      <c r="M670" s="69" t="s">
        <v>451</v>
      </c>
      <c r="N670" s="69">
        <v>2007</v>
      </c>
      <c r="O670" s="69" t="s">
        <v>71</v>
      </c>
      <c r="P670" s="69">
        <v>170894</v>
      </c>
      <c r="Q670" s="92" t="s">
        <v>746</v>
      </c>
      <c r="R670" s="92" t="s">
        <v>383</v>
      </c>
      <c r="S670" s="87"/>
    </row>
    <row r="671" spans="1:19" x14ac:dyDescent="0.2">
      <c r="A671" s="92" t="s">
        <v>896</v>
      </c>
      <c r="B671" s="69">
        <v>30</v>
      </c>
      <c r="C671" s="69">
        <v>14</v>
      </c>
      <c r="D671" s="69">
        <v>19</v>
      </c>
      <c r="E671" s="69">
        <v>30</v>
      </c>
      <c r="F671" s="69">
        <v>59</v>
      </c>
      <c r="G671" s="69">
        <v>79</v>
      </c>
      <c r="H671" s="69">
        <v>12.4</v>
      </c>
      <c r="I671" s="70">
        <v>0.76</v>
      </c>
      <c r="J671" s="70">
        <v>1.95</v>
      </c>
      <c r="K671" s="69">
        <v>7.5</v>
      </c>
      <c r="L671" s="69">
        <v>1.9</v>
      </c>
      <c r="M671" s="69" t="s">
        <v>451</v>
      </c>
      <c r="N671" s="69">
        <v>2006</v>
      </c>
      <c r="O671" s="69" t="s">
        <v>71</v>
      </c>
      <c r="P671" s="69">
        <v>848069</v>
      </c>
      <c r="Q671" s="92" t="s">
        <v>553</v>
      </c>
      <c r="R671" s="92" t="s">
        <v>315</v>
      </c>
      <c r="S671" s="87"/>
    </row>
    <row r="672" spans="1:19" x14ac:dyDescent="0.2">
      <c r="A672" s="92" t="s">
        <v>902</v>
      </c>
      <c r="B672" s="69">
        <v>8</v>
      </c>
      <c r="C672" s="69">
        <v>0</v>
      </c>
      <c r="D672" s="69">
        <v>-1</v>
      </c>
      <c r="E672" s="69">
        <v>8</v>
      </c>
      <c r="F672" s="69">
        <v>43</v>
      </c>
      <c r="G672" s="69">
        <v>27</v>
      </c>
      <c r="H672" s="69">
        <v>4.9000000000000004</v>
      </c>
      <c r="I672" s="70">
        <v>0.76</v>
      </c>
      <c r="J672" s="70">
        <v>1.89</v>
      </c>
      <c r="K672" s="69">
        <v>8.8000000000000007</v>
      </c>
      <c r="L672" s="69">
        <v>1.3</v>
      </c>
      <c r="M672" s="69" t="s">
        <v>241</v>
      </c>
      <c r="N672" s="69">
        <v>2010</v>
      </c>
      <c r="O672" s="69" t="s">
        <v>71</v>
      </c>
      <c r="P672" s="69">
        <v>773861</v>
      </c>
      <c r="Q672" s="92" t="s">
        <v>495</v>
      </c>
      <c r="R672" s="92" t="s">
        <v>260</v>
      </c>
      <c r="S672" s="92"/>
    </row>
    <row r="673" spans="1:19" x14ac:dyDescent="0.2">
      <c r="A673" s="92" t="s">
        <v>903</v>
      </c>
      <c r="B673" s="69">
        <v>25</v>
      </c>
      <c r="C673" s="69">
        <v>7</v>
      </c>
      <c r="D673" s="69">
        <v>16</v>
      </c>
      <c r="E673" s="69">
        <v>25</v>
      </c>
      <c r="F673" s="69">
        <v>52</v>
      </c>
      <c r="G673" s="69">
        <v>38</v>
      </c>
      <c r="H673" s="69">
        <v>6.6</v>
      </c>
      <c r="I673" s="70">
        <v>0.76</v>
      </c>
      <c r="J673" s="70">
        <v>1.9</v>
      </c>
      <c r="K673" s="69">
        <v>10.7</v>
      </c>
      <c r="L673" s="69">
        <v>1.3</v>
      </c>
      <c r="M673" s="69" t="s">
        <v>451</v>
      </c>
      <c r="N673" s="69">
        <v>2010</v>
      </c>
      <c r="O673" s="69" t="s">
        <v>71</v>
      </c>
      <c r="P673" s="69">
        <v>666370</v>
      </c>
      <c r="Q673" s="92" t="s">
        <v>495</v>
      </c>
      <c r="R673" s="92" t="s">
        <v>449</v>
      </c>
      <c r="S673" s="92"/>
    </row>
    <row r="674" spans="1:19" x14ac:dyDescent="0.2">
      <c r="A674" s="92" t="s">
        <v>904</v>
      </c>
      <c r="B674" s="69">
        <v>6</v>
      </c>
      <c r="C674" s="69">
        <v>-7</v>
      </c>
      <c r="D674" s="69">
        <v>-4</v>
      </c>
      <c r="E674" s="69">
        <v>6</v>
      </c>
      <c r="F674" s="69">
        <v>-12</v>
      </c>
      <c r="G674" s="69">
        <v>-28</v>
      </c>
      <c r="H674" s="69">
        <v>-6.3</v>
      </c>
      <c r="I674" s="70">
        <v>0.76</v>
      </c>
      <c r="J674" s="70">
        <v>1.9</v>
      </c>
      <c r="K674" s="69">
        <v>16.2</v>
      </c>
      <c r="L674" s="69">
        <v>-0.3</v>
      </c>
      <c r="M674" s="69" t="s">
        <v>451</v>
      </c>
      <c r="N674" s="69">
        <v>2000</v>
      </c>
      <c r="O674" s="69" t="s">
        <v>71</v>
      </c>
      <c r="P674" s="69">
        <v>956268</v>
      </c>
      <c r="Q674" s="92" t="s">
        <v>495</v>
      </c>
      <c r="R674" s="92" t="s">
        <v>471</v>
      </c>
      <c r="S674" s="92"/>
    </row>
    <row r="675" spans="1:19" x14ac:dyDescent="0.2">
      <c r="A675" s="92" t="s">
        <v>897</v>
      </c>
      <c r="B675" s="69">
        <v>29</v>
      </c>
      <c r="C675" s="69">
        <v>19</v>
      </c>
      <c r="D675" s="69">
        <v>30</v>
      </c>
      <c r="E675" s="69">
        <v>28</v>
      </c>
      <c r="F675" s="69">
        <v>55</v>
      </c>
      <c r="G675" s="69">
        <v>18</v>
      </c>
      <c r="H675" s="69">
        <v>3.5</v>
      </c>
      <c r="I675" s="70">
        <v>0.76</v>
      </c>
      <c r="J675" s="70">
        <v>1.9</v>
      </c>
      <c r="K675" s="69">
        <v>15.8</v>
      </c>
      <c r="L675" s="69">
        <v>0.9</v>
      </c>
      <c r="M675" s="69" t="s">
        <v>451</v>
      </c>
      <c r="N675" s="69">
        <v>2000</v>
      </c>
      <c r="O675" s="69" t="s">
        <v>71</v>
      </c>
      <c r="P675" s="69">
        <v>233585</v>
      </c>
      <c r="Q675" s="92" t="s">
        <v>811</v>
      </c>
      <c r="R675" s="92" t="s">
        <v>449</v>
      </c>
      <c r="S675" s="92"/>
    </row>
    <row r="676" spans="1:19" x14ac:dyDescent="0.2">
      <c r="A676" s="92" t="s">
        <v>1154</v>
      </c>
      <c r="B676" s="69">
        <v>6</v>
      </c>
      <c r="C676" s="69">
        <v>-1</v>
      </c>
      <c r="D676" s="69">
        <v>-3</v>
      </c>
      <c r="E676" s="69">
        <v>5</v>
      </c>
      <c r="F676" s="69">
        <v>51</v>
      </c>
      <c r="G676" s="69">
        <v>28</v>
      </c>
      <c r="H676" s="69">
        <v>5</v>
      </c>
      <c r="I676" s="70">
        <v>0.76</v>
      </c>
      <c r="J676" s="70">
        <v>2</v>
      </c>
      <c r="K676" s="69">
        <v>13.5</v>
      </c>
      <c r="L676" s="69">
        <v>1</v>
      </c>
      <c r="M676" s="69" t="s">
        <v>241</v>
      </c>
      <c r="N676" s="69">
        <v>2005</v>
      </c>
      <c r="O676" s="69" t="s">
        <v>71</v>
      </c>
      <c r="P676" s="69">
        <v>170951</v>
      </c>
      <c r="Q676" s="92" t="s">
        <v>362</v>
      </c>
      <c r="R676" s="92" t="s">
        <v>410</v>
      </c>
      <c r="S676" s="92"/>
    </row>
    <row r="677" spans="1:19" x14ac:dyDescent="0.2">
      <c r="A677" s="92" t="s">
        <v>901</v>
      </c>
      <c r="B677" s="69">
        <v>27</v>
      </c>
      <c r="C677" s="69">
        <v>8</v>
      </c>
      <c r="D677" s="69">
        <v>13</v>
      </c>
      <c r="E677" s="69">
        <v>27</v>
      </c>
      <c r="F677" s="69">
        <v>31</v>
      </c>
      <c r="G677" s="69">
        <v>19</v>
      </c>
      <c r="H677" s="69">
        <v>3.5</v>
      </c>
      <c r="I677" s="70">
        <v>0.76</v>
      </c>
      <c r="J677" s="70">
        <v>1.9</v>
      </c>
      <c r="K677" s="69">
        <v>10.1</v>
      </c>
      <c r="L677" s="69">
        <v>0.8</v>
      </c>
      <c r="M677" s="69" t="s">
        <v>451</v>
      </c>
      <c r="N677" s="69">
        <v>2000</v>
      </c>
      <c r="O677" s="69" t="s">
        <v>71</v>
      </c>
      <c r="P677" s="69">
        <v>992099</v>
      </c>
      <c r="Q677" s="92" t="s">
        <v>495</v>
      </c>
      <c r="R677" s="92" t="s">
        <v>310</v>
      </c>
      <c r="S677" s="87"/>
    </row>
    <row r="678" spans="1:19" x14ac:dyDescent="0.2">
      <c r="A678" s="92" t="s">
        <v>907</v>
      </c>
      <c r="B678" s="69">
        <v>5</v>
      </c>
      <c r="C678" s="69">
        <v>-5</v>
      </c>
      <c r="D678" s="69">
        <v>-2</v>
      </c>
      <c r="E678" s="69">
        <v>5</v>
      </c>
      <c r="F678" s="69">
        <v>20</v>
      </c>
      <c r="G678" s="69">
        <v>-13</v>
      </c>
      <c r="H678" s="69">
        <v>-2.6</v>
      </c>
      <c r="I678" s="70">
        <v>0.77</v>
      </c>
      <c r="J678" s="70">
        <v>2.39</v>
      </c>
      <c r="K678" s="69">
        <v>15.8</v>
      </c>
      <c r="L678" s="69">
        <v>0.4</v>
      </c>
      <c r="M678" s="69" t="s">
        <v>241</v>
      </c>
      <c r="N678" s="69">
        <v>2001</v>
      </c>
      <c r="O678" s="69" t="s">
        <v>71</v>
      </c>
      <c r="P678" s="69">
        <v>779538</v>
      </c>
      <c r="Q678" s="92" t="s">
        <v>535</v>
      </c>
      <c r="R678" s="92" t="s">
        <v>413</v>
      </c>
      <c r="S678" s="92"/>
    </row>
    <row r="679" spans="1:19" x14ac:dyDescent="0.2">
      <c r="A679" s="92" t="s">
        <v>908</v>
      </c>
      <c r="B679" s="69">
        <v>23</v>
      </c>
      <c r="C679" s="69">
        <v>9</v>
      </c>
      <c r="D679" s="69">
        <v>20</v>
      </c>
      <c r="E679" s="69">
        <v>23</v>
      </c>
      <c r="F679" s="69">
        <v>62</v>
      </c>
      <c r="G679" s="69">
        <v>24</v>
      </c>
      <c r="H679" s="69">
        <v>4.4000000000000004</v>
      </c>
      <c r="I679" s="70">
        <v>0.77</v>
      </c>
      <c r="J679" s="70">
        <v>2.39</v>
      </c>
      <c r="K679" s="69">
        <v>12</v>
      </c>
      <c r="L679" s="69">
        <v>1.3</v>
      </c>
      <c r="M679" s="69" t="s">
        <v>451</v>
      </c>
      <c r="N679" s="69">
        <v>2005</v>
      </c>
      <c r="O679" s="69" t="s">
        <v>71</v>
      </c>
      <c r="P679" s="69">
        <v>908806</v>
      </c>
      <c r="Q679" s="92" t="s">
        <v>535</v>
      </c>
      <c r="R679" s="92" t="s">
        <v>449</v>
      </c>
      <c r="S679" s="92"/>
    </row>
    <row r="680" spans="1:19" x14ac:dyDescent="0.2">
      <c r="A680" s="92" t="s">
        <v>909</v>
      </c>
      <c r="B680" s="69">
        <v>0</v>
      </c>
      <c r="C680" s="69">
        <v>-9</v>
      </c>
      <c r="D680" s="69">
        <v>-11</v>
      </c>
      <c r="E680" s="69">
        <v>0</v>
      </c>
      <c r="F680" s="69">
        <v>-26</v>
      </c>
      <c r="G680" s="69">
        <v>-42</v>
      </c>
      <c r="H680" s="69">
        <v>-10.199999999999999</v>
      </c>
      <c r="I680" s="70">
        <v>0.77</v>
      </c>
      <c r="J680" s="70">
        <v>2.38</v>
      </c>
      <c r="K680" s="69">
        <v>22.8</v>
      </c>
      <c r="L680" s="69">
        <v>-0.4</v>
      </c>
      <c r="M680" s="69" t="s">
        <v>451</v>
      </c>
      <c r="N680" s="69">
        <v>2008</v>
      </c>
      <c r="O680" s="69" t="s">
        <v>71</v>
      </c>
      <c r="P680" s="69">
        <v>806091</v>
      </c>
      <c r="Q680" s="92" t="s">
        <v>535</v>
      </c>
      <c r="R680" s="92" t="s">
        <v>383</v>
      </c>
      <c r="S680" s="87"/>
    </row>
    <row r="681" spans="1:19" x14ac:dyDescent="0.2">
      <c r="A681" s="92" t="s">
        <v>910</v>
      </c>
      <c r="B681" s="69">
        <v>-30</v>
      </c>
      <c r="C681" s="69">
        <v>-20</v>
      </c>
      <c r="D681" s="69">
        <v>-28</v>
      </c>
      <c r="E681" s="69">
        <v>-30</v>
      </c>
      <c r="F681" s="69">
        <v>-26</v>
      </c>
      <c r="G681" s="69">
        <v>-42</v>
      </c>
      <c r="H681" s="69">
        <v>-10.3</v>
      </c>
      <c r="I681" s="70">
        <v>0.77</v>
      </c>
      <c r="J681" s="70">
        <v>2.38</v>
      </c>
      <c r="K681" s="69">
        <v>21.6</v>
      </c>
      <c r="L681" s="69">
        <v>-0.4</v>
      </c>
      <c r="M681" s="69" t="s">
        <v>451</v>
      </c>
      <c r="N681" s="69">
        <v>2008</v>
      </c>
      <c r="O681" s="69" t="s">
        <v>71</v>
      </c>
      <c r="P681" s="69">
        <v>770263</v>
      </c>
      <c r="Q681" s="92" t="s">
        <v>535</v>
      </c>
      <c r="R681" s="92" t="s">
        <v>487</v>
      </c>
      <c r="S681" s="87"/>
    </row>
    <row r="682" spans="1:19" x14ac:dyDescent="0.2">
      <c r="A682" s="92" t="s">
        <v>911</v>
      </c>
      <c r="B682" s="69">
        <v>34</v>
      </c>
      <c r="C682" s="69">
        <v>0</v>
      </c>
      <c r="D682" s="69">
        <v>11</v>
      </c>
      <c r="E682" s="69">
        <v>33</v>
      </c>
      <c r="F682" s="69"/>
      <c r="G682" s="69"/>
      <c r="H682" s="69"/>
      <c r="I682" s="70">
        <v>0.77</v>
      </c>
      <c r="J682" s="70">
        <v>1.93</v>
      </c>
      <c r="K682" s="69"/>
      <c r="L682" s="69"/>
      <c r="M682" s="69" t="s">
        <v>241</v>
      </c>
      <c r="N682" s="69">
        <v>2014</v>
      </c>
      <c r="O682" s="69" t="s">
        <v>71</v>
      </c>
      <c r="P682" s="69">
        <v>413021</v>
      </c>
      <c r="Q682" s="92" t="s">
        <v>770</v>
      </c>
      <c r="R682" s="92" t="s">
        <v>379</v>
      </c>
      <c r="S682" s="87"/>
    </row>
    <row r="683" spans="1:19" x14ac:dyDescent="0.2">
      <c r="A683" s="92" t="s">
        <v>912</v>
      </c>
      <c r="B683" s="69">
        <v>19</v>
      </c>
      <c r="C683" s="69">
        <v>3</v>
      </c>
      <c r="D683" s="69">
        <v>7</v>
      </c>
      <c r="E683" s="69">
        <v>19</v>
      </c>
      <c r="F683" s="69">
        <v>35</v>
      </c>
      <c r="G683" s="69">
        <v>43</v>
      </c>
      <c r="H683" s="69">
        <v>7.4</v>
      </c>
      <c r="I683" s="70">
        <v>0.77</v>
      </c>
      <c r="J683" s="70">
        <v>1.92</v>
      </c>
      <c r="K683" s="69">
        <v>10.4</v>
      </c>
      <c r="L683" s="69">
        <v>0.9</v>
      </c>
      <c r="M683" s="69" t="s">
        <v>241</v>
      </c>
      <c r="N683" s="69">
        <v>2003</v>
      </c>
      <c r="O683" s="69" t="s">
        <v>71</v>
      </c>
      <c r="P683" s="69">
        <v>603985</v>
      </c>
      <c r="Q683" s="92" t="s">
        <v>913</v>
      </c>
      <c r="R683" s="92" t="s">
        <v>239</v>
      </c>
      <c r="S683" s="92"/>
    </row>
    <row r="684" spans="1:19" x14ac:dyDescent="0.2">
      <c r="A684" s="92" t="s">
        <v>1139</v>
      </c>
      <c r="B684" s="69">
        <v>15</v>
      </c>
      <c r="C684" s="69">
        <v>5</v>
      </c>
      <c r="D684" s="69">
        <v>8</v>
      </c>
      <c r="E684" s="69">
        <v>14</v>
      </c>
      <c r="F684" s="69">
        <v>50</v>
      </c>
      <c r="G684" s="69">
        <v>33</v>
      </c>
      <c r="H684" s="69">
        <v>5.9</v>
      </c>
      <c r="I684" s="70">
        <v>0.77</v>
      </c>
      <c r="J684" s="70">
        <v>1.92</v>
      </c>
      <c r="K684" s="69">
        <v>7.7</v>
      </c>
      <c r="L684" s="69">
        <v>1.6</v>
      </c>
      <c r="M684" s="69" t="s">
        <v>241</v>
      </c>
      <c r="N684" s="69">
        <v>2008</v>
      </c>
      <c r="O684" s="69" t="s">
        <v>71</v>
      </c>
      <c r="P684" s="69">
        <v>439299</v>
      </c>
      <c r="Q684" s="92" t="s">
        <v>635</v>
      </c>
      <c r="R684" s="92" t="s">
        <v>370</v>
      </c>
      <c r="S684" s="87" t="s">
        <v>189</v>
      </c>
    </row>
    <row r="685" spans="1:19" x14ac:dyDescent="0.2">
      <c r="A685" s="92" t="s">
        <v>914</v>
      </c>
      <c r="B685" s="69">
        <v>17</v>
      </c>
      <c r="C685" s="69">
        <v>5</v>
      </c>
      <c r="D685" s="69">
        <v>9</v>
      </c>
      <c r="E685" s="69">
        <v>16</v>
      </c>
      <c r="F685" s="69">
        <v>23</v>
      </c>
      <c r="G685" s="69">
        <v>-7</v>
      </c>
      <c r="H685" s="69">
        <v>-1.4</v>
      </c>
      <c r="I685" s="70">
        <v>0.77</v>
      </c>
      <c r="J685" s="70">
        <v>1.91</v>
      </c>
      <c r="K685" s="69">
        <v>14.8</v>
      </c>
      <c r="L685" s="69">
        <v>0.5</v>
      </c>
      <c r="M685" s="69" t="s">
        <v>241</v>
      </c>
      <c r="N685" s="69">
        <v>2007</v>
      </c>
      <c r="O685" s="69" t="s">
        <v>71</v>
      </c>
      <c r="P685" s="69">
        <v>670091</v>
      </c>
      <c r="Q685" s="92" t="s">
        <v>770</v>
      </c>
      <c r="R685" s="92" t="s">
        <v>379</v>
      </c>
      <c r="S685" s="87"/>
    </row>
    <row r="686" spans="1:19" x14ac:dyDescent="0.2">
      <c r="A686" s="92" t="s">
        <v>915</v>
      </c>
      <c r="B686" s="69">
        <v>27</v>
      </c>
      <c r="C686" s="69">
        <v>13</v>
      </c>
      <c r="D686" s="69">
        <v>17</v>
      </c>
      <c r="E686" s="69">
        <v>26</v>
      </c>
      <c r="F686" s="69">
        <v>65</v>
      </c>
      <c r="G686" s="69">
        <v>47</v>
      </c>
      <c r="H686" s="69">
        <v>8</v>
      </c>
      <c r="I686" s="70">
        <v>0.77</v>
      </c>
      <c r="J686" s="70">
        <v>1.91</v>
      </c>
      <c r="K686" s="69">
        <v>7.2</v>
      </c>
      <c r="L686" s="69">
        <v>2.2000000000000002</v>
      </c>
      <c r="M686" s="69" t="s">
        <v>241</v>
      </c>
      <c r="N686" s="69">
        <v>2003</v>
      </c>
      <c r="O686" s="69" t="s">
        <v>71</v>
      </c>
      <c r="P686" s="69">
        <v>532325</v>
      </c>
      <c r="Q686" s="92" t="s">
        <v>913</v>
      </c>
      <c r="R686" s="92" t="s">
        <v>212</v>
      </c>
      <c r="S686" s="87"/>
    </row>
    <row r="687" spans="1:19" x14ac:dyDescent="0.2">
      <c r="A687" s="92" t="s">
        <v>916</v>
      </c>
      <c r="B687" s="69">
        <v>49</v>
      </c>
      <c r="C687" s="69">
        <v>7</v>
      </c>
      <c r="D687" s="69">
        <v>23</v>
      </c>
      <c r="E687" s="69">
        <v>49</v>
      </c>
      <c r="F687" s="69">
        <v>53</v>
      </c>
      <c r="G687" s="69">
        <v>14</v>
      </c>
      <c r="H687" s="69">
        <v>2.6</v>
      </c>
      <c r="I687" s="70">
        <v>0.78</v>
      </c>
      <c r="J687" s="70">
        <v>1.96</v>
      </c>
      <c r="K687" s="69">
        <v>19.3</v>
      </c>
      <c r="L687" s="69">
        <v>0.8</v>
      </c>
      <c r="M687" s="69" t="s">
        <v>170</v>
      </c>
      <c r="N687" s="69">
        <v>2005</v>
      </c>
      <c r="O687" s="69" t="s">
        <v>171</v>
      </c>
      <c r="P687" s="69">
        <v>722983</v>
      </c>
      <c r="Q687" s="92" t="s">
        <v>216</v>
      </c>
      <c r="R687" s="92" t="s">
        <v>383</v>
      </c>
      <c r="S687" s="92"/>
    </row>
    <row r="688" spans="1:19" x14ac:dyDescent="0.2">
      <c r="A688" s="92" t="s">
        <v>917</v>
      </c>
      <c r="B688" s="69">
        <v>33</v>
      </c>
      <c r="C688" s="69">
        <v>14</v>
      </c>
      <c r="D688" s="69">
        <v>21</v>
      </c>
      <c r="E688" s="69">
        <v>33</v>
      </c>
      <c r="F688" s="69">
        <v>97</v>
      </c>
      <c r="G688" s="69">
        <v>103</v>
      </c>
      <c r="H688" s="69">
        <v>15.3</v>
      </c>
      <c r="I688" s="70">
        <v>0.78</v>
      </c>
      <c r="J688" s="70">
        <v>2.17</v>
      </c>
      <c r="K688" s="69">
        <v>9.1</v>
      </c>
      <c r="L688" s="69">
        <v>2.4</v>
      </c>
      <c r="M688" s="69" t="s">
        <v>451</v>
      </c>
      <c r="N688" s="69">
        <v>2011</v>
      </c>
      <c r="O688" s="69" t="s">
        <v>71</v>
      </c>
      <c r="P688" s="69">
        <v>197517</v>
      </c>
      <c r="Q688" s="92" t="s">
        <v>715</v>
      </c>
      <c r="R688" s="92" t="s">
        <v>245</v>
      </c>
      <c r="S688" s="87"/>
    </row>
    <row r="689" spans="1:19" x14ac:dyDescent="0.2">
      <c r="A689" s="92" t="s">
        <v>920</v>
      </c>
      <c r="B689" s="69">
        <v>19</v>
      </c>
      <c r="C689" s="69">
        <v>7</v>
      </c>
      <c r="D689" s="69">
        <v>8</v>
      </c>
      <c r="E689" s="69">
        <v>19</v>
      </c>
      <c r="F689" s="69">
        <v>63</v>
      </c>
      <c r="G689" s="69">
        <v>70</v>
      </c>
      <c r="H689" s="69">
        <v>11.2</v>
      </c>
      <c r="I689" s="70">
        <v>0.79</v>
      </c>
      <c r="J689" s="70">
        <v>2.23</v>
      </c>
      <c r="K689" s="69">
        <v>8.3000000000000007</v>
      </c>
      <c r="L689" s="69">
        <v>1.9</v>
      </c>
      <c r="M689" s="69" t="s">
        <v>170</v>
      </c>
      <c r="N689" s="69">
        <v>2011</v>
      </c>
      <c r="O689" s="69" t="s">
        <v>171</v>
      </c>
      <c r="P689" s="69">
        <v>339002</v>
      </c>
      <c r="Q689" s="92" t="s">
        <v>906</v>
      </c>
      <c r="R689" s="92" t="s">
        <v>212</v>
      </c>
      <c r="S689" s="92"/>
    </row>
    <row r="690" spans="1:19" x14ac:dyDescent="0.2">
      <c r="A690" s="92" t="s">
        <v>918</v>
      </c>
      <c r="B690" s="69">
        <v>-3</v>
      </c>
      <c r="C690" s="69">
        <v>-2</v>
      </c>
      <c r="D690" s="69">
        <v>-7</v>
      </c>
      <c r="E690" s="69">
        <v>-3</v>
      </c>
      <c r="F690" s="69">
        <v>25</v>
      </c>
      <c r="G690" s="69">
        <v>15</v>
      </c>
      <c r="H690" s="69">
        <v>2.8</v>
      </c>
      <c r="I690" s="70">
        <v>0.79</v>
      </c>
      <c r="J690" s="70">
        <v>1.97</v>
      </c>
      <c r="K690" s="69">
        <v>9.6999999999999993</v>
      </c>
      <c r="L690" s="69">
        <v>0.6</v>
      </c>
      <c r="M690" s="69" t="s">
        <v>170</v>
      </c>
      <c r="N690" s="69">
        <v>2014</v>
      </c>
      <c r="O690" s="69" t="s">
        <v>171</v>
      </c>
      <c r="P690" s="69">
        <v>305532</v>
      </c>
      <c r="Q690" s="92" t="s">
        <v>562</v>
      </c>
      <c r="R690" s="92" t="s">
        <v>173</v>
      </c>
      <c r="S690" s="92" t="s">
        <v>189</v>
      </c>
    </row>
    <row r="691" spans="1:19" x14ac:dyDescent="0.2">
      <c r="A691" s="92" t="s">
        <v>921</v>
      </c>
      <c r="B691" s="69">
        <v>25</v>
      </c>
      <c r="C691" s="69">
        <v>12</v>
      </c>
      <c r="D691" s="69">
        <v>18</v>
      </c>
      <c r="E691" s="69">
        <v>24</v>
      </c>
      <c r="F691" s="69">
        <v>58</v>
      </c>
      <c r="G691" s="69"/>
      <c r="H691" s="69"/>
      <c r="I691" s="70">
        <v>0.79</v>
      </c>
      <c r="J691" s="70">
        <v>2.2200000000000002</v>
      </c>
      <c r="K691" s="69">
        <v>7</v>
      </c>
      <c r="L691" s="69">
        <v>2</v>
      </c>
      <c r="M691" s="69" t="s">
        <v>170</v>
      </c>
      <c r="N691" s="69">
        <v>2011</v>
      </c>
      <c r="O691" s="69" t="s">
        <v>171</v>
      </c>
      <c r="P691" s="69">
        <v>208439</v>
      </c>
      <c r="Q691" s="92" t="s">
        <v>172</v>
      </c>
      <c r="R691" s="92" t="s">
        <v>212</v>
      </c>
      <c r="S691" s="92"/>
    </row>
    <row r="692" spans="1:19" x14ac:dyDescent="0.2">
      <c r="A692" s="92" t="s">
        <v>1155</v>
      </c>
      <c r="B692" s="69">
        <v>17</v>
      </c>
      <c r="C692" s="69">
        <v>6</v>
      </c>
      <c r="D692" s="69">
        <v>4</v>
      </c>
      <c r="E692" s="69">
        <v>16</v>
      </c>
      <c r="F692" s="69"/>
      <c r="G692" s="69"/>
      <c r="H692" s="69"/>
      <c r="I692" s="70">
        <v>0.79</v>
      </c>
      <c r="J692" s="70">
        <v>1.62</v>
      </c>
      <c r="K692" s="69"/>
      <c r="L692" s="69"/>
      <c r="M692" s="69" t="s">
        <v>170</v>
      </c>
      <c r="N692" s="69">
        <v>2013</v>
      </c>
      <c r="O692" s="69" t="s">
        <v>71</v>
      </c>
      <c r="P692" s="69">
        <v>677823</v>
      </c>
      <c r="Q692" s="92" t="s">
        <v>362</v>
      </c>
      <c r="R692" s="92" t="s">
        <v>509</v>
      </c>
      <c r="S692" s="87"/>
    </row>
    <row r="693" spans="1:19" x14ac:dyDescent="0.2">
      <c r="A693" s="92" t="s">
        <v>922</v>
      </c>
      <c r="B693" s="69">
        <v>-1</v>
      </c>
      <c r="C693" s="69">
        <v>-1</v>
      </c>
      <c r="D693" s="69">
        <v>-2</v>
      </c>
      <c r="E693" s="69">
        <v>0</v>
      </c>
      <c r="F693" s="69">
        <v>1</v>
      </c>
      <c r="G693" s="69">
        <v>-19</v>
      </c>
      <c r="H693" s="69">
        <v>-4.2</v>
      </c>
      <c r="I693" s="70">
        <v>0.79</v>
      </c>
      <c r="J693" s="70">
        <v>1.97</v>
      </c>
      <c r="K693" s="69">
        <v>6.3</v>
      </c>
      <c r="L693" s="69">
        <v>-0.1</v>
      </c>
      <c r="M693" s="69" t="s">
        <v>170</v>
      </c>
      <c r="N693" s="69">
        <v>2009</v>
      </c>
      <c r="O693" s="69" t="s">
        <v>171</v>
      </c>
      <c r="P693" s="69">
        <v>191494</v>
      </c>
      <c r="Q693" s="92" t="s">
        <v>216</v>
      </c>
      <c r="R693" s="92" t="s">
        <v>173</v>
      </c>
      <c r="S693" s="87"/>
    </row>
    <row r="694" spans="1:19" x14ac:dyDescent="0.2">
      <c r="A694" s="92" t="s">
        <v>1140</v>
      </c>
      <c r="B694" s="69">
        <v>19</v>
      </c>
      <c r="C694" s="69">
        <v>4</v>
      </c>
      <c r="D694" s="69">
        <v>7</v>
      </c>
      <c r="E694" s="69">
        <v>19</v>
      </c>
      <c r="F694" s="69">
        <v>22</v>
      </c>
      <c r="G694" s="69">
        <v>3</v>
      </c>
      <c r="H694" s="69">
        <v>0.7</v>
      </c>
      <c r="I694" s="70">
        <v>0.79</v>
      </c>
      <c r="J694" s="70">
        <v>1.97</v>
      </c>
      <c r="K694" s="69">
        <v>11.3</v>
      </c>
      <c r="L694" s="69">
        <v>0.5</v>
      </c>
      <c r="M694" s="69" t="s">
        <v>451</v>
      </c>
      <c r="N694" s="69">
        <v>2008</v>
      </c>
      <c r="O694" s="69" t="s">
        <v>71</v>
      </c>
      <c r="P694" s="69">
        <v>295972</v>
      </c>
      <c r="Q694" s="92" t="s">
        <v>635</v>
      </c>
      <c r="R694" s="92" t="s">
        <v>379</v>
      </c>
      <c r="S694" s="87"/>
    </row>
    <row r="695" spans="1:19" x14ac:dyDescent="0.2">
      <c r="A695" s="92" t="s">
        <v>919</v>
      </c>
      <c r="B695" s="69">
        <v>31</v>
      </c>
      <c r="C695" s="69">
        <v>15</v>
      </c>
      <c r="D695" s="69">
        <v>24</v>
      </c>
      <c r="E695" s="69">
        <v>31</v>
      </c>
      <c r="F695" s="69">
        <v>76</v>
      </c>
      <c r="G695" s="69">
        <v>94</v>
      </c>
      <c r="H695" s="69">
        <v>14.2</v>
      </c>
      <c r="I695" s="70">
        <v>0.79</v>
      </c>
      <c r="J695" s="70">
        <v>2.2200000000000002</v>
      </c>
      <c r="K695" s="69">
        <v>9.6</v>
      </c>
      <c r="L695" s="69">
        <v>1.9</v>
      </c>
      <c r="M695" s="69" t="s">
        <v>451</v>
      </c>
      <c r="N695" s="69">
        <v>2011</v>
      </c>
      <c r="O695" s="69" t="s">
        <v>71</v>
      </c>
      <c r="P695" s="69">
        <v>882530</v>
      </c>
      <c r="Q695" s="92" t="s">
        <v>715</v>
      </c>
      <c r="R695" s="92" t="s">
        <v>245</v>
      </c>
      <c r="S695" s="92"/>
    </row>
    <row r="696" spans="1:19" x14ac:dyDescent="0.2">
      <c r="A696" s="92" t="s">
        <v>923</v>
      </c>
      <c r="B696" s="69">
        <v>23</v>
      </c>
      <c r="C696" s="69">
        <v>6</v>
      </c>
      <c r="D696" s="69">
        <v>9</v>
      </c>
      <c r="E696" s="69">
        <v>23</v>
      </c>
      <c r="F696" s="69">
        <v>32</v>
      </c>
      <c r="G696" s="69">
        <v>27</v>
      </c>
      <c r="H696" s="69">
        <v>4.9000000000000004</v>
      </c>
      <c r="I696" s="70">
        <v>0.79</v>
      </c>
      <c r="J696" s="70">
        <v>1.99</v>
      </c>
      <c r="K696" s="69">
        <v>12.2</v>
      </c>
      <c r="L696" s="69">
        <v>0.7</v>
      </c>
      <c r="M696" s="69" t="s">
        <v>170</v>
      </c>
      <c r="N696" s="69">
        <v>2006</v>
      </c>
      <c r="O696" s="69" t="s">
        <v>171</v>
      </c>
      <c r="P696" s="69">
        <v>534099</v>
      </c>
      <c r="Q696" s="92" t="s">
        <v>216</v>
      </c>
      <c r="R696" s="92" t="s">
        <v>379</v>
      </c>
      <c r="S696" s="87"/>
    </row>
    <row r="697" spans="1:19" x14ac:dyDescent="0.2">
      <c r="A697" s="92" t="s">
        <v>924</v>
      </c>
      <c r="B697" s="69">
        <v>24</v>
      </c>
      <c r="C697" s="69">
        <v>14</v>
      </c>
      <c r="D697" s="69">
        <v>25</v>
      </c>
      <c r="E697" s="69">
        <v>24</v>
      </c>
      <c r="F697" s="69">
        <v>45</v>
      </c>
      <c r="G697" s="69"/>
      <c r="H697" s="69"/>
      <c r="I697" s="70">
        <v>0.79</v>
      </c>
      <c r="J697" s="70">
        <v>2.42</v>
      </c>
      <c r="K697" s="69">
        <v>14.8</v>
      </c>
      <c r="L697" s="69">
        <v>0.8</v>
      </c>
      <c r="M697" s="69" t="s">
        <v>170</v>
      </c>
      <c r="N697" s="69">
        <v>2013</v>
      </c>
      <c r="O697" s="69" t="s">
        <v>71</v>
      </c>
      <c r="P697" s="69">
        <v>673699</v>
      </c>
      <c r="Q697" s="92" t="s">
        <v>880</v>
      </c>
      <c r="R697" s="92" t="s">
        <v>449</v>
      </c>
      <c r="S697" s="92"/>
    </row>
    <row r="698" spans="1:19" x14ac:dyDescent="0.2">
      <c r="A698" s="92" t="s">
        <v>925</v>
      </c>
      <c r="B698" s="69">
        <v>-24</v>
      </c>
      <c r="C698" s="69">
        <v>-15</v>
      </c>
      <c r="D698" s="69">
        <v>-20</v>
      </c>
      <c r="E698" s="69">
        <v>-24</v>
      </c>
      <c r="F698" s="69">
        <v>-5</v>
      </c>
      <c r="G698" s="69">
        <v>-29</v>
      </c>
      <c r="H698" s="69">
        <v>-6.6</v>
      </c>
      <c r="I698" s="70">
        <v>0.8</v>
      </c>
      <c r="J698" s="70">
        <v>2</v>
      </c>
      <c r="K698" s="69">
        <v>18.600000000000001</v>
      </c>
      <c r="L698" s="69">
        <v>-0.1</v>
      </c>
      <c r="M698" s="69" t="s">
        <v>241</v>
      </c>
      <c r="N698" s="69">
        <v>2011</v>
      </c>
      <c r="O698" s="69" t="s">
        <v>71</v>
      </c>
      <c r="P698" s="69">
        <v>949941</v>
      </c>
      <c r="Q698" s="92" t="s">
        <v>722</v>
      </c>
      <c r="R698" s="92" t="s">
        <v>413</v>
      </c>
      <c r="S698" s="92" t="s">
        <v>189</v>
      </c>
    </row>
    <row r="699" spans="1:19" x14ac:dyDescent="0.2">
      <c r="A699" s="92" t="s">
        <v>926</v>
      </c>
      <c r="B699" s="69">
        <v>11</v>
      </c>
      <c r="C699" s="69">
        <v>2</v>
      </c>
      <c r="D699" s="69">
        <v>1</v>
      </c>
      <c r="E699" s="69">
        <v>11</v>
      </c>
      <c r="F699" s="69">
        <v>53</v>
      </c>
      <c r="G699" s="69">
        <v>37</v>
      </c>
      <c r="H699" s="69">
        <v>6.5</v>
      </c>
      <c r="I699" s="70">
        <v>0.8</v>
      </c>
      <c r="J699" s="70">
        <v>2.02</v>
      </c>
      <c r="K699" s="69">
        <v>8.5</v>
      </c>
      <c r="L699" s="69">
        <v>1.6</v>
      </c>
      <c r="M699" s="69" t="s">
        <v>241</v>
      </c>
      <c r="N699" s="69">
        <v>2006</v>
      </c>
      <c r="O699" s="69" t="s">
        <v>71</v>
      </c>
      <c r="P699" s="69">
        <v>882068</v>
      </c>
      <c r="Q699" s="92" t="s">
        <v>497</v>
      </c>
      <c r="R699" s="92" t="s">
        <v>212</v>
      </c>
      <c r="S699" s="87"/>
    </row>
    <row r="700" spans="1:19" x14ac:dyDescent="0.2">
      <c r="A700" s="92" t="s">
        <v>927</v>
      </c>
      <c r="B700" s="69">
        <v>38</v>
      </c>
      <c r="C700" s="69">
        <v>18</v>
      </c>
      <c r="D700" s="69">
        <v>11</v>
      </c>
      <c r="E700" s="69">
        <v>48</v>
      </c>
      <c r="F700" s="69">
        <v>50</v>
      </c>
      <c r="G700" s="69">
        <v>0</v>
      </c>
      <c r="H700" s="69">
        <v>0.1</v>
      </c>
      <c r="I700" s="70">
        <v>0.8</v>
      </c>
      <c r="J700" s="70">
        <v>2</v>
      </c>
      <c r="K700" s="69">
        <v>28.2</v>
      </c>
      <c r="L700" s="69">
        <v>0.6</v>
      </c>
      <c r="M700" s="69" t="s">
        <v>241</v>
      </c>
      <c r="N700" s="69">
        <v>2011</v>
      </c>
      <c r="O700" s="69" t="s">
        <v>71</v>
      </c>
      <c r="P700" s="69">
        <v>121608</v>
      </c>
      <c r="Q700" s="92" t="s">
        <v>722</v>
      </c>
      <c r="R700" s="92" t="s">
        <v>383</v>
      </c>
      <c r="S700" s="92" t="s">
        <v>189</v>
      </c>
    </row>
    <row r="701" spans="1:19" x14ac:dyDescent="0.2">
      <c r="A701" s="92" t="s">
        <v>929</v>
      </c>
      <c r="B701" s="69">
        <v>17</v>
      </c>
      <c r="C701" s="69">
        <v>11</v>
      </c>
      <c r="D701" s="69">
        <v>9</v>
      </c>
      <c r="E701" s="69">
        <v>17</v>
      </c>
      <c r="F701" s="69">
        <v>66</v>
      </c>
      <c r="G701" s="69">
        <v>71</v>
      </c>
      <c r="H701" s="69">
        <v>11.3</v>
      </c>
      <c r="I701" s="70">
        <v>0.8</v>
      </c>
      <c r="J701" s="70">
        <v>2</v>
      </c>
      <c r="K701" s="69">
        <v>7.6</v>
      </c>
      <c r="L701" s="69">
        <v>2.1</v>
      </c>
      <c r="M701" s="69" t="s">
        <v>241</v>
      </c>
      <c r="N701" s="69">
        <v>2001</v>
      </c>
      <c r="O701" s="69" t="s">
        <v>71</v>
      </c>
      <c r="P701" s="69">
        <v>202002</v>
      </c>
      <c r="Q701" s="92" t="s">
        <v>930</v>
      </c>
      <c r="R701" s="92" t="s">
        <v>370</v>
      </c>
      <c r="S701" s="92"/>
    </row>
    <row r="702" spans="1:19" x14ac:dyDescent="0.2">
      <c r="A702" s="92" t="s">
        <v>931</v>
      </c>
      <c r="B702" s="69">
        <v>4</v>
      </c>
      <c r="C702" s="69">
        <v>7</v>
      </c>
      <c r="D702" s="69">
        <v>0</v>
      </c>
      <c r="E702" s="69">
        <v>4</v>
      </c>
      <c r="F702" s="69">
        <v>66</v>
      </c>
      <c r="G702" s="69">
        <v>38</v>
      </c>
      <c r="H702" s="69">
        <v>6.6</v>
      </c>
      <c r="I702" s="70">
        <v>0.8</v>
      </c>
      <c r="J702" s="70">
        <v>2</v>
      </c>
      <c r="K702" s="69">
        <v>14.5</v>
      </c>
      <c r="L702" s="69">
        <v>1.2</v>
      </c>
      <c r="M702" s="69" t="s">
        <v>241</v>
      </c>
      <c r="N702" s="69">
        <v>2001</v>
      </c>
      <c r="O702" s="69" t="s">
        <v>71</v>
      </c>
      <c r="P702" s="69">
        <v>273664</v>
      </c>
      <c r="Q702" s="92" t="s">
        <v>930</v>
      </c>
      <c r="R702" s="92" t="s">
        <v>383</v>
      </c>
      <c r="S702" s="92"/>
    </row>
    <row r="703" spans="1:19" x14ac:dyDescent="0.2">
      <c r="A703" s="92" t="s">
        <v>932</v>
      </c>
      <c r="B703" s="69">
        <v>8</v>
      </c>
      <c r="C703" s="69">
        <v>5</v>
      </c>
      <c r="D703" s="69">
        <v>-2</v>
      </c>
      <c r="E703" s="69">
        <v>8</v>
      </c>
      <c r="F703" s="69">
        <v>75</v>
      </c>
      <c r="G703" s="69">
        <v>72</v>
      </c>
      <c r="H703" s="69">
        <v>11.5</v>
      </c>
      <c r="I703" s="70">
        <v>0.8</v>
      </c>
      <c r="J703" s="70">
        <v>2</v>
      </c>
      <c r="K703" s="69">
        <v>11.2</v>
      </c>
      <c r="L703" s="69">
        <v>1.6</v>
      </c>
      <c r="M703" s="69" t="s">
        <v>241</v>
      </c>
      <c r="N703" s="69">
        <v>2009</v>
      </c>
      <c r="O703" s="69" t="s">
        <v>71</v>
      </c>
      <c r="P703" s="69">
        <v>356063</v>
      </c>
      <c r="Q703" s="92" t="s">
        <v>930</v>
      </c>
      <c r="R703" s="92" t="s">
        <v>408</v>
      </c>
      <c r="S703" s="92"/>
    </row>
    <row r="704" spans="1:19" x14ac:dyDescent="0.2">
      <c r="A704" s="92" t="s">
        <v>933</v>
      </c>
      <c r="B704" s="69">
        <v>5</v>
      </c>
      <c r="C704" s="69">
        <v>10</v>
      </c>
      <c r="D704" s="69">
        <v>-1</v>
      </c>
      <c r="E704" s="69">
        <v>5</v>
      </c>
      <c r="F704" s="69">
        <v>56</v>
      </c>
      <c r="G704" s="69"/>
      <c r="H704" s="69"/>
      <c r="I704" s="70">
        <v>0.8</v>
      </c>
      <c r="J704" s="70">
        <v>2</v>
      </c>
      <c r="K704" s="69">
        <v>11.2</v>
      </c>
      <c r="L704" s="69">
        <v>1.3</v>
      </c>
      <c r="M704" s="69" t="s">
        <v>241</v>
      </c>
      <c r="N704" s="69">
        <v>2011</v>
      </c>
      <c r="O704" s="69" t="s">
        <v>71</v>
      </c>
      <c r="P704" s="69">
        <v>724633</v>
      </c>
      <c r="Q704" s="92" t="s">
        <v>930</v>
      </c>
      <c r="R704" s="92" t="s">
        <v>260</v>
      </c>
      <c r="S704" s="92"/>
    </row>
    <row r="705" spans="1:19" x14ac:dyDescent="0.2">
      <c r="A705" s="92" t="s">
        <v>934</v>
      </c>
      <c r="B705" s="69">
        <v>7</v>
      </c>
      <c r="C705" s="69">
        <v>9</v>
      </c>
      <c r="D705" s="69">
        <v>-4</v>
      </c>
      <c r="E705" s="69">
        <v>7</v>
      </c>
      <c r="F705" s="69">
        <v>82</v>
      </c>
      <c r="G705" s="69">
        <v>93</v>
      </c>
      <c r="H705" s="69">
        <v>14.1</v>
      </c>
      <c r="I705" s="70">
        <v>0.8</v>
      </c>
      <c r="J705" s="70">
        <v>2</v>
      </c>
      <c r="K705" s="69">
        <v>12.2</v>
      </c>
      <c r="L705" s="69">
        <v>1.6</v>
      </c>
      <c r="M705" s="69" t="s">
        <v>241</v>
      </c>
      <c r="N705" s="69">
        <v>2006</v>
      </c>
      <c r="O705" s="69" t="s">
        <v>71</v>
      </c>
      <c r="P705" s="69">
        <v>785493</v>
      </c>
      <c r="Q705" s="92" t="s">
        <v>930</v>
      </c>
      <c r="R705" s="92" t="s">
        <v>410</v>
      </c>
      <c r="S705" s="92"/>
    </row>
    <row r="706" spans="1:19" x14ac:dyDescent="0.2">
      <c r="A706" s="92" t="s">
        <v>935</v>
      </c>
      <c r="B706" s="69">
        <v>4</v>
      </c>
      <c r="C706" s="69">
        <v>7</v>
      </c>
      <c r="D706" s="69">
        <v>-5</v>
      </c>
      <c r="E706" s="69">
        <v>4</v>
      </c>
      <c r="F706" s="69">
        <v>62</v>
      </c>
      <c r="G706" s="69">
        <v>57</v>
      </c>
      <c r="H706" s="69">
        <v>9.4</v>
      </c>
      <c r="I706" s="70">
        <v>0.8</v>
      </c>
      <c r="J706" s="70">
        <v>2</v>
      </c>
      <c r="K706" s="69">
        <v>14.2</v>
      </c>
      <c r="L706" s="69">
        <v>1.1000000000000001</v>
      </c>
      <c r="M706" s="69" t="s">
        <v>241</v>
      </c>
      <c r="N706" s="69">
        <v>2001</v>
      </c>
      <c r="O706" s="69" t="s">
        <v>71</v>
      </c>
      <c r="P706" s="69">
        <v>237834</v>
      </c>
      <c r="Q706" s="92" t="s">
        <v>930</v>
      </c>
      <c r="R706" s="92" t="s">
        <v>410</v>
      </c>
      <c r="S706" s="87"/>
    </row>
    <row r="707" spans="1:19" x14ac:dyDescent="0.2">
      <c r="A707" s="92" t="s">
        <v>936</v>
      </c>
      <c r="B707" s="69"/>
      <c r="C707" s="69">
        <v>3</v>
      </c>
      <c r="D707" s="69"/>
      <c r="E707" s="69"/>
      <c r="F707" s="69"/>
      <c r="G707" s="69"/>
      <c r="H707" s="69"/>
      <c r="I707" s="70">
        <v>0.8</v>
      </c>
      <c r="J707" s="70">
        <v>2</v>
      </c>
      <c r="K707" s="69"/>
      <c r="L707" s="69"/>
      <c r="M707" s="69" t="s">
        <v>170</v>
      </c>
      <c r="N707" s="69">
        <v>2014</v>
      </c>
      <c r="O707" s="69" t="s">
        <v>171</v>
      </c>
      <c r="P707" s="69">
        <v>836908</v>
      </c>
      <c r="Q707" s="92" t="s">
        <v>661</v>
      </c>
      <c r="R707" s="92" t="s">
        <v>173</v>
      </c>
      <c r="S707" s="92"/>
    </row>
    <row r="708" spans="1:19" x14ac:dyDescent="0.2">
      <c r="A708" s="92" t="s">
        <v>937</v>
      </c>
      <c r="B708" s="69">
        <v>8</v>
      </c>
      <c r="C708" s="69">
        <v>4</v>
      </c>
      <c r="D708" s="69">
        <v>3</v>
      </c>
      <c r="E708" s="69">
        <v>8</v>
      </c>
      <c r="F708" s="69"/>
      <c r="G708" s="69"/>
      <c r="H708" s="69"/>
      <c r="I708" s="70">
        <v>0.8</v>
      </c>
      <c r="J708" s="70">
        <v>2</v>
      </c>
      <c r="K708" s="69"/>
      <c r="L708" s="69"/>
      <c r="M708" s="69" t="s">
        <v>170</v>
      </c>
      <c r="N708" s="69">
        <v>2012</v>
      </c>
      <c r="O708" s="69" t="s">
        <v>171</v>
      </c>
      <c r="P708" s="69">
        <v>333518</v>
      </c>
      <c r="Q708" s="92" t="s">
        <v>538</v>
      </c>
      <c r="R708" s="92" t="s">
        <v>173</v>
      </c>
      <c r="S708" s="87"/>
    </row>
    <row r="709" spans="1:19" x14ac:dyDescent="0.2">
      <c r="A709" s="92" t="s">
        <v>938</v>
      </c>
      <c r="B709" s="69">
        <v>17</v>
      </c>
      <c r="C709" s="69">
        <v>12</v>
      </c>
      <c r="D709" s="69">
        <v>13</v>
      </c>
      <c r="E709" s="69">
        <v>16</v>
      </c>
      <c r="F709" s="69"/>
      <c r="G709" s="69"/>
      <c r="H709" s="69"/>
      <c r="I709" s="70">
        <v>0.8</v>
      </c>
      <c r="J709" s="70">
        <v>2</v>
      </c>
      <c r="K709" s="69"/>
      <c r="L709" s="69"/>
      <c r="M709" s="69" t="s">
        <v>170</v>
      </c>
      <c r="N709" s="69">
        <v>2012</v>
      </c>
      <c r="O709" s="69" t="s">
        <v>171</v>
      </c>
      <c r="P709" s="69">
        <v>226027</v>
      </c>
      <c r="Q709" s="92" t="s">
        <v>538</v>
      </c>
      <c r="R709" s="92" t="s">
        <v>507</v>
      </c>
      <c r="S709" s="87"/>
    </row>
    <row r="710" spans="1:19" x14ac:dyDescent="0.2">
      <c r="A710" s="92" t="s">
        <v>928</v>
      </c>
      <c r="B710" s="69"/>
      <c r="C710" s="69">
        <v>-2</v>
      </c>
      <c r="D710" s="69"/>
      <c r="E710" s="69"/>
      <c r="F710" s="69"/>
      <c r="G710" s="69"/>
      <c r="H710" s="69"/>
      <c r="I710" s="70">
        <v>0.8</v>
      </c>
      <c r="J710" s="70">
        <v>0</v>
      </c>
      <c r="K710" s="69"/>
      <c r="L710" s="69"/>
      <c r="M710" s="69" t="s">
        <v>241</v>
      </c>
      <c r="N710" s="69">
        <v>2014</v>
      </c>
      <c r="O710" s="69" t="s">
        <v>71</v>
      </c>
      <c r="P710" s="69">
        <v>819904</v>
      </c>
      <c r="Q710" s="92" t="s">
        <v>715</v>
      </c>
      <c r="R710" s="92" t="s">
        <v>379</v>
      </c>
      <c r="S710" s="92"/>
    </row>
    <row r="711" spans="1:19" x14ac:dyDescent="0.2">
      <c r="A711" s="92" t="s">
        <v>939</v>
      </c>
      <c r="B711" s="69">
        <v>11</v>
      </c>
      <c r="C711" s="69">
        <v>2</v>
      </c>
      <c r="D711" s="69">
        <v>1</v>
      </c>
      <c r="E711" s="69">
        <v>11</v>
      </c>
      <c r="F711" s="69">
        <v>52</v>
      </c>
      <c r="G711" s="69">
        <v>37</v>
      </c>
      <c r="H711" s="69">
        <v>6.5</v>
      </c>
      <c r="I711" s="70">
        <v>0.8</v>
      </c>
      <c r="J711" s="70">
        <v>2.0099999999999998</v>
      </c>
      <c r="K711" s="69">
        <v>8.8000000000000007</v>
      </c>
      <c r="L711" s="69">
        <v>1.5</v>
      </c>
      <c r="M711" s="69" t="s">
        <v>241</v>
      </c>
      <c r="N711" s="69">
        <v>2008</v>
      </c>
      <c r="O711" s="69" t="s">
        <v>71</v>
      </c>
      <c r="P711" s="69">
        <v>199406</v>
      </c>
      <c r="Q711" s="92" t="s">
        <v>497</v>
      </c>
      <c r="R711" s="92" t="s">
        <v>212</v>
      </c>
      <c r="S711" s="92" t="s">
        <v>189</v>
      </c>
    </row>
    <row r="712" spans="1:19" x14ac:dyDescent="0.2">
      <c r="A712" s="92" t="s">
        <v>940</v>
      </c>
      <c r="B712" s="69">
        <v>5</v>
      </c>
      <c r="C712" s="69">
        <v>0</v>
      </c>
      <c r="D712" s="69">
        <v>-5</v>
      </c>
      <c r="E712" s="69">
        <v>5</v>
      </c>
      <c r="F712" s="69">
        <v>62</v>
      </c>
      <c r="G712" s="69">
        <v>37</v>
      </c>
      <c r="H712" s="69">
        <v>6.4</v>
      </c>
      <c r="I712" s="70">
        <v>0.8</v>
      </c>
      <c r="J712" s="70">
        <v>2</v>
      </c>
      <c r="K712" s="69">
        <v>11.9</v>
      </c>
      <c r="L712" s="69">
        <v>1.3</v>
      </c>
      <c r="M712" s="69" t="s">
        <v>241</v>
      </c>
      <c r="N712" s="69">
        <v>2007</v>
      </c>
      <c r="O712" s="69" t="s">
        <v>71</v>
      </c>
      <c r="P712" s="69">
        <v>371294</v>
      </c>
      <c r="Q712" s="92" t="s">
        <v>497</v>
      </c>
      <c r="R712" s="92" t="s">
        <v>260</v>
      </c>
      <c r="S712" s="87"/>
    </row>
    <row r="713" spans="1:19" x14ac:dyDescent="0.2">
      <c r="A713" s="92" t="s">
        <v>941</v>
      </c>
      <c r="B713" s="69">
        <v>-31</v>
      </c>
      <c r="C713" s="69">
        <v>-21</v>
      </c>
      <c r="D713" s="69">
        <v>-26</v>
      </c>
      <c r="E713" s="69">
        <v>-31</v>
      </c>
      <c r="F713" s="69">
        <v>-29</v>
      </c>
      <c r="G713" s="69">
        <v>-45</v>
      </c>
      <c r="H713" s="69">
        <v>-11.3</v>
      </c>
      <c r="I713" s="70">
        <v>0.8</v>
      </c>
      <c r="J713" s="70">
        <v>2.09</v>
      </c>
      <c r="K713" s="69">
        <v>20.8</v>
      </c>
      <c r="L713" s="69">
        <v>-0.5</v>
      </c>
      <c r="M713" s="69" t="s">
        <v>241</v>
      </c>
      <c r="N713" s="69">
        <v>2011</v>
      </c>
      <c r="O713" s="69" t="s">
        <v>71</v>
      </c>
      <c r="P713" s="69">
        <v>985770</v>
      </c>
      <c r="Q713" s="92" t="s">
        <v>722</v>
      </c>
      <c r="R713" s="92" t="s">
        <v>487</v>
      </c>
      <c r="S713" s="92" t="s">
        <v>189</v>
      </c>
    </row>
    <row r="714" spans="1:19" x14ac:dyDescent="0.2">
      <c r="A714" s="92" t="s">
        <v>942</v>
      </c>
      <c r="B714" s="69">
        <v>10</v>
      </c>
      <c r="C714" s="69">
        <v>5</v>
      </c>
      <c r="D714" s="69">
        <v>3</v>
      </c>
      <c r="E714" s="69">
        <v>10</v>
      </c>
      <c r="F714" s="69">
        <v>22</v>
      </c>
      <c r="G714" s="69"/>
      <c r="H714" s="69"/>
      <c r="I714" s="70">
        <v>0.81</v>
      </c>
      <c r="J714" s="70">
        <v>2.3199999999999998</v>
      </c>
      <c r="K714" s="69">
        <v>5.6</v>
      </c>
      <c r="L714" s="69">
        <v>1</v>
      </c>
      <c r="M714" s="69" t="s">
        <v>170</v>
      </c>
      <c r="N714" s="69">
        <v>2011</v>
      </c>
      <c r="O714" s="69" t="s">
        <v>171</v>
      </c>
      <c r="P714" s="69">
        <v>615310</v>
      </c>
      <c r="Q714" s="92" t="s">
        <v>672</v>
      </c>
      <c r="R714" s="92" t="s">
        <v>173</v>
      </c>
      <c r="S714" s="92"/>
    </row>
    <row r="715" spans="1:19" x14ac:dyDescent="0.2">
      <c r="A715" s="92" t="s">
        <v>946</v>
      </c>
      <c r="B715" s="69">
        <v>22</v>
      </c>
      <c r="C715" s="69">
        <v>2</v>
      </c>
      <c r="D715" s="69">
        <v>3</v>
      </c>
      <c r="E715" s="69">
        <v>22</v>
      </c>
      <c r="F715" s="69">
        <v>60</v>
      </c>
      <c r="G715" s="69">
        <v>0</v>
      </c>
      <c r="H715" s="69">
        <v>0</v>
      </c>
      <c r="I715" s="70">
        <v>0.81</v>
      </c>
      <c r="J715" s="70">
        <v>2.5</v>
      </c>
      <c r="K715" s="69">
        <v>13.8</v>
      </c>
      <c r="L715" s="69">
        <v>1.1000000000000001</v>
      </c>
      <c r="M715" s="69" t="s">
        <v>170</v>
      </c>
      <c r="N715" s="69">
        <v>2004</v>
      </c>
      <c r="O715" s="69" t="s">
        <v>171</v>
      </c>
      <c r="P715" s="69">
        <v>872382</v>
      </c>
      <c r="Q715" s="92" t="s">
        <v>880</v>
      </c>
      <c r="R715" s="92" t="s">
        <v>413</v>
      </c>
      <c r="S715" s="92"/>
    </row>
    <row r="716" spans="1:19" x14ac:dyDescent="0.2">
      <c r="A716" s="92" t="s">
        <v>947</v>
      </c>
      <c r="B716" s="69">
        <v>2</v>
      </c>
      <c r="C716" s="69">
        <v>-1</v>
      </c>
      <c r="D716" s="69">
        <v>-2</v>
      </c>
      <c r="E716" s="69">
        <v>2</v>
      </c>
      <c r="F716" s="69">
        <v>32</v>
      </c>
      <c r="G716" s="69">
        <v>41</v>
      </c>
      <c r="H716" s="69">
        <v>7.1</v>
      </c>
      <c r="I716" s="70">
        <v>0.81</v>
      </c>
      <c r="J716" s="70">
        <v>2.5</v>
      </c>
      <c r="K716" s="69">
        <v>6.7</v>
      </c>
      <c r="L716" s="69">
        <v>1.3</v>
      </c>
      <c r="M716" s="69" t="s">
        <v>170</v>
      </c>
      <c r="N716" s="69">
        <v>2003</v>
      </c>
      <c r="O716" s="69" t="s">
        <v>171</v>
      </c>
      <c r="P716" s="69">
        <v>552984</v>
      </c>
      <c r="Q716" s="92" t="s">
        <v>880</v>
      </c>
      <c r="R716" s="92" t="s">
        <v>413</v>
      </c>
      <c r="S716" s="87"/>
    </row>
    <row r="717" spans="1:19" x14ac:dyDescent="0.2">
      <c r="A717" s="92" t="s">
        <v>953</v>
      </c>
      <c r="B717" s="69">
        <v>-45</v>
      </c>
      <c r="C717" s="69">
        <v>-30</v>
      </c>
      <c r="D717" s="69">
        <v>-41</v>
      </c>
      <c r="E717" s="69">
        <v>-45</v>
      </c>
      <c r="F717" s="69">
        <v>-39</v>
      </c>
      <c r="G717" s="69">
        <v>-44</v>
      </c>
      <c r="H717" s="69">
        <v>-11</v>
      </c>
      <c r="I717" s="70">
        <v>0.81</v>
      </c>
      <c r="J717" s="70">
        <v>2.5099999999999998</v>
      </c>
      <c r="K717" s="69">
        <v>24.8</v>
      </c>
      <c r="L717" s="69">
        <v>-0.6</v>
      </c>
      <c r="M717" s="69" t="s">
        <v>170</v>
      </c>
      <c r="N717" s="69">
        <v>2002</v>
      </c>
      <c r="O717" s="69" t="s">
        <v>171</v>
      </c>
      <c r="P717" s="69">
        <v>834788</v>
      </c>
      <c r="Q717" s="92" t="s">
        <v>880</v>
      </c>
      <c r="R717" s="92" t="s">
        <v>487</v>
      </c>
      <c r="S717" s="87"/>
    </row>
    <row r="718" spans="1:19" x14ac:dyDescent="0.2">
      <c r="A718" s="92" t="s">
        <v>949</v>
      </c>
      <c r="B718" s="69">
        <v>40</v>
      </c>
      <c r="C718" s="69">
        <v>20</v>
      </c>
      <c r="D718" s="69">
        <v>14</v>
      </c>
      <c r="E718" s="69">
        <v>40</v>
      </c>
      <c r="F718" s="69">
        <v>57</v>
      </c>
      <c r="G718" s="69">
        <v>19</v>
      </c>
      <c r="H718" s="69">
        <v>3.6</v>
      </c>
      <c r="I718" s="70">
        <v>0.81</v>
      </c>
      <c r="J718" s="70">
        <v>2.5</v>
      </c>
      <c r="K718" s="69">
        <v>27.7</v>
      </c>
      <c r="L718" s="69">
        <v>0.6</v>
      </c>
      <c r="M718" s="69" t="s">
        <v>170</v>
      </c>
      <c r="N718" s="69">
        <v>2006</v>
      </c>
      <c r="O718" s="69" t="s">
        <v>171</v>
      </c>
      <c r="P718" s="69">
        <v>333690</v>
      </c>
      <c r="Q718" s="92" t="s">
        <v>880</v>
      </c>
      <c r="R718" s="92" t="s">
        <v>383</v>
      </c>
      <c r="S718" s="92"/>
    </row>
    <row r="719" spans="1:19" x14ac:dyDescent="0.2">
      <c r="A719" s="92" t="s">
        <v>1141</v>
      </c>
      <c r="B719" s="69">
        <v>25</v>
      </c>
      <c r="C719" s="69">
        <v>14</v>
      </c>
      <c r="D719" s="69">
        <v>15</v>
      </c>
      <c r="E719" s="69">
        <v>24</v>
      </c>
      <c r="F719" s="69">
        <v>80</v>
      </c>
      <c r="G719" s="69">
        <v>110</v>
      </c>
      <c r="H719" s="69">
        <v>16</v>
      </c>
      <c r="I719" s="70">
        <v>0.81</v>
      </c>
      <c r="J719" s="70">
        <v>2.0299999999999998</v>
      </c>
      <c r="K719" s="69">
        <v>9.8000000000000007</v>
      </c>
      <c r="L719" s="69">
        <v>1.9</v>
      </c>
      <c r="M719" s="69" t="s">
        <v>451</v>
      </c>
      <c r="N719" s="69">
        <v>2008</v>
      </c>
      <c r="O719" s="69" t="s">
        <v>71</v>
      </c>
      <c r="P719" s="69">
        <v>116822</v>
      </c>
      <c r="Q719" s="92" t="s">
        <v>635</v>
      </c>
      <c r="R719" s="92" t="s">
        <v>507</v>
      </c>
      <c r="S719" s="92"/>
    </row>
    <row r="720" spans="1:19" x14ac:dyDescent="0.2">
      <c r="A720" s="92" t="s">
        <v>948</v>
      </c>
      <c r="B720" s="69">
        <v>0</v>
      </c>
      <c r="C720" s="69">
        <v>5</v>
      </c>
      <c r="D720" s="69">
        <v>2</v>
      </c>
      <c r="E720" s="69">
        <v>0</v>
      </c>
      <c r="F720" s="69">
        <v>6</v>
      </c>
      <c r="G720" s="69">
        <v>-17</v>
      </c>
      <c r="H720" s="69">
        <v>-3.7</v>
      </c>
      <c r="I720" s="70">
        <v>0.81</v>
      </c>
      <c r="J720" s="70">
        <v>2.0299999999999998</v>
      </c>
      <c r="K720" s="69">
        <v>15.2</v>
      </c>
      <c r="L720" s="69">
        <v>0.1</v>
      </c>
      <c r="M720" s="69" t="s">
        <v>170</v>
      </c>
      <c r="N720" s="69">
        <v>2005</v>
      </c>
      <c r="O720" s="69" t="s">
        <v>171</v>
      </c>
      <c r="P720" s="69">
        <v>286948</v>
      </c>
      <c r="Q720" s="92" t="s">
        <v>216</v>
      </c>
      <c r="R720" s="92" t="s">
        <v>413</v>
      </c>
      <c r="S720" s="92"/>
    </row>
    <row r="721" spans="1:19" x14ac:dyDescent="0.2">
      <c r="A721" s="92" t="s">
        <v>943</v>
      </c>
      <c r="B721" s="69">
        <v>1</v>
      </c>
      <c r="C721" s="69">
        <v>2</v>
      </c>
      <c r="D721" s="69">
        <v>0</v>
      </c>
      <c r="E721" s="69">
        <v>1</v>
      </c>
      <c r="F721" s="69">
        <v>37</v>
      </c>
      <c r="G721" s="69">
        <v>14</v>
      </c>
      <c r="H721" s="69">
        <v>2.7</v>
      </c>
      <c r="I721" s="70">
        <v>0.81</v>
      </c>
      <c r="J721" s="70">
        <v>2.0699999999999998</v>
      </c>
      <c r="K721" s="69">
        <v>8</v>
      </c>
      <c r="L721" s="69">
        <v>1.2</v>
      </c>
      <c r="M721" s="69" t="s">
        <v>241</v>
      </c>
      <c r="N721" s="69">
        <v>2000</v>
      </c>
      <c r="O721" s="69" t="s">
        <v>71</v>
      </c>
      <c r="P721" s="69">
        <v>475897</v>
      </c>
      <c r="Q721" s="92" t="s">
        <v>454</v>
      </c>
      <c r="R721" s="92" t="s">
        <v>260</v>
      </c>
      <c r="S721" s="92"/>
    </row>
    <row r="722" spans="1:19" x14ac:dyDescent="0.2">
      <c r="A722" s="92" t="s">
        <v>944</v>
      </c>
      <c r="B722" s="69">
        <v>16</v>
      </c>
      <c r="C722" s="69">
        <v>4</v>
      </c>
      <c r="D722" s="69">
        <v>10</v>
      </c>
      <c r="E722" s="69">
        <v>16</v>
      </c>
      <c r="F722" s="69">
        <v>55</v>
      </c>
      <c r="G722" s="69">
        <v>52</v>
      </c>
      <c r="H722" s="69">
        <v>8.8000000000000007</v>
      </c>
      <c r="I722" s="70">
        <v>0.81</v>
      </c>
      <c r="J722" s="70">
        <v>2.0699999999999998</v>
      </c>
      <c r="K722" s="69">
        <v>11.6</v>
      </c>
      <c r="L722" s="69">
        <v>1.2</v>
      </c>
      <c r="M722" s="69" t="s">
        <v>681</v>
      </c>
      <c r="N722" s="69">
        <v>2000</v>
      </c>
      <c r="O722" s="69" t="s">
        <v>71</v>
      </c>
      <c r="P722" s="69">
        <v>910109</v>
      </c>
      <c r="Q722" s="92" t="s">
        <v>454</v>
      </c>
      <c r="R722" s="92" t="s">
        <v>239</v>
      </c>
      <c r="S722" s="92"/>
    </row>
    <row r="723" spans="1:19" x14ac:dyDescent="0.2">
      <c r="A723" s="92" t="s">
        <v>945</v>
      </c>
      <c r="B723" s="69">
        <v>15</v>
      </c>
      <c r="C723" s="69">
        <v>5</v>
      </c>
      <c r="D723" s="69">
        <v>12</v>
      </c>
      <c r="E723" s="69">
        <v>15</v>
      </c>
      <c r="F723" s="69">
        <v>48</v>
      </c>
      <c r="G723" s="69">
        <v>36</v>
      </c>
      <c r="H723" s="69">
        <v>6.4</v>
      </c>
      <c r="I723" s="70">
        <v>0.81</v>
      </c>
      <c r="J723" s="70">
        <v>2.08</v>
      </c>
      <c r="K723" s="69">
        <v>11.3</v>
      </c>
      <c r="L723" s="69">
        <v>1.1000000000000001</v>
      </c>
      <c r="M723" s="69" t="s">
        <v>681</v>
      </c>
      <c r="N723" s="69">
        <v>2006</v>
      </c>
      <c r="O723" s="69" t="s">
        <v>71</v>
      </c>
      <c r="P723" s="69">
        <v>866897</v>
      </c>
      <c r="Q723" s="92" t="s">
        <v>454</v>
      </c>
      <c r="R723" s="92" t="s">
        <v>239</v>
      </c>
      <c r="S723" s="92"/>
    </row>
    <row r="724" spans="1:19" x14ac:dyDescent="0.2">
      <c r="A724" s="92" t="s">
        <v>951</v>
      </c>
      <c r="B724" s="69">
        <v>13</v>
      </c>
      <c r="C724" s="69">
        <v>5</v>
      </c>
      <c r="D724" s="69">
        <v>5</v>
      </c>
      <c r="E724" s="69">
        <v>13</v>
      </c>
      <c r="F724" s="69">
        <v>32</v>
      </c>
      <c r="G724" s="69">
        <v>19</v>
      </c>
      <c r="H724" s="69">
        <v>3.6</v>
      </c>
      <c r="I724" s="70">
        <v>0.81</v>
      </c>
      <c r="J724" s="70">
        <v>2.04</v>
      </c>
      <c r="K724" s="69">
        <v>8.1999999999999993</v>
      </c>
      <c r="L724" s="69">
        <v>1</v>
      </c>
      <c r="M724" s="69" t="s">
        <v>170</v>
      </c>
      <c r="N724" s="69">
        <v>2006</v>
      </c>
      <c r="O724" s="69" t="s">
        <v>171</v>
      </c>
      <c r="P724" s="69">
        <v>602094</v>
      </c>
      <c r="Q724" s="92" t="s">
        <v>216</v>
      </c>
      <c r="R724" s="92" t="s">
        <v>310</v>
      </c>
      <c r="S724" s="92"/>
    </row>
    <row r="725" spans="1:19" x14ac:dyDescent="0.2">
      <c r="A725" s="92" t="s">
        <v>952</v>
      </c>
      <c r="B725" s="69">
        <v>23</v>
      </c>
      <c r="C725" s="69">
        <v>11</v>
      </c>
      <c r="D725" s="69">
        <v>18</v>
      </c>
      <c r="E725" s="69">
        <v>23</v>
      </c>
      <c r="F725" s="69">
        <v>36</v>
      </c>
      <c r="G725" s="69"/>
      <c r="H725" s="69"/>
      <c r="I725" s="70">
        <v>0.81</v>
      </c>
      <c r="J725" s="70">
        <v>2.0299999999999998</v>
      </c>
      <c r="K725" s="69">
        <v>12.7</v>
      </c>
      <c r="L725" s="69">
        <v>0.8</v>
      </c>
      <c r="M725" s="69" t="s">
        <v>170</v>
      </c>
      <c r="N725" s="69">
        <v>2010</v>
      </c>
      <c r="O725" s="69" t="s">
        <v>171</v>
      </c>
      <c r="P725" s="69">
        <v>660290</v>
      </c>
      <c r="Q725" s="92" t="s">
        <v>216</v>
      </c>
      <c r="R725" s="92" t="s">
        <v>449</v>
      </c>
      <c r="S725" s="92"/>
    </row>
    <row r="726" spans="1:19" x14ac:dyDescent="0.2">
      <c r="A726" s="92" t="s">
        <v>950</v>
      </c>
      <c r="B726" s="69">
        <v>21</v>
      </c>
      <c r="C726" s="69">
        <v>6</v>
      </c>
      <c r="D726" s="69">
        <v>11</v>
      </c>
      <c r="E726" s="69">
        <v>21</v>
      </c>
      <c r="F726" s="69"/>
      <c r="G726" s="69"/>
      <c r="H726" s="69"/>
      <c r="I726" s="70">
        <v>0.81</v>
      </c>
      <c r="J726" s="70">
        <v>2.12</v>
      </c>
      <c r="K726" s="69"/>
      <c r="L726" s="69"/>
      <c r="M726" s="69" t="s">
        <v>241</v>
      </c>
      <c r="N726" s="69">
        <v>2012</v>
      </c>
      <c r="O726" s="69" t="s">
        <v>71</v>
      </c>
      <c r="P726" s="69">
        <v>906792</v>
      </c>
      <c r="Q726" s="92" t="s">
        <v>763</v>
      </c>
      <c r="R726" s="92" t="s">
        <v>223</v>
      </c>
      <c r="S726" s="92"/>
    </row>
    <row r="727" spans="1:19" x14ac:dyDescent="0.2">
      <c r="A727" s="92" t="s">
        <v>960</v>
      </c>
      <c r="B727" s="69">
        <v>16</v>
      </c>
      <c r="C727" s="69">
        <v>8</v>
      </c>
      <c r="D727" s="69">
        <v>6</v>
      </c>
      <c r="E727" s="69">
        <v>16</v>
      </c>
      <c r="F727" s="69">
        <v>34</v>
      </c>
      <c r="G727" s="69"/>
      <c r="H727" s="69"/>
      <c r="I727" s="70">
        <v>0.82</v>
      </c>
      <c r="J727" s="70">
        <v>2.3199999999999998</v>
      </c>
      <c r="K727" s="69">
        <v>8.3000000000000007</v>
      </c>
      <c r="L727" s="69">
        <v>1.1000000000000001</v>
      </c>
      <c r="M727" s="69" t="s">
        <v>170</v>
      </c>
      <c r="N727" s="69">
        <v>2011</v>
      </c>
      <c r="O727" s="69" t="s">
        <v>171</v>
      </c>
      <c r="P727" s="69">
        <v>727057</v>
      </c>
      <c r="Q727" s="92" t="s">
        <v>672</v>
      </c>
      <c r="R727" s="92" t="s">
        <v>173</v>
      </c>
      <c r="S727" s="92"/>
    </row>
    <row r="728" spans="1:19" x14ac:dyDescent="0.2">
      <c r="A728" s="92" t="s">
        <v>954</v>
      </c>
      <c r="B728" s="69">
        <v>19</v>
      </c>
      <c r="C728" s="69">
        <v>3</v>
      </c>
      <c r="D728" s="69">
        <v>8</v>
      </c>
      <c r="E728" s="69">
        <v>18</v>
      </c>
      <c r="F728" s="69">
        <v>19</v>
      </c>
      <c r="G728" s="69"/>
      <c r="H728" s="69"/>
      <c r="I728" s="70">
        <v>0.82</v>
      </c>
      <c r="J728" s="70">
        <v>3.18</v>
      </c>
      <c r="K728" s="69">
        <v>11</v>
      </c>
      <c r="L728" s="69">
        <v>0.5</v>
      </c>
      <c r="M728" s="69" t="s">
        <v>170</v>
      </c>
      <c r="N728" s="69">
        <v>2011</v>
      </c>
      <c r="O728" s="69" t="s">
        <v>71</v>
      </c>
      <c r="P728" s="69">
        <v>391839</v>
      </c>
      <c r="Q728" s="92" t="s">
        <v>895</v>
      </c>
      <c r="R728" s="92" t="s">
        <v>379</v>
      </c>
      <c r="S728" s="92"/>
    </row>
    <row r="729" spans="1:19" x14ac:dyDescent="0.2">
      <c r="A729" s="92" t="s">
        <v>959</v>
      </c>
      <c r="B729" s="69">
        <v>5</v>
      </c>
      <c r="C729" s="69">
        <v>4</v>
      </c>
      <c r="D729" s="69">
        <v>4</v>
      </c>
      <c r="E729" s="69">
        <v>5</v>
      </c>
      <c r="F729" s="69">
        <v>16</v>
      </c>
      <c r="G729" s="69"/>
      <c r="H729" s="69"/>
      <c r="I729" s="70">
        <v>0.82</v>
      </c>
      <c r="J729" s="70">
        <v>2.19</v>
      </c>
      <c r="K729" s="69">
        <v>2.5</v>
      </c>
      <c r="L729" s="69">
        <v>1.5</v>
      </c>
      <c r="M729" s="69" t="s">
        <v>170</v>
      </c>
      <c r="N729" s="69">
        <v>2012</v>
      </c>
      <c r="O729" s="69" t="s">
        <v>171</v>
      </c>
      <c r="P729" s="69">
        <v>187898</v>
      </c>
      <c r="Q729" s="92" t="s">
        <v>365</v>
      </c>
      <c r="R729" s="92" t="s">
        <v>173</v>
      </c>
      <c r="S729" s="92"/>
    </row>
    <row r="730" spans="1:19" x14ac:dyDescent="0.2">
      <c r="A730" s="92" t="s">
        <v>963</v>
      </c>
      <c r="B730" s="69">
        <v>-23</v>
      </c>
      <c r="C730" s="69">
        <v>-14</v>
      </c>
      <c r="D730" s="69">
        <v>-22</v>
      </c>
      <c r="E730" s="69">
        <v>-23</v>
      </c>
      <c r="F730" s="69">
        <v>-12</v>
      </c>
      <c r="G730" s="69">
        <v>-26</v>
      </c>
      <c r="H730" s="69">
        <v>-5.9</v>
      </c>
      <c r="I730" s="70">
        <v>0.82</v>
      </c>
      <c r="J730" s="70">
        <v>2.5099999999999998</v>
      </c>
      <c r="K730" s="69">
        <v>18</v>
      </c>
      <c r="L730" s="69">
        <v>-0.2</v>
      </c>
      <c r="M730" s="69" t="s">
        <v>170</v>
      </c>
      <c r="N730" s="69">
        <v>2002</v>
      </c>
      <c r="O730" s="69" t="s">
        <v>171</v>
      </c>
      <c r="P730" s="69">
        <v>442483</v>
      </c>
      <c r="Q730" s="92" t="s">
        <v>880</v>
      </c>
      <c r="R730" s="92" t="s">
        <v>413</v>
      </c>
      <c r="S730" s="92"/>
    </row>
    <row r="731" spans="1:19" x14ac:dyDescent="0.2">
      <c r="A731" s="92" t="s">
        <v>964</v>
      </c>
      <c r="B731" s="69"/>
      <c r="C731" s="69">
        <v>-2</v>
      </c>
      <c r="D731" s="69"/>
      <c r="E731" s="69"/>
      <c r="F731" s="69"/>
      <c r="G731" s="69"/>
      <c r="H731" s="69"/>
      <c r="I731" s="70">
        <v>0.82</v>
      </c>
      <c r="J731" s="70">
        <v>2.06</v>
      </c>
      <c r="K731" s="69"/>
      <c r="L731" s="69"/>
      <c r="M731" s="69" t="s">
        <v>241</v>
      </c>
      <c r="N731" s="69">
        <v>2014</v>
      </c>
      <c r="O731" s="69" t="s">
        <v>71</v>
      </c>
      <c r="P731" s="69">
        <v>286708</v>
      </c>
      <c r="Q731" s="92" t="s">
        <v>464</v>
      </c>
      <c r="R731" s="92" t="s">
        <v>370</v>
      </c>
      <c r="S731" s="92"/>
    </row>
    <row r="732" spans="1:19" x14ac:dyDescent="0.2">
      <c r="A732" s="92" t="s">
        <v>961</v>
      </c>
      <c r="B732" s="69">
        <v>-1</v>
      </c>
      <c r="C732" s="69">
        <v>-2</v>
      </c>
      <c r="D732" s="69">
        <v>-3</v>
      </c>
      <c r="E732" s="69">
        <v>-1</v>
      </c>
      <c r="F732" s="69"/>
      <c r="G732" s="69"/>
      <c r="H732" s="69"/>
      <c r="I732" s="70">
        <v>0.82</v>
      </c>
      <c r="J732" s="70">
        <v>2.35</v>
      </c>
      <c r="K732" s="69"/>
      <c r="L732" s="69"/>
      <c r="M732" s="69" t="s">
        <v>170</v>
      </c>
      <c r="N732" s="69">
        <v>2012</v>
      </c>
      <c r="O732" s="69" t="s">
        <v>171</v>
      </c>
      <c r="P732" s="69">
        <v>925628</v>
      </c>
      <c r="Q732" s="92" t="s">
        <v>962</v>
      </c>
      <c r="R732" s="92" t="s">
        <v>223</v>
      </c>
      <c r="S732" s="92"/>
    </row>
    <row r="733" spans="1:19" x14ac:dyDescent="0.2">
      <c r="A733" s="92" t="s">
        <v>956</v>
      </c>
      <c r="B733" s="69">
        <v>26</v>
      </c>
      <c r="C733" s="69">
        <v>16</v>
      </c>
      <c r="D733" s="69">
        <v>21</v>
      </c>
      <c r="E733" s="69">
        <v>26</v>
      </c>
      <c r="F733" s="69">
        <v>72</v>
      </c>
      <c r="G733" s="69">
        <v>109</v>
      </c>
      <c r="H733" s="69">
        <v>15.9</v>
      </c>
      <c r="I733" s="70">
        <v>0.82</v>
      </c>
      <c r="J733" s="70">
        <v>2.2999999999999998</v>
      </c>
      <c r="K733" s="69">
        <v>10.9</v>
      </c>
      <c r="L733" s="69">
        <v>1.6</v>
      </c>
      <c r="M733" s="69" t="s">
        <v>451</v>
      </c>
      <c r="N733" s="69">
        <v>2011</v>
      </c>
      <c r="O733" s="69" t="s">
        <v>71</v>
      </c>
      <c r="P733" s="69">
        <v>233346</v>
      </c>
      <c r="Q733" s="92" t="s">
        <v>715</v>
      </c>
      <c r="R733" s="92" t="s">
        <v>370</v>
      </c>
      <c r="S733" s="92"/>
    </row>
    <row r="734" spans="1:19" x14ac:dyDescent="0.2">
      <c r="A734" s="92" t="s">
        <v>957</v>
      </c>
      <c r="B734" s="69">
        <v>30</v>
      </c>
      <c r="C734" s="69">
        <v>14</v>
      </c>
      <c r="D734" s="69">
        <v>21</v>
      </c>
      <c r="E734" s="69">
        <v>30</v>
      </c>
      <c r="F734" s="69">
        <v>64</v>
      </c>
      <c r="G734" s="69">
        <v>40</v>
      </c>
      <c r="H734" s="69">
        <v>7</v>
      </c>
      <c r="I734" s="70">
        <v>0.82</v>
      </c>
      <c r="J734" s="70">
        <v>2.31</v>
      </c>
      <c r="K734" s="69">
        <v>11.3</v>
      </c>
      <c r="L734" s="69">
        <v>1.4</v>
      </c>
      <c r="M734" s="69" t="s">
        <v>451</v>
      </c>
      <c r="N734" s="69">
        <v>2006</v>
      </c>
      <c r="O734" s="69" t="s">
        <v>71</v>
      </c>
      <c r="P734" s="69">
        <v>197632</v>
      </c>
      <c r="Q734" s="92" t="s">
        <v>715</v>
      </c>
      <c r="R734" s="92" t="s">
        <v>449</v>
      </c>
      <c r="S734" s="92"/>
    </row>
    <row r="735" spans="1:19" x14ac:dyDescent="0.2">
      <c r="A735" s="92" t="s">
        <v>958</v>
      </c>
      <c r="B735" s="69">
        <v>60</v>
      </c>
      <c r="C735" s="69">
        <v>11</v>
      </c>
      <c r="D735" s="69">
        <v>26</v>
      </c>
      <c r="E735" s="69">
        <v>59</v>
      </c>
      <c r="F735" s="69">
        <v>91</v>
      </c>
      <c r="G735" s="69">
        <v>36</v>
      </c>
      <c r="H735" s="69">
        <v>6.4</v>
      </c>
      <c r="I735" s="70">
        <v>0.82</v>
      </c>
      <c r="J735" s="70">
        <v>2.31</v>
      </c>
      <c r="K735" s="69">
        <v>20.6</v>
      </c>
      <c r="L735" s="69">
        <v>1.1000000000000001</v>
      </c>
      <c r="M735" s="69" t="s">
        <v>451</v>
      </c>
      <c r="N735" s="69">
        <v>2006</v>
      </c>
      <c r="O735" s="69" t="s">
        <v>71</v>
      </c>
      <c r="P735" s="69">
        <v>233460</v>
      </c>
      <c r="Q735" s="92" t="s">
        <v>715</v>
      </c>
      <c r="R735" s="92" t="s">
        <v>383</v>
      </c>
      <c r="S735" s="92"/>
    </row>
    <row r="736" spans="1:19" x14ac:dyDescent="0.2">
      <c r="A736" s="92" t="s">
        <v>965</v>
      </c>
      <c r="B736" s="69">
        <v>4</v>
      </c>
      <c r="C736" s="69">
        <v>-7</v>
      </c>
      <c r="D736" s="69">
        <v>-7</v>
      </c>
      <c r="E736" s="69">
        <v>4</v>
      </c>
      <c r="F736" s="69">
        <v>-10</v>
      </c>
      <c r="G736" s="69">
        <v>-23</v>
      </c>
      <c r="H736" s="69">
        <v>-5</v>
      </c>
      <c r="I736" s="70">
        <v>0.82</v>
      </c>
      <c r="J736" s="70">
        <v>2.31</v>
      </c>
      <c r="K736" s="69">
        <v>17</v>
      </c>
      <c r="L736" s="69">
        <v>-0.2</v>
      </c>
      <c r="M736" s="69" t="s">
        <v>451</v>
      </c>
      <c r="N736" s="69">
        <v>2008</v>
      </c>
      <c r="O736" s="69" t="s">
        <v>71</v>
      </c>
      <c r="P736" s="69">
        <v>204891</v>
      </c>
      <c r="Q736" s="92" t="s">
        <v>715</v>
      </c>
      <c r="R736" s="92" t="s">
        <v>471</v>
      </c>
      <c r="S736" s="92"/>
    </row>
    <row r="737" spans="1:19" x14ac:dyDescent="0.2">
      <c r="A737" s="92" t="s">
        <v>955</v>
      </c>
      <c r="B737" s="69">
        <v>27</v>
      </c>
      <c r="C737" s="69">
        <v>3</v>
      </c>
      <c r="D737" s="69">
        <v>12</v>
      </c>
      <c r="E737" s="69">
        <v>26</v>
      </c>
      <c r="F737" s="69">
        <v>37</v>
      </c>
      <c r="G737" s="69">
        <v>60</v>
      </c>
      <c r="H737" s="69">
        <v>9.8000000000000007</v>
      </c>
      <c r="I737" s="70">
        <v>0.82</v>
      </c>
      <c r="J737" s="70">
        <v>2.3199999999999998</v>
      </c>
      <c r="K737" s="69">
        <v>12.1</v>
      </c>
      <c r="L737" s="69">
        <v>0.8</v>
      </c>
      <c r="M737" s="69" t="s">
        <v>451</v>
      </c>
      <c r="N737" s="69">
        <v>2008</v>
      </c>
      <c r="O737" s="69" t="s">
        <v>71</v>
      </c>
      <c r="P737" s="69">
        <v>169060</v>
      </c>
      <c r="Q737" s="92" t="s">
        <v>715</v>
      </c>
      <c r="R737" s="92" t="s">
        <v>310</v>
      </c>
      <c r="S737" s="92"/>
    </row>
    <row r="738" spans="1:19" x14ac:dyDescent="0.2">
      <c r="A738" s="92" t="s">
        <v>969</v>
      </c>
      <c r="B738" s="69">
        <v>17</v>
      </c>
      <c r="C738" s="69">
        <v>7</v>
      </c>
      <c r="D738" s="69">
        <v>6</v>
      </c>
      <c r="E738" s="69">
        <v>17</v>
      </c>
      <c r="F738" s="69"/>
      <c r="G738" s="69"/>
      <c r="H738" s="69"/>
      <c r="I738" s="70">
        <v>0.83</v>
      </c>
      <c r="J738" s="70">
        <v>2.2799999999999998</v>
      </c>
      <c r="K738" s="69"/>
      <c r="L738" s="69"/>
      <c r="M738" s="69" t="s">
        <v>170</v>
      </c>
      <c r="N738" s="69">
        <v>2012</v>
      </c>
      <c r="O738" s="69" t="s">
        <v>171</v>
      </c>
      <c r="P738" s="69">
        <v>482919</v>
      </c>
      <c r="Q738" s="92" t="s">
        <v>672</v>
      </c>
      <c r="R738" s="92" t="s">
        <v>173</v>
      </c>
      <c r="S738" s="92"/>
    </row>
    <row r="739" spans="1:19" x14ac:dyDescent="0.2">
      <c r="A739" s="92" t="s">
        <v>968</v>
      </c>
      <c r="B739" s="69">
        <v>9</v>
      </c>
      <c r="C739" s="69">
        <v>8</v>
      </c>
      <c r="D739" s="69">
        <v>4</v>
      </c>
      <c r="E739" s="69">
        <v>9</v>
      </c>
      <c r="F739" s="69">
        <v>70</v>
      </c>
      <c r="G739" s="69">
        <v>68</v>
      </c>
      <c r="H739" s="69">
        <v>11</v>
      </c>
      <c r="I739" s="70">
        <v>0.83</v>
      </c>
      <c r="J739" s="70">
        <v>2.1</v>
      </c>
      <c r="K739" s="69">
        <v>9.5</v>
      </c>
      <c r="L739" s="69">
        <v>1.8</v>
      </c>
      <c r="M739" s="69" t="s">
        <v>241</v>
      </c>
      <c r="N739" s="69">
        <v>2013</v>
      </c>
      <c r="O739" s="69" t="s">
        <v>71</v>
      </c>
      <c r="P739" s="69">
        <v>538751</v>
      </c>
      <c r="Q739" s="92" t="s">
        <v>1152</v>
      </c>
      <c r="R739" s="92" t="s">
        <v>260</v>
      </c>
      <c r="S739" s="92"/>
    </row>
    <row r="740" spans="1:19" x14ac:dyDescent="0.2">
      <c r="A740" s="92" t="s">
        <v>966</v>
      </c>
      <c r="B740" s="69">
        <v>4</v>
      </c>
      <c r="C740" s="69">
        <v>2</v>
      </c>
      <c r="D740" s="69">
        <v>4</v>
      </c>
      <c r="E740" s="69">
        <v>4</v>
      </c>
      <c r="F740" s="69">
        <v>36</v>
      </c>
      <c r="G740" s="69"/>
      <c r="H740" s="69"/>
      <c r="I740" s="70">
        <v>0.83</v>
      </c>
      <c r="J740" s="70">
        <v>2.46</v>
      </c>
      <c r="K740" s="69">
        <v>7.5</v>
      </c>
      <c r="L740" s="69">
        <v>1.3</v>
      </c>
      <c r="M740" s="69" t="s">
        <v>170</v>
      </c>
      <c r="N740" s="69">
        <v>2011</v>
      </c>
      <c r="O740" s="69" t="s">
        <v>171</v>
      </c>
      <c r="P740" s="69">
        <v>874032</v>
      </c>
      <c r="Q740" s="92" t="s">
        <v>967</v>
      </c>
      <c r="R740" s="92" t="s">
        <v>173</v>
      </c>
      <c r="S740" s="92"/>
    </row>
    <row r="741" spans="1:19" x14ac:dyDescent="0.2">
      <c r="A741" s="92" t="s">
        <v>971</v>
      </c>
      <c r="B741" s="69">
        <v>23</v>
      </c>
      <c r="C741" s="69">
        <v>12</v>
      </c>
      <c r="D741" s="69">
        <v>15</v>
      </c>
      <c r="E741" s="69">
        <v>23</v>
      </c>
      <c r="F741" s="69">
        <v>45</v>
      </c>
      <c r="G741" s="69">
        <v>27</v>
      </c>
      <c r="H741" s="69">
        <v>4.9000000000000004</v>
      </c>
      <c r="I741" s="70">
        <v>0.83</v>
      </c>
      <c r="J741" s="70">
        <v>2.33</v>
      </c>
      <c r="K741" s="69">
        <v>9.4</v>
      </c>
      <c r="L741" s="69">
        <v>1.2</v>
      </c>
      <c r="M741" s="69" t="s">
        <v>451</v>
      </c>
      <c r="N741" s="69">
        <v>2001</v>
      </c>
      <c r="O741" s="69" t="s">
        <v>71</v>
      </c>
      <c r="P741" s="69">
        <v>166173</v>
      </c>
      <c r="Q741" s="92" t="s">
        <v>715</v>
      </c>
      <c r="R741" s="92" t="s">
        <v>310</v>
      </c>
      <c r="S741" s="92"/>
    </row>
    <row r="742" spans="1:19" x14ac:dyDescent="0.2">
      <c r="A742" s="92" t="s">
        <v>970</v>
      </c>
      <c r="B742" s="69">
        <v>31</v>
      </c>
      <c r="C742" s="69">
        <v>13</v>
      </c>
      <c r="D742" s="69">
        <v>13</v>
      </c>
      <c r="E742" s="69">
        <v>31</v>
      </c>
      <c r="F742" s="69">
        <v>81</v>
      </c>
      <c r="G742" s="69">
        <v>52</v>
      </c>
      <c r="H742" s="69">
        <v>8.8000000000000007</v>
      </c>
      <c r="I742" s="70">
        <v>0.83</v>
      </c>
      <c r="J742" s="70">
        <v>2.09</v>
      </c>
      <c r="K742" s="69">
        <v>9.8000000000000007</v>
      </c>
      <c r="L742" s="69">
        <v>1.9</v>
      </c>
      <c r="M742" s="69" t="s">
        <v>241</v>
      </c>
      <c r="N742" s="69">
        <v>2004</v>
      </c>
      <c r="O742" s="69" t="s">
        <v>71</v>
      </c>
      <c r="P742" s="69">
        <v>252353</v>
      </c>
      <c r="Q742" s="92" t="s">
        <v>695</v>
      </c>
      <c r="R742" s="92" t="s">
        <v>370</v>
      </c>
      <c r="S742" s="92"/>
    </row>
    <row r="743" spans="1:19" x14ac:dyDescent="0.2">
      <c r="A743" s="92" t="s">
        <v>1142</v>
      </c>
      <c r="B743" s="69">
        <v>19</v>
      </c>
      <c r="C743" s="69">
        <v>10</v>
      </c>
      <c r="D743" s="69">
        <v>12</v>
      </c>
      <c r="E743" s="69">
        <v>18</v>
      </c>
      <c r="F743" s="69">
        <v>82</v>
      </c>
      <c r="G743" s="69"/>
      <c r="H743" s="69"/>
      <c r="I743" s="70">
        <v>0.83</v>
      </c>
      <c r="J743" s="70">
        <v>2.1</v>
      </c>
      <c r="K743" s="69">
        <v>8.3000000000000007</v>
      </c>
      <c r="L743" s="69">
        <v>2.2999999999999998</v>
      </c>
      <c r="M743" s="69" t="s">
        <v>451</v>
      </c>
      <c r="N743" s="69">
        <v>2014</v>
      </c>
      <c r="O743" s="69" t="s">
        <v>71</v>
      </c>
      <c r="P743" s="69">
        <v>179218</v>
      </c>
      <c r="Q743" s="92" t="s">
        <v>1152</v>
      </c>
      <c r="R743" s="92" t="s">
        <v>212</v>
      </c>
      <c r="S743" s="92"/>
    </row>
    <row r="744" spans="1:19" x14ac:dyDescent="0.2">
      <c r="A744" s="92" t="s">
        <v>973</v>
      </c>
      <c r="B744" s="69">
        <v>13</v>
      </c>
      <c r="C744" s="69">
        <v>12</v>
      </c>
      <c r="D744" s="69">
        <v>8</v>
      </c>
      <c r="E744" s="69">
        <v>13</v>
      </c>
      <c r="F744" s="69">
        <v>76</v>
      </c>
      <c r="G744" s="69">
        <v>82</v>
      </c>
      <c r="H744" s="69">
        <v>12.7</v>
      </c>
      <c r="I744" s="70">
        <v>0.84</v>
      </c>
      <c r="J744" s="70">
        <v>2.13</v>
      </c>
      <c r="K744" s="69">
        <v>11.7</v>
      </c>
      <c r="L744" s="69">
        <v>1.6</v>
      </c>
      <c r="M744" s="69" t="s">
        <v>451</v>
      </c>
      <c r="N744" s="69">
        <v>2004</v>
      </c>
      <c r="O744" s="69" t="s">
        <v>71</v>
      </c>
      <c r="P744" s="69">
        <v>107201</v>
      </c>
      <c r="Q744" s="92" t="s">
        <v>1133</v>
      </c>
      <c r="R744" s="92" t="s">
        <v>245</v>
      </c>
      <c r="S744" s="92"/>
    </row>
    <row r="745" spans="1:19" x14ac:dyDescent="0.2">
      <c r="A745" s="92" t="s">
        <v>975</v>
      </c>
      <c r="B745" s="69">
        <v>16</v>
      </c>
      <c r="C745" s="69">
        <v>9</v>
      </c>
      <c r="D745" s="69">
        <v>9</v>
      </c>
      <c r="E745" s="69">
        <v>16</v>
      </c>
      <c r="F745" s="69">
        <v>75</v>
      </c>
      <c r="G745" s="69">
        <v>36</v>
      </c>
      <c r="H745" s="69">
        <v>6.3</v>
      </c>
      <c r="I745" s="70">
        <v>0.84</v>
      </c>
      <c r="J745" s="70">
        <v>2.13</v>
      </c>
      <c r="K745" s="69">
        <v>8.8000000000000007</v>
      </c>
      <c r="L745" s="69">
        <v>2</v>
      </c>
      <c r="M745" s="69" t="s">
        <v>241</v>
      </c>
      <c r="N745" s="69">
        <v>2002</v>
      </c>
      <c r="O745" s="69" t="s">
        <v>71</v>
      </c>
      <c r="P745" s="69">
        <v>579722</v>
      </c>
      <c r="Q745" s="92" t="s">
        <v>695</v>
      </c>
      <c r="R745" s="92" t="s">
        <v>697</v>
      </c>
      <c r="S745" s="92"/>
    </row>
    <row r="746" spans="1:19" x14ac:dyDescent="0.2">
      <c r="A746" s="92" t="s">
        <v>972</v>
      </c>
      <c r="B746" s="69">
        <v>4</v>
      </c>
      <c r="C746" s="69">
        <v>-8</v>
      </c>
      <c r="D746" s="69">
        <v>-10</v>
      </c>
      <c r="E746" s="69">
        <v>4</v>
      </c>
      <c r="F746" s="69">
        <v>-11</v>
      </c>
      <c r="G746" s="69">
        <v>-16</v>
      </c>
      <c r="H746" s="69">
        <v>-3.4</v>
      </c>
      <c r="I746" s="70">
        <v>0.84</v>
      </c>
      <c r="J746" s="70">
        <v>2.37</v>
      </c>
      <c r="K746" s="69">
        <v>12.9</v>
      </c>
      <c r="L746" s="69">
        <v>-0.3</v>
      </c>
      <c r="M746" s="69" t="s">
        <v>451</v>
      </c>
      <c r="N746" s="69">
        <v>2011</v>
      </c>
      <c r="O746" s="69" t="s">
        <v>71</v>
      </c>
      <c r="P746" s="69">
        <v>918367</v>
      </c>
      <c r="Q746" s="92" t="s">
        <v>715</v>
      </c>
      <c r="R746" s="92" t="s">
        <v>370</v>
      </c>
      <c r="S746" s="92"/>
    </row>
    <row r="747" spans="1:19" x14ac:dyDescent="0.2">
      <c r="A747" s="92" t="s">
        <v>974</v>
      </c>
      <c r="B747" s="69">
        <v>8</v>
      </c>
      <c r="C747" s="69">
        <v>3</v>
      </c>
      <c r="D747" s="69">
        <v>2</v>
      </c>
      <c r="E747" s="69">
        <v>8</v>
      </c>
      <c r="F747" s="69">
        <v>13</v>
      </c>
      <c r="G747" s="69"/>
      <c r="H747" s="69"/>
      <c r="I747" s="70">
        <v>0.84</v>
      </c>
      <c r="J747" s="70">
        <v>2.21</v>
      </c>
      <c r="K747" s="69">
        <v>4.8</v>
      </c>
      <c r="L747" s="69">
        <v>0.6</v>
      </c>
      <c r="M747" s="69" t="s">
        <v>241</v>
      </c>
      <c r="N747" s="69">
        <v>2012</v>
      </c>
      <c r="O747" s="69" t="s">
        <v>71</v>
      </c>
      <c r="P747" s="69">
        <v>799304</v>
      </c>
      <c r="Q747" s="92" t="s">
        <v>763</v>
      </c>
      <c r="R747" s="92" t="s">
        <v>223</v>
      </c>
      <c r="S747" s="92"/>
    </row>
    <row r="748" spans="1:19" x14ac:dyDescent="0.2">
      <c r="A748" s="92" t="s">
        <v>977</v>
      </c>
      <c r="B748" s="69">
        <v>19</v>
      </c>
      <c r="C748" s="69">
        <v>8</v>
      </c>
      <c r="D748" s="69">
        <v>11</v>
      </c>
      <c r="E748" s="69">
        <v>19</v>
      </c>
      <c r="F748" s="69">
        <v>52</v>
      </c>
      <c r="G748" s="69"/>
      <c r="H748" s="69"/>
      <c r="I748" s="70">
        <v>0.85</v>
      </c>
      <c r="J748" s="70">
        <v>2.7</v>
      </c>
      <c r="K748" s="69">
        <v>6.4</v>
      </c>
      <c r="L748" s="69">
        <v>2</v>
      </c>
      <c r="M748" s="69" t="s">
        <v>170</v>
      </c>
      <c r="N748" s="69">
        <v>2012</v>
      </c>
      <c r="O748" s="69" t="s">
        <v>71</v>
      </c>
      <c r="P748" s="69">
        <v>946285</v>
      </c>
      <c r="Q748" s="92" t="s">
        <v>978</v>
      </c>
      <c r="R748" s="92" t="s">
        <v>173</v>
      </c>
      <c r="S748" s="92"/>
    </row>
    <row r="749" spans="1:19" x14ac:dyDescent="0.2">
      <c r="A749" s="92" t="s">
        <v>979</v>
      </c>
      <c r="B749" s="69">
        <v>16</v>
      </c>
      <c r="C749" s="69">
        <v>6</v>
      </c>
      <c r="D749" s="69">
        <v>8</v>
      </c>
      <c r="E749" s="69">
        <v>16</v>
      </c>
      <c r="F749" s="69">
        <v>40</v>
      </c>
      <c r="G749" s="69"/>
      <c r="H749" s="69"/>
      <c r="I749" s="70">
        <v>0.85</v>
      </c>
      <c r="J749" s="70">
        <v>2.68</v>
      </c>
      <c r="K749" s="69">
        <v>5.5</v>
      </c>
      <c r="L749" s="69">
        <v>1.8</v>
      </c>
      <c r="M749" s="69" t="s">
        <v>170</v>
      </c>
      <c r="N749" s="69">
        <v>2012</v>
      </c>
      <c r="O749" s="69" t="s">
        <v>71</v>
      </c>
      <c r="P749" s="69">
        <v>982116</v>
      </c>
      <c r="Q749" s="92" t="s">
        <v>978</v>
      </c>
      <c r="R749" s="92" t="s">
        <v>173</v>
      </c>
      <c r="S749" s="92"/>
    </row>
    <row r="750" spans="1:19" x14ac:dyDescent="0.2">
      <c r="A750" s="92" t="s">
        <v>983</v>
      </c>
      <c r="B750" s="69">
        <v>-36</v>
      </c>
      <c r="C750" s="69">
        <v>-27</v>
      </c>
      <c r="D750" s="69">
        <v>-35</v>
      </c>
      <c r="E750" s="69">
        <v>-36</v>
      </c>
      <c r="F750" s="69">
        <v>-26</v>
      </c>
      <c r="G750" s="69"/>
      <c r="H750" s="69"/>
      <c r="I750" s="70">
        <v>0.85</v>
      </c>
      <c r="J750" s="70">
        <v>2.14</v>
      </c>
      <c r="K750" s="69">
        <v>21.7</v>
      </c>
      <c r="L750" s="69">
        <v>-0.4</v>
      </c>
      <c r="M750" s="69" t="s">
        <v>241</v>
      </c>
      <c r="N750" s="69">
        <v>2013</v>
      </c>
      <c r="O750" s="69" t="s">
        <v>71</v>
      </c>
      <c r="P750" s="69">
        <v>125799</v>
      </c>
      <c r="Q750" s="92" t="s">
        <v>586</v>
      </c>
      <c r="R750" s="92" t="s">
        <v>487</v>
      </c>
      <c r="S750" s="92"/>
    </row>
    <row r="751" spans="1:19" x14ac:dyDescent="0.2">
      <c r="A751" s="92" t="s">
        <v>984</v>
      </c>
      <c r="B751" s="69">
        <v>12</v>
      </c>
      <c r="C751" s="69">
        <v>6</v>
      </c>
      <c r="D751" s="69">
        <v>3</v>
      </c>
      <c r="E751" s="69">
        <v>12</v>
      </c>
      <c r="F751" s="69">
        <v>20</v>
      </c>
      <c r="G751" s="69">
        <v>31</v>
      </c>
      <c r="H751" s="69">
        <v>5.6</v>
      </c>
      <c r="I751" s="70">
        <v>0.85</v>
      </c>
      <c r="J751" s="70">
        <v>2.15</v>
      </c>
      <c r="K751" s="69">
        <v>6.7</v>
      </c>
      <c r="L751" s="69">
        <v>0.8</v>
      </c>
      <c r="M751" s="69" t="s">
        <v>241</v>
      </c>
      <c r="N751" s="69">
        <v>2012</v>
      </c>
      <c r="O751" s="69" t="s">
        <v>71</v>
      </c>
      <c r="P751" s="69">
        <v>717314</v>
      </c>
      <c r="Q751" s="92" t="s">
        <v>981</v>
      </c>
      <c r="R751" s="92" t="s">
        <v>173</v>
      </c>
      <c r="S751" s="92"/>
    </row>
    <row r="752" spans="1:19" x14ac:dyDescent="0.2">
      <c r="A752" s="92" t="s">
        <v>986</v>
      </c>
      <c r="B752" s="69">
        <v>19</v>
      </c>
      <c r="C752" s="69">
        <v>9</v>
      </c>
      <c r="D752" s="69">
        <v>10</v>
      </c>
      <c r="E752" s="69">
        <v>18</v>
      </c>
      <c r="F752" s="69">
        <v>88</v>
      </c>
      <c r="G752" s="69">
        <v>109</v>
      </c>
      <c r="H752" s="69">
        <v>15.8</v>
      </c>
      <c r="I752" s="70">
        <v>0.85</v>
      </c>
      <c r="J752" s="70">
        <v>1.66</v>
      </c>
      <c r="K752" s="69">
        <v>7.8</v>
      </c>
      <c r="L752" s="69">
        <v>2.6</v>
      </c>
      <c r="M752" s="69" t="s">
        <v>170</v>
      </c>
      <c r="N752" s="69">
        <v>2014</v>
      </c>
      <c r="O752" s="69" t="s">
        <v>171</v>
      </c>
      <c r="P752" s="69">
        <v>341362</v>
      </c>
      <c r="Q752" s="92" t="s">
        <v>987</v>
      </c>
      <c r="R752" s="92" t="s">
        <v>212</v>
      </c>
      <c r="S752" s="92"/>
    </row>
    <row r="753" spans="1:19" x14ac:dyDescent="0.2">
      <c r="A753" s="92" t="s">
        <v>985</v>
      </c>
      <c r="B753" s="69">
        <v>35</v>
      </c>
      <c r="C753" s="69">
        <v>14</v>
      </c>
      <c r="D753" s="69">
        <v>14</v>
      </c>
      <c r="E753" s="69">
        <v>34</v>
      </c>
      <c r="F753" s="69">
        <v>87</v>
      </c>
      <c r="G753" s="69">
        <v>60</v>
      </c>
      <c r="H753" s="69">
        <v>9.9</v>
      </c>
      <c r="I753" s="70">
        <v>0.85</v>
      </c>
      <c r="J753" s="70">
        <v>2.15</v>
      </c>
      <c r="K753" s="69">
        <v>10.7</v>
      </c>
      <c r="L753" s="69">
        <v>1.9</v>
      </c>
      <c r="M753" s="69" t="s">
        <v>241</v>
      </c>
      <c r="N753" s="69">
        <v>2004</v>
      </c>
      <c r="O753" s="69" t="s">
        <v>71</v>
      </c>
      <c r="P753" s="69">
        <v>665315</v>
      </c>
      <c r="Q753" s="92" t="s">
        <v>1133</v>
      </c>
      <c r="R753" s="92" t="s">
        <v>370</v>
      </c>
      <c r="S753" s="92"/>
    </row>
    <row r="754" spans="1:19" x14ac:dyDescent="0.2">
      <c r="A754" s="92" t="s">
        <v>982</v>
      </c>
      <c r="B754" s="69">
        <v>18</v>
      </c>
      <c r="C754" s="69">
        <v>10</v>
      </c>
      <c r="D754" s="69">
        <v>5</v>
      </c>
      <c r="E754" s="69">
        <v>17</v>
      </c>
      <c r="F754" s="69">
        <v>85</v>
      </c>
      <c r="G754" s="69">
        <v>74</v>
      </c>
      <c r="H754" s="69">
        <v>11.8</v>
      </c>
      <c r="I754" s="70">
        <v>0.85</v>
      </c>
      <c r="J754" s="70">
        <v>2.15</v>
      </c>
      <c r="K754" s="69">
        <v>10.9</v>
      </c>
      <c r="L754" s="69">
        <v>1.8</v>
      </c>
      <c r="M754" s="69" t="s">
        <v>241</v>
      </c>
      <c r="N754" s="69">
        <v>2004</v>
      </c>
      <c r="O754" s="69" t="s">
        <v>71</v>
      </c>
      <c r="P754" s="69">
        <v>920371</v>
      </c>
      <c r="Q754" s="92" t="s">
        <v>1133</v>
      </c>
      <c r="R754" s="92" t="s">
        <v>408</v>
      </c>
      <c r="S754" s="92"/>
    </row>
    <row r="755" spans="1:19" x14ac:dyDescent="0.2">
      <c r="A755" s="92" t="s">
        <v>976</v>
      </c>
      <c r="B755" s="69">
        <v>20</v>
      </c>
      <c r="C755" s="69">
        <v>3</v>
      </c>
      <c r="D755" s="69">
        <v>8</v>
      </c>
      <c r="E755" s="69">
        <v>21</v>
      </c>
      <c r="F755" s="69">
        <v>24</v>
      </c>
      <c r="G755" s="69">
        <v>8</v>
      </c>
      <c r="H755" s="69">
        <v>1.5</v>
      </c>
      <c r="I755" s="70">
        <v>0.85</v>
      </c>
      <c r="J755" s="70">
        <v>2.39</v>
      </c>
      <c r="K755" s="69">
        <v>10.4</v>
      </c>
      <c r="L755" s="69">
        <v>0.6</v>
      </c>
      <c r="M755" s="69" t="s">
        <v>451</v>
      </c>
      <c r="N755" s="69">
        <v>2011</v>
      </c>
      <c r="O755" s="69" t="s">
        <v>71</v>
      </c>
      <c r="P755" s="69">
        <v>161687</v>
      </c>
      <c r="Q755" s="92" t="s">
        <v>715</v>
      </c>
      <c r="R755" s="92" t="s">
        <v>379</v>
      </c>
      <c r="S755" s="92"/>
    </row>
    <row r="756" spans="1:19" x14ac:dyDescent="0.2">
      <c r="A756" s="92" t="s">
        <v>980</v>
      </c>
      <c r="B756" s="69">
        <v>16</v>
      </c>
      <c r="C756" s="69">
        <v>3</v>
      </c>
      <c r="D756" s="69">
        <v>6</v>
      </c>
      <c r="E756" s="69">
        <v>16</v>
      </c>
      <c r="F756" s="69">
        <v>20</v>
      </c>
      <c r="G756" s="69"/>
      <c r="H756" s="69"/>
      <c r="I756" s="70">
        <v>0.85</v>
      </c>
      <c r="J756" s="70">
        <v>2.14</v>
      </c>
      <c r="K756" s="69">
        <v>11.7</v>
      </c>
      <c r="L756" s="69">
        <v>0.5</v>
      </c>
      <c r="M756" s="69" t="s">
        <v>241</v>
      </c>
      <c r="N756" s="69">
        <v>2012</v>
      </c>
      <c r="O756" s="69" t="s">
        <v>71</v>
      </c>
      <c r="P756" s="69">
        <v>533919</v>
      </c>
      <c r="Q756" s="92" t="s">
        <v>981</v>
      </c>
      <c r="R756" s="92" t="s">
        <v>379</v>
      </c>
      <c r="S756" s="92"/>
    </row>
    <row r="757" spans="1:19" x14ac:dyDescent="0.2">
      <c r="A757" s="92" t="s">
        <v>990</v>
      </c>
      <c r="B757" s="69">
        <v>18</v>
      </c>
      <c r="C757" s="69">
        <v>8</v>
      </c>
      <c r="D757" s="69">
        <v>10</v>
      </c>
      <c r="E757" s="69">
        <v>18</v>
      </c>
      <c r="F757" s="69">
        <v>49</v>
      </c>
      <c r="G757" s="69"/>
      <c r="H757" s="69"/>
      <c r="I757" s="70">
        <v>0.86</v>
      </c>
      <c r="J757" s="70">
        <v>1.93</v>
      </c>
      <c r="K757" s="69">
        <v>7.7</v>
      </c>
      <c r="L757" s="69">
        <v>1.6</v>
      </c>
      <c r="M757" s="69" t="s">
        <v>170</v>
      </c>
      <c r="N757" s="69">
        <v>2010</v>
      </c>
      <c r="O757" s="69" t="s">
        <v>71</v>
      </c>
      <c r="P757" s="69">
        <v>276493</v>
      </c>
      <c r="Q757" s="92" t="s">
        <v>991</v>
      </c>
      <c r="R757" s="92" t="s">
        <v>173</v>
      </c>
      <c r="S757" s="92"/>
    </row>
    <row r="758" spans="1:19" x14ac:dyDescent="0.2">
      <c r="A758" s="92" t="s">
        <v>988</v>
      </c>
      <c r="B758" s="69">
        <v>6</v>
      </c>
      <c r="C758" s="69">
        <v>-8</v>
      </c>
      <c r="D758" s="69">
        <v>-7</v>
      </c>
      <c r="E758" s="69">
        <v>7</v>
      </c>
      <c r="F758" s="69">
        <v>-14</v>
      </c>
      <c r="G758" s="69"/>
      <c r="H758" s="69"/>
      <c r="I758" s="70">
        <v>0.86</v>
      </c>
      <c r="J758" s="70">
        <v>2.1800000000000002</v>
      </c>
      <c r="K758" s="69">
        <v>20.399999999999999</v>
      </c>
      <c r="L758" s="69">
        <v>-0.2</v>
      </c>
      <c r="M758" s="69" t="s">
        <v>241</v>
      </c>
      <c r="N758" s="69">
        <v>2013</v>
      </c>
      <c r="O758" s="69" t="s">
        <v>71</v>
      </c>
      <c r="P758" s="69">
        <v>825398</v>
      </c>
      <c r="Q758" s="92" t="s">
        <v>1152</v>
      </c>
      <c r="R758" s="92" t="s">
        <v>383</v>
      </c>
      <c r="S758" s="92"/>
    </row>
    <row r="759" spans="1:19" x14ac:dyDescent="0.2">
      <c r="A759" s="92" t="s">
        <v>992</v>
      </c>
      <c r="B759" s="69">
        <v>3</v>
      </c>
      <c r="C759" s="69">
        <v>-11</v>
      </c>
      <c r="D759" s="69">
        <v>-22</v>
      </c>
      <c r="E759" s="69">
        <v>1</v>
      </c>
      <c r="F759" s="69">
        <v>-59</v>
      </c>
      <c r="G759" s="69">
        <v>-61</v>
      </c>
      <c r="H759" s="69">
        <v>-17</v>
      </c>
      <c r="I759" s="70">
        <v>0.86</v>
      </c>
      <c r="J759" s="70">
        <v>3.31</v>
      </c>
      <c r="K759" s="69">
        <v>32.5</v>
      </c>
      <c r="L759" s="69">
        <v>-0.8</v>
      </c>
      <c r="M759" s="69" t="s">
        <v>451</v>
      </c>
      <c r="N759" s="69">
        <v>2011</v>
      </c>
      <c r="O759" s="69" t="s">
        <v>71</v>
      </c>
      <c r="P759" s="69">
        <v>305003</v>
      </c>
      <c r="Q759" s="92" t="s">
        <v>715</v>
      </c>
      <c r="R759" s="92" t="s">
        <v>370</v>
      </c>
      <c r="S759" s="92"/>
    </row>
    <row r="760" spans="1:19" x14ac:dyDescent="0.2">
      <c r="A760" s="92" t="s">
        <v>989</v>
      </c>
      <c r="B760" s="69">
        <v>13</v>
      </c>
      <c r="C760" s="69">
        <v>-1</v>
      </c>
      <c r="D760" s="69">
        <v>5</v>
      </c>
      <c r="E760" s="69">
        <v>13</v>
      </c>
      <c r="F760" s="69">
        <v>14</v>
      </c>
      <c r="G760" s="69"/>
      <c r="H760" s="69"/>
      <c r="I760" s="70">
        <v>0.86</v>
      </c>
      <c r="J760" s="70">
        <v>2.38</v>
      </c>
      <c r="K760" s="69">
        <v>10.4</v>
      </c>
      <c r="L760" s="69">
        <v>0.3</v>
      </c>
      <c r="M760" s="69" t="s">
        <v>170</v>
      </c>
      <c r="N760" s="69">
        <v>2011</v>
      </c>
      <c r="O760" s="69" t="s">
        <v>171</v>
      </c>
      <c r="P760" s="69">
        <v>691220</v>
      </c>
      <c r="Q760" s="92" t="s">
        <v>672</v>
      </c>
      <c r="R760" s="92" t="s">
        <v>173</v>
      </c>
      <c r="S760" s="92"/>
    </row>
    <row r="761" spans="1:19" x14ac:dyDescent="0.2">
      <c r="A761" s="92" t="s">
        <v>993</v>
      </c>
      <c r="B761" s="69">
        <v>19</v>
      </c>
      <c r="C761" s="69">
        <v>12</v>
      </c>
      <c r="D761" s="69">
        <v>9</v>
      </c>
      <c r="E761" s="69">
        <v>18</v>
      </c>
      <c r="F761" s="69">
        <v>93</v>
      </c>
      <c r="G761" s="69">
        <v>85</v>
      </c>
      <c r="H761" s="69">
        <v>13.1</v>
      </c>
      <c r="I761" s="70">
        <v>0.87</v>
      </c>
      <c r="J761" s="70">
        <v>2.2000000000000002</v>
      </c>
      <c r="K761" s="69">
        <v>10.1</v>
      </c>
      <c r="L761" s="69">
        <v>2.1</v>
      </c>
      <c r="M761" s="69" t="s">
        <v>241</v>
      </c>
      <c r="N761" s="69">
        <v>2007</v>
      </c>
      <c r="O761" s="69" t="s">
        <v>71</v>
      </c>
      <c r="P761" s="69">
        <v>904490</v>
      </c>
      <c r="Q761" s="92" t="s">
        <v>994</v>
      </c>
      <c r="R761" s="92" t="s">
        <v>408</v>
      </c>
      <c r="S761" s="92"/>
    </row>
    <row r="762" spans="1:19" x14ac:dyDescent="0.2">
      <c r="A762" s="92" t="s">
        <v>996</v>
      </c>
      <c r="B762" s="69">
        <v>5</v>
      </c>
      <c r="C762" s="69">
        <v>0</v>
      </c>
      <c r="D762" s="69">
        <v>-1</v>
      </c>
      <c r="E762" s="69">
        <v>5</v>
      </c>
      <c r="F762" s="69">
        <v>23</v>
      </c>
      <c r="G762" s="69">
        <v>5</v>
      </c>
      <c r="H762" s="69">
        <v>0.9</v>
      </c>
      <c r="I762" s="70">
        <v>0.87</v>
      </c>
      <c r="J762" s="70">
        <v>2.21</v>
      </c>
      <c r="K762" s="69">
        <v>9.9</v>
      </c>
      <c r="L762" s="69">
        <v>0.6</v>
      </c>
      <c r="M762" s="69" t="s">
        <v>170</v>
      </c>
      <c r="N762" s="69">
        <v>2009</v>
      </c>
      <c r="O762" s="69" t="s">
        <v>171</v>
      </c>
      <c r="P762" s="69">
        <v>592295</v>
      </c>
      <c r="Q762" s="92" t="s">
        <v>293</v>
      </c>
      <c r="R762" s="92" t="s">
        <v>509</v>
      </c>
      <c r="S762" s="92"/>
    </row>
    <row r="763" spans="1:19" x14ac:dyDescent="0.2">
      <c r="A763" s="92" t="s">
        <v>1000</v>
      </c>
      <c r="B763" s="69">
        <v>5</v>
      </c>
      <c r="C763" s="69">
        <v>-4</v>
      </c>
      <c r="D763" s="69">
        <v>-7</v>
      </c>
      <c r="E763" s="69">
        <v>4</v>
      </c>
      <c r="F763" s="69">
        <v>-23</v>
      </c>
      <c r="G763" s="69">
        <v>-39</v>
      </c>
      <c r="H763" s="69">
        <v>-9.3000000000000007</v>
      </c>
      <c r="I763" s="70">
        <v>0.87</v>
      </c>
      <c r="J763" s="70">
        <v>2.2000000000000002</v>
      </c>
      <c r="K763" s="69">
        <v>21.2</v>
      </c>
      <c r="L763" s="69">
        <v>-0.4</v>
      </c>
      <c r="M763" s="69" t="s">
        <v>241</v>
      </c>
      <c r="N763" s="69">
        <v>2005</v>
      </c>
      <c r="O763" s="69" t="s">
        <v>71</v>
      </c>
      <c r="P763" s="69">
        <v>135129</v>
      </c>
      <c r="Q763" s="92" t="s">
        <v>770</v>
      </c>
      <c r="R763" s="92" t="s">
        <v>383</v>
      </c>
      <c r="S763" s="92"/>
    </row>
    <row r="764" spans="1:19" x14ac:dyDescent="0.2">
      <c r="A764" s="92" t="s">
        <v>995</v>
      </c>
      <c r="B764" s="69">
        <v>-38</v>
      </c>
      <c r="C764" s="69">
        <v>-31</v>
      </c>
      <c r="D764" s="69">
        <v>-38</v>
      </c>
      <c r="E764" s="69">
        <v>-38</v>
      </c>
      <c r="F764" s="69">
        <v>-48</v>
      </c>
      <c r="G764" s="69">
        <v>-56</v>
      </c>
      <c r="H764" s="69">
        <v>-15.2</v>
      </c>
      <c r="I764" s="70">
        <v>0.87</v>
      </c>
      <c r="J764" s="70">
        <v>2.21</v>
      </c>
      <c r="K764" s="69">
        <v>23.8</v>
      </c>
      <c r="L764" s="69">
        <v>-0.8</v>
      </c>
      <c r="M764" s="69" t="s">
        <v>241</v>
      </c>
      <c r="N764" s="69">
        <v>2002</v>
      </c>
      <c r="O764" s="69" t="s">
        <v>71</v>
      </c>
      <c r="P764" s="69">
        <v>396325</v>
      </c>
      <c r="Q764" s="92" t="s">
        <v>770</v>
      </c>
      <c r="R764" s="92" t="s">
        <v>487</v>
      </c>
      <c r="S764" s="92"/>
    </row>
    <row r="765" spans="1:19" x14ac:dyDescent="0.2">
      <c r="A765" s="92" t="s">
        <v>999</v>
      </c>
      <c r="B765" s="69">
        <v>24</v>
      </c>
      <c r="C765" s="69">
        <v>5</v>
      </c>
      <c r="D765" s="69">
        <v>14</v>
      </c>
      <c r="E765" s="69">
        <v>23</v>
      </c>
      <c r="F765" s="69">
        <v>26</v>
      </c>
      <c r="G765" s="69"/>
      <c r="H765" s="69"/>
      <c r="I765" s="70">
        <v>0.87</v>
      </c>
      <c r="J765" s="70">
        <v>2.2200000000000002</v>
      </c>
      <c r="K765" s="69">
        <v>13.1</v>
      </c>
      <c r="L765" s="69">
        <v>0.6</v>
      </c>
      <c r="M765" s="69" t="s">
        <v>241</v>
      </c>
      <c r="N765" s="69">
        <v>2013</v>
      </c>
      <c r="O765" s="69" t="s">
        <v>71</v>
      </c>
      <c r="P765" s="69">
        <v>745828</v>
      </c>
      <c r="Q765" s="92" t="s">
        <v>770</v>
      </c>
      <c r="R765" s="92" t="s">
        <v>379</v>
      </c>
      <c r="S765" s="92"/>
    </row>
    <row r="766" spans="1:19" x14ac:dyDescent="0.2">
      <c r="A766" s="92" t="s">
        <v>997</v>
      </c>
      <c r="B766" s="69">
        <v>63</v>
      </c>
      <c r="C766" s="69">
        <v>13</v>
      </c>
      <c r="D766" s="69">
        <v>28</v>
      </c>
      <c r="E766" s="69">
        <v>61</v>
      </c>
      <c r="F766" s="69">
        <v>70</v>
      </c>
      <c r="G766" s="69">
        <v>20</v>
      </c>
      <c r="H766" s="69">
        <v>3.6</v>
      </c>
      <c r="I766" s="70">
        <v>0.87</v>
      </c>
      <c r="J766" s="70">
        <v>2.21</v>
      </c>
      <c r="K766" s="69">
        <v>19.5</v>
      </c>
      <c r="L766" s="69">
        <v>1</v>
      </c>
      <c r="M766" s="69" t="s">
        <v>241</v>
      </c>
      <c r="N766" s="69">
        <v>2003</v>
      </c>
      <c r="O766" s="69" t="s">
        <v>71</v>
      </c>
      <c r="P766" s="69">
        <v>220186</v>
      </c>
      <c r="Q766" s="92" t="s">
        <v>770</v>
      </c>
      <c r="R766" s="92" t="s">
        <v>383</v>
      </c>
      <c r="S766" s="92"/>
    </row>
    <row r="767" spans="1:19" x14ac:dyDescent="0.2">
      <c r="A767" s="92" t="s">
        <v>998</v>
      </c>
      <c r="B767" s="69">
        <v>16</v>
      </c>
      <c r="C767" s="69">
        <v>4</v>
      </c>
      <c r="D767" s="69">
        <v>19</v>
      </c>
      <c r="E767" s="69">
        <v>11</v>
      </c>
      <c r="F767" s="69">
        <v>31</v>
      </c>
      <c r="G767" s="69">
        <v>-9</v>
      </c>
      <c r="H767" s="69">
        <v>-1.8</v>
      </c>
      <c r="I767" s="70">
        <v>0.87</v>
      </c>
      <c r="J767" s="70">
        <v>2.21</v>
      </c>
      <c r="K767" s="69">
        <v>17.3</v>
      </c>
      <c r="L767" s="69">
        <v>0.5</v>
      </c>
      <c r="M767" s="69" t="s">
        <v>241</v>
      </c>
      <c r="N767" s="69">
        <v>2002</v>
      </c>
      <c r="O767" s="69" t="s">
        <v>71</v>
      </c>
      <c r="P767" s="69">
        <v>118182</v>
      </c>
      <c r="Q767" s="92" t="s">
        <v>770</v>
      </c>
      <c r="R767" s="92" t="s">
        <v>449</v>
      </c>
      <c r="S767" s="92"/>
    </row>
    <row r="768" spans="1:19" x14ac:dyDescent="0.2">
      <c r="A768" s="92" t="s">
        <v>1004</v>
      </c>
      <c r="B768" s="69">
        <v>17</v>
      </c>
      <c r="C768" s="69">
        <v>5</v>
      </c>
      <c r="D768" s="69">
        <v>7</v>
      </c>
      <c r="E768" s="69">
        <v>17</v>
      </c>
      <c r="F768" s="69">
        <v>45</v>
      </c>
      <c r="G768" s="69">
        <v>41</v>
      </c>
      <c r="H768" s="69">
        <v>7</v>
      </c>
      <c r="I768" s="70">
        <v>0.88</v>
      </c>
      <c r="J768" s="70">
        <v>2.48</v>
      </c>
      <c r="K768" s="69">
        <v>9</v>
      </c>
      <c r="L768" s="69">
        <v>1.3</v>
      </c>
      <c r="M768" s="69" t="s">
        <v>170</v>
      </c>
      <c r="N768" s="69">
        <v>2011</v>
      </c>
      <c r="O768" s="69" t="s">
        <v>171</v>
      </c>
      <c r="P768" s="69">
        <v>374835</v>
      </c>
      <c r="Q768" s="92" t="s">
        <v>906</v>
      </c>
      <c r="R768" s="92" t="s">
        <v>212</v>
      </c>
      <c r="S768" s="92"/>
    </row>
    <row r="769" spans="1:19" x14ac:dyDescent="0.2">
      <c r="A769" s="92" t="s">
        <v>1005</v>
      </c>
      <c r="B769" s="69">
        <v>-32</v>
      </c>
      <c r="C769" s="69">
        <v>-24</v>
      </c>
      <c r="D769" s="69">
        <v>-32</v>
      </c>
      <c r="E769" s="69">
        <v>-32</v>
      </c>
      <c r="F769" s="69">
        <v>-33</v>
      </c>
      <c r="G769" s="69">
        <v>-44</v>
      </c>
      <c r="H769" s="69">
        <v>-10.9</v>
      </c>
      <c r="I769" s="70">
        <v>0.88</v>
      </c>
      <c r="J769" s="70">
        <v>2.2200000000000002</v>
      </c>
      <c r="K769" s="69">
        <v>21.1</v>
      </c>
      <c r="L769" s="69">
        <v>-0.6</v>
      </c>
      <c r="M769" s="69" t="s">
        <v>170</v>
      </c>
      <c r="N769" s="69">
        <v>2005</v>
      </c>
      <c r="O769" s="69" t="s">
        <v>171</v>
      </c>
      <c r="P769" s="69">
        <v>649491</v>
      </c>
      <c r="Q769" s="92" t="s">
        <v>749</v>
      </c>
      <c r="R769" s="92" t="s">
        <v>487</v>
      </c>
      <c r="S769" s="92"/>
    </row>
    <row r="770" spans="1:19" x14ac:dyDescent="0.2">
      <c r="A770" s="92" t="s">
        <v>1009</v>
      </c>
      <c r="B770" s="69">
        <v>7</v>
      </c>
      <c r="C770" s="69">
        <v>3</v>
      </c>
      <c r="D770" s="69">
        <v>4</v>
      </c>
      <c r="E770" s="69">
        <v>7</v>
      </c>
      <c r="F770" s="69">
        <v>17</v>
      </c>
      <c r="G770" s="69"/>
      <c r="H770" s="69"/>
      <c r="I770" s="70">
        <v>0.88</v>
      </c>
      <c r="J770" s="70">
        <v>2.42</v>
      </c>
      <c r="K770" s="69">
        <v>4.3</v>
      </c>
      <c r="L770" s="69">
        <v>1</v>
      </c>
      <c r="M770" s="69" t="s">
        <v>170</v>
      </c>
      <c r="N770" s="69">
        <v>2010</v>
      </c>
      <c r="O770" s="69" t="s">
        <v>171</v>
      </c>
      <c r="P770" s="69">
        <v>590463</v>
      </c>
      <c r="Q770" s="92" t="s">
        <v>172</v>
      </c>
      <c r="R770" s="92" t="s">
        <v>173</v>
      </c>
      <c r="S770" s="92"/>
    </row>
    <row r="771" spans="1:19" x14ac:dyDescent="0.2">
      <c r="A771" s="92" t="s">
        <v>1006</v>
      </c>
      <c r="B771" s="69">
        <v>9</v>
      </c>
      <c r="C771" s="69">
        <v>-2</v>
      </c>
      <c r="D771" s="69">
        <v>4</v>
      </c>
      <c r="E771" s="69">
        <v>8</v>
      </c>
      <c r="F771" s="69"/>
      <c r="G771" s="69"/>
      <c r="H771" s="69"/>
      <c r="I771" s="70">
        <v>0.88</v>
      </c>
      <c r="J771" s="70">
        <v>2.5</v>
      </c>
      <c r="K771" s="69"/>
      <c r="L771" s="69"/>
      <c r="M771" s="69" t="s">
        <v>170</v>
      </c>
      <c r="N771" s="69">
        <v>2014</v>
      </c>
      <c r="O771" s="69" t="s">
        <v>171</v>
      </c>
      <c r="P771" s="69">
        <v>910398</v>
      </c>
      <c r="Q771" s="92" t="s">
        <v>172</v>
      </c>
      <c r="R771" s="92" t="s">
        <v>173</v>
      </c>
      <c r="S771" s="92"/>
    </row>
    <row r="772" spans="1:19" x14ac:dyDescent="0.2">
      <c r="A772" s="92" t="s">
        <v>1007</v>
      </c>
      <c r="B772" s="69">
        <v>21</v>
      </c>
      <c r="C772" s="69">
        <v>8</v>
      </c>
      <c r="D772" s="69">
        <v>11</v>
      </c>
      <c r="E772" s="69">
        <v>21</v>
      </c>
      <c r="F772" s="69">
        <v>72</v>
      </c>
      <c r="G772" s="69">
        <v>60</v>
      </c>
      <c r="H772" s="69">
        <v>9.9</v>
      </c>
      <c r="I772" s="70">
        <v>0.88</v>
      </c>
      <c r="J772" s="70">
        <v>2.2400000000000002</v>
      </c>
      <c r="K772" s="69">
        <v>6.6</v>
      </c>
      <c r="L772" s="69">
        <v>2.6</v>
      </c>
      <c r="M772" s="69" t="s">
        <v>241</v>
      </c>
      <c r="N772" s="69">
        <v>2008</v>
      </c>
      <c r="O772" s="69" t="s">
        <v>71</v>
      </c>
      <c r="P772" s="69">
        <v>306894</v>
      </c>
      <c r="Q772" s="92" t="s">
        <v>497</v>
      </c>
      <c r="R772" s="92" t="s">
        <v>212</v>
      </c>
      <c r="S772" s="92"/>
    </row>
    <row r="773" spans="1:19" x14ac:dyDescent="0.2">
      <c r="A773" s="92" t="s">
        <v>1008</v>
      </c>
      <c r="B773" s="69">
        <v>-2</v>
      </c>
      <c r="C773" s="69">
        <v>-3</v>
      </c>
      <c r="D773" s="69">
        <v>-4</v>
      </c>
      <c r="E773" s="69">
        <v>-2</v>
      </c>
      <c r="F773" s="69">
        <v>1</v>
      </c>
      <c r="G773" s="69"/>
      <c r="H773" s="69"/>
      <c r="I773" s="70">
        <v>0.88</v>
      </c>
      <c r="J773" s="70">
        <v>2.1</v>
      </c>
      <c r="K773" s="69">
        <v>4.9000000000000004</v>
      </c>
      <c r="L773" s="69">
        <v>-0.1</v>
      </c>
      <c r="M773" s="69" t="s">
        <v>170</v>
      </c>
      <c r="N773" s="69">
        <v>2011</v>
      </c>
      <c r="O773" s="69" t="s">
        <v>71</v>
      </c>
      <c r="P773" s="69">
        <v>272831</v>
      </c>
      <c r="Q773" s="92" t="s">
        <v>362</v>
      </c>
      <c r="R773" s="92" t="s">
        <v>212</v>
      </c>
      <c r="S773" s="92"/>
    </row>
    <row r="774" spans="1:19" x14ac:dyDescent="0.2">
      <c r="A774" s="92" t="s">
        <v>1156</v>
      </c>
      <c r="B774" s="69">
        <v>25</v>
      </c>
      <c r="C774" s="69">
        <v>14</v>
      </c>
      <c r="D774" s="69">
        <v>22</v>
      </c>
      <c r="E774" s="69">
        <v>24</v>
      </c>
      <c r="F774" s="69"/>
      <c r="G774" s="69"/>
      <c r="H774" s="69"/>
      <c r="I774" s="70">
        <v>0.88</v>
      </c>
      <c r="J774" s="70">
        <v>2.37</v>
      </c>
      <c r="K774" s="69"/>
      <c r="L774" s="69"/>
      <c r="M774" s="69" t="s">
        <v>170</v>
      </c>
      <c r="N774" s="69">
        <v>2013</v>
      </c>
      <c r="O774" s="69" t="s">
        <v>71</v>
      </c>
      <c r="P774" s="69">
        <v>641993</v>
      </c>
      <c r="Q774" s="92" t="s">
        <v>362</v>
      </c>
      <c r="R774" s="92" t="s">
        <v>449</v>
      </c>
      <c r="S774" s="92"/>
    </row>
    <row r="775" spans="1:19" x14ac:dyDescent="0.2">
      <c r="A775" s="92" t="s">
        <v>1001</v>
      </c>
      <c r="B775" s="69">
        <v>3</v>
      </c>
      <c r="C775" s="69">
        <v>-3</v>
      </c>
      <c r="D775" s="69">
        <v>-5</v>
      </c>
      <c r="E775" s="69">
        <v>3</v>
      </c>
      <c r="F775" s="69">
        <v>57</v>
      </c>
      <c r="G775" s="69">
        <v>54</v>
      </c>
      <c r="H775" s="69">
        <v>9</v>
      </c>
      <c r="I775" s="70">
        <v>0.88</v>
      </c>
      <c r="J775" s="70">
        <v>2.2400000000000002</v>
      </c>
      <c r="K775" s="69">
        <v>10.6</v>
      </c>
      <c r="L775" s="69">
        <v>1.4</v>
      </c>
      <c r="M775" s="69" t="s">
        <v>241</v>
      </c>
      <c r="N775" s="69">
        <v>2010</v>
      </c>
      <c r="O775" s="69" t="s">
        <v>71</v>
      </c>
      <c r="P775" s="69">
        <v>789032</v>
      </c>
      <c r="Q775" s="92" t="s">
        <v>1002</v>
      </c>
      <c r="R775" s="92" t="s">
        <v>413</v>
      </c>
      <c r="S775" s="92"/>
    </row>
    <row r="776" spans="1:19" x14ac:dyDescent="0.2">
      <c r="A776" s="92" t="s">
        <v>1003</v>
      </c>
      <c r="B776" s="69">
        <v>11</v>
      </c>
      <c r="C776" s="69">
        <v>1</v>
      </c>
      <c r="D776" s="69">
        <v>0</v>
      </c>
      <c r="E776" s="69">
        <v>11</v>
      </c>
      <c r="F776" s="69">
        <v>27</v>
      </c>
      <c r="G776" s="69"/>
      <c r="H776" s="69"/>
      <c r="I776" s="70">
        <v>0.88</v>
      </c>
      <c r="J776" s="70">
        <v>2.3199999999999998</v>
      </c>
      <c r="K776" s="69">
        <v>6.9</v>
      </c>
      <c r="L776" s="69">
        <v>1</v>
      </c>
      <c r="M776" s="69" t="s">
        <v>241</v>
      </c>
      <c r="N776" s="69">
        <v>2012</v>
      </c>
      <c r="O776" s="69" t="s">
        <v>71</v>
      </c>
      <c r="P776" s="69">
        <v>645655</v>
      </c>
      <c r="Q776" s="92" t="s">
        <v>981</v>
      </c>
      <c r="R776" s="92" t="s">
        <v>223</v>
      </c>
      <c r="S776" s="92"/>
    </row>
    <row r="777" spans="1:19" x14ac:dyDescent="0.2">
      <c r="A777" s="92" t="s">
        <v>1010</v>
      </c>
      <c r="B777" s="69">
        <v>11</v>
      </c>
      <c r="C777" s="69">
        <v>4</v>
      </c>
      <c r="D777" s="69">
        <v>6</v>
      </c>
      <c r="E777" s="69">
        <v>11</v>
      </c>
      <c r="F777" s="69"/>
      <c r="G777" s="69"/>
      <c r="H777" s="69"/>
      <c r="I777" s="70">
        <v>0.89</v>
      </c>
      <c r="J777" s="70">
        <v>2.25</v>
      </c>
      <c r="K777" s="69"/>
      <c r="L777" s="69"/>
      <c r="M777" s="69" t="s">
        <v>170</v>
      </c>
      <c r="N777" s="69">
        <v>2012</v>
      </c>
      <c r="O777" s="69" t="s">
        <v>71</v>
      </c>
      <c r="P777" s="69">
        <v>917716</v>
      </c>
      <c r="Q777" s="92" t="s">
        <v>861</v>
      </c>
      <c r="R777" s="92" t="s">
        <v>379</v>
      </c>
      <c r="S777" s="92"/>
    </row>
    <row r="778" spans="1:19" x14ac:dyDescent="0.2">
      <c r="A778" s="92" t="s">
        <v>1011</v>
      </c>
      <c r="B778" s="69">
        <v>14</v>
      </c>
      <c r="C778" s="69">
        <v>6</v>
      </c>
      <c r="D778" s="69">
        <v>8</v>
      </c>
      <c r="E778" s="69">
        <v>15</v>
      </c>
      <c r="F778" s="69"/>
      <c r="G778" s="69"/>
      <c r="H778" s="69"/>
      <c r="I778" s="70">
        <v>0.89</v>
      </c>
      <c r="J778" s="70">
        <v>2.25</v>
      </c>
      <c r="K778" s="69"/>
      <c r="L778" s="69"/>
      <c r="M778" s="69" t="s">
        <v>170</v>
      </c>
      <c r="N778" s="69">
        <v>2012</v>
      </c>
      <c r="O778" s="69" t="s">
        <v>71</v>
      </c>
      <c r="P778" s="69">
        <v>451393</v>
      </c>
      <c r="Q778" s="92" t="s">
        <v>861</v>
      </c>
      <c r="R778" s="92" t="s">
        <v>173</v>
      </c>
      <c r="S778" s="92"/>
    </row>
    <row r="779" spans="1:19" x14ac:dyDescent="0.2">
      <c r="A779" s="92" t="s">
        <v>1014</v>
      </c>
      <c r="B779" s="69">
        <v>2</v>
      </c>
      <c r="C779" s="69">
        <v>1</v>
      </c>
      <c r="D779" s="69">
        <v>-3</v>
      </c>
      <c r="E779" s="69">
        <v>2</v>
      </c>
      <c r="F779" s="69">
        <v>13</v>
      </c>
      <c r="G779" s="69">
        <v>16</v>
      </c>
      <c r="H779" s="69">
        <v>3</v>
      </c>
      <c r="I779" s="70">
        <v>0.9</v>
      </c>
      <c r="J779" s="70">
        <v>2.2799999999999998</v>
      </c>
      <c r="K779" s="69">
        <v>8.4</v>
      </c>
      <c r="L779" s="69">
        <v>0.3</v>
      </c>
      <c r="M779" s="69" t="s">
        <v>241</v>
      </c>
      <c r="N779" s="69">
        <v>2010</v>
      </c>
      <c r="O779" s="69" t="s">
        <v>71</v>
      </c>
      <c r="P779" s="69">
        <v>772038</v>
      </c>
      <c r="Q779" s="92" t="s">
        <v>586</v>
      </c>
      <c r="R779" s="92" t="s">
        <v>413</v>
      </c>
      <c r="S779" s="92"/>
    </row>
    <row r="780" spans="1:19" x14ac:dyDescent="0.2">
      <c r="A780" s="92" t="s">
        <v>1017</v>
      </c>
      <c r="B780" s="69">
        <v>24</v>
      </c>
      <c r="C780" s="69">
        <v>3</v>
      </c>
      <c r="D780" s="69">
        <v>13</v>
      </c>
      <c r="E780" s="69">
        <v>24</v>
      </c>
      <c r="F780" s="69">
        <v>47</v>
      </c>
      <c r="G780" s="69">
        <v>35</v>
      </c>
      <c r="H780" s="69">
        <v>6.1</v>
      </c>
      <c r="I780" s="70">
        <v>0.9</v>
      </c>
      <c r="J780" s="70">
        <v>2.2799999999999998</v>
      </c>
      <c r="K780" s="69">
        <v>10</v>
      </c>
      <c r="L780" s="69">
        <v>1.2</v>
      </c>
      <c r="M780" s="69" t="s">
        <v>241</v>
      </c>
      <c r="N780" s="69">
        <v>2013</v>
      </c>
      <c r="O780" s="69" t="s">
        <v>71</v>
      </c>
      <c r="P780" s="69">
        <v>431262</v>
      </c>
      <c r="Q780" s="92" t="s">
        <v>1152</v>
      </c>
      <c r="R780" s="92" t="s">
        <v>310</v>
      </c>
      <c r="S780" s="92"/>
    </row>
    <row r="781" spans="1:19" x14ac:dyDescent="0.2">
      <c r="A781" s="92" t="s">
        <v>142</v>
      </c>
      <c r="B781" s="69">
        <v>43</v>
      </c>
      <c r="C781" s="69">
        <v>1</v>
      </c>
      <c r="D781" s="69">
        <v>18</v>
      </c>
      <c r="E781" s="69">
        <v>42</v>
      </c>
      <c r="F781" s="69">
        <v>85</v>
      </c>
      <c r="G781" s="69">
        <v>182</v>
      </c>
      <c r="H781" s="69">
        <v>23.1</v>
      </c>
      <c r="I781" s="70">
        <v>0.9</v>
      </c>
      <c r="J781" s="70">
        <v>2.2999999999999998</v>
      </c>
      <c r="K781" s="69">
        <v>17</v>
      </c>
      <c r="L781" s="69">
        <v>1.2</v>
      </c>
      <c r="M781" s="69" t="s">
        <v>241</v>
      </c>
      <c r="N781" s="69">
        <v>2013</v>
      </c>
      <c r="O781" s="69" t="s">
        <v>71</v>
      </c>
      <c r="P781" s="69">
        <v>395434</v>
      </c>
      <c r="Q781" s="92" t="s">
        <v>1152</v>
      </c>
      <c r="R781" s="92" t="s">
        <v>383</v>
      </c>
      <c r="S781" s="92"/>
    </row>
    <row r="782" spans="1:19" x14ac:dyDescent="0.2">
      <c r="A782" s="92" t="s">
        <v>1143</v>
      </c>
      <c r="B782" s="69">
        <v>32</v>
      </c>
      <c r="C782" s="69">
        <v>5</v>
      </c>
      <c r="D782" s="69">
        <v>16</v>
      </c>
      <c r="E782" s="69">
        <v>32</v>
      </c>
      <c r="F782" s="69">
        <v>55</v>
      </c>
      <c r="G782" s="69">
        <v>85</v>
      </c>
      <c r="H782" s="69">
        <v>13.1</v>
      </c>
      <c r="I782" s="70">
        <v>0.9</v>
      </c>
      <c r="J782" s="70">
        <v>2.2999999999999998</v>
      </c>
      <c r="K782" s="69">
        <v>10.8</v>
      </c>
      <c r="L782" s="69">
        <v>1.4</v>
      </c>
      <c r="M782" s="69" t="s">
        <v>451</v>
      </c>
      <c r="N782" s="69">
        <v>2014</v>
      </c>
      <c r="O782" s="69" t="s">
        <v>71</v>
      </c>
      <c r="P782" s="69">
        <v>250878</v>
      </c>
      <c r="Q782" s="92" t="s">
        <v>1152</v>
      </c>
      <c r="R782" s="92" t="s">
        <v>310</v>
      </c>
      <c r="S782" s="92"/>
    </row>
    <row r="783" spans="1:19" x14ac:dyDescent="0.2">
      <c r="A783" s="92" t="s">
        <v>1012</v>
      </c>
      <c r="B783" s="69">
        <v>11</v>
      </c>
      <c r="C783" s="69">
        <v>-1</v>
      </c>
      <c r="D783" s="69">
        <v>4</v>
      </c>
      <c r="E783" s="69">
        <v>11</v>
      </c>
      <c r="F783" s="69">
        <v>12</v>
      </c>
      <c r="G783" s="69">
        <v>-15</v>
      </c>
      <c r="H783" s="69">
        <v>-3.2</v>
      </c>
      <c r="I783" s="70">
        <v>0.9</v>
      </c>
      <c r="J783" s="70">
        <v>2.29</v>
      </c>
      <c r="K783" s="69">
        <v>14.3</v>
      </c>
      <c r="L783" s="69">
        <v>0.3</v>
      </c>
      <c r="M783" s="69" t="s">
        <v>241</v>
      </c>
      <c r="N783" s="69">
        <v>2013</v>
      </c>
      <c r="O783" s="69" t="s">
        <v>71</v>
      </c>
      <c r="P783" s="69">
        <v>789560</v>
      </c>
      <c r="Q783" s="92" t="s">
        <v>1152</v>
      </c>
      <c r="R783" s="92" t="s">
        <v>379</v>
      </c>
      <c r="S783" s="92"/>
    </row>
    <row r="784" spans="1:19" x14ac:dyDescent="0.2">
      <c r="A784" s="92" t="s">
        <v>1013</v>
      </c>
      <c r="B784" s="69">
        <v>27</v>
      </c>
      <c r="C784" s="69">
        <v>15</v>
      </c>
      <c r="D784" s="69">
        <v>27</v>
      </c>
      <c r="E784" s="69">
        <v>27</v>
      </c>
      <c r="F784" s="69">
        <v>49</v>
      </c>
      <c r="G784" s="69">
        <v>25</v>
      </c>
      <c r="H784" s="69">
        <v>4.5</v>
      </c>
      <c r="I784" s="70">
        <v>0.9</v>
      </c>
      <c r="J784" s="70">
        <v>2.2999999999999998</v>
      </c>
      <c r="K784" s="69">
        <v>14.4</v>
      </c>
      <c r="L784" s="69">
        <v>0.9</v>
      </c>
      <c r="M784" s="69" t="s">
        <v>451</v>
      </c>
      <c r="N784" s="69">
        <v>2013</v>
      </c>
      <c r="O784" s="69" t="s">
        <v>71</v>
      </c>
      <c r="P784" s="69">
        <v>753731</v>
      </c>
      <c r="Q784" s="92" t="s">
        <v>1152</v>
      </c>
      <c r="R784" s="92" t="s">
        <v>449</v>
      </c>
      <c r="S784" s="92"/>
    </row>
    <row r="785" spans="1:19" x14ac:dyDescent="0.2">
      <c r="A785" s="92" t="s">
        <v>1015</v>
      </c>
      <c r="B785" s="69">
        <v>19</v>
      </c>
      <c r="C785" s="69">
        <v>-11</v>
      </c>
      <c r="D785" s="69">
        <v>2</v>
      </c>
      <c r="E785" s="69">
        <v>19</v>
      </c>
      <c r="F785" s="69">
        <v>98</v>
      </c>
      <c r="G785" s="69">
        <v>101</v>
      </c>
      <c r="H785" s="69">
        <v>15</v>
      </c>
      <c r="I785" s="70">
        <v>0.9</v>
      </c>
      <c r="J785" s="70">
        <v>2.29</v>
      </c>
      <c r="K785" s="69">
        <v>14.9</v>
      </c>
      <c r="L785" s="69">
        <v>1.5</v>
      </c>
      <c r="M785" s="69" t="s">
        <v>241</v>
      </c>
      <c r="N785" s="69">
        <v>2009</v>
      </c>
      <c r="O785" s="69" t="s">
        <v>71</v>
      </c>
      <c r="P785" s="69">
        <v>541292</v>
      </c>
      <c r="Q785" s="92" t="s">
        <v>1016</v>
      </c>
      <c r="R785" s="92" t="s">
        <v>379</v>
      </c>
      <c r="S785" s="92"/>
    </row>
    <row r="786" spans="1:19" x14ac:dyDescent="0.2">
      <c r="A786" s="92" t="s">
        <v>1020</v>
      </c>
      <c r="B786" s="69">
        <v>-18</v>
      </c>
      <c r="C786" s="69">
        <v>-21</v>
      </c>
      <c r="D786" s="69">
        <v>-22</v>
      </c>
      <c r="E786" s="69">
        <v>-18</v>
      </c>
      <c r="F786" s="69">
        <v>-28</v>
      </c>
      <c r="G786" s="69"/>
      <c r="H786" s="69"/>
      <c r="I786" s="70">
        <v>0.91</v>
      </c>
      <c r="J786" s="70">
        <v>2.3199999999999998</v>
      </c>
      <c r="K786" s="69">
        <v>16.2</v>
      </c>
      <c r="L786" s="69">
        <v>-0.7</v>
      </c>
      <c r="M786" s="69" t="s">
        <v>170</v>
      </c>
      <c r="N786" s="69">
        <v>2010</v>
      </c>
      <c r="O786" s="69" t="s">
        <v>171</v>
      </c>
      <c r="P786" s="69">
        <v>293498</v>
      </c>
      <c r="Q786" s="92" t="s">
        <v>749</v>
      </c>
      <c r="R786" s="92" t="s">
        <v>310</v>
      </c>
      <c r="S786" s="92"/>
    </row>
    <row r="787" spans="1:19" x14ac:dyDescent="0.2">
      <c r="A787" s="92" t="s">
        <v>1018</v>
      </c>
      <c r="B787" s="69">
        <v>6</v>
      </c>
      <c r="C787" s="69">
        <v>4</v>
      </c>
      <c r="D787" s="69">
        <v>9</v>
      </c>
      <c r="E787" s="69">
        <v>7</v>
      </c>
      <c r="F787" s="69">
        <v>32</v>
      </c>
      <c r="G787" s="69">
        <v>8</v>
      </c>
      <c r="H787" s="69">
        <v>1.6</v>
      </c>
      <c r="I787" s="70">
        <v>0.91</v>
      </c>
      <c r="J787" s="70">
        <v>2.31</v>
      </c>
      <c r="K787" s="69">
        <v>12.1</v>
      </c>
      <c r="L787" s="69">
        <v>0.7</v>
      </c>
      <c r="M787" s="69" t="s">
        <v>451</v>
      </c>
      <c r="N787" s="69">
        <v>2005</v>
      </c>
      <c r="O787" s="69" t="s">
        <v>71</v>
      </c>
      <c r="P787" s="69">
        <v>282699</v>
      </c>
      <c r="Q787" s="92" t="s">
        <v>489</v>
      </c>
      <c r="R787" s="92" t="s">
        <v>239</v>
      </c>
      <c r="S787" s="92"/>
    </row>
    <row r="788" spans="1:19" x14ac:dyDescent="0.2">
      <c r="A788" s="92" t="s">
        <v>1019</v>
      </c>
      <c r="B788" s="69">
        <v>9</v>
      </c>
      <c r="C788" s="69">
        <v>4</v>
      </c>
      <c r="D788" s="69">
        <v>5</v>
      </c>
      <c r="E788" s="69">
        <v>9</v>
      </c>
      <c r="F788" s="69">
        <v>15</v>
      </c>
      <c r="G788" s="69"/>
      <c r="H788" s="69"/>
      <c r="I788" s="70">
        <v>0.91</v>
      </c>
      <c r="J788" s="70">
        <v>2.62</v>
      </c>
      <c r="K788" s="69">
        <v>8</v>
      </c>
      <c r="L788" s="69">
        <v>0.5</v>
      </c>
      <c r="M788" s="69" t="s">
        <v>170</v>
      </c>
      <c r="N788" s="69">
        <v>2011</v>
      </c>
      <c r="O788" s="69" t="s">
        <v>171</v>
      </c>
      <c r="P788" s="69">
        <v>651141</v>
      </c>
      <c r="Q788" s="92" t="s">
        <v>172</v>
      </c>
      <c r="R788" s="92" t="s">
        <v>173</v>
      </c>
      <c r="S788" s="92"/>
    </row>
    <row r="789" spans="1:19" x14ac:dyDescent="0.2">
      <c r="A789" s="92" t="s">
        <v>1024</v>
      </c>
      <c r="B789" s="69">
        <v>8</v>
      </c>
      <c r="C789" s="69">
        <v>2</v>
      </c>
      <c r="D789" s="69">
        <v>0</v>
      </c>
      <c r="E789" s="69">
        <v>8</v>
      </c>
      <c r="F789" s="69">
        <v>19</v>
      </c>
      <c r="G789" s="69"/>
      <c r="H789" s="69"/>
      <c r="I789" s="70">
        <v>0.92</v>
      </c>
      <c r="J789" s="70">
        <v>2.9</v>
      </c>
      <c r="K789" s="69">
        <v>7.9</v>
      </c>
      <c r="L789" s="69">
        <v>0.6</v>
      </c>
      <c r="M789" s="69" t="s">
        <v>170</v>
      </c>
      <c r="N789" s="69">
        <v>2012</v>
      </c>
      <c r="O789" s="69" t="s">
        <v>71</v>
      </c>
      <c r="P789" s="69">
        <v>910455</v>
      </c>
      <c r="Q789" s="92" t="s">
        <v>978</v>
      </c>
      <c r="R789" s="92" t="s">
        <v>173</v>
      </c>
      <c r="S789" s="92"/>
    </row>
    <row r="790" spans="1:19" x14ac:dyDescent="0.2">
      <c r="A790" s="92" t="s">
        <v>1021</v>
      </c>
      <c r="B790" s="69">
        <v>15</v>
      </c>
      <c r="C790" s="69">
        <v>3</v>
      </c>
      <c r="D790" s="69">
        <v>1</v>
      </c>
      <c r="E790" s="69">
        <v>15</v>
      </c>
      <c r="F790" s="69">
        <v>57</v>
      </c>
      <c r="G790" s="69"/>
      <c r="H790" s="69"/>
      <c r="I790" s="70">
        <v>0.92</v>
      </c>
      <c r="J790" s="70">
        <v>2.36</v>
      </c>
      <c r="K790" s="69">
        <v>10.5</v>
      </c>
      <c r="L790" s="69">
        <v>1.4</v>
      </c>
      <c r="M790" s="69" t="s">
        <v>241</v>
      </c>
      <c r="N790" s="69">
        <v>2012</v>
      </c>
      <c r="O790" s="69" t="s">
        <v>71</v>
      </c>
      <c r="P790" s="69">
        <v>666313</v>
      </c>
      <c r="Q790" s="92" t="s">
        <v>1022</v>
      </c>
      <c r="R790" s="92" t="s">
        <v>413</v>
      </c>
      <c r="S790" s="92" t="s">
        <v>189</v>
      </c>
    </row>
    <row r="791" spans="1:19" x14ac:dyDescent="0.2">
      <c r="A791" s="92" t="s">
        <v>1023</v>
      </c>
      <c r="B791" s="69">
        <v>-8</v>
      </c>
      <c r="C791" s="69">
        <v>-11</v>
      </c>
      <c r="D791" s="69">
        <v>-8</v>
      </c>
      <c r="E791" s="69">
        <v>-8</v>
      </c>
      <c r="F791" s="69">
        <v>-1</v>
      </c>
      <c r="G791" s="69"/>
      <c r="H791" s="69"/>
      <c r="I791" s="70">
        <v>0.92</v>
      </c>
      <c r="J791" s="70">
        <v>2.2200000000000002</v>
      </c>
      <c r="K791" s="69">
        <v>7.3</v>
      </c>
      <c r="L791" s="69">
        <v>-0.2</v>
      </c>
      <c r="M791" s="69" t="s">
        <v>170</v>
      </c>
      <c r="N791" s="69">
        <v>2010</v>
      </c>
      <c r="O791" s="69" t="s">
        <v>71</v>
      </c>
      <c r="P791" s="69">
        <v>237008</v>
      </c>
      <c r="Q791" s="92" t="s">
        <v>362</v>
      </c>
      <c r="R791" s="92" t="s">
        <v>212</v>
      </c>
      <c r="S791" s="92"/>
    </row>
    <row r="792" spans="1:19" x14ac:dyDescent="0.2">
      <c r="A792" s="92" t="s">
        <v>1028</v>
      </c>
      <c r="B792" s="69">
        <v>17</v>
      </c>
      <c r="C792" s="69">
        <v>8</v>
      </c>
      <c r="D792" s="69">
        <v>11</v>
      </c>
      <c r="E792" s="69">
        <v>16</v>
      </c>
      <c r="F792" s="69">
        <v>48</v>
      </c>
      <c r="G792" s="69"/>
      <c r="H792" s="69"/>
      <c r="I792" s="70">
        <v>0.93</v>
      </c>
      <c r="J792" s="70">
        <v>2.0699999999999998</v>
      </c>
      <c r="K792" s="69">
        <v>7.4</v>
      </c>
      <c r="L792" s="69">
        <v>1.6</v>
      </c>
      <c r="M792" s="69" t="s">
        <v>170</v>
      </c>
      <c r="N792" s="69">
        <v>2010</v>
      </c>
      <c r="O792" s="69" t="s">
        <v>71</v>
      </c>
      <c r="P792" s="69">
        <v>240663</v>
      </c>
      <c r="Q792" s="92" t="s">
        <v>991</v>
      </c>
      <c r="R792" s="92" t="s">
        <v>173</v>
      </c>
      <c r="S792" s="92"/>
    </row>
    <row r="793" spans="1:19" x14ac:dyDescent="0.2">
      <c r="A793" s="92" t="s">
        <v>1029</v>
      </c>
      <c r="B793" s="69">
        <v>-35</v>
      </c>
      <c r="C793" s="69">
        <v>-26</v>
      </c>
      <c r="D793" s="69">
        <v>-33</v>
      </c>
      <c r="E793" s="69">
        <v>-35</v>
      </c>
      <c r="F793" s="69">
        <v>-27</v>
      </c>
      <c r="G793" s="69">
        <v>-31</v>
      </c>
      <c r="H793" s="69">
        <v>-7.1</v>
      </c>
      <c r="I793" s="70">
        <v>0.93</v>
      </c>
      <c r="J793" s="70">
        <v>2.6</v>
      </c>
      <c r="K793" s="69">
        <v>21.8</v>
      </c>
      <c r="L793" s="69">
        <v>-0.4</v>
      </c>
      <c r="M793" s="69" t="s">
        <v>170</v>
      </c>
      <c r="N793" s="69">
        <v>2004</v>
      </c>
      <c r="O793" s="69" t="s">
        <v>171</v>
      </c>
      <c r="P793" s="69">
        <v>671982</v>
      </c>
      <c r="Q793" s="92" t="s">
        <v>282</v>
      </c>
      <c r="R793" s="92" t="s">
        <v>487</v>
      </c>
      <c r="S793" s="92"/>
    </row>
    <row r="794" spans="1:19" x14ac:dyDescent="0.2">
      <c r="A794" s="92" t="s">
        <v>1027</v>
      </c>
      <c r="B794" s="69">
        <v>4</v>
      </c>
      <c r="C794" s="69">
        <v>-2</v>
      </c>
      <c r="D794" s="69">
        <v>-2</v>
      </c>
      <c r="E794" s="69">
        <v>4</v>
      </c>
      <c r="F794" s="69">
        <v>18</v>
      </c>
      <c r="G794" s="69"/>
      <c r="H794" s="69"/>
      <c r="I794" s="70">
        <v>0.93</v>
      </c>
      <c r="J794" s="70">
        <v>2.68</v>
      </c>
      <c r="K794" s="69">
        <v>10.3</v>
      </c>
      <c r="L794" s="69">
        <v>0.5</v>
      </c>
      <c r="M794" s="69" t="s">
        <v>170</v>
      </c>
      <c r="N794" s="69">
        <v>2011</v>
      </c>
      <c r="O794" s="69" t="s">
        <v>171</v>
      </c>
      <c r="P794" s="69">
        <v>686972</v>
      </c>
      <c r="Q794" s="92" t="s">
        <v>172</v>
      </c>
      <c r="R794" s="92" t="s">
        <v>173</v>
      </c>
      <c r="S794" s="92"/>
    </row>
    <row r="795" spans="1:19" x14ac:dyDescent="0.2">
      <c r="A795" s="92" t="s">
        <v>1025</v>
      </c>
      <c r="B795" s="69">
        <v>29</v>
      </c>
      <c r="C795" s="69">
        <v>12</v>
      </c>
      <c r="D795" s="69">
        <v>13</v>
      </c>
      <c r="E795" s="69">
        <v>25</v>
      </c>
      <c r="F795" s="69">
        <v>22</v>
      </c>
      <c r="G795" s="69">
        <v>2</v>
      </c>
      <c r="H795" s="69">
        <v>0.4</v>
      </c>
      <c r="I795" s="70">
        <v>0.93</v>
      </c>
      <c r="J795" s="70">
        <v>2.4700000000000002</v>
      </c>
      <c r="K795" s="69">
        <v>13.1</v>
      </c>
      <c r="L795" s="69">
        <v>0.5</v>
      </c>
      <c r="M795" s="69" t="s">
        <v>241</v>
      </c>
      <c r="N795" s="69">
        <v>2013</v>
      </c>
      <c r="O795" s="69" t="s">
        <v>71</v>
      </c>
      <c r="P795" s="69">
        <v>844225</v>
      </c>
      <c r="Q795" s="92" t="s">
        <v>1026</v>
      </c>
      <c r="R795" s="92" t="s">
        <v>223</v>
      </c>
      <c r="S795" s="92"/>
    </row>
    <row r="796" spans="1:19" x14ac:dyDescent="0.2">
      <c r="A796" s="92" t="s">
        <v>1032</v>
      </c>
      <c r="B796" s="69">
        <v>11</v>
      </c>
      <c r="C796" s="69">
        <v>8</v>
      </c>
      <c r="D796" s="69">
        <v>8</v>
      </c>
      <c r="E796" s="69">
        <v>11</v>
      </c>
      <c r="F796" s="69">
        <v>30</v>
      </c>
      <c r="G796" s="69">
        <v>16</v>
      </c>
      <c r="H796" s="69">
        <v>3</v>
      </c>
      <c r="I796" s="70">
        <v>0.94</v>
      </c>
      <c r="J796" s="70">
        <v>2.42</v>
      </c>
      <c r="K796" s="69">
        <v>4.8</v>
      </c>
      <c r="L796" s="69">
        <v>1.6</v>
      </c>
      <c r="M796" s="69" t="s">
        <v>170</v>
      </c>
      <c r="N796" s="69">
        <v>2011</v>
      </c>
      <c r="O796" s="69" t="s">
        <v>171</v>
      </c>
      <c r="P796" s="69">
        <v>558239</v>
      </c>
      <c r="Q796" s="92" t="s">
        <v>365</v>
      </c>
      <c r="R796" s="92" t="s">
        <v>173</v>
      </c>
      <c r="S796" s="92"/>
    </row>
    <row r="797" spans="1:19" x14ac:dyDescent="0.2">
      <c r="A797" s="92" t="s">
        <v>1030</v>
      </c>
      <c r="B797" s="69">
        <v>-41</v>
      </c>
      <c r="C797" s="69">
        <v>-31</v>
      </c>
      <c r="D797" s="69">
        <v>-40</v>
      </c>
      <c r="E797" s="69">
        <v>-41</v>
      </c>
      <c r="F797" s="69">
        <v>-41</v>
      </c>
      <c r="G797" s="69">
        <v>-39</v>
      </c>
      <c r="H797" s="69">
        <v>-9.4</v>
      </c>
      <c r="I797" s="70">
        <v>0.94</v>
      </c>
      <c r="J797" s="70">
        <v>2.4</v>
      </c>
      <c r="K797" s="69">
        <v>23.3</v>
      </c>
      <c r="L797" s="69">
        <v>-0.7</v>
      </c>
      <c r="M797" s="69" t="s">
        <v>241</v>
      </c>
      <c r="N797" s="69">
        <v>2012</v>
      </c>
      <c r="O797" s="69" t="s">
        <v>71</v>
      </c>
      <c r="P797" s="69">
        <v>516914</v>
      </c>
      <c r="Q797" s="92" t="s">
        <v>1002</v>
      </c>
      <c r="R797" s="92" t="s">
        <v>487</v>
      </c>
      <c r="S797" s="92"/>
    </row>
    <row r="798" spans="1:19" x14ac:dyDescent="0.2">
      <c r="A798" s="92" t="s">
        <v>1033</v>
      </c>
      <c r="B798" s="69">
        <v>11</v>
      </c>
      <c r="C798" s="69">
        <v>4</v>
      </c>
      <c r="D798" s="69">
        <v>0</v>
      </c>
      <c r="E798" s="69">
        <v>11</v>
      </c>
      <c r="F798" s="69">
        <v>66</v>
      </c>
      <c r="G798" s="69">
        <v>71</v>
      </c>
      <c r="H798" s="69">
        <v>11.3</v>
      </c>
      <c r="I798" s="70">
        <v>0.94</v>
      </c>
      <c r="J798" s="70">
        <v>2.42</v>
      </c>
      <c r="K798" s="69">
        <v>8.4</v>
      </c>
      <c r="L798" s="69">
        <v>1.9</v>
      </c>
      <c r="M798" s="69" t="s">
        <v>241</v>
      </c>
      <c r="N798" s="69">
        <v>2007</v>
      </c>
      <c r="O798" s="69" t="s">
        <v>71</v>
      </c>
      <c r="P798" s="69">
        <v>299636</v>
      </c>
      <c r="Q798" s="92" t="s">
        <v>497</v>
      </c>
      <c r="R798" s="92" t="s">
        <v>212</v>
      </c>
      <c r="S798" s="92"/>
    </row>
    <row r="799" spans="1:19" x14ac:dyDescent="0.2">
      <c r="A799" s="92" t="s">
        <v>1034</v>
      </c>
      <c r="B799" s="69">
        <v>14</v>
      </c>
      <c r="C799" s="69">
        <v>0</v>
      </c>
      <c r="D799" s="69">
        <v>5</v>
      </c>
      <c r="E799" s="69">
        <v>14</v>
      </c>
      <c r="F799" s="69"/>
      <c r="G799" s="69"/>
      <c r="H799" s="69"/>
      <c r="I799" s="70">
        <v>0.94</v>
      </c>
      <c r="J799" s="70">
        <v>2.42</v>
      </c>
      <c r="K799" s="69"/>
      <c r="L799" s="69"/>
      <c r="M799" s="69" t="s">
        <v>241</v>
      </c>
      <c r="N799" s="69">
        <v>2013</v>
      </c>
      <c r="O799" s="69" t="s">
        <v>71</v>
      </c>
      <c r="P799" s="69">
        <v>401513</v>
      </c>
      <c r="Q799" s="92" t="s">
        <v>497</v>
      </c>
      <c r="R799" s="92" t="s">
        <v>379</v>
      </c>
      <c r="S799" s="92" t="s">
        <v>189</v>
      </c>
    </row>
    <row r="800" spans="1:19" x14ac:dyDescent="0.2">
      <c r="A800" s="92" t="s">
        <v>1031</v>
      </c>
      <c r="B800" s="69">
        <v>23</v>
      </c>
      <c r="C800" s="69">
        <v>9</v>
      </c>
      <c r="D800" s="69">
        <v>14</v>
      </c>
      <c r="E800" s="69">
        <v>23</v>
      </c>
      <c r="F800" s="69">
        <v>54</v>
      </c>
      <c r="G800" s="69">
        <v>24</v>
      </c>
      <c r="H800" s="69">
        <v>4.4000000000000004</v>
      </c>
      <c r="I800" s="70">
        <v>0.94</v>
      </c>
      <c r="J800" s="70">
        <v>2.42</v>
      </c>
      <c r="K800" s="69">
        <v>10.1</v>
      </c>
      <c r="L800" s="69">
        <v>1.4</v>
      </c>
      <c r="M800" s="69" t="s">
        <v>451</v>
      </c>
      <c r="N800" s="69">
        <v>2005</v>
      </c>
      <c r="O800" s="69" t="s">
        <v>71</v>
      </c>
      <c r="P800" s="69">
        <v>246868</v>
      </c>
      <c r="Q800" s="92" t="s">
        <v>489</v>
      </c>
      <c r="R800" s="92" t="s">
        <v>449</v>
      </c>
      <c r="S800" s="92"/>
    </row>
    <row r="801" spans="1:19" x14ac:dyDescent="0.2">
      <c r="A801" s="92" t="s">
        <v>1035</v>
      </c>
      <c r="B801" s="69">
        <v>11</v>
      </c>
      <c r="C801" s="69">
        <v>3</v>
      </c>
      <c r="D801" s="69">
        <v>4</v>
      </c>
      <c r="E801" s="69">
        <v>11</v>
      </c>
      <c r="F801" s="69">
        <v>20</v>
      </c>
      <c r="G801" s="69">
        <v>2</v>
      </c>
      <c r="H801" s="69">
        <v>0.4</v>
      </c>
      <c r="I801" s="70">
        <v>0.96</v>
      </c>
      <c r="J801" s="70">
        <v>2.6</v>
      </c>
      <c r="K801" s="69">
        <v>9.1999999999999993</v>
      </c>
      <c r="L801" s="69">
        <v>0.6</v>
      </c>
      <c r="M801" s="69" t="s">
        <v>170</v>
      </c>
      <c r="N801" s="69">
        <v>2012</v>
      </c>
      <c r="O801" s="69" t="s">
        <v>171</v>
      </c>
      <c r="P801" s="69">
        <v>367516</v>
      </c>
      <c r="Q801" s="92" t="s">
        <v>365</v>
      </c>
      <c r="R801" s="92" t="s">
        <v>379</v>
      </c>
      <c r="S801" s="92"/>
    </row>
    <row r="802" spans="1:19" x14ac:dyDescent="0.2">
      <c r="A802" s="92" t="s">
        <v>1036</v>
      </c>
      <c r="B802" s="69">
        <v>14</v>
      </c>
      <c r="C802" s="69">
        <v>3</v>
      </c>
      <c r="D802" s="69">
        <v>9</v>
      </c>
      <c r="E802" s="69">
        <v>14</v>
      </c>
      <c r="F802" s="69">
        <v>36</v>
      </c>
      <c r="G802" s="69">
        <v>16</v>
      </c>
      <c r="H802" s="69">
        <v>3</v>
      </c>
      <c r="I802" s="70">
        <v>0.96</v>
      </c>
      <c r="J802" s="70">
        <v>2.46</v>
      </c>
      <c r="K802" s="69">
        <v>12</v>
      </c>
      <c r="L802" s="69">
        <v>0.8</v>
      </c>
      <c r="M802" s="69" t="s">
        <v>681</v>
      </c>
      <c r="N802" s="69">
        <v>2011</v>
      </c>
      <c r="O802" s="69" t="s">
        <v>71</v>
      </c>
      <c r="P802" s="69">
        <v>908038</v>
      </c>
      <c r="Q802" s="92" t="s">
        <v>981</v>
      </c>
      <c r="R802" s="92" t="s">
        <v>239</v>
      </c>
      <c r="S802" s="92"/>
    </row>
    <row r="803" spans="1:19" x14ac:dyDescent="0.2">
      <c r="A803" s="92" t="s">
        <v>1037</v>
      </c>
      <c r="B803" s="69">
        <v>51</v>
      </c>
      <c r="C803" s="69">
        <v>20</v>
      </c>
      <c r="D803" s="69">
        <v>15</v>
      </c>
      <c r="E803" s="69">
        <v>47</v>
      </c>
      <c r="F803" s="69">
        <v>60</v>
      </c>
      <c r="G803" s="69">
        <v>16</v>
      </c>
      <c r="H803" s="69">
        <v>3</v>
      </c>
      <c r="I803" s="70">
        <v>0.97</v>
      </c>
      <c r="J803" s="70">
        <v>2.4900000000000002</v>
      </c>
      <c r="K803" s="69">
        <v>27.8</v>
      </c>
      <c r="L803" s="69">
        <v>0.7</v>
      </c>
      <c r="M803" s="69" t="s">
        <v>241</v>
      </c>
      <c r="N803" s="69">
        <v>2013</v>
      </c>
      <c r="O803" s="69" t="s">
        <v>71</v>
      </c>
      <c r="P803" s="69">
        <v>127621</v>
      </c>
      <c r="Q803" s="92" t="s">
        <v>1026</v>
      </c>
      <c r="R803" s="92" t="s">
        <v>383</v>
      </c>
      <c r="S803" s="92"/>
    </row>
    <row r="804" spans="1:19" x14ac:dyDescent="0.2">
      <c r="A804" s="92" t="s">
        <v>1041</v>
      </c>
      <c r="B804" s="69">
        <v>3</v>
      </c>
      <c r="C804" s="69">
        <v>-2</v>
      </c>
      <c r="D804" s="69">
        <v>0</v>
      </c>
      <c r="E804" s="69">
        <v>3</v>
      </c>
      <c r="F804" s="69">
        <v>35</v>
      </c>
      <c r="G804" s="69">
        <v>-4</v>
      </c>
      <c r="H804" s="69">
        <v>-0.7</v>
      </c>
      <c r="I804" s="70">
        <v>0.97</v>
      </c>
      <c r="J804" s="70">
        <v>2.48</v>
      </c>
      <c r="K804" s="69">
        <v>14.8</v>
      </c>
      <c r="L804" s="69">
        <v>0.7</v>
      </c>
      <c r="M804" s="69" t="s">
        <v>241</v>
      </c>
      <c r="N804" s="69">
        <v>2004</v>
      </c>
      <c r="O804" s="69" t="s">
        <v>71</v>
      </c>
      <c r="P804" s="69">
        <v>288183</v>
      </c>
      <c r="Q804" s="92" t="s">
        <v>695</v>
      </c>
      <c r="R804" s="92" t="s">
        <v>413</v>
      </c>
      <c r="S804" s="92"/>
    </row>
    <row r="805" spans="1:19" x14ac:dyDescent="0.2">
      <c r="A805" s="92" t="s">
        <v>1038</v>
      </c>
      <c r="B805" s="69">
        <v>6</v>
      </c>
      <c r="C805" s="69">
        <v>9</v>
      </c>
      <c r="D805" s="69">
        <v>5</v>
      </c>
      <c r="E805" s="69">
        <v>6</v>
      </c>
      <c r="F805" s="69">
        <v>41</v>
      </c>
      <c r="G805" s="69">
        <v>38</v>
      </c>
      <c r="H805" s="69">
        <v>6.7</v>
      </c>
      <c r="I805" s="70">
        <v>0.97</v>
      </c>
      <c r="J805" s="70">
        <v>2.48</v>
      </c>
      <c r="K805" s="69">
        <v>7.7</v>
      </c>
      <c r="L805" s="69">
        <v>1.4</v>
      </c>
      <c r="M805" s="69" t="s">
        <v>241</v>
      </c>
      <c r="N805" s="69">
        <v>2001</v>
      </c>
      <c r="O805" s="69" t="s">
        <v>71</v>
      </c>
      <c r="P805" s="69">
        <v>309492</v>
      </c>
      <c r="Q805" s="92" t="s">
        <v>1039</v>
      </c>
      <c r="R805" s="92" t="s">
        <v>260</v>
      </c>
      <c r="S805" s="92" t="s">
        <v>189</v>
      </c>
    </row>
    <row r="806" spans="1:19" x14ac:dyDescent="0.2">
      <c r="A806" s="92" t="s">
        <v>1040</v>
      </c>
      <c r="B806" s="69">
        <v>5</v>
      </c>
      <c r="C806" s="69">
        <v>2</v>
      </c>
      <c r="D806" s="69">
        <v>0</v>
      </c>
      <c r="E806" s="69">
        <v>5</v>
      </c>
      <c r="F806" s="69"/>
      <c r="G806" s="69"/>
      <c r="H806" s="69"/>
      <c r="I806" s="70">
        <v>0.97</v>
      </c>
      <c r="J806" s="70">
        <v>2.5</v>
      </c>
      <c r="K806" s="69"/>
      <c r="L806" s="69"/>
      <c r="M806" s="69" t="s">
        <v>170</v>
      </c>
      <c r="N806" s="69">
        <v>2012</v>
      </c>
      <c r="O806" s="69" t="s">
        <v>171</v>
      </c>
      <c r="P806" s="69">
        <v>156315</v>
      </c>
      <c r="Q806" s="92" t="s">
        <v>661</v>
      </c>
      <c r="R806" s="92" t="s">
        <v>173</v>
      </c>
      <c r="S806" s="92"/>
    </row>
    <row r="807" spans="1:19" x14ac:dyDescent="0.2">
      <c r="A807" s="92" t="s">
        <v>1042</v>
      </c>
      <c r="B807" s="69">
        <v>-43</v>
      </c>
      <c r="C807" s="69">
        <v>-32</v>
      </c>
      <c r="D807" s="69">
        <v>-38</v>
      </c>
      <c r="E807" s="69">
        <v>-43</v>
      </c>
      <c r="F807" s="69">
        <v>-41</v>
      </c>
      <c r="G807" s="69">
        <v>-49</v>
      </c>
      <c r="H807" s="69">
        <v>-12.6</v>
      </c>
      <c r="I807" s="70">
        <v>0.98</v>
      </c>
      <c r="J807" s="70">
        <v>3</v>
      </c>
      <c r="K807" s="69">
        <v>24.5</v>
      </c>
      <c r="L807" s="69">
        <v>-0.6</v>
      </c>
      <c r="M807" s="69" t="s">
        <v>241</v>
      </c>
      <c r="N807" s="69">
        <v>2004</v>
      </c>
      <c r="O807" s="69" t="s">
        <v>71</v>
      </c>
      <c r="P807" s="69">
        <v>889386</v>
      </c>
      <c r="Q807" s="92" t="s">
        <v>235</v>
      </c>
      <c r="R807" s="92" t="s">
        <v>487</v>
      </c>
      <c r="S807" s="92"/>
    </row>
    <row r="808" spans="1:19" x14ac:dyDescent="0.2">
      <c r="A808" s="92" t="s">
        <v>1043</v>
      </c>
      <c r="B808" s="69">
        <v>30</v>
      </c>
      <c r="C808" s="69">
        <v>1</v>
      </c>
      <c r="D808" s="69">
        <v>8</v>
      </c>
      <c r="E808" s="69">
        <v>30</v>
      </c>
      <c r="F808" s="69"/>
      <c r="G808" s="69"/>
      <c r="H808" s="69"/>
      <c r="I808" s="70">
        <v>0.98</v>
      </c>
      <c r="J808" s="70">
        <v>2.52</v>
      </c>
      <c r="K808" s="69"/>
      <c r="L808" s="69"/>
      <c r="M808" s="69" t="s">
        <v>170</v>
      </c>
      <c r="N808" s="69">
        <v>2013</v>
      </c>
      <c r="O808" s="69" t="s">
        <v>171</v>
      </c>
      <c r="P808" s="69">
        <v>861229</v>
      </c>
      <c r="Q808" s="92" t="s">
        <v>1044</v>
      </c>
      <c r="R808" s="92" t="s">
        <v>379</v>
      </c>
      <c r="S808" s="92"/>
    </row>
    <row r="809" spans="1:19" x14ac:dyDescent="0.2">
      <c r="A809" s="92" t="s">
        <v>1045</v>
      </c>
      <c r="B809" s="69">
        <v>61</v>
      </c>
      <c r="C809" s="69">
        <v>19</v>
      </c>
      <c r="D809" s="69">
        <v>22</v>
      </c>
      <c r="E809" s="69">
        <v>61</v>
      </c>
      <c r="F809" s="69">
        <v>208</v>
      </c>
      <c r="G809" s="69"/>
      <c r="H809" s="69"/>
      <c r="I809" s="70">
        <v>0.99</v>
      </c>
      <c r="J809" s="70">
        <v>2.54</v>
      </c>
      <c r="K809" s="69">
        <v>19.3</v>
      </c>
      <c r="L809" s="69">
        <v>2</v>
      </c>
      <c r="M809" s="69" t="s">
        <v>170</v>
      </c>
      <c r="N809" s="69">
        <v>2011</v>
      </c>
      <c r="O809" s="69" t="s">
        <v>171</v>
      </c>
      <c r="P809" s="69">
        <v>705806</v>
      </c>
      <c r="Q809" s="92" t="s">
        <v>1044</v>
      </c>
      <c r="R809" s="92" t="s">
        <v>383</v>
      </c>
      <c r="S809" s="92"/>
    </row>
    <row r="810" spans="1:19" x14ac:dyDescent="0.2">
      <c r="A810" s="92" t="s">
        <v>1046</v>
      </c>
      <c r="B810" s="69"/>
      <c r="C810" s="69">
        <v>-4</v>
      </c>
      <c r="D810" s="69">
        <v>9</v>
      </c>
      <c r="E810" s="69"/>
      <c r="F810" s="69"/>
      <c r="G810" s="69"/>
      <c r="H810" s="69"/>
      <c r="I810" s="70">
        <v>0.99</v>
      </c>
      <c r="J810" s="70">
        <v>2.56</v>
      </c>
      <c r="K810" s="69"/>
      <c r="L810" s="69"/>
      <c r="M810" s="69" t="s">
        <v>170</v>
      </c>
      <c r="N810" s="69">
        <v>2014</v>
      </c>
      <c r="O810" s="69" t="s">
        <v>171</v>
      </c>
      <c r="P810" s="69">
        <v>762823</v>
      </c>
      <c r="Q810" s="92" t="s">
        <v>1044</v>
      </c>
      <c r="R810" s="92" t="s">
        <v>383</v>
      </c>
      <c r="S810" s="92"/>
    </row>
    <row r="811" spans="1:19" x14ac:dyDescent="0.2">
      <c r="A811" s="92" t="s">
        <v>1144</v>
      </c>
      <c r="B811" s="69">
        <v>-4</v>
      </c>
      <c r="C811" s="69">
        <v>-1</v>
      </c>
      <c r="D811" s="69">
        <v>-5</v>
      </c>
      <c r="E811" s="69">
        <v>-3</v>
      </c>
      <c r="F811" s="69">
        <v>5</v>
      </c>
      <c r="G811" s="69"/>
      <c r="H811" s="69"/>
      <c r="I811" s="70">
        <v>0.99</v>
      </c>
      <c r="J811" s="70">
        <v>2.54</v>
      </c>
      <c r="K811" s="69">
        <v>7.4</v>
      </c>
      <c r="L811" s="69">
        <v>0.3</v>
      </c>
      <c r="M811" s="69" t="s">
        <v>170</v>
      </c>
      <c r="N811" s="69">
        <v>2014</v>
      </c>
      <c r="O811" s="69" t="s">
        <v>71</v>
      </c>
      <c r="P811" s="69">
        <v>320705</v>
      </c>
      <c r="Q811" s="92" t="s">
        <v>362</v>
      </c>
      <c r="R811" s="92" t="s">
        <v>413</v>
      </c>
      <c r="S811" s="92"/>
    </row>
    <row r="812" spans="1:19" x14ac:dyDescent="0.2">
      <c r="A812" s="92" t="s">
        <v>1047</v>
      </c>
      <c r="B812" s="69">
        <v>25</v>
      </c>
      <c r="C812" s="69">
        <v>3</v>
      </c>
      <c r="D812" s="69">
        <v>3</v>
      </c>
      <c r="E812" s="69">
        <v>25</v>
      </c>
      <c r="F812" s="69">
        <v>49</v>
      </c>
      <c r="G812" s="69">
        <v>-8</v>
      </c>
      <c r="H812" s="69">
        <v>-1.7</v>
      </c>
      <c r="I812" s="70">
        <v>0.99</v>
      </c>
      <c r="J812" s="70">
        <v>2.5499999999999998</v>
      </c>
      <c r="K812" s="69">
        <v>14.8</v>
      </c>
      <c r="L812" s="69">
        <v>0.9</v>
      </c>
      <c r="M812" s="69" t="s">
        <v>170</v>
      </c>
      <c r="N812" s="69">
        <v>2003</v>
      </c>
      <c r="O812" s="69" t="s">
        <v>171</v>
      </c>
      <c r="P812" s="69">
        <v>534156</v>
      </c>
      <c r="Q812" s="92" t="s">
        <v>749</v>
      </c>
      <c r="R812" s="92" t="s">
        <v>413</v>
      </c>
      <c r="S812" s="92"/>
    </row>
    <row r="813" spans="1:19" x14ac:dyDescent="0.2">
      <c r="A813" s="92" t="s">
        <v>1049</v>
      </c>
      <c r="B813" s="69">
        <v>19</v>
      </c>
      <c r="C813" s="69">
        <v>6</v>
      </c>
      <c r="D813" s="69">
        <v>7</v>
      </c>
      <c r="E813" s="69">
        <v>19</v>
      </c>
      <c r="F813" s="69">
        <v>68</v>
      </c>
      <c r="G813" s="69">
        <v>66</v>
      </c>
      <c r="H813" s="69">
        <v>10.7</v>
      </c>
      <c r="I813" s="70">
        <v>0.99</v>
      </c>
      <c r="J813" s="70">
        <v>2.54</v>
      </c>
      <c r="K813" s="69">
        <v>6.7</v>
      </c>
      <c r="L813" s="69">
        <v>2.5</v>
      </c>
      <c r="M813" s="69" t="s">
        <v>241</v>
      </c>
      <c r="N813" s="69">
        <v>2012</v>
      </c>
      <c r="O813" s="69" t="s">
        <v>71</v>
      </c>
      <c r="P813" s="69">
        <v>681486</v>
      </c>
      <c r="Q813" s="92" t="s">
        <v>981</v>
      </c>
      <c r="R813" s="92" t="s">
        <v>260</v>
      </c>
      <c r="S813" s="92"/>
    </row>
    <row r="814" spans="1:19" x14ac:dyDescent="0.2">
      <c r="A814" s="92" t="s">
        <v>1048</v>
      </c>
      <c r="B814" s="69">
        <v>-4</v>
      </c>
      <c r="C814" s="69">
        <v>-6</v>
      </c>
      <c r="D814" s="69">
        <v>-7</v>
      </c>
      <c r="E814" s="69">
        <v>-2</v>
      </c>
      <c r="F814" s="69">
        <v>16</v>
      </c>
      <c r="G814" s="69"/>
      <c r="H814" s="69"/>
      <c r="I814" s="70">
        <v>0.99</v>
      </c>
      <c r="J814" s="70">
        <v>2.54</v>
      </c>
      <c r="K814" s="69">
        <v>8.4</v>
      </c>
      <c r="L814" s="69">
        <v>0.4</v>
      </c>
      <c r="M814" s="69" t="s">
        <v>170</v>
      </c>
      <c r="N814" s="69">
        <v>2012</v>
      </c>
      <c r="O814" s="69" t="s">
        <v>71</v>
      </c>
      <c r="P814" s="69">
        <v>900712</v>
      </c>
      <c r="Q814" s="92" t="s">
        <v>746</v>
      </c>
      <c r="R814" s="92" t="s">
        <v>212</v>
      </c>
      <c r="S814" s="92"/>
    </row>
    <row r="815" spans="1:19" x14ac:dyDescent="0.2">
      <c r="A815" s="92" t="s">
        <v>1050</v>
      </c>
      <c r="B815" s="69">
        <v>10</v>
      </c>
      <c r="C815" s="69">
        <v>15</v>
      </c>
      <c r="D815" s="69">
        <v>12</v>
      </c>
      <c r="E815" s="69">
        <v>10</v>
      </c>
      <c r="F815" s="69">
        <v>42</v>
      </c>
      <c r="G815" s="69">
        <v>-10</v>
      </c>
      <c r="H815" s="69">
        <v>-2.2000000000000002</v>
      </c>
      <c r="I815" s="70">
        <v>1</v>
      </c>
      <c r="J815" s="70">
        <v>2.59</v>
      </c>
      <c r="K815" s="69">
        <v>14.2</v>
      </c>
      <c r="L815" s="69">
        <v>0.8</v>
      </c>
      <c r="M815" s="69" t="s">
        <v>241</v>
      </c>
      <c r="N815" s="69">
        <v>2010</v>
      </c>
      <c r="O815" s="69" t="s">
        <v>71</v>
      </c>
      <c r="P815" s="69">
        <v>717371</v>
      </c>
      <c r="Q815" s="92" t="s">
        <v>1002</v>
      </c>
      <c r="R815" s="92" t="s">
        <v>413</v>
      </c>
      <c r="S815" s="92"/>
    </row>
    <row r="816" spans="1:19" x14ac:dyDescent="0.2">
      <c r="A816" s="92" t="s">
        <v>1052</v>
      </c>
      <c r="B816" s="69">
        <v>21</v>
      </c>
      <c r="C816" s="69">
        <v>8</v>
      </c>
      <c r="D816" s="69">
        <v>10</v>
      </c>
      <c r="E816" s="69">
        <v>21</v>
      </c>
      <c r="F816" s="69">
        <v>50</v>
      </c>
      <c r="G816" s="69"/>
      <c r="H816" s="69"/>
      <c r="I816" s="70">
        <v>1</v>
      </c>
      <c r="J816" s="70">
        <v>2.57</v>
      </c>
      <c r="K816" s="69">
        <v>7.1</v>
      </c>
      <c r="L816" s="69">
        <v>1.7</v>
      </c>
      <c r="M816" s="69" t="s">
        <v>170</v>
      </c>
      <c r="N816" s="69">
        <v>2010</v>
      </c>
      <c r="O816" s="69" t="s">
        <v>171</v>
      </c>
      <c r="P816" s="69">
        <v>993097</v>
      </c>
      <c r="Q816" s="92" t="s">
        <v>749</v>
      </c>
      <c r="R816" s="92" t="s">
        <v>212</v>
      </c>
      <c r="S816" s="92"/>
    </row>
    <row r="817" spans="1:19" x14ac:dyDescent="0.2">
      <c r="A817" s="92" t="s">
        <v>1051</v>
      </c>
      <c r="B817" s="69">
        <v>-8</v>
      </c>
      <c r="C817" s="69">
        <v>-18</v>
      </c>
      <c r="D817" s="69">
        <v>-22</v>
      </c>
      <c r="E817" s="69">
        <v>-8</v>
      </c>
      <c r="F817" s="69"/>
      <c r="G817" s="69"/>
      <c r="H817" s="69"/>
      <c r="I817" s="70">
        <v>1</v>
      </c>
      <c r="J817" s="70">
        <v>2.57</v>
      </c>
      <c r="K817" s="69"/>
      <c r="L817" s="69"/>
      <c r="M817" s="69" t="s">
        <v>170</v>
      </c>
      <c r="N817" s="69">
        <v>2012</v>
      </c>
      <c r="O817" s="69" t="s">
        <v>171</v>
      </c>
      <c r="P817" s="69">
        <v>312850</v>
      </c>
      <c r="Q817" s="92" t="s">
        <v>749</v>
      </c>
      <c r="R817" s="92" t="s">
        <v>370</v>
      </c>
      <c r="S817" s="92"/>
    </row>
    <row r="818" spans="1:19" x14ac:dyDescent="0.2">
      <c r="A818" s="92" t="s">
        <v>1055</v>
      </c>
      <c r="B818" s="69">
        <v>20</v>
      </c>
      <c r="C818" s="69">
        <v>13</v>
      </c>
      <c r="D818" s="69">
        <v>18</v>
      </c>
      <c r="E818" s="69">
        <v>20</v>
      </c>
      <c r="F818" s="69"/>
      <c r="G818" s="69"/>
      <c r="H818" s="69"/>
      <c r="I818" s="70">
        <v>1.01</v>
      </c>
      <c r="J818" s="70">
        <v>2.61</v>
      </c>
      <c r="K818" s="69"/>
      <c r="L818" s="69"/>
      <c r="M818" s="69" t="s">
        <v>170</v>
      </c>
      <c r="N818" s="69">
        <v>2013</v>
      </c>
      <c r="O818" s="69" t="s">
        <v>171</v>
      </c>
      <c r="P818" s="69">
        <v>640169</v>
      </c>
      <c r="Q818" s="92" t="s">
        <v>1044</v>
      </c>
      <c r="R818" s="92" t="s">
        <v>310</v>
      </c>
      <c r="S818" s="92"/>
    </row>
    <row r="819" spans="1:19" x14ac:dyDescent="0.2">
      <c r="A819" s="92" t="s">
        <v>1053</v>
      </c>
      <c r="B819" s="69">
        <v>10</v>
      </c>
      <c r="C819" s="69">
        <v>3</v>
      </c>
      <c r="D819" s="69">
        <v>5</v>
      </c>
      <c r="E819" s="69">
        <v>10</v>
      </c>
      <c r="F819" s="69"/>
      <c r="G819" s="69"/>
      <c r="H819" s="69"/>
      <c r="I819" s="70">
        <v>1.01</v>
      </c>
      <c r="J819" s="70">
        <v>2.63</v>
      </c>
      <c r="K819" s="69"/>
      <c r="L819" s="69"/>
      <c r="M819" s="69" t="s">
        <v>170</v>
      </c>
      <c r="N819" s="69">
        <v>2013</v>
      </c>
      <c r="O819" s="69" t="s">
        <v>171</v>
      </c>
      <c r="P819" s="69">
        <v>195628</v>
      </c>
      <c r="Q819" s="92" t="s">
        <v>1054</v>
      </c>
      <c r="R819" s="92" t="s">
        <v>173</v>
      </c>
      <c r="S819" s="92"/>
    </row>
    <row r="820" spans="1:19" x14ac:dyDescent="0.2">
      <c r="A820" s="92" t="s">
        <v>1056</v>
      </c>
      <c r="B820" s="69">
        <v>28</v>
      </c>
      <c r="C820" s="69">
        <v>11</v>
      </c>
      <c r="D820" s="69">
        <v>20</v>
      </c>
      <c r="E820" s="69">
        <v>27</v>
      </c>
      <c r="F820" s="69">
        <v>86</v>
      </c>
      <c r="G820" s="69">
        <v>97</v>
      </c>
      <c r="H820" s="69">
        <v>14.5</v>
      </c>
      <c r="I820" s="70">
        <v>1.01</v>
      </c>
      <c r="J820" s="70">
        <v>2.67</v>
      </c>
      <c r="K820" s="69">
        <v>8.5</v>
      </c>
      <c r="L820" s="69">
        <v>2.2999999999999998</v>
      </c>
      <c r="M820" s="69" t="s">
        <v>451</v>
      </c>
      <c r="N820" s="69">
        <v>2000</v>
      </c>
      <c r="O820" s="69" t="s">
        <v>71</v>
      </c>
      <c r="P820" s="69">
        <v>296749</v>
      </c>
      <c r="Q820" s="92" t="s">
        <v>454</v>
      </c>
      <c r="R820" s="92" t="s">
        <v>315</v>
      </c>
      <c r="S820" s="92"/>
    </row>
    <row r="821" spans="1:19" x14ac:dyDescent="0.2">
      <c r="A821" s="92" t="s">
        <v>1062</v>
      </c>
      <c r="B821" s="69">
        <v>19</v>
      </c>
      <c r="C821" s="69">
        <v>6</v>
      </c>
      <c r="D821" s="69">
        <v>7</v>
      </c>
      <c r="E821" s="69">
        <v>19</v>
      </c>
      <c r="F821" s="69">
        <v>55</v>
      </c>
      <c r="G821" s="69">
        <v>5</v>
      </c>
      <c r="H821" s="69">
        <v>1</v>
      </c>
      <c r="I821" s="70">
        <v>1.02</v>
      </c>
      <c r="J821" s="70">
        <v>2.7</v>
      </c>
      <c r="K821" s="69">
        <v>9</v>
      </c>
      <c r="L821" s="69">
        <v>1.5</v>
      </c>
      <c r="M821" s="69" t="s">
        <v>451</v>
      </c>
      <c r="N821" s="69">
        <v>2007</v>
      </c>
      <c r="O821" s="69" t="s">
        <v>71</v>
      </c>
      <c r="P821" s="69">
        <v>887497</v>
      </c>
      <c r="Q821" s="92" t="s">
        <v>454</v>
      </c>
      <c r="R821" s="92" t="s">
        <v>370</v>
      </c>
      <c r="S821" s="92" t="s">
        <v>189</v>
      </c>
    </row>
    <row r="822" spans="1:19" x14ac:dyDescent="0.2">
      <c r="A822" s="92" t="s">
        <v>1061</v>
      </c>
      <c r="B822" s="69">
        <v>51</v>
      </c>
      <c r="C822" s="69">
        <v>21</v>
      </c>
      <c r="D822" s="69">
        <v>35</v>
      </c>
      <c r="E822" s="69">
        <v>51</v>
      </c>
      <c r="F822" s="69">
        <v>177</v>
      </c>
      <c r="G822" s="69">
        <v>155</v>
      </c>
      <c r="H822" s="69">
        <v>20.6</v>
      </c>
      <c r="I822" s="70">
        <v>1.02</v>
      </c>
      <c r="J822" s="70">
        <v>2.69</v>
      </c>
      <c r="K822" s="69">
        <v>18.100000000000001</v>
      </c>
      <c r="L822" s="69">
        <v>1.9</v>
      </c>
      <c r="M822" s="69" t="s">
        <v>451</v>
      </c>
      <c r="N822" s="69">
        <v>2000</v>
      </c>
      <c r="O822" s="69" t="s">
        <v>71</v>
      </c>
      <c r="P822" s="69">
        <v>260919</v>
      </c>
      <c r="Q822" s="92" t="s">
        <v>454</v>
      </c>
      <c r="R822" s="92" t="s">
        <v>820</v>
      </c>
      <c r="S822" s="92"/>
    </row>
    <row r="823" spans="1:19" x14ac:dyDescent="0.2">
      <c r="A823" s="92" t="s">
        <v>1058</v>
      </c>
      <c r="B823" s="69">
        <v>31</v>
      </c>
      <c r="C823" s="69">
        <v>10</v>
      </c>
      <c r="D823" s="69">
        <v>19</v>
      </c>
      <c r="E823" s="69">
        <v>31</v>
      </c>
      <c r="F823" s="69">
        <v>86</v>
      </c>
      <c r="G823" s="69">
        <v>93</v>
      </c>
      <c r="H823" s="69">
        <v>14</v>
      </c>
      <c r="I823" s="70">
        <v>1.02</v>
      </c>
      <c r="J823" s="70">
        <v>2.64</v>
      </c>
      <c r="K823" s="69">
        <v>7.2</v>
      </c>
      <c r="L823" s="69">
        <v>2.7</v>
      </c>
      <c r="M823" s="69" t="s">
        <v>451</v>
      </c>
      <c r="N823" s="69">
        <v>2011</v>
      </c>
      <c r="O823" s="69" t="s">
        <v>71</v>
      </c>
      <c r="P823" s="69">
        <v>836379</v>
      </c>
      <c r="Q823" s="92" t="s">
        <v>981</v>
      </c>
      <c r="R823" s="92" t="s">
        <v>245</v>
      </c>
      <c r="S823" s="92"/>
    </row>
    <row r="824" spans="1:19" x14ac:dyDescent="0.2">
      <c r="A824" s="92" t="s">
        <v>1060</v>
      </c>
      <c r="B824" s="69">
        <v>41</v>
      </c>
      <c r="C824" s="69">
        <v>15</v>
      </c>
      <c r="D824" s="69">
        <v>26</v>
      </c>
      <c r="E824" s="69">
        <v>41</v>
      </c>
      <c r="F824" s="69">
        <v>105</v>
      </c>
      <c r="G824" s="69">
        <v>109</v>
      </c>
      <c r="H824" s="69">
        <v>15.9</v>
      </c>
      <c r="I824" s="70">
        <v>1.02</v>
      </c>
      <c r="J824" s="70">
        <v>2.64</v>
      </c>
      <c r="K824" s="69">
        <v>7.5</v>
      </c>
      <c r="L824" s="69">
        <v>3.1</v>
      </c>
      <c r="M824" s="69" t="s">
        <v>241</v>
      </c>
      <c r="N824" s="69">
        <v>2012</v>
      </c>
      <c r="O824" s="69" t="s">
        <v>71</v>
      </c>
      <c r="P824" s="69">
        <v>866715</v>
      </c>
      <c r="Q824" s="92" t="s">
        <v>763</v>
      </c>
      <c r="R824" s="92" t="s">
        <v>245</v>
      </c>
      <c r="S824" s="92"/>
    </row>
    <row r="825" spans="1:19" x14ac:dyDescent="0.2">
      <c r="A825" s="92" t="s">
        <v>1063</v>
      </c>
      <c r="B825" s="69">
        <v>1</v>
      </c>
      <c r="C825" s="69">
        <v>-8</v>
      </c>
      <c r="D825" s="69">
        <v>-4</v>
      </c>
      <c r="E825" s="69">
        <v>0</v>
      </c>
      <c r="F825" s="69">
        <v>24</v>
      </c>
      <c r="G825" s="69">
        <v>-9</v>
      </c>
      <c r="H825" s="69">
        <v>-1.8</v>
      </c>
      <c r="I825" s="70">
        <v>1.02</v>
      </c>
      <c r="J825" s="70">
        <v>2.63</v>
      </c>
      <c r="K825" s="69">
        <v>14.1</v>
      </c>
      <c r="L825" s="69">
        <v>0.5</v>
      </c>
      <c r="M825" s="69" t="s">
        <v>241</v>
      </c>
      <c r="N825" s="69">
        <v>2010</v>
      </c>
      <c r="O825" s="69" t="s">
        <v>71</v>
      </c>
      <c r="P825" s="69">
        <v>681544</v>
      </c>
      <c r="Q825" s="92" t="s">
        <v>1002</v>
      </c>
      <c r="R825" s="92" t="s">
        <v>379</v>
      </c>
      <c r="S825" s="92"/>
    </row>
    <row r="826" spans="1:19" x14ac:dyDescent="0.2">
      <c r="A826" s="92" t="s">
        <v>1057</v>
      </c>
      <c r="B826" s="69">
        <v>25</v>
      </c>
      <c r="C826" s="69">
        <v>12</v>
      </c>
      <c r="D826" s="69">
        <v>12</v>
      </c>
      <c r="E826" s="69">
        <v>25</v>
      </c>
      <c r="F826" s="69">
        <v>65</v>
      </c>
      <c r="G826" s="69">
        <v>66</v>
      </c>
      <c r="H826" s="69">
        <v>10.6</v>
      </c>
      <c r="I826" s="70">
        <v>1.02</v>
      </c>
      <c r="J826" s="70">
        <v>2.7</v>
      </c>
      <c r="K826" s="69">
        <v>8.4</v>
      </c>
      <c r="L826" s="69">
        <v>1.9</v>
      </c>
      <c r="M826" s="69" t="s">
        <v>241</v>
      </c>
      <c r="N826" s="69">
        <v>2000</v>
      </c>
      <c r="O826" s="69" t="s">
        <v>71</v>
      </c>
      <c r="P826" s="69">
        <v>189258</v>
      </c>
      <c r="Q826" s="92" t="s">
        <v>454</v>
      </c>
      <c r="R826" s="92" t="s">
        <v>370</v>
      </c>
      <c r="S826" s="92" t="s">
        <v>189</v>
      </c>
    </row>
    <row r="827" spans="1:19" x14ac:dyDescent="0.2">
      <c r="A827" s="92" t="s">
        <v>1059</v>
      </c>
      <c r="B827" s="69">
        <v>22</v>
      </c>
      <c r="C827" s="69">
        <v>16</v>
      </c>
      <c r="D827" s="69">
        <v>18</v>
      </c>
      <c r="E827" s="69">
        <v>21</v>
      </c>
      <c r="F827" s="69">
        <v>69</v>
      </c>
      <c r="G827" s="69">
        <v>55</v>
      </c>
      <c r="H827" s="69">
        <v>9.1</v>
      </c>
      <c r="I827" s="70">
        <v>1.02</v>
      </c>
      <c r="J827" s="70">
        <v>2.71</v>
      </c>
      <c r="K827" s="69">
        <v>9.5</v>
      </c>
      <c r="L827" s="69">
        <v>1.7</v>
      </c>
      <c r="M827" s="69" t="s">
        <v>451</v>
      </c>
      <c r="N827" s="69">
        <v>2010</v>
      </c>
      <c r="O827" s="69" t="s">
        <v>71</v>
      </c>
      <c r="P827" s="69">
        <v>755033</v>
      </c>
      <c r="Q827" s="92" t="s">
        <v>454</v>
      </c>
      <c r="R827" s="92" t="s">
        <v>370</v>
      </c>
      <c r="S827" s="92" t="s">
        <v>189</v>
      </c>
    </row>
    <row r="828" spans="1:19" x14ac:dyDescent="0.2">
      <c r="A828" s="92" t="s">
        <v>1064</v>
      </c>
      <c r="B828" s="69">
        <v>31</v>
      </c>
      <c r="C828" s="69">
        <v>16</v>
      </c>
      <c r="D828" s="69">
        <v>23</v>
      </c>
      <c r="E828" s="69">
        <v>31</v>
      </c>
      <c r="F828" s="69">
        <v>77</v>
      </c>
      <c r="G828" s="69">
        <v>90</v>
      </c>
      <c r="H828" s="69">
        <v>13.7</v>
      </c>
      <c r="I828" s="70">
        <v>1.02</v>
      </c>
      <c r="J828" s="70">
        <v>2.7</v>
      </c>
      <c r="K828" s="69">
        <v>7.8</v>
      </c>
      <c r="L828" s="69">
        <v>2.2999999999999998</v>
      </c>
      <c r="M828" s="69" t="s">
        <v>451</v>
      </c>
      <c r="N828" s="69">
        <v>2006</v>
      </c>
      <c r="O828" s="69" t="s">
        <v>71</v>
      </c>
      <c r="P828" s="69">
        <v>968891</v>
      </c>
      <c r="Q828" s="92" t="s">
        <v>454</v>
      </c>
      <c r="R828" s="92" t="s">
        <v>370</v>
      </c>
      <c r="S828" s="92"/>
    </row>
    <row r="829" spans="1:19" x14ac:dyDescent="0.2">
      <c r="A829" s="92" t="s">
        <v>1065</v>
      </c>
      <c r="B829" s="69">
        <v>14</v>
      </c>
      <c r="C829" s="69">
        <v>14</v>
      </c>
      <c r="D829" s="69">
        <v>12</v>
      </c>
      <c r="E829" s="69">
        <v>14</v>
      </c>
      <c r="F829" s="69">
        <v>65</v>
      </c>
      <c r="G829" s="69">
        <v>86</v>
      </c>
      <c r="H829" s="69">
        <v>13.2</v>
      </c>
      <c r="I829" s="70">
        <v>1.02</v>
      </c>
      <c r="J829" s="70">
        <v>2.7</v>
      </c>
      <c r="K829" s="69">
        <v>11.3</v>
      </c>
      <c r="L829" s="69">
        <v>1.4</v>
      </c>
      <c r="M829" s="69" t="s">
        <v>241</v>
      </c>
      <c r="N829" s="69">
        <v>2005</v>
      </c>
      <c r="O829" s="69" t="s">
        <v>71</v>
      </c>
      <c r="P829" s="69">
        <v>923383</v>
      </c>
      <c r="Q829" s="92" t="s">
        <v>454</v>
      </c>
      <c r="R829" s="92" t="s">
        <v>212</v>
      </c>
      <c r="S829" s="92"/>
    </row>
    <row r="830" spans="1:19" x14ac:dyDescent="0.2">
      <c r="A830" s="92" t="s">
        <v>1067</v>
      </c>
      <c r="B830" s="69">
        <v>23</v>
      </c>
      <c r="C830" s="69">
        <v>9</v>
      </c>
      <c r="D830" s="69">
        <v>16</v>
      </c>
      <c r="E830" s="69">
        <v>23</v>
      </c>
      <c r="F830" s="69">
        <v>44</v>
      </c>
      <c r="G830" s="69">
        <v>25</v>
      </c>
      <c r="H830" s="69">
        <v>4.5999999999999996</v>
      </c>
      <c r="I830" s="70">
        <v>1.03</v>
      </c>
      <c r="J830" s="70">
        <v>2.72</v>
      </c>
      <c r="K830" s="69">
        <v>10.5</v>
      </c>
      <c r="L830" s="69">
        <v>1.1000000000000001</v>
      </c>
      <c r="M830" s="69" t="s">
        <v>451</v>
      </c>
      <c r="N830" s="69">
        <v>2003</v>
      </c>
      <c r="O830" s="69" t="s">
        <v>71</v>
      </c>
      <c r="P830" s="69">
        <v>882126</v>
      </c>
      <c r="Q830" s="92" t="s">
        <v>454</v>
      </c>
      <c r="R830" s="92" t="s">
        <v>449</v>
      </c>
      <c r="S830" s="92"/>
    </row>
    <row r="831" spans="1:19" x14ac:dyDescent="0.2">
      <c r="A831" s="92" t="s">
        <v>1070</v>
      </c>
      <c r="B831" s="69">
        <v>9</v>
      </c>
      <c r="C831" s="69">
        <v>7</v>
      </c>
      <c r="D831" s="69">
        <v>2</v>
      </c>
      <c r="E831" s="69">
        <v>8</v>
      </c>
      <c r="F831" s="69">
        <v>79</v>
      </c>
      <c r="G831" s="69">
        <v>66</v>
      </c>
      <c r="H831" s="69">
        <v>10.7</v>
      </c>
      <c r="I831" s="70">
        <v>1.03</v>
      </c>
      <c r="J831" s="70">
        <v>2.72</v>
      </c>
      <c r="K831" s="69">
        <v>9.6999999999999993</v>
      </c>
      <c r="L831" s="69">
        <v>1.9</v>
      </c>
      <c r="M831" s="69" t="s">
        <v>241</v>
      </c>
      <c r="N831" s="69">
        <v>2000</v>
      </c>
      <c r="O831" s="69" t="s">
        <v>71</v>
      </c>
      <c r="P831" s="69">
        <v>440065</v>
      </c>
      <c r="Q831" s="92" t="s">
        <v>454</v>
      </c>
      <c r="R831" s="92" t="s">
        <v>408</v>
      </c>
      <c r="S831" s="92"/>
    </row>
    <row r="832" spans="1:19" x14ac:dyDescent="0.2">
      <c r="A832" s="92" t="s">
        <v>1066</v>
      </c>
      <c r="B832" s="69">
        <v>19</v>
      </c>
      <c r="C832" s="69">
        <v>7</v>
      </c>
      <c r="D832" s="69">
        <v>9</v>
      </c>
      <c r="E832" s="69">
        <v>19</v>
      </c>
      <c r="F832" s="69">
        <v>63</v>
      </c>
      <c r="G832" s="69">
        <v>77</v>
      </c>
      <c r="H832" s="69">
        <v>12.1</v>
      </c>
      <c r="I832" s="70">
        <v>1.03</v>
      </c>
      <c r="J832" s="70">
        <v>2.65</v>
      </c>
      <c r="K832" s="69">
        <v>5.4</v>
      </c>
      <c r="L832" s="69">
        <v>2.8</v>
      </c>
      <c r="M832" s="69" t="s">
        <v>451</v>
      </c>
      <c r="N832" s="69">
        <v>2011</v>
      </c>
      <c r="O832" s="69" t="s">
        <v>71</v>
      </c>
      <c r="P832" s="69">
        <v>872200</v>
      </c>
      <c r="Q832" s="92" t="s">
        <v>981</v>
      </c>
      <c r="R832" s="92" t="s">
        <v>212</v>
      </c>
      <c r="S832" s="92"/>
    </row>
    <row r="833" spans="1:19" x14ac:dyDescent="0.2">
      <c r="A833" s="92" t="s">
        <v>1069</v>
      </c>
      <c r="B833" s="69">
        <v>30</v>
      </c>
      <c r="C833" s="69">
        <v>12</v>
      </c>
      <c r="D833" s="69">
        <v>20</v>
      </c>
      <c r="E833" s="69">
        <v>30</v>
      </c>
      <c r="F833" s="69">
        <v>45</v>
      </c>
      <c r="G833" s="69">
        <v>27</v>
      </c>
      <c r="H833" s="69">
        <v>4.8</v>
      </c>
      <c r="I833" s="70">
        <v>1.03</v>
      </c>
      <c r="J833" s="70">
        <v>2.73</v>
      </c>
      <c r="K833" s="69">
        <v>10.4</v>
      </c>
      <c r="L833" s="69">
        <v>1.1000000000000001</v>
      </c>
      <c r="M833" s="69" t="s">
        <v>451</v>
      </c>
      <c r="N833" s="69">
        <v>2003</v>
      </c>
      <c r="O833" s="69" t="s">
        <v>71</v>
      </c>
      <c r="P833" s="69">
        <v>917955</v>
      </c>
      <c r="Q833" s="92" t="s">
        <v>454</v>
      </c>
      <c r="R833" s="92" t="s">
        <v>310</v>
      </c>
      <c r="S833" s="92"/>
    </row>
    <row r="834" spans="1:19" x14ac:dyDescent="0.2">
      <c r="A834" s="92" t="s">
        <v>1068</v>
      </c>
      <c r="B834" s="69">
        <v>59</v>
      </c>
      <c r="C834" s="69">
        <v>13</v>
      </c>
      <c r="D834" s="69">
        <v>29</v>
      </c>
      <c r="E834" s="69">
        <v>59</v>
      </c>
      <c r="F834" s="69">
        <v>123</v>
      </c>
      <c r="G834" s="69">
        <v>116</v>
      </c>
      <c r="H834" s="69">
        <v>16.7</v>
      </c>
      <c r="I834" s="70">
        <v>1.03</v>
      </c>
      <c r="J834" s="70">
        <v>2.71</v>
      </c>
      <c r="K834" s="69">
        <v>8.9</v>
      </c>
      <c r="L834" s="69">
        <v>2.9</v>
      </c>
      <c r="M834" s="69" t="s">
        <v>451</v>
      </c>
      <c r="N834" s="69">
        <v>2004</v>
      </c>
      <c r="O834" s="69" t="s">
        <v>71</v>
      </c>
      <c r="P834" s="69">
        <v>688986</v>
      </c>
      <c r="Q834" s="92" t="s">
        <v>454</v>
      </c>
      <c r="R834" s="92" t="s">
        <v>404</v>
      </c>
      <c r="S834" s="92"/>
    </row>
    <row r="835" spans="1:19" x14ac:dyDescent="0.2">
      <c r="A835" s="92" t="s">
        <v>1073</v>
      </c>
      <c r="B835" s="69">
        <v>24</v>
      </c>
      <c r="C835" s="69">
        <v>9</v>
      </c>
      <c r="D835" s="69">
        <v>14</v>
      </c>
      <c r="E835" s="69">
        <v>24</v>
      </c>
      <c r="F835" s="69">
        <v>58</v>
      </c>
      <c r="G835" s="69">
        <v>53</v>
      </c>
      <c r="H835" s="69">
        <v>8.9</v>
      </c>
      <c r="I835" s="70">
        <v>1.04</v>
      </c>
      <c r="J835" s="70">
        <v>2.69</v>
      </c>
      <c r="K835" s="69">
        <v>5.5</v>
      </c>
      <c r="L835" s="69">
        <v>2.6</v>
      </c>
      <c r="M835" s="69" t="s">
        <v>241</v>
      </c>
      <c r="N835" s="69">
        <v>2012</v>
      </c>
      <c r="O835" s="69" t="s">
        <v>71</v>
      </c>
      <c r="P835" s="69">
        <v>870964</v>
      </c>
      <c r="Q835" s="92" t="s">
        <v>763</v>
      </c>
      <c r="R835" s="92" t="s">
        <v>212</v>
      </c>
      <c r="S835" s="92"/>
    </row>
    <row r="836" spans="1:19" x14ac:dyDescent="0.2">
      <c r="A836" s="92" t="s">
        <v>1072</v>
      </c>
      <c r="B836" s="69">
        <v>6</v>
      </c>
      <c r="C836" s="69">
        <v>-4</v>
      </c>
      <c r="D836" s="69">
        <v>-2</v>
      </c>
      <c r="E836" s="69">
        <v>6</v>
      </c>
      <c r="F836" s="69">
        <v>-4</v>
      </c>
      <c r="G836" s="69">
        <v>-14</v>
      </c>
      <c r="H836" s="69">
        <v>-2.9</v>
      </c>
      <c r="I836" s="70">
        <v>1.04</v>
      </c>
      <c r="J836" s="70">
        <v>2.7</v>
      </c>
      <c r="K836" s="69">
        <v>15.6</v>
      </c>
      <c r="L836" s="69">
        <v>-0.1</v>
      </c>
      <c r="M836" s="69" t="s">
        <v>241</v>
      </c>
      <c r="N836" s="69">
        <v>2012</v>
      </c>
      <c r="O836" s="69" t="s">
        <v>71</v>
      </c>
      <c r="P836" s="69">
        <v>763474</v>
      </c>
      <c r="Q836" s="92" t="s">
        <v>763</v>
      </c>
      <c r="R836" s="92" t="s">
        <v>471</v>
      </c>
      <c r="S836" s="92"/>
    </row>
    <row r="837" spans="1:19" x14ac:dyDescent="0.2">
      <c r="A837" s="92" t="s">
        <v>1074</v>
      </c>
      <c r="B837" s="69">
        <v>10</v>
      </c>
      <c r="C837" s="69">
        <v>6</v>
      </c>
      <c r="D837" s="69">
        <v>4</v>
      </c>
      <c r="E837" s="69">
        <v>10</v>
      </c>
      <c r="F837" s="69">
        <v>65</v>
      </c>
      <c r="G837" s="69">
        <v>55</v>
      </c>
      <c r="H837" s="69">
        <v>9.1999999999999993</v>
      </c>
      <c r="I837" s="70">
        <v>1.04</v>
      </c>
      <c r="J837" s="70">
        <v>2.68</v>
      </c>
      <c r="K837" s="69">
        <v>7.5</v>
      </c>
      <c r="L837" s="69">
        <v>2.1</v>
      </c>
      <c r="M837" s="69" t="s">
        <v>241</v>
      </c>
      <c r="N837" s="69">
        <v>2012</v>
      </c>
      <c r="O837" s="69" t="s">
        <v>71</v>
      </c>
      <c r="P837" s="69">
        <v>942623</v>
      </c>
      <c r="Q837" s="92" t="s">
        <v>763</v>
      </c>
      <c r="R837" s="92" t="s">
        <v>260</v>
      </c>
      <c r="S837" s="92"/>
    </row>
    <row r="838" spans="1:19" x14ac:dyDescent="0.2">
      <c r="A838" s="92" t="s">
        <v>1075</v>
      </c>
      <c r="B838" s="69">
        <v>20</v>
      </c>
      <c r="C838" s="69">
        <v>12</v>
      </c>
      <c r="D838" s="69">
        <v>19</v>
      </c>
      <c r="E838" s="69">
        <v>20</v>
      </c>
      <c r="F838" s="69"/>
      <c r="G838" s="69"/>
      <c r="H838" s="69"/>
      <c r="I838" s="70">
        <v>1.04</v>
      </c>
      <c r="J838" s="70">
        <v>2.69</v>
      </c>
      <c r="K838" s="69"/>
      <c r="L838" s="69"/>
      <c r="M838" s="69" t="s">
        <v>241</v>
      </c>
      <c r="N838" s="69">
        <v>2012</v>
      </c>
      <c r="O838" s="69" t="s">
        <v>71</v>
      </c>
      <c r="P838" s="69">
        <v>759225</v>
      </c>
      <c r="Q838" s="92" t="s">
        <v>763</v>
      </c>
      <c r="R838" s="92" t="s">
        <v>449</v>
      </c>
      <c r="S838" s="92"/>
    </row>
    <row r="839" spans="1:19" x14ac:dyDescent="0.2">
      <c r="A839" s="92" t="s">
        <v>1071</v>
      </c>
      <c r="B839" s="69">
        <v>27</v>
      </c>
      <c r="C839" s="69">
        <v>8</v>
      </c>
      <c r="D839" s="69">
        <v>15</v>
      </c>
      <c r="E839" s="69">
        <v>27</v>
      </c>
      <c r="F839" s="69"/>
      <c r="G839" s="69"/>
      <c r="H839" s="69"/>
      <c r="I839" s="70">
        <v>1.04</v>
      </c>
      <c r="J839" s="70">
        <v>2.7</v>
      </c>
      <c r="K839" s="69"/>
      <c r="L839" s="69"/>
      <c r="M839" s="69" t="s">
        <v>241</v>
      </c>
      <c r="N839" s="69">
        <v>2012</v>
      </c>
      <c r="O839" s="69" t="s">
        <v>71</v>
      </c>
      <c r="P839" s="69">
        <v>795054</v>
      </c>
      <c r="Q839" s="92" t="s">
        <v>763</v>
      </c>
      <c r="R839" s="92" t="s">
        <v>310</v>
      </c>
      <c r="S839" s="92"/>
    </row>
    <row r="840" spans="1:19" x14ac:dyDescent="0.2">
      <c r="A840" s="92" t="s">
        <v>1077</v>
      </c>
      <c r="B840" s="69">
        <v>2</v>
      </c>
      <c r="C840" s="69">
        <v>2</v>
      </c>
      <c r="D840" s="69">
        <v>-3</v>
      </c>
      <c r="E840" s="69">
        <v>2</v>
      </c>
      <c r="F840" s="69">
        <v>31</v>
      </c>
      <c r="G840" s="69">
        <v>18</v>
      </c>
      <c r="H840" s="69">
        <v>3.4</v>
      </c>
      <c r="I840" s="70">
        <v>1.05</v>
      </c>
      <c r="J840" s="70">
        <v>2.73</v>
      </c>
      <c r="K840" s="69">
        <v>10.1</v>
      </c>
      <c r="L840" s="69">
        <v>0.8</v>
      </c>
      <c r="M840" s="69" t="s">
        <v>241</v>
      </c>
      <c r="N840" s="69">
        <v>2012</v>
      </c>
      <c r="O840" s="69" t="s">
        <v>71</v>
      </c>
      <c r="P840" s="69">
        <v>835132</v>
      </c>
      <c r="Q840" s="92" t="s">
        <v>763</v>
      </c>
      <c r="R840" s="92" t="s">
        <v>212</v>
      </c>
      <c r="S840" s="92"/>
    </row>
    <row r="841" spans="1:19" x14ac:dyDescent="0.2">
      <c r="A841" s="92" t="s">
        <v>1078</v>
      </c>
      <c r="B841" s="69">
        <v>36</v>
      </c>
      <c r="C841" s="69">
        <v>11</v>
      </c>
      <c r="D841" s="69">
        <v>21</v>
      </c>
      <c r="E841" s="69">
        <v>36</v>
      </c>
      <c r="F841" s="69">
        <v>51</v>
      </c>
      <c r="G841" s="69"/>
      <c r="H841" s="69"/>
      <c r="I841" s="70">
        <v>1.05</v>
      </c>
      <c r="J841" s="70">
        <v>2.73</v>
      </c>
      <c r="K841" s="69">
        <v>11.7</v>
      </c>
      <c r="L841" s="69">
        <v>1.1000000000000001</v>
      </c>
      <c r="M841" s="69" t="s">
        <v>241</v>
      </c>
      <c r="N841" s="69">
        <v>2012</v>
      </c>
      <c r="O841" s="69" t="s">
        <v>71</v>
      </c>
      <c r="P841" s="69">
        <v>150110</v>
      </c>
      <c r="Q841" s="92" t="s">
        <v>763</v>
      </c>
      <c r="R841" s="92" t="s">
        <v>310</v>
      </c>
      <c r="S841" s="92"/>
    </row>
    <row r="842" spans="1:19" x14ac:dyDescent="0.2">
      <c r="A842" s="92" t="s">
        <v>1076</v>
      </c>
      <c r="B842" s="69">
        <v>19</v>
      </c>
      <c r="C842" s="69">
        <v>7</v>
      </c>
      <c r="D842" s="69">
        <v>11</v>
      </c>
      <c r="E842" s="69">
        <v>19</v>
      </c>
      <c r="F842" s="69">
        <v>42</v>
      </c>
      <c r="G842" s="69">
        <v>34</v>
      </c>
      <c r="H842" s="69">
        <v>6</v>
      </c>
      <c r="I842" s="70">
        <v>1.05</v>
      </c>
      <c r="J842" s="70">
        <v>2.71</v>
      </c>
      <c r="K842" s="69">
        <v>9.8000000000000007</v>
      </c>
      <c r="L842" s="69">
        <v>1.1000000000000001</v>
      </c>
      <c r="M842" s="69" t="s">
        <v>241</v>
      </c>
      <c r="N842" s="69">
        <v>2012</v>
      </c>
      <c r="O842" s="69" t="s">
        <v>71</v>
      </c>
      <c r="P842" s="69">
        <v>978452</v>
      </c>
      <c r="Q842" s="92" t="s">
        <v>763</v>
      </c>
      <c r="R842" s="92" t="s">
        <v>379</v>
      </c>
      <c r="S842" s="92"/>
    </row>
    <row r="843" spans="1:19" x14ac:dyDescent="0.2">
      <c r="A843" s="92" t="s">
        <v>1079</v>
      </c>
      <c r="B843" s="69">
        <v>-34</v>
      </c>
      <c r="C843" s="69">
        <v>-23</v>
      </c>
      <c r="D843" s="69">
        <v>-33</v>
      </c>
      <c r="E843" s="69">
        <v>-34</v>
      </c>
      <c r="F843" s="69">
        <v>-27</v>
      </c>
      <c r="G843" s="69">
        <v>-38</v>
      </c>
      <c r="H843" s="69">
        <v>-9.1999999999999993</v>
      </c>
      <c r="I843" s="70">
        <v>1.06</v>
      </c>
      <c r="J843" s="70">
        <v>2.82</v>
      </c>
      <c r="K843" s="69">
        <v>21.7</v>
      </c>
      <c r="L843" s="69">
        <v>-0.4</v>
      </c>
      <c r="M843" s="69" t="s">
        <v>451</v>
      </c>
      <c r="N843" s="69">
        <v>2009</v>
      </c>
      <c r="O843" s="69" t="s">
        <v>71</v>
      </c>
      <c r="P843" s="69">
        <v>925099</v>
      </c>
      <c r="Q843" s="92" t="s">
        <v>454</v>
      </c>
      <c r="R843" s="92" t="s">
        <v>487</v>
      </c>
      <c r="S843" s="92"/>
    </row>
    <row r="844" spans="1:19" x14ac:dyDescent="0.2">
      <c r="A844" s="92" t="s">
        <v>1081</v>
      </c>
      <c r="B844" s="69">
        <v>10</v>
      </c>
      <c r="C844" s="69">
        <v>5</v>
      </c>
      <c r="D844" s="69">
        <v>5</v>
      </c>
      <c r="E844" s="69">
        <v>10</v>
      </c>
      <c r="F844" s="69">
        <v>34</v>
      </c>
      <c r="G844" s="69">
        <v>32</v>
      </c>
      <c r="H844" s="69">
        <v>5.6</v>
      </c>
      <c r="I844" s="70">
        <v>1.07</v>
      </c>
      <c r="J844" s="70">
        <v>2.78</v>
      </c>
      <c r="K844" s="69">
        <v>11</v>
      </c>
      <c r="L844" s="69">
        <v>0.8</v>
      </c>
      <c r="M844" s="69" t="s">
        <v>241</v>
      </c>
      <c r="N844" s="69">
        <v>2012</v>
      </c>
      <c r="O844" s="69" t="s">
        <v>71</v>
      </c>
      <c r="P844" s="69">
        <v>114280</v>
      </c>
      <c r="Q844" s="92" t="s">
        <v>763</v>
      </c>
      <c r="R844" s="92" t="s">
        <v>379</v>
      </c>
      <c r="S844" s="92"/>
    </row>
    <row r="845" spans="1:19" x14ac:dyDescent="0.2">
      <c r="A845" s="92" t="s">
        <v>1080</v>
      </c>
      <c r="B845" s="69">
        <v>10</v>
      </c>
      <c r="C845" s="69">
        <v>-1</v>
      </c>
      <c r="D845" s="69">
        <v>4</v>
      </c>
      <c r="E845" s="69">
        <v>11</v>
      </c>
      <c r="F845" s="69">
        <v>27</v>
      </c>
      <c r="G845" s="69">
        <v>22</v>
      </c>
      <c r="H845" s="69">
        <v>4.0999999999999996</v>
      </c>
      <c r="I845" s="70">
        <v>1.07</v>
      </c>
      <c r="J845" s="70">
        <v>2.96</v>
      </c>
      <c r="K845" s="69">
        <v>6.4</v>
      </c>
      <c r="L845" s="69">
        <v>1.1000000000000001</v>
      </c>
      <c r="M845" s="69" t="s">
        <v>170</v>
      </c>
      <c r="N845" s="69">
        <v>2009</v>
      </c>
      <c r="O845" s="69" t="s">
        <v>71</v>
      </c>
      <c r="P845" s="69">
        <v>539460</v>
      </c>
      <c r="Q845" s="92" t="s">
        <v>368</v>
      </c>
      <c r="R845" s="92" t="s">
        <v>173</v>
      </c>
      <c r="S845" s="92"/>
    </row>
    <row r="846" spans="1:19" x14ac:dyDescent="0.2">
      <c r="A846" s="92" t="s">
        <v>1084</v>
      </c>
      <c r="B846" s="69">
        <v>28</v>
      </c>
      <c r="C846" s="69">
        <v>13</v>
      </c>
      <c r="D846" s="69">
        <v>18</v>
      </c>
      <c r="E846" s="69">
        <v>28</v>
      </c>
      <c r="F846" s="69">
        <v>79</v>
      </c>
      <c r="G846" s="69">
        <v>70</v>
      </c>
      <c r="H846" s="69">
        <v>11.2</v>
      </c>
      <c r="I846" s="70">
        <v>1.0900000000000001</v>
      </c>
      <c r="J846" s="70">
        <v>2.9</v>
      </c>
      <c r="K846" s="69">
        <v>6.9</v>
      </c>
      <c r="L846" s="69">
        <v>2.6</v>
      </c>
      <c r="M846" s="69" t="s">
        <v>451</v>
      </c>
      <c r="N846" s="69">
        <v>2009</v>
      </c>
      <c r="O846" s="69" t="s">
        <v>71</v>
      </c>
      <c r="P846" s="69">
        <v>690693</v>
      </c>
      <c r="Q846" s="92" t="s">
        <v>454</v>
      </c>
      <c r="R846" s="92" t="s">
        <v>212</v>
      </c>
      <c r="S846" s="92"/>
    </row>
    <row r="847" spans="1:19" x14ac:dyDescent="0.2">
      <c r="A847" s="92" t="s">
        <v>1082</v>
      </c>
      <c r="B847" s="69">
        <v>-6</v>
      </c>
      <c r="C847" s="69">
        <v>-14</v>
      </c>
      <c r="D847" s="69">
        <v>-10</v>
      </c>
      <c r="E847" s="69">
        <v>-6</v>
      </c>
      <c r="F847" s="69"/>
      <c r="G847" s="69"/>
      <c r="H847" s="69"/>
      <c r="I847" s="70">
        <v>1.0900000000000001</v>
      </c>
      <c r="J847" s="70">
        <v>2.85</v>
      </c>
      <c r="K847" s="69"/>
      <c r="L847" s="69"/>
      <c r="M847" s="69" t="s">
        <v>170</v>
      </c>
      <c r="N847" s="69">
        <v>2013</v>
      </c>
      <c r="O847" s="69" t="s">
        <v>171</v>
      </c>
      <c r="P847" s="69">
        <v>878223</v>
      </c>
      <c r="Q847" s="92" t="s">
        <v>1044</v>
      </c>
      <c r="R847" s="92" t="s">
        <v>379</v>
      </c>
      <c r="S847" s="92"/>
    </row>
    <row r="848" spans="1:19" x14ac:dyDescent="0.2">
      <c r="A848" s="92" t="s">
        <v>1083</v>
      </c>
      <c r="B848" s="69">
        <v>-30</v>
      </c>
      <c r="C848" s="69">
        <v>-24</v>
      </c>
      <c r="D848" s="69">
        <v>-30</v>
      </c>
      <c r="E848" s="69">
        <v>-30</v>
      </c>
      <c r="F848" s="69">
        <v>-29</v>
      </c>
      <c r="G848" s="69"/>
      <c r="H848" s="69"/>
      <c r="I848" s="70">
        <v>1.0900000000000001</v>
      </c>
      <c r="J848" s="70">
        <v>2.83</v>
      </c>
      <c r="K848" s="69">
        <v>22.2</v>
      </c>
      <c r="L848" s="69">
        <v>-0.5</v>
      </c>
      <c r="M848" s="69" t="s">
        <v>170</v>
      </c>
      <c r="N848" s="69">
        <v>2011</v>
      </c>
      <c r="O848" s="69" t="s">
        <v>171</v>
      </c>
      <c r="P848" s="69">
        <v>741637</v>
      </c>
      <c r="Q848" s="92" t="s">
        <v>1044</v>
      </c>
      <c r="R848" s="92" t="s">
        <v>487</v>
      </c>
      <c r="S848" s="92"/>
    </row>
    <row r="849" spans="1:19" x14ac:dyDescent="0.2">
      <c r="A849" s="92" t="s">
        <v>1085</v>
      </c>
      <c r="B849" s="69">
        <v>13</v>
      </c>
      <c r="C849" s="69">
        <v>4</v>
      </c>
      <c r="D849" s="69">
        <v>7</v>
      </c>
      <c r="E849" s="69">
        <v>13</v>
      </c>
      <c r="F849" s="69"/>
      <c r="G849" s="69"/>
      <c r="H849" s="69"/>
      <c r="I849" s="70">
        <v>1.1000000000000001</v>
      </c>
      <c r="J849" s="70">
        <v>2.86</v>
      </c>
      <c r="K849" s="69"/>
      <c r="L849" s="69"/>
      <c r="M849" s="69" t="s">
        <v>170</v>
      </c>
      <c r="N849" s="69">
        <v>2013</v>
      </c>
      <c r="O849" s="69" t="s">
        <v>171</v>
      </c>
      <c r="P849" s="69">
        <v>159798</v>
      </c>
      <c r="Q849" s="92" t="s">
        <v>1054</v>
      </c>
      <c r="R849" s="92" t="s">
        <v>173</v>
      </c>
      <c r="S849" s="92"/>
    </row>
    <row r="850" spans="1:19" x14ac:dyDescent="0.2">
      <c r="A850" s="92" t="s">
        <v>1086</v>
      </c>
      <c r="B850" s="69">
        <v>62</v>
      </c>
      <c r="C850" s="69">
        <v>14</v>
      </c>
      <c r="D850" s="69">
        <v>25</v>
      </c>
      <c r="E850" s="69">
        <v>62</v>
      </c>
      <c r="F850" s="69">
        <v>81</v>
      </c>
      <c r="G850" s="69">
        <v>20</v>
      </c>
      <c r="H850" s="69">
        <v>3.7</v>
      </c>
      <c r="I850" s="70">
        <v>1.1000000000000001</v>
      </c>
      <c r="J850" s="70">
        <v>2.94</v>
      </c>
      <c r="K850" s="69">
        <v>20.6</v>
      </c>
      <c r="L850" s="69">
        <v>1</v>
      </c>
      <c r="M850" s="69" t="s">
        <v>451</v>
      </c>
      <c r="N850" s="69">
        <v>2000</v>
      </c>
      <c r="O850" s="69" t="s">
        <v>71</v>
      </c>
      <c r="P850" s="69">
        <v>874271</v>
      </c>
      <c r="Q850" s="92" t="s">
        <v>454</v>
      </c>
      <c r="R850" s="92" t="s">
        <v>383</v>
      </c>
      <c r="S850" s="92"/>
    </row>
    <row r="851" spans="1:19" x14ac:dyDescent="0.2">
      <c r="A851" s="92" t="s">
        <v>1157</v>
      </c>
      <c r="B851" s="69">
        <v>13</v>
      </c>
      <c r="C851" s="69">
        <v>5</v>
      </c>
      <c r="D851" s="69">
        <v>10</v>
      </c>
      <c r="E851" s="69">
        <v>13</v>
      </c>
      <c r="F851" s="69"/>
      <c r="G851" s="69"/>
      <c r="H851" s="69"/>
      <c r="I851" s="70">
        <v>1.1000000000000001</v>
      </c>
      <c r="J851" s="70">
        <v>3.05</v>
      </c>
      <c r="K851" s="69"/>
      <c r="L851" s="69"/>
      <c r="M851" s="69" t="s">
        <v>170</v>
      </c>
      <c r="N851" s="69">
        <v>2012</v>
      </c>
      <c r="O851" s="69" t="s">
        <v>71</v>
      </c>
      <c r="P851" s="69">
        <v>883710</v>
      </c>
      <c r="Q851" s="92" t="s">
        <v>362</v>
      </c>
      <c r="R851" s="92" t="s">
        <v>173</v>
      </c>
      <c r="S851" s="92"/>
    </row>
    <row r="852" spans="1:19" x14ac:dyDescent="0.2">
      <c r="A852" s="92" t="s">
        <v>1088</v>
      </c>
      <c r="B852" s="69">
        <v>54</v>
      </c>
      <c r="C852" s="69">
        <v>12</v>
      </c>
      <c r="D852" s="69">
        <v>25</v>
      </c>
      <c r="E852" s="69">
        <v>53</v>
      </c>
      <c r="F852" s="69">
        <v>60</v>
      </c>
      <c r="G852" s="69">
        <v>31</v>
      </c>
      <c r="H852" s="69">
        <v>5.5</v>
      </c>
      <c r="I852" s="70">
        <v>1.1100000000000001</v>
      </c>
      <c r="J852" s="70">
        <v>2.9</v>
      </c>
      <c r="K852" s="69">
        <v>19.2</v>
      </c>
      <c r="L852" s="69">
        <v>0.9</v>
      </c>
      <c r="M852" s="69" t="s">
        <v>451</v>
      </c>
      <c r="N852" s="69">
        <v>2008</v>
      </c>
      <c r="O852" s="69" t="s">
        <v>71</v>
      </c>
      <c r="P852" s="69">
        <v>333633</v>
      </c>
      <c r="Q852" s="92" t="s">
        <v>811</v>
      </c>
      <c r="R852" s="92" t="s">
        <v>383</v>
      </c>
      <c r="S852" s="92"/>
    </row>
    <row r="853" spans="1:19" x14ac:dyDescent="0.2">
      <c r="A853" s="92" t="s">
        <v>1089</v>
      </c>
      <c r="B853" s="69">
        <v>6</v>
      </c>
      <c r="C853" s="69">
        <v>-4</v>
      </c>
      <c r="D853" s="69">
        <v>-4</v>
      </c>
      <c r="E853" s="69">
        <v>7</v>
      </c>
      <c r="F853" s="69">
        <v>0</v>
      </c>
      <c r="G853" s="69">
        <v>-11</v>
      </c>
      <c r="H853" s="69">
        <v>-2.2000000000000002</v>
      </c>
      <c r="I853" s="70">
        <v>1.1100000000000001</v>
      </c>
      <c r="J853" s="70">
        <v>2.9</v>
      </c>
      <c r="K853" s="69">
        <v>15.5</v>
      </c>
      <c r="L853" s="69">
        <v>0</v>
      </c>
      <c r="M853" s="69" t="s">
        <v>451</v>
      </c>
      <c r="N853" s="69">
        <v>2008</v>
      </c>
      <c r="O853" s="69" t="s">
        <v>71</v>
      </c>
      <c r="P853" s="69">
        <v>369462</v>
      </c>
      <c r="Q853" s="92" t="s">
        <v>811</v>
      </c>
      <c r="R853" s="92" t="s">
        <v>471</v>
      </c>
      <c r="S853" s="92"/>
    </row>
    <row r="854" spans="1:19" x14ac:dyDescent="0.2">
      <c r="A854" s="92" t="s">
        <v>1090</v>
      </c>
      <c r="B854" s="69">
        <v>-6</v>
      </c>
      <c r="C854" s="69">
        <v>-12</v>
      </c>
      <c r="D854" s="69">
        <v>-17</v>
      </c>
      <c r="E854" s="69">
        <v>-6</v>
      </c>
      <c r="F854" s="69">
        <v>-35</v>
      </c>
      <c r="G854" s="69">
        <v>-41</v>
      </c>
      <c r="H854" s="69">
        <v>-10.1</v>
      </c>
      <c r="I854" s="70">
        <v>1.1100000000000001</v>
      </c>
      <c r="J854" s="70">
        <v>2.9</v>
      </c>
      <c r="K854" s="69">
        <v>20.100000000000001</v>
      </c>
      <c r="L854" s="69">
        <v>-0.7</v>
      </c>
      <c r="M854" s="69" t="s">
        <v>241</v>
      </c>
      <c r="N854" s="69">
        <v>2008</v>
      </c>
      <c r="O854" s="69" t="s">
        <v>71</v>
      </c>
      <c r="P854" s="69">
        <v>938498</v>
      </c>
      <c r="Q854" s="92" t="s">
        <v>811</v>
      </c>
      <c r="R854" s="92" t="s">
        <v>370</v>
      </c>
      <c r="S854" s="92"/>
    </row>
    <row r="855" spans="1:19" x14ac:dyDescent="0.2">
      <c r="A855" s="92" t="s">
        <v>1087</v>
      </c>
      <c r="B855" s="69">
        <v>16</v>
      </c>
      <c r="C855" s="69">
        <v>5</v>
      </c>
      <c r="D855" s="69">
        <v>9</v>
      </c>
      <c r="E855" s="69">
        <v>16</v>
      </c>
      <c r="F855" s="69">
        <v>19</v>
      </c>
      <c r="G855" s="69">
        <v>1</v>
      </c>
      <c r="H855" s="69">
        <v>0.1</v>
      </c>
      <c r="I855" s="70">
        <v>1.1100000000000001</v>
      </c>
      <c r="J855" s="70">
        <v>2.96</v>
      </c>
      <c r="K855" s="69">
        <v>11.4</v>
      </c>
      <c r="L855" s="69">
        <v>0.5</v>
      </c>
      <c r="M855" s="69" t="s">
        <v>451</v>
      </c>
      <c r="N855" s="69">
        <v>2000</v>
      </c>
      <c r="O855" s="69" t="s">
        <v>71</v>
      </c>
      <c r="P855" s="69">
        <v>404236</v>
      </c>
      <c r="Q855" s="92" t="s">
        <v>454</v>
      </c>
      <c r="R855" s="92" t="s">
        <v>379</v>
      </c>
      <c r="S855" s="92"/>
    </row>
    <row r="856" spans="1:19" x14ac:dyDescent="0.2">
      <c r="A856" s="92" t="s">
        <v>1091</v>
      </c>
      <c r="B856" s="69">
        <v>26</v>
      </c>
      <c r="C856" s="69">
        <v>10</v>
      </c>
      <c r="D856" s="69">
        <v>15</v>
      </c>
      <c r="E856" s="69">
        <v>25</v>
      </c>
      <c r="F856" s="69">
        <v>67</v>
      </c>
      <c r="G856" s="69">
        <v>56</v>
      </c>
      <c r="H856" s="69">
        <v>9.3000000000000007</v>
      </c>
      <c r="I856" s="70">
        <v>1.1200000000000001</v>
      </c>
      <c r="J856" s="70">
        <v>2.91</v>
      </c>
      <c r="K856" s="69">
        <v>7.4</v>
      </c>
      <c r="L856" s="69">
        <v>2.2000000000000002</v>
      </c>
      <c r="M856" s="69" t="s">
        <v>241</v>
      </c>
      <c r="N856" s="69">
        <v>2008</v>
      </c>
      <c r="O856" s="69" t="s">
        <v>71</v>
      </c>
      <c r="P856" s="69">
        <v>405290</v>
      </c>
      <c r="Q856" s="92" t="s">
        <v>811</v>
      </c>
      <c r="R856" s="92" t="s">
        <v>212</v>
      </c>
      <c r="S856" s="92"/>
    </row>
    <row r="857" spans="1:19" x14ac:dyDescent="0.2">
      <c r="A857" s="92" t="s">
        <v>1092</v>
      </c>
      <c r="B857" s="69">
        <v>-21</v>
      </c>
      <c r="C857" s="69">
        <v>-14</v>
      </c>
      <c r="D857" s="69">
        <v>-23</v>
      </c>
      <c r="E857" s="69">
        <v>-21</v>
      </c>
      <c r="F857" s="69">
        <v>-9</v>
      </c>
      <c r="G857" s="69">
        <v>-27</v>
      </c>
      <c r="H857" s="69">
        <v>-6.2</v>
      </c>
      <c r="I857" s="70">
        <v>1.1299999999999999</v>
      </c>
      <c r="J857" s="70">
        <v>3.02</v>
      </c>
      <c r="K857" s="69">
        <v>17.8</v>
      </c>
      <c r="L857" s="69">
        <v>-0.2</v>
      </c>
      <c r="M857" s="69" t="s">
        <v>241</v>
      </c>
      <c r="N857" s="69">
        <v>2000</v>
      </c>
      <c r="O857" s="69" t="s">
        <v>71</v>
      </c>
      <c r="P857" s="69">
        <v>368407</v>
      </c>
      <c r="Q857" s="92" t="s">
        <v>454</v>
      </c>
      <c r="R857" s="92" t="s">
        <v>413</v>
      </c>
      <c r="S857" s="92"/>
    </row>
    <row r="858" spans="1:19" x14ac:dyDescent="0.2">
      <c r="A858" s="92" t="s">
        <v>1094</v>
      </c>
      <c r="B858" s="69">
        <v>5</v>
      </c>
      <c r="C858" s="69">
        <v>2</v>
      </c>
      <c r="D858" s="69">
        <v>1</v>
      </c>
      <c r="E858" s="69">
        <v>5</v>
      </c>
      <c r="F858" s="69"/>
      <c r="G858" s="69"/>
      <c r="H858" s="69"/>
      <c r="I858" s="70">
        <v>1.1399999999999999</v>
      </c>
      <c r="J858" s="70">
        <v>2.97</v>
      </c>
      <c r="K858" s="69"/>
      <c r="L858" s="69"/>
      <c r="M858" s="69" t="s">
        <v>170</v>
      </c>
      <c r="N858" s="69">
        <v>2012</v>
      </c>
      <c r="O858" s="69" t="s">
        <v>71</v>
      </c>
      <c r="P858" s="69">
        <v>999110</v>
      </c>
      <c r="Q858" s="92" t="s">
        <v>368</v>
      </c>
      <c r="R858" s="92" t="s">
        <v>173</v>
      </c>
      <c r="S858" s="92"/>
    </row>
    <row r="859" spans="1:19" x14ac:dyDescent="0.2">
      <c r="A859" s="92" t="s">
        <v>1093</v>
      </c>
      <c r="B859" s="69">
        <v>17</v>
      </c>
      <c r="C859" s="69">
        <v>8</v>
      </c>
      <c r="D859" s="69">
        <v>10</v>
      </c>
      <c r="E859" s="69">
        <v>17</v>
      </c>
      <c r="F859" s="69">
        <v>39</v>
      </c>
      <c r="G859" s="69">
        <v>27</v>
      </c>
      <c r="H859" s="69">
        <v>4.9000000000000004</v>
      </c>
      <c r="I859" s="70">
        <v>1.1399999999999999</v>
      </c>
      <c r="J859" s="70">
        <v>3.21</v>
      </c>
      <c r="K859" s="69">
        <v>4.8</v>
      </c>
      <c r="L859" s="69">
        <v>2</v>
      </c>
      <c r="M859" s="69" t="s">
        <v>241</v>
      </c>
      <c r="N859" s="69">
        <v>2008</v>
      </c>
      <c r="O859" s="69" t="s">
        <v>71</v>
      </c>
      <c r="P859" s="69">
        <v>323899</v>
      </c>
      <c r="Q859" s="92" t="s">
        <v>431</v>
      </c>
      <c r="R859" s="92" t="s">
        <v>173</v>
      </c>
      <c r="S859" s="92"/>
    </row>
    <row r="860" spans="1:19" x14ac:dyDescent="0.2">
      <c r="A860" s="92" t="s">
        <v>1095</v>
      </c>
      <c r="B860" s="69">
        <v>20</v>
      </c>
      <c r="C860" s="69">
        <v>8</v>
      </c>
      <c r="D860" s="69">
        <v>11</v>
      </c>
      <c r="E860" s="69">
        <v>20</v>
      </c>
      <c r="F860" s="69">
        <v>51</v>
      </c>
      <c r="G860" s="69">
        <v>39</v>
      </c>
      <c r="H860" s="69">
        <v>6.9</v>
      </c>
      <c r="I860" s="70">
        <v>1.1499999999999999</v>
      </c>
      <c r="J860" s="70">
        <v>3.25</v>
      </c>
      <c r="K860" s="69">
        <v>6.1</v>
      </c>
      <c r="L860" s="69">
        <v>2.1</v>
      </c>
      <c r="M860" s="69" t="s">
        <v>241</v>
      </c>
      <c r="N860" s="69">
        <v>2008</v>
      </c>
      <c r="O860" s="69" t="s">
        <v>71</v>
      </c>
      <c r="P860" s="69">
        <v>216408</v>
      </c>
      <c r="Q860" s="92" t="s">
        <v>431</v>
      </c>
      <c r="R860" s="92" t="s">
        <v>212</v>
      </c>
      <c r="S860" s="92"/>
    </row>
    <row r="861" spans="1:19" x14ac:dyDescent="0.2">
      <c r="A861" s="92" t="s">
        <v>1096</v>
      </c>
      <c r="B861" s="69">
        <v>12</v>
      </c>
      <c r="C861" s="69">
        <v>6</v>
      </c>
      <c r="D861" s="69">
        <v>7</v>
      </c>
      <c r="E861" s="69">
        <v>11</v>
      </c>
      <c r="F861" s="69">
        <v>32</v>
      </c>
      <c r="G861" s="69">
        <v>19</v>
      </c>
      <c r="H861" s="69">
        <v>3.5</v>
      </c>
      <c r="I861" s="70">
        <v>1.1599999999999999</v>
      </c>
      <c r="J861" s="70">
        <v>3.04</v>
      </c>
      <c r="K861" s="69">
        <v>4.9000000000000004</v>
      </c>
      <c r="L861" s="69">
        <v>1.7</v>
      </c>
      <c r="M861" s="69" t="s">
        <v>170</v>
      </c>
      <c r="N861" s="69">
        <v>2012</v>
      </c>
      <c r="O861" s="69" t="s">
        <v>171</v>
      </c>
      <c r="P861" s="69">
        <v>567917</v>
      </c>
      <c r="Q861" s="92" t="s">
        <v>249</v>
      </c>
      <c r="R861" s="92" t="s">
        <v>173</v>
      </c>
      <c r="S861" s="92"/>
    </row>
    <row r="862" spans="1:19" x14ac:dyDescent="0.2">
      <c r="A862" s="92" t="s">
        <v>1097</v>
      </c>
      <c r="B862" s="69">
        <v>3</v>
      </c>
      <c r="C862" s="69">
        <v>-1</v>
      </c>
      <c r="D862" s="69">
        <v>-3</v>
      </c>
      <c r="E862" s="69">
        <v>3</v>
      </c>
      <c r="F862" s="69">
        <v>22</v>
      </c>
      <c r="G862" s="69"/>
      <c r="H862" s="69"/>
      <c r="I862" s="70">
        <v>1.17</v>
      </c>
      <c r="J862" s="70">
        <v>2.06</v>
      </c>
      <c r="K862" s="69">
        <v>3.3</v>
      </c>
      <c r="L862" s="69">
        <v>1.7</v>
      </c>
      <c r="M862" s="69" t="s">
        <v>170</v>
      </c>
      <c r="N862" s="69">
        <v>2012</v>
      </c>
      <c r="O862" s="69" t="s">
        <v>71</v>
      </c>
      <c r="P862" s="69">
        <v>133116</v>
      </c>
      <c r="Q862" s="92" t="s">
        <v>368</v>
      </c>
      <c r="R862" s="92" t="s">
        <v>266</v>
      </c>
      <c r="S862" s="92"/>
    </row>
    <row r="863" spans="1:19" x14ac:dyDescent="0.2">
      <c r="A863" s="92" t="s">
        <v>1098</v>
      </c>
      <c r="B863" s="69">
        <v>19</v>
      </c>
      <c r="C863" s="69">
        <v>7</v>
      </c>
      <c r="D863" s="69">
        <v>11</v>
      </c>
      <c r="E863" s="69">
        <v>19</v>
      </c>
      <c r="F863" s="69"/>
      <c r="G863" s="69"/>
      <c r="H863" s="69"/>
      <c r="I863" s="70">
        <v>1.18</v>
      </c>
      <c r="J863" s="70">
        <v>3.08</v>
      </c>
      <c r="K863" s="69"/>
      <c r="L863" s="69"/>
      <c r="M863" s="69" t="s">
        <v>170</v>
      </c>
      <c r="N863" s="69">
        <v>2013</v>
      </c>
      <c r="O863" s="69" t="s">
        <v>171</v>
      </c>
      <c r="P863" s="69">
        <v>123968</v>
      </c>
      <c r="Q863" s="92" t="s">
        <v>1054</v>
      </c>
      <c r="R863" s="92" t="s">
        <v>173</v>
      </c>
      <c r="S863" s="92"/>
    </row>
    <row r="864" spans="1:19" x14ac:dyDescent="0.2">
      <c r="A864" s="92" t="s">
        <v>1099</v>
      </c>
      <c r="B864" s="69">
        <v>9</v>
      </c>
      <c r="C864" s="69">
        <v>-1</v>
      </c>
      <c r="D864" s="69">
        <v>2</v>
      </c>
      <c r="E864" s="69">
        <v>9</v>
      </c>
      <c r="F864" s="69"/>
      <c r="G864" s="69"/>
      <c r="H864" s="69"/>
      <c r="I864" s="70">
        <v>1.19</v>
      </c>
      <c r="J864" s="70">
        <v>3.12</v>
      </c>
      <c r="K864" s="69"/>
      <c r="L864" s="69"/>
      <c r="M864" s="69" t="s">
        <v>241</v>
      </c>
      <c r="N864" s="69">
        <v>2013</v>
      </c>
      <c r="O864" s="69" t="s">
        <v>71</v>
      </c>
      <c r="P864" s="69">
        <v>329854</v>
      </c>
      <c r="Q864" s="92" t="s">
        <v>497</v>
      </c>
      <c r="R864" s="92" t="s">
        <v>379</v>
      </c>
      <c r="S864" s="92"/>
    </row>
    <row r="865" spans="1:19" x14ac:dyDescent="0.2">
      <c r="A865" s="92" t="s">
        <v>1100</v>
      </c>
      <c r="B865" s="69"/>
      <c r="C865" s="69">
        <v>1</v>
      </c>
      <c r="D865" s="69"/>
      <c r="E865" s="69"/>
      <c r="F865" s="69"/>
      <c r="G865" s="69"/>
      <c r="H865" s="69"/>
      <c r="I865" s="70">
        <v>1.2</v>
      </c>
      <c r="J865" s="70">
        <v>3.15</v>
      </c>
      <c r="K865" s="69"/>
      <c r="L865" s="69"/>
      <c r="M865" s="69" t="s">
        <v>170</v>
      </c>
      <c r="N865" s="69">
        <v>2014</v>
      </c>
      <c r="O865" s="69" t="s">
        <v>71</v>
      </c>
      <c r="P865" s="69">
        <v>524769</v>
      </c>
      <c r="Q865" s="92" t="s">
        <v>1101</v>
      </c>
      <c r="R865" s="92" t="s">
        <v>173</v>
      </c>
      <c r="S865" s="92"/>
    </row>
    <row r="866" spans="1:19" x14ac:dyDescent="0.2">
      <c r="A866" s="92" t="s">
        <v>1102</v>
      </c>
      <c r="B866" s="69"/>
      <c r="C866" s="69">
        <v>0</v>
      </c>
      <c r="D866" s="69"/>
      <c r="E866" s="69"/>
      <c r="F866" s="69"/>
      <c r="G866" s="69"/>
      <c r="H866" s="69"/>
      <c r="I866" s="70">
        <v>1.2</v>
      </c>
      <c r="J866" s="70">
        <v>3.15</v>
      </c>
      <c r="K866" s="69"/>
      <c r="L866" s="69"/>
      <c r="M866" s="69" t="s">
        <v>170</v>
      </c>
      <c r="N866" s="69">
        <v>2014</v>
      </c>
      <c r="O866" s="69" t="s">
        <v>71</v>
      </c>
      <c r="P866" s="69">
        <v>600676</v>
      </c>
      <c r="Q866" s="92" t="s">
        <v>1101</v>
      </c>
      <c r="R866" s="92" t="s">
        <v>173</v>
      </c>
      <c r="S866" s="92"/>
    </row>
    <row r="867" spans="1:19" x14ac:dyDescent="0.2">
      <c r="A867" s="92" t="s">
        <v>1103</v>
      </c>
      <c r="B867" s="69"/>
      <c r="C867" s="69">
        <v>0</v>
      </c>
      <c r="D867" s="69"/>
      <c r="E867" s="69"/>
      <c r="F867" s="69"/>
      <c r="G867" s="69"/>
      <c r="H867" s="69"/>
      <c r="I867" s="70">
        <v>1.2</v>
      </c>
      <c r="J867" s="70">
        <v>3.15</v>
      </c>
      <c r="K867" s="69"/>
      <c r="L867" s="69"/>
      <c r="M867" s="69" t="s">
        <v>170</v>
      </c>
      <c r="N867" s="69">
        <v>2014</v>
      </c>
      <c r="O867" s="69" t="s">
        <v>71</v>
      </c>
      <c r="P867" s="69">
        <v>636506</v>
      </c>
      <c r="Q867" s="92" t="s">
        <v>1101</v>
      </c>
      <c r="R867" s="92" t="s">
        <v>173</v>
      </c>
      <c r="S867" s="92"/>
    </row>
    <row r="868" spans="1:19" x14ac:dyDescent="0.2">
      <c r="A868" s="92" t="s">
        <v>1104</v>
      </c>
      <c r="B868" s="69">
        <v>8</v>
      </c>
      <c r="C868" s="69">
        <v>-1</v>
      </c>
      <c r="D868" s="69">
        <v>-2</v>
      </c>
      <c r="E868" s="69">
        <v>7</v>
      </c>
      <c r="F868" s="69"/>
      <c r="G868" s="69"/>
      <c r="H868" s="69"/>
      <c r="I868" s="70">
        <v>1.21</v>
      </c>
      <c r="J868" s="70">
        <v>2.76</v>
      </c>
      <c r="K868" s="69"/>
      <c r="L868" s="69"/>
      <c r="M868" s="69" t="s">
        <v>170</v>
      </c>
      <c r="N868" s="69">
        <v>2012</v>
      </c>
      <c r="O868" s="69" t="s">
        <v>171</v>
      </c>
      <c r="P868" s="69">
        <v>550913</v>
      </c>
      <c r="Q868" s="92" t="s">
        <v>1105</v>
      </c>
      <c r="R868" s="92" t="s">
        <v>223</v>
      </c>
      <c r="S868" s="92"/>
    </row>
    <row r="869" spans="1:19" x14ac:dyDescent="0.2">
      <c r="A869" s="92" t="s">
        <v>1106</v>
      </c>
      <c r="B869" s="69">
        <v>7</v>
      </c>
      <c r="C869" s="69">
        <v>3</v>
      </c>
      <c r="D869" s="69">
        <v>1</v>
      </c>
      <c r="E869" s="69">
        <v>7</v>
      </c>
      <c r="F869" s="69"/>
      <c r="G869" s="69"/>
      <c r="H869" s="69"/>
      <c r="I869" s="70">
        <v>1.23</v>
      </c>
      <c r="J869" s="70">
        <v>2.77</v>
      </c>
      <c r="K869" s="69"/>
      <c r="L869" s="69"/>
      <c r="M869" s="69" t="s">
        <v>170</v>
      </c>
      <c r="N869" s="69">
        <v>2013</v>
      </c>
      <c r="O869" s="69" t="s">
        <v>171</v>
      </c>
      <c r="P869" s="69">
        <v>711820</v>
      </c>
      <c r="Q869" s="92" t="s">
        <v>661</v>
      </c>
      <c r="R869" s="92" t="s">
        <v>173</v>
      </c>
      <c r="S869" s="92"/>
    </row>
    <row r="870" spans="1:19" x14ac:dyDescent="0.2">
      <c r="A870" s="92" t="s">
        <v>1107</v>
      </c>
      <c r="B870" s="69">
        <v>43</v>
      </c>
      <c r="C870" s="69">
        <v>-1</v>
      </c>
      <c r="D870" s="69">
        <v>13</v>
      </c>
      <c r="E870" s="69">
        <v>43</v>
      </c>
      <c r="F870" s="69">
        <v>119</v>
      </c>
      <c r="G870" s="69">
        <v>97</v>
      </c>
      <c r="H870" s="69">
        <v>14.5</v>
      </c>
      <c r="I870" s="70">
        <v>1.27</v>
      </c>
      <c r="J870" s="70">
        <v>3.34</v>
      </c>
      <c r="K870" s="69">
        <v>12.1</v>
      </c>
      <c r="L870" s="69">
        <v>2.2000000000000002</v>
      </c>
      <c r="M870" s="69" t="s">
        <v>241</v>
      </c>
      <c r="N870" s="69">
        <v>2014</v>
      </c>
      <c r="O870" s="69" t="s">
        <v>71</v>
      </c>
      <c r="P870" s="69">
        <v>377192</v>
      </c>
      <c r="Q870" s="92" t="s">
        <v>770</v>
      </c>
      <c r="R870" s="92" t="s">
        <v>379</v>
      </c>
      <c r="S870" s="92"/>
    </row>
    <row r="871" spans="1:19" x14ac:dyDescent="0.2">
      <c r="A871" s="92" t="s">
        <v>1108</v>
      </c>
      <c r="B871" s="69">
        <v>14</v>
      </c>
      <c r="C871" s="69">
        <v>6</v>
      </c>
      <c r="D871" s="69">
        <v>3</v>
      </c>
      <c r="E871" s="69">
        <v>14</v>
      </c>
      <c r="F871" s="69"/>
      <c r="G871" s="69"/>
      <c r="H871" s="69"/>
      <c r="I871" s="70">
        <v>1.32</v>
      </c>
      <c r="J871" s="70">
        <v>3.03</v>
      </c>
      <c r="K871" s="69"/>
      <c r="L871" s="69"/>
      <c r="M871" s="69" t="s">
        <v>170</v>
      </c>
      <c r="N871" s="69">
        <v>2013</v>
      </c>
      <c r="O871" s="69" t="s">
        <v>171</v>
      </c>
      <c r="P871" s="69">
        <v>675991</v>
      </c>
      <c r="Q871" s="92" t="s">
        <v>661</v>
      </c>
      <c r="R871" s="92" t="s">
        <v>173</v>
      </c>
      <c r="S871" s="92"/>
    </row>
    <row r="872" spans="1:19" x14ac:dyDescent="0.2">
      <c r="A872" s="92" t="s">
        <v>1145</v>
      </c>
      <c r="B872" s="69">
        <v>10</v>
      </c>
      <c r="C872" s="69">
        <v>5</v>
      </c>
      <c r="D872" s="69">
        <v>1</v>
      </c>
      <c r="E872" s="69">
        <v>10</v>
      </c>
      <c r="F872" s="69">
        <v>68</v>
      </c>
      <c r="G872" s="69">
        <v>64</v>
      </c>
      <c r="H872" s="69">
        <v>10.4</v>
      </c>
      <c r="I872" s="70">
        <v>1.33</v>
      </c>
      <c r="J872" s="70">
        <v>3.53</v>
      </c>
      <c r="K872" s="69">
        <v>8.6999999999999993</v>
      </c>
      <c r="L872" s="69">
        <v>1.9</v>
      </c>
      <c r="M872" s="69" t="s">
        <v>170</v>
      </c>
      <c r="N872" s="69">
        <v>2014</v>
      </c>
      <c r="O872" s="69" t="s">
        <v>171</v>
      </c>
      <c r="P872" s="69">
        <v>303701</v>
      </c>
      <c r="Q872" s="92" t="s">
        <v>1146</v>
      </c>
      <c r="R872" s="92" t="s">
        <v>509</v>
      </c>
      <c r="S872" s="92"/>
    </row>
    <row r="873" spans="1:19" x14ac:dyDescent="0.2">
      <c r="A873" s="92" t="s">
        <v>1109</v>
      </c>
      <c r="B873" s="69">
        <v>1</v>
      </c>
      <c r="C873" s="69">
        <v>1</v>
      </c>
      <c r="D873" s="69">
        <v>-1</v>
      </c>
      <c r="E873" s="69">
        <v>1</v>
      </c>
      <c r="F873" s="69">
        <v>-7</v>
      </c>
      <c r="G873" s="69">
        <v>-41</v>
      </c>
      <c r="H873" s="69">
        <v>-9.9</v>
      </c>
      <c r="I873" s="70">
        <v>1.59</v>
      </c>
      <c r="J873" s="70">
        <v>4.26</v>
      </c>
      <c r="K873" s="69">
        <v>12.7</v>
      </c>
      <c r="L873" s="69">
        <v>-0.2</v>
      </c>
      <c r="M873" s="69" t="s">
        <v>241</v>
      </c>
      <c r="N873" s="69">
        <v>2011</v>
      </c>
      <c r="O873" s="69" t="s">
        <v>71</v>
      </c>
      <c r="P873" s="69">
        <v>490235</v>
      </c>
      <c r="Q873" s="92" t="s">
        <v>1110</v>
      </c>
      <c r="R873" s="92" t="s">
        <v>413</v>
      </c>
      <c r="S873" s="92" t="s">
        <v>189</v>
      </c>
    </row>
    <row r="874" spans="1:19" x14ac:dyDescent="0.2">
      <c r="A874" s="92" t="s">
        <v>1111</v>
      </c>
      <c r="B874" s="69">
        <v>-2</v>
      </c>
      <c r="C874" s="69">
        <v>0</v>
      </c>
      <c r="D874" s="69">
        <v>-4</v>
      </c>
      <c r="E874" s="69">
        <v>-2</v>
      </c>
      <c r="F874" s="69"/>
      <c r="G874" s="69"/>
      <c r="H874" s="69"/>
      <c r="I874" s="70">
        <v>1.78</v>
      </c>
      <c r="J874" s="70">
        <v>3.62</v>
      </c>
      <c r="K874" s="69"/>
      <c r="L874" s="69"/>
      <c r="M874" s="69" t="s">
        <v>170</v>
      </c>
      <c r="N874" s="69">
        <v>2013</v>
      </c>
      <c r="O874" s="69" t="s">
        <v>71</v>
      </c>
      <c r="P874" s="69">
        <v>254060</v>
      </c>
      <c r="Q874" s="92" t="s">
        <v>368</v>
      </c>
      <c r="R874" s="92" t="s">
        <v>173</v>
      </c>
      <c r="S874" s="92"/>
    </row>
    <row r="875" spans="1:19" x14ac:dyDescent="0.2">
      <c r="A875" s="92" t="s">
        <v>1112</v>
      </c>
      <c r="B875" s="69">
        <v>2</v>
      </c>
      <c r="C875" s="69">
        <v>-5</v>
      </c>
      <c r="D875" s="69">
        <v>-5</v>
      </c>
      <c r="E875" s="69">
        <v>1</v>
      </c>
      <c r="F875" s="69"/>
      <c r="G875" s="69"/>
      <c r="H875" s="69"/>
      <c r="I875" s="70">
        <v>1.81</v>
      </c>
      <c r="J875" s="70">
        <v>2.75</v>
      </c>
      <c r="K875" s="69"/>
      <c r="L875" s="69"/>
      <c r="M875" s="69" t="s">
        <v>170</v>
      </c>
      <c r="N875" s="69">
        <v>2012</v>
      </c>
      <c r="O875" s="69" t="s">
        <v>171</v>
      </c>
      <c r="P875" s="69">
        <v>515080</v>
      </c>
      <c r="Q875" s="92" t="s">
        <v>1105</v>
      </c>
      <c r="R875" s="92" t="s">
        <v>223</v>
      </c>
      <c r="S875" s="92"/>
    </row>
    <row r="876" spans="1:19" x14ac:dyDescent="0.2">
      <c r="A876" s="92" t="s">
        <v>1113</v>
      </c>
      <c r="B876" s="69">
        <v>-42</v>
      </c>
      <c r="C876" s="69">
        <v>-28</v>
      </c>
      <c r="D876" s="69">
        <v>-41</v>
      </c>
      <c r="E876" s="69">
        <v>-42</v>
      </c>
      <c r="F876" s="69">
        <v>-38</v>
      </c>
      <c r="G876" s="69"/>
      <c r="H876" s="69"/>
      <c r="I876" s="70">
        <v>1.86</v>
      </c>
      <c r="J876" s="70">
        <v>5.03</v>
      </c>
      <c r="K876" s="69">
        <v>20.100000000000001</v>
      </c>
      <c r="L876" s="69">
        <v>-0.8</v>
      </c>
      <c r="M876" s="69" t="s">
        <v>241</v>
      </c>
      <c r="N876" s="69">
        <v>2011</v>
      </c>
      <c r="O876" s="69" t="s">
        <v>71</v>
      </c>
      <c r="P876" s="69">
        <v>174433</v>
      </c>
      <c r="Q876" s="92" t="s">
        <v>1110</v>
      </c>
      <c r="R876" s="92" t="s">
        <v>487</v>
      </c>
      <c r="S876" s="92"/>
    </row>
    <row r="877" spans="1:19" x14ac:dyDescent="0.2">
      <c r="A877" s="92" t="s">
        <v>148</v>
      </c>
      <c r="B877" s="69">
        <v>34</v>
      </c>
      <c r="C877" s="69">
        <v>8</v>
      </c>
      <c r="D877" s="69">
        <v>14</v>
      </c>
      <c r="E877" s="69">
        <v>34</v>
      </c>
      <c r="F877" s="69">
        <v>99</v>
      </c>
      <c r="G877" s="69">
        <v>148</v>
      </c>
      <c r="H877" s="69">
        <v>19.899999999999999</v>
      </c>
      <c r="I877" s="70">
        <v>3.09</v>
      </c>
      <c r="J877" s="70">
        <v>7.4</v>
      </c>
      <c r="K877" s="69">
        <v>13.9</v>
      </c>
      <c r="L877" s="69">
        <v>1.6</v>
      </c>
      <c r="M877" s="69" t="s">
        <v>170</v>
      </c>
      <c r="N877" s="69">
        <v>2013</v>
      </c>
      <c r="O877" s="69" t="s">
        <v>171</v>
      </c>
      <c r="P877" s="69">
        <v>396028</v>
      </c>
      <c r="Q877" s="92" t="s">
        <v>567</v>
      </c>
      <c r="R877" s="92" t="s">
        <v>404</v>
      </c>
      <c r="S877" s="92"/>
    </row>
    <row r="878" spans="1:19" x14ac:dyDescent="0.2">
      <c r="A878" s="92"/>
      <c r="B878" s="69"/>
      <c r="C878" s="69"/>
      <c r="D878" s="69"/>
      <c r="E878" s="69"/>
      <c r="F878" s="69"/>
      <c r="G878" s="69"/>
      <c r="H878" s="69"/>
      <c r="I878" s="70"/>
      <c r="J878" s="70"/>
      <c r="K878" s="69"/>
      <c r="L878" s="69"/>
      <c r="M878" s="69"/>
      <c r="N878" s="69"/>
      <c r="O878" s="69"/>
      <c r="P878" s="69"/>
      <c r="Q878" s="92"/>
      <c r="R878" s="92"/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1162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143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22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53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54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1162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153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154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59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150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149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58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26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145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89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146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155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156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29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30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147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8" width="9.140625" style="202"/>
    <col min="19" max="19" width="2.7109375" style="202" customWidth="1"/>
    <col min="20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4" t="s">
        <v>1162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"/>
      <c r="C45" s="24" t="s">
        <v>132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"/>
      <c r="C46" s="24" t="s">
        <v>123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"/>
      <c r="C48" s="25" t="s">
        <v>133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8" x14ac:dyDescent="0.2">
      <c r="B49" s="2"/>
      <c r="C49" s="24" t="s">
        <v>137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"/>
    </row>
    <row r="50" spans="2:18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"/>
    </row>
    <row r="51" spans="2:18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8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8" x14ac:dyDescent="0.2">
      <c r="C53" s="171"/>
      <c r="D53" s="171"/>
      <c r="E53" s="171"/>
      <c r="F53" s="171"/>
      <c r="G53" s="171"/>
      <c r="H53" s="171"/>
    </row>
    <row r="54" spans="2:18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4" t="s">
        <v>1162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24" t="s">
        <v>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24" t="s">
        <v>14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8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8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1162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157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55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17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1162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158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113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119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7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127</v>
      </c>
      <c r="C5" s="226"/>
      <c r="D5" s="226"/>
      <c r="E5" s="226"/>
      <c r="F5" s="208" t="s">
        <v>1163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92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106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107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95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16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159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160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5" t="s">
        <v>91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5" t="s">
        <v>166</v>
      </c>
      <c r="C25" s="365" t="s">
        <v>120</v>
      </c>
      <c r="D25" s="365" t="s">
        <v>121</v>
      </c>
      <c r="E25" s="366" t="s">
        <v>36</v>
      </c>
      <c r="F25" s="366" t="s">
        <v>141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6"/>
      <c r="C26" s="365"/>
      <c r="D26" s="365"/>
      <c r="E26" s="367"/>
      <c r="F26" s="367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338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338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1">
        <v>41882</v>
      </c>
      <c r="C192" s="337">
        <v>6.0087006835937512E-2</v>
      </c>
      <c r="D192" s="336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  <row r="193" spans="2:13" x14ac:dyDescent="0.2">
      <c r="B193" s="340">
        <v>41912</v>
      </c>
      <c r="C193" s="339">
        <v>5.9308852539062498E-2</v>
      </c>
      <c r="D193" s="336">
        <v>4.7353837554251488E-2</v>
      </c>
      <c r="E193" s="51"/>
      <c r="F193" s="51"/>
      <c r="G193" s="51"/>
      <c r="H193" s="51"/>
      <c r="I193" s="51"/>
      <c r="J193" s="56"/>
      <c r="K193" s="56"/>
      <c r="L193" s="56"/>
      <c r="M193" s="56"/>
    </row>
    <row r="194" spans="2:13" x14ac:dyDescent="0.2">
      <c r="B194" s="342">
        <v>41943</v>
      </c>
      <c r="C194" s="343">
        <v>6.1238891601562498E-2</v>
      </c>
      <c r="D194" s="336">
        <v>4.9283665742172023E-2</v>
      </c>
      <c r="E194" s="51"/>
      <c r="F194" s="51"/>
      <c r="G194" s="51"/>
      <c r="H194" s="51"/>
      <c r="I194" s="51"/>
      <c r="J194" s="56"/>
      <c r="K194" s="56"/>
      <c r="L194" s="56"/>
      <c r="M194" s="56"/>
    </row>
    <row r="195" spans="2:13" x14ac:dyDescent="0.2">
      <c r="B195" s="349">
        <v>41973</v>
      </c>
      <c r="C195" s="348">
        <v>6.3145004882812508E-2</v>
      </c>
      <c r="D195" s="336">
        <v>5.1296585932272709E-2</v>
      </c>
      <c r="E195" s="51"/>
      <c r="F195" s="51"/>
      <c r="G195" s="51"/>
      <c r="H195" s="51"/>
      <c r="I195" s="51"/>
      <c r="J195" s="56"/>
      <c r="K195" s="56"/>
      <c r="L195" s="56"/>
      <c r="M195" s="56"/>
    </row>
    <row r="196" spans="2:13" x14ac:dyDescent="0.2">
      <c r="B196" s="353">
        <v>42004</v>
      </c>
      <c r="C196" s="352">
        <v>6.4257553710937484E-2</v>
      </c>
      <c r="D196" s="336">
        <v>5.2363437649265432E-2</v>
      </c>
      <c r="E196" s="354">
        <v>2.4825893554687499E-2</v>
      </c>
      <c r="F196" s="351">
        <v>1.3372464750312618E-2</v>
      </c>
      <c r="G196" s="51"/>
      <c r="H196" s="51"/>
      <c r="I196" s="51"/>
      <c r="J196" s="56"/>
      <c r="K196" s="56"/>
      <c r="L196" s="56"/>
      <c r="M196" s="56"/>
    </row>
    <row r="197" spans="2:13" ht="20.100000000000001" customHeight="1" x14ac:dyDescent="0.2">
      <c r="B197" s="349"/>
      <c r="C197" s="348"/>
      <c r="D197" s="336"/>
      <c r="E197" s="51"/>
      <c r="F197" s="51"/>
      <c r="G197" s="51"/>
      <c r="H197" s="51"/>
      <c r="I197" s="51"/>
      <c r="J197" s="56"/>
      <c r="K197" s="56"/>
      <c r="L197" s="56"/>
      <c r="M197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T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5" width="12.85546875" style="137" customWidth="1"/>
    <col min="16" max="16" width="12.7109375" style="137" customWidth="1"/>
    <col min="17" max="21" width="10.7109375" style="137" customWidth="1"/>
    <col min="22" max="42" width="10.140625" style="137" customWidth="1"/>
    <col min="43" max="16384" width="9.140625" style="137"/>
  </cols>
  <sheetData>
    <row r="2" spans="1:20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</row>
    <row r="3" spans="1:20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</row>
    <row r="4" spans="1:20" x14ac:dyDescent="0.2">
      <c r="A4" s="137" t="s">
        <v>96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</row>
    <row r="5" spans="1:20" ht="18" x14ac:dyDescent="0.25">
      <c r="B5" s="271" t="s">
        <v>128</v>
      </c>
      <c r="C5" s="51"/>
      <c r="D5" s="51"/>
      <c r="E5" s="51"/>
      <c r="F5" s="51"/>
      <c r="G5" s="51"/>
      <c r="H5" s="51"/>
      <c r="I5" s="24" t="s">
        <v>1162</v>
      </c>
      <c r="J5" s="56"/>
      <c r="K5" s="56"/>
      <c r="L5" s="56"/>
      <c r="M5" s="56"/>
      <c r="N5" s="56"/>
      <c r="O5" s="56"/>
      <c r="P5" s="149"/>
    </row>
    <row r="6" spans="1:20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</row>
    <row r="7" spans="1:20" x14ac:dyDescent="0.2">
      <c r="B7" s="25" t="s">
        <v>124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272"/>
    </row>
    <row r="8" spans="1:20" x14ac:dyDescent="0.2">
      <c r="B8" s="25" t="s">
        <v>125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</row>
    <row r="9" spans="1:20" x14ac:dyDescent="0.2">
      <c r="B9" s="25" t="s">
        <v>126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</row>
    <row r="10" spans="1:20" s="253" customFormat="1" x14ac:dyDescent="0.2">
      <c r="B10" s="272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273"/>
    </row>
    <row r="11" spans="1:20" s="253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</row>
    <row r="12" spans="1:20" s="253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</row>
    <row r="13" spans="1:20" s="221" customFormat="1" ht="12.75" customHeight="1" x14ac:dyDescent="0.2">
      <c r="B13" s="273"/>
      <c r="C13" s="274"/>
      <c r="D13" s="274"/>
      <c r="E13" s="274"/>
      <c r="F13" s="274"/>
      <c r="G13" s="274"/>
      <c r="H13" s="274"/>
      <c r="I13" s="273"/>
      <c r="J13" s="275"/>
      <c r="K13" s="275"/>
      <c r="L13" s="275"/>
      <c r="M13" s="275"/>
      <c r="N13" s="275"/>
      <c r="O13" s="275"/>
      <c r="P13" s="275"/>
      <c r="Q13" s="255"/>
      <c r="R13" s="255"/>
      <c r="S13" s="255"/>
      <c r="T13" s="255"/>
    </row>
    <row r="14" spans="1:20" s="256" customFormat="1" x14ac:dyDescent="0.2">
      <c r="B14" s="318" t="s">
        <v>88</v>
      </c>
      <c r="C14" s="319">
        <v>2001</v>
      </c>
      <c r="D14" s="319">
        <v>2002</v>
      </c>
      <c r="E14" s="319">
        <v>2003</v>
      </c>
      <c r="F14" s="319">
        <v>2004</v>
      </c>
      <c r="G14" s="319">
        <v>2005</v>
      </c>
      <c r="H14" s="320">
        <v>39082</v>
      </c>
      <c r="I14" s="319">
        <v>2007</v>
      </c>
      <c r="J14" s="319">
        <v>2008</v>
      </c>
      <c r="K14" s="323">
        <v>2009</v>
      </c>
      <c r="L14" s="323">
        <v>2010</v>
      </c>
      <c r="M14" s="323">
        <v>2011</v>
      </c>
      <c r="N14" s="323">
        <v>2012</v>
      </c>
      <c r="O14" s="321">
        <v>41639</v>
      </c>
      <c r="P14" s="324">
        <v>42004</v>
      </c>
      <c r="Q14" s="257"/>
      <c r="R14" s="258"/>
    </row>
    <row r="15" spans="1:20" ht="20.100000000000001" customHeight="1" x14ac:dyDescent="0.2">
      <c r="B15" s="25" t="s">
        <v>163</v>
      </c>
      <c r="C15" s="344">
        <v>-0.111</v>
      </c>
      <c r="D15" s="345">
        <v>-0.31223079839764201</v>
      </c>
      <c r="E15" s="345">
        <v>0.1782730775091621</v>
      </c>
      <c r="F15" s="345">
        <v>8.7501758829949594E-2</v>
      </c>
      <c r="G15" s="345">
        <v>0.30552648011758543</v>
      </c>
      <c r="H15" s="345">
        <v>0.12140116450721394</v>
      </c>
      <c r="I15" s="345">
        <v>5.6636805614445285E-2</v>
      </c>
      <c r="J15" s="345">
        <v>-0.34156819000074978</v>
      </c>
      <c r="K15" s="345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0.20699999999999999</v>
      </c>
      <c r="Q15" s="260"/>
      <c r="S15" s="261"/>
    </row>
    <row r="16" spans="1:20" ht="20.100000000000001" customHeight="1" x14ac:dyDescent="0.2">
      <c r="B16" s="282" t="s">
        <v>164</v>
      </c>
      <c r="C16" s="346">
        <v>-0.106</v>
      </c>
      <c r="D16" s="346">
        <v>-0.26700000000000002</v>
      </c>
      <c r="E16" s="346">
        <v>0.187</v>
      </c>
      <c r="F16" s="346">
        <v>0.10100000000000001</v>
      </c>
      <c r="G16" s="346">
        <v>0.251</v>
      </c>
      <c r="H16" s="346">
        <v>0.105</v>
      </c>
      <c r="I16" s="346">
        <v>4.7E-2</v>
      </c>
      <c r="J16" s="347">
        <v>-0.36199999999999999</v>
      </c>
      <c r="K16" s="347">
        <v>0.35141800246609134</v>
      </c>
      <c r="L16" s="284">
        <v>0.14644453351666153</v>
      </c>
      <c r="M16" s="283">
        <v>-0.10536246609942557</v>
      </c>
      <c r="N16" s="283">
        <v>0.17497988455497548</v>
      </c>
      <c r="O16" s="283">
        <v>0.318</v>
      </c>
      <c r="P16" s="283">
        <v>0.29099999999999998</v>
      </c>
      <c r="Q16" s="262"/>
      <c r="S16" s="261"/>
    </row>
    <row r="17" spans="1:19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68"/>
      <c r="Q17" s="263"/>
      <c r="S17" s="261"/>
    </row>
    <row r="18" spans="1:19" x14ac:dyDescent="0.2">
      <c r="B18" s="281" t="s">
        <v>161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277"/>
      <c r="Q18" s="264"/>
      <c r="S18" s="261"/>
    </row>
    <row r="19" spans="1:19" x14ac:dyDescent="0.2">
      <c r="B19" s="281" t="s">
        <v>162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5"/>
      <c r="Q19" s="266"/>
      <c r="S19" s="261"/>
    </row>
    <row r="20" spans="1:19" ht="20.100000000000001" customHeight="1" x14ac:dyDescent="0.2">
      <c r="A20" s="253"/>
      <c r="B20" s="56"/>
      <c r="C20" s="278"/>
      <c r="D20" s="278"/>
      <c r="E20" s="278"/>
      <c r="F20" s="278"/>
      <c r="G20" s="278"/>
      <c r="H20" s="278"/>
      <c r="I20" s="278"/>
      <c r="J20" s="278"/>
      <c r="K20" s="278"/>
      <c r="L20" s="279"/>
      <c r="M20" s="54"/>
      <c r="N20" s="280"/>
      <c r="O20" s="56"/>
      <c r="P20" s="55"/>
      <c r="Q20" s="266"/>
      <c r="S20" s="261"/>
    </row>
    <row r="21" spans="1:19" x14ac:dyDescent="0.2">
      <c r="A21" s="253"/>
      <c r="F21" s="267"/>
      <c r="G21" s="267"/>
      <c r="H21" s="267"/>
      <c r="I21" s="267"/>
      <c r="J21" s="267"/>
      <c r="K21" s="267"/>
      <c r="L21" s="269"/>
      <c r="M21" s="253"/>
      <c r="N21" s="268"/>
      <c r="P21" s="265"/>
      <c r="Q21" s="266"/>
      <c r="S21" s="261"/>
    </row>
    <row r="22" spans="1:19" x14ac:dyDescent="0.2">
      <c r="A22" s="253"/>
      <c r="F22" s="254"/>
      <c r="G22" s="254"/>
      <c r="H22" s="254"/>
      <c r="I22" s="254"/>
      <c r="J22" s="253"/>
      <c r="K22" s="253"/>
      <c r="L22" s="253"/>
      <c r="M22" s="253"/>
      <c r="N22" s="268"/>
      <c r="P22" s="265"/>
      <c r="Q22" s="266"/>
      <c r="S22" s="261"/>
    </row>
    <row r="23" spans="1:19" x14ac:dyDescent="0.2">
      <c r="F23" s="224"/>
      <c r="G23" s="224"/>
      <c r="H23" s="224"/>
      <c r="I23" s="224"/>
      <c r="K23" s="141"/>
      <c r="L23" s="141"/>
      <c r="P23" s="265"/>
      <c r="Q23" s="266"/>
      <c r="S23" s="261"/>
    </row>
    <row r="24" spans="1:19" x14ac:dyDescent="0.2">
      <c r="B24" s="171"/>
      <c r="C24" s="171"/>
      <c r="D24" s="171"/>
      <c r="E24" s="267"/>
      <c r="F24" s="224"/>
      <c r="G24" s="224"/>
      <c r="H24" s="224"/>
      <c r="I24" s="224"/>
      <c r="K24" s="141"/>
      <c r="L24" s="141"/>
      <c r="P24" s="265"/>
      <c r="Q24" s="266"/>
      <c r="S24" s="261"/>
    </row>
    <row r="25" spans="1:19" x14ac:dyDescent="0.2">
      <c r="B25" s="171"/>
      <c r="C25" s="171"/>
      <c r="D25" s="171"/>
      <c r="E25" s="254"/>
      <c r="F25" s="171"/>
      <c r="G25" s="171"/>
      <c r="H25" s="224"/>
      <c r="I25" s="224"/>
      <c r="K25" s="141"/>
      <c r="L25" s="141"/>
      <c r="M25" s="265"/>
      <c r="N25" s="268"/>
      <c r="O25" s="268"/>
      <c r="P25" s="266"/>
      <c r="Q25" s="262"/>
    </row>
    <row r="26" spans="1:19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5"/>
      <c r="O26" s="261"/>
    </row>
    <row r="27" spans="1:19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5"/>
      <c r="M27" s="266"/>
      <c r="N27" s="266"/>
    </row>
    <row r="28" spans="1:19" x14ac:dyDescent="0.2">
      <c r="B28" s="171"/>
      <c r="C28" s="171"/>
      <c r="D28" s="171"/>
      <c r="E28" s="171"/>
      <c r="F28" s="171"/>
      <c r="G28" s="171"/>
      <c r="H28" s="224"/>
      <c r="I28" s="224"/>
      <c r="J28" s="266"/>
      <c r="K28" s="141"/>
      <c r="M28" s="266"/>
      <c r="N28" s="261"/>
    </row>
    <row r="29" spans="1:19" x14ac:dyDescent="0.2">
      <c r="E29" s="171"/>
      <c r="F29" s="171"/>
      <c r="G29" s="171"/>
      <c r="H29" s="224"/>
      <c r="I29" s="224"/>
      <c r="K29" s="145"/>
      <c r="M29" s="266"/>
      <c r="N29" s="261"/>
    </row>
    <row r="30" spans="1:19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1"/>
    </row>
    <row r="31" spans="1:19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1"/>
    </row>
    <row r="32" spans="1:19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ht="14.25" x14ac:dyDescent="0.2">
      <c r="B35" s="270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16" width="10.7109375" style="137" customWidth="1"/>
    <col min="17" max="17" width="12.7109375" style="137" customWidth="1"/>
    <col min="18" max="21" width="10.7109375" style="137" customWidth="1"/>
    <col min="22" max="42" width="10.140625" style="137" customWidth="1"/>
    <col min="43" max="16384" width="9.140625" style="137"/>
  </cols>
  <sheetData>
    <row r="2" spans="1:27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7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7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7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</row>
    <row r="6" spans="1:27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1162</v>
      </c>
      <c r="K6" s="56"/>
      <c r="L6" s="56"/>
      <c r="M6" s="56"/>
      <c r="N6" s="56"/>
      <c r="O6" s="56"/>
      <c r="P6" s="149"/>
      <c r="Q6" s="56"/>
    </row>
    <row r="7" spans="1:27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</row>
    <row r="8" spans="1:27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  <c r="Q8" s="56"/>
    </row>
    <row r="9" spans="1:27" x14ac:dyDescent="0.2">
      <c r="B9" s="289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  <c r="Q9" s="56"/>
    </row>
    <row r="10" spans="1:27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2"/>
      <c r="Q10" s="56"/>
    </row>
    <row r="11" spans="1:27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2"/>
      <c r="Q11" s="56"/>
    </row>
    <row r="12" spans="1:27" x14ac:dyDescent="0.2">
      <c r="B12" s="272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</row>
    <row r="13" spans="1:27" ht="39" customHeight="1" x14ac:dyDescent="0.2">
      <c r="B13" s="272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</row>
    <row r="14" spans="1:27" s="221" customFormat="1" ht="12.75" customHeight="1" x14ac:dyDescent="0.2">
      <c r="B14" s="273"/>
      <c r="C14" s="274"/>
      <c r="D14" s="274"/>
      <c r="E14" s="274"/>
      <c r="F14" s="274"/>
      <c r="G14" s="274"/>
      <c r="H14" s="274"/>
      <c r="I14" s="273"/>
      <c r="J14" s="275"/>
      <c r="K14" s="275"/>
      <c r="L14" s="275"/>
      <c r="M14" s="275"/>
      <c r="N14" s="275"/>
      <c r="O14" s="275"/>
      <c r="P14" s="275"/>
      <c r="Q14" s="275"/>
      <c r="R14" s="255"/>
      <c r="S14" s="255"/>
      <c r="T14" s="255"/>
    </row>
    <row r="15" spans="1:27" s="221" customFormat="1" ht="20.100000000000001" customHeight="1" x14ac:dyDescent="0.2">
      <c r="A15" s="256"/>
      <c r="B15" s="318"/>
      <c r="C15" s="319">
        <v>2000</v>
      </c>
      <c r="D15" s="319">
        <v>2001</v>
      </c>
      <c r="E15" s="319">
        <v>2002</v>
      </c>
      <c r="F15" s="319">
        <v>2003</v>
      </c>
      <c r="G15" s="319">
        <v>2004</v>
      </c>
      <c r="H15" s="319">
        <v>2005</v>
      </c>
      <c r="I15" s="320">
        <v>39082</v>
      </c>
      <c r="J15" s="320">
        <v>39447</v>
      </c>
      <c r="K15" s="320">
        <v>39448</v>
      </c>
      <c r="L15" s="320">
        <v>40178</v>
      </c>
      <c r="M15" s="321">
        <v>40543</v>
      </c>
      <c r="N15" s="321">
        <v>40908</v>
      </c>
      <c r="O15" s="321">
        <v>41274</v>
      </c>
      <c r="P15" s="320">
        <v>41639</v>
      </c>
      <c r="Q15" s="322">
        <v>42004</v>
      </c>
      <c r="R15" s="256"/>
      <c r="S15" s="256"/>
      <c r="T15" s="256"/>
      <c r="U15" s="256"/>
      <c r="V15" s="256"/>
      <c r="W15" s="256"/>
      <c r="X15" s="256"/>
      <c r="Y15" s="256"/>
      <c r="Z15" s="256"/>
      <c r="AA15" s="256"/>
    </row>
    <row r="16" spans="1:27" x14ac:dyDescent="0.2">
      <c r="B16" s="56" t="s">
        <v>99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0">
        <v>323.04324834873717</v>
      </c>
      <c r="N16" s="290">
        <v>354.29697772737427</v>
      </c>
      <c r="O16" s="50">
        <v>387</v>
      </c>
      <c r="P16" s="50">
        <v>421</v>
      </c>
      <c r="Q16" s="50">
        <v>456</v>
      </c>
    </row>
    <row r="17" spans="2:18" x14ac:dyDescent="0.2">
      <c r="B17" s="327" t="s">
        <v>100</v>
      </c>
      <c r="C17" s="328">
        <v>52.735199475111202</v>
      </c>
      <c r="D17" s="328">
        <v>65.023593666597904</v>
      </c>
      <c r="E17" s="328">
        <v>59.275358189472996</v>
      </c>
      <c r="F17" s="328">
        <v>93.920076415257597</v>
      </c>
      <c r="G17" s="328">
        <v>124.75628531142399</v>
      </c>
      <c r="H17" s="328">
        <v>192.35696213467801</v>
      </c>
      <c r="I17" s="328">
        <v>267</v>
      </c>
      <c r="J17" s="328">
        <v>308.29568458589898</v>
      </c>
      <c r="K17" s="328">
        <v>230.23493756186801</v>
      </c>
      <c r="L17" s="329">
        <v>340.16227208294498</v>
      </c>
      <c r="M17" s="330">
        <v>408.47751268748601</v>
      </c>
      <c r="N17" s="330">
        <v>393.15689279941199</v>
      </c>
      <c r="O17" s="328">
        <v>471</v>
      </c>
      <c r="P17" s="328">
        <v>602</v>
      </c>
      <c r="Q17" s="328">
        <v>759</v>
      </c>
    </row>
    <row r="18" spans="2:18" ht="20.100000000000001" customHeight="1" x14ac:dyDescent="0.2">
      <c r="B18" s="56"/>
      <c r="C18" s="276"/>
      <c r="D18" s="276"/>
      <c r="E18" s="276"/>
      <c r="F18" s="276"/>
      <c r="G18" s="276"/>
      <c r="H18" s="276"/>
      <c r="I18" s="276"/>
      <c r="J18" s="56"/>
      <c r="K18" s="50"/>
      <c r="L18" s="56"/>
      <c r="M18" s="56"/>
      <c r="N18" s="290"/>
      <c r="O18" s="56"/>
      <c r="P18" s="56"/>
      <c r="Q18" s="56"/>
    </row>
    <row r="19" spans="2:18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6"/>
      <c r="N19" s="261"/>
    </row>
    <row r="20" spans="2:18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1"/>
      <c r="P20" s="253"/>
      <c r="Q20" s="253"/>
      <c r="R20" s="253"/>
    </row>
    <row r="21" spans="2:18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1"/>
      <c r="P21" s="253"/>
      <c r="Q21" s="174"/>
      <c r="R21" s="253"/>
    </row>
    <row r="22" spans="2:18" x14ac:dyDescent="0.2">
      <c r="B22" s="287"/>
      <c r="C22" s="224"/>
      <c r="D22" s="224"/>
      <c r="E22" s="224"/>
      <c r="F22" s="224"/>
      <c r="G22" s="224"/>
      <c r="H22" s="224"/>
      <c r="I22" s="224"/>
      <c r="K22" s="141"/>
      <c r="L22" s="287"/>
      <c r="N22" s="261"/>
      <c r="P22" s="253"/>
      <c r="Q22" s="174"/>
      <c r="R22" s="253"/>
    </row>
    <row r="23" spans="2:18" x14ac:dyDescent="0.2">
      <c r="B23" s="287"/>
      <c r="C23" s="224"/>
      <c r="D23" s="224"/>
      <c r="E23" s="224"/>
      <c r="F23" s="224"/>
      <c r="G23" s="288"/>
      <c r="H23" s="288"/>
      <c r="I23" s="224"/>
      <c r="K23" s="141"/>
      <c r="N23" s="261"/>
      <c r="P23" s="253"/>
      <c r="Q23" s="253"/>
      <c r="R23" s="253"/>
    </row>
    <row r="24" spans="2:18" x14ac:dyDescent="0.2">
      <c r="B24" s="224"/>
      <c r="C24" s="224"/>
      <c r="D24" s="224"/>
      <c r="E24" s="224"/>
      <c r="F24" s="224"/>
      <c r="G24" s="288"/>
      <c r="H24" s="288"/>
      <c r="K24" s="141"/>
      <c r="N24" s="261"/>
      <c r="P24" s="253"/>
      <c r="Q24" s="253"/>
      <c r="R24" s="253"/>
    </row>
    <row r="25" spans="2:18" x14ac:dyDescent="0.2">
      <c r="B25" s="224"/>
      <c r="C25" s="224"/>
      <c r="D25" s="224"/>
      <c r="E25" s="224"/>
      <c r="F25" s="224"/>
      <c r="G25" s="288"/>
      <c r="H25" s="288"/>
      <c r="K25" s="141"/>
      <c r="N25" s="261"/>
    </row>
    <row r="26" spans="2:18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1"/>
    </row>
    <row r="27" spans="2:18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1"/>
    </row>
    <row r="28" spans="2:18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1"/>
    </row>
    <row r="29" spans="2:18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1"/>
    </row>
    <row r="30" spans="2:18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1"/>
    </row>
    <row r="31" spans="2:18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1"/>
    </row>
    <row r="32" spans="2:18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1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1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1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5"/>
  <sheetViews>
    <sheetView showGridLines="0" showRowColHeaders="0" workbookViewId="0">
      <pane ySplit="23" topLeftCell="A176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x14ac:dyDescent="0.2">
      <c r="B2" s="56"/>
      <c r="C2" s="56"/>
      <c r="D2" s="56"/>
      <c r="E2" s="56"/>
      <c r="F2" s="56"/>
      <c r="G2" s="56"/>
      <c r="H2" s="56"/>
    </row>
    <row r="3" spans="2:1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1" t="s">
        <v>129</v>
      </c>
      <c r="C5" s="56"/>
      <c r="D5" s="56"/>
      <c r="E5" s="56"/>
      <c r="F5" s="56"/>
      <c r="G5" s="56"/>
      <c r="H5" s="56"/>
      <c r="I5" s="252"/>
      <c r="K5" s="252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2"/>
    </row>
    <row r="7" spans="2:11" x14ac:dyDescent="0.2">
      <c r="B7" s="24" t="s">
        <v>1162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2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165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167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168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1"/>
      <c r="K14" s="146"/>
    </row>
    <row r="15" spans="2:11" x14ac:dyDescent="0.2">
      <c r="B15" s="25" t="s">
        <v>109</v>
      </c>
      <c r="C15" s="56"/>
      <c r="D15" s="56"/>
      <c r="E15" s="56"/>
      <c r="F15" s="56"/>
      <c r="G15" s="56"/>
      <c r="H15" s="56"/>
      <c r="I15" s="291"/>
      <c r="K15" s="146"/>
    </row>
    <row r="16" spans="2:11" x14ac:dyDescent="0.2">
      <c r="B16" s="272"/>
      <c r="C16" s="56"/>
      <c r="D16" s="56"/>
      <c r="E16" s="56"/>
      <c r="F16" s="56"/>
      <c r="G16" s="56"/>
      <c r="H16" s="56"/>
      <c r="I16" s="291"/>
      <c r="K16" s="146"/>
    </row>
    <row r="17" spans="2:22" x14ac:dyDescent="0.2">
      <c r="B17" s="272"/>
      <c r="C17" s="56"/>
      <c r="D17" s="56"/>
      <c r="E17" s="56"/>
      <c r="F17" s="56"/>
      <c r="G17" s="56"/>
      <c r="H17" s="56"/>
      <c r="I17" s="291"/>
      <c r="K17" s="146"/>
    </row>
    <row r="18" spans="2:22" x14ac:dyDescent="0.2">
      <c r="B18" s="272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0"/>
      <c r="D19" s="300"/>
      <c r="E19" s="300"/>
      <c r="F19" s="300"/>
      <c r="G19" s="300"/>
      <c r="H19" s="300"/>
      <c r="I19" s="146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53"/>
    </row>
    <row r="20" spans="2:22" x14ac:dyDescent="0.2">
      <c r="B20" s="56"/>
      <c r="C20" s="301"/>
      <c r="D20" s="301"/>
      <c r="E20" s="301"/>
      <c r="F20" s="301"/>
      <c r="G20" s="301"/>
      <c r="H20" s="301"/>
      <c r="I20" s="146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53"/>
    </row>
    <row r="21" spans="2:22" x14ac:dyDescent="0.2">
      <c r="B21" s="272"/>
      <c r="C21" s="301"/>
      <c r="D21" s="301"/>
      <c r="E21" s="301"/>
      <c r="F21" s="301"/>
      <c r="G21" s="301"/>
      <c r="H21" s="301"/>
      <c r="I21" s="293"/>
      <c r="K21" s="146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53"/>
    </row>
    <row r="22" spans="2:22" s="221" customFormat="1" ht="12.75" customHeight="1" x14ac:dyDescent="0.2">
      <c r="B22" s="316" t="s">
        <v>166</v>
      </c>
      <c r="C22" s="369" t="s">
        <v>10</v>
      </c>
      <c r="D22" s="369" t="s">
        <v>11</v>
      </c>
      <c r="E22" s="369" t="s">
        <v>93</v>
      </c>
      <c r="F22" s="369" t="s">
        <v>94</v>
      </c>
      <c r="G22" s="275"/>
      <c r="H22" s="275"/>
      <c r="I22" s="255"/>
      <c r="K22" s="255"/>
      <c r="L22" s="368"/>
      <c r="M22" s="368"/>
      <c r="N22" s="368"/>
      <c r="O22" s="368"/>
      <c r="P22" s="255"/>
      <c r="Q22" s="255"/>
    </row>
    <row r="23" spans="2:22" s="221" customFormat="1" x14ac:dyDescent="0.2">
      <c r="B23" s="317"/>
      <c r="C23" s="369"/>
      <c r="D23" s="369"/>
      <c r="E23" s="369"/>
      <c r="F23" s="369"/>
      <c r="G23" s="302"/>
      <c r="H23" s="303"/>
      <c r="I23" s="295"/>
      <c r="K23" s="294"/>
      <c r="L23" s="368"/>
      <c r="M23" s="368"/>
      <c r="N23" s="368"/>
      <c r="O23" s="368"/>
      <c r="P23" s="295"/>
      <c r="Q23" s="296"/>
    </row>
    <row r="24" spans="2:22" x14ac:dyDescent="0.2">
      <c r="B24" s="304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4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4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4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4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4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4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4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4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4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4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4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4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4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4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4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4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4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4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4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4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4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4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4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4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4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4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4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4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4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4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4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4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4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4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4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4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4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4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4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4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4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4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4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4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4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4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4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4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4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4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4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4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4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4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4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4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4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4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4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4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4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4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4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4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4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4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4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5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299"/>
      <c r="L92" s="224"/>
      <c r="M92" s="224"/>
      <c r="N92" s="224"/>
      <c r="O92" s="224"/>
    </row>
    <row r="93" spans="2:17" x14ac:dyDescent="0.2">
      <c r="B93" s="304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5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299"/>
      <c r="L94" s="224"/>
      <c r="M94" s="224"/>
      <c r="N94" s="224"/>
      <c r="O94" s="224"/>
    </row>
    <row r="95" spans="2:17" x14ac:dyDescent="0.2">
      <c r="B95" s="305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299"/>
      <c r="L95" s="224"/>
      <c r="M95" s="224"/>
      <c r="N95" s="224"/>
      <c r="O95" s="224"/>
    </row>
    <row r="96" spans="2:17" x14ac:dyDescent="0.2">
      <c r="B96" s="305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299"/>
      <c r="L96" s="224"/>
      <c r="M96" s="224"/>
      <c r="N96" s="224"/>
      <c r="O96" s="224"/>
    </row>
    <row r="97" spans="2:17" x14ac:dyDescent="0.2">
      <c r="B97" s="304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4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4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4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6"/>
      <c r="H100" s="306"/>
      <c r="I100" s="266"/>
      <c r="K100" s="225"/>
      <c r="L100" s="224"/>
      <c r="M100" s="224"/>
      <c r="N100" s="224"/>
      <c r="O100" s="224"/>
      <c r="P100" s="266"/>
      <c r="Q100" s="266"/>
    </row>
    <row r="101" spans="2:17" x14ac:dyDescent="0.2">
      <c r="B101" s="304">
        <v>39202</v>
      </c>
      <c r="C101" s="250">
        <v>2.5673479879851469E-2</v>
      </c>
      <c r="D101" s="276">
        <v>9.9017579650937382E-3</v>
      </c>
      <c r="E101" s="250">
        <v>0.17663535705172673</v>
      </c>
      <c r="F101" s="250">
        <v>6.6641734695774613E-2</v>
      </c>
      <c r="G101" s="306"/>
      <c r="H101" s="306"/>
      <c r="I101" s="266"/>
      <c r="K101" s="225"/>
      <c r="L101" s="224"/>
      <c r="M101" s="259"/>
      <c r="N101" s="224"/>
      <c r="O101" s="224"/>
      <c r="P101" s="266"/>
      <c r="Q101" s="266"/>
    </row>
    <row r="102" spans="2:17" x14ac:dyDescent="0.2">
      <c r="B102" s="305">
        <v>39233</v>
      </c>
      <c r="C102" s="250">
        <v>2.9137083472588143E-2</v>
      </c>
      <c r="D102" s="276">
        <v>1.3685123987246861E-2</v>
      </c>
      <c r="E102" s="250">
        <v>0.20524677975003369</v>
      </c>
      <c r="F102" s="250">
        <v>9.3748545807426531E-2</v>
      </c>
      <c r="G102" s="306"/>
      <c r="H102" s="306"/>
      <c r="I102" s="266"/>
      <c r="K102" s="298"/>
      <c r="L102" s="224"/>
      <c r="M102" s="259"/>
      <c r="N102" s="224"/>
      <c r="O102" s="224"/>
      <c r="P102" s="266"/>
      <c r="Q102" s="266"/>
    </row>
    <row r="103" spans="2:17" x14ac:dyDescent="0.2">
      <c r="B103" s="305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6"/>
      <c r="H103" s="306"/>
      <c r="I103" s="266"/>
      <c r="K103" s="298"/>
      <c r="L103" s="224"/>
      <c r="M103" s="224"/>
      <c r="N103" s="224"/>
      <c r="O103" s="224"/>
      <c r="P103" s="266"/>
      <c r="Q103" s="266"/>
    </row>
    <row r="104" spans="2:17" x14ac:dyDescent="0.2">
      <c r="B104" s="305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298"/>
      <c r="L104" s="224"/>
      <c r="M104" s="224"/>
      <c r="N104" s="224"/>
      <c r="O104" s="224"/>
    </row>
    <row r="105" spans="2:17" x14ac:dyDescent="0.2">
      <c r="B105" s="304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7"/>
      <c r="L105" s="224"/>
      <c r="M105" s="224"/>
      <c r="N105" s="224"/>
      <c r="O105" s="224"/>
    </row>
    <row r="106" spans="2:17" x14ac:dyDescent="0.2">
      <c r="B106" s="304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4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4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4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4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4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4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4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4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4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4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4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4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4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4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299"/>
      <c r="L120" s="224"/>
      <c r="M120" s="224"/>
      <c r="N120" s="224"/>
      <c r="O120" s="224"/>
    </row>
    <row r="121" spans="2:17" x14ac:dyDescent="0.2">
      <c r="B121" s="304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299"/>
      <c r="L121" s="224"/>
      <c r="M121" s="224"/>
      <c r="N121" s="224"/>
      <c r="O121" s="224"/>
    </row>
    <row r="122" spans="2:17" x14ac:dyDescent="0.2">
      <c r="B122" s="304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299"/>
      <c r="L122" s="224"/>
      <c r="M122" s="224"/>
      <c r="N122" s="224"/>
      <c r="O122" s="224"/>
    </row>
    <row r="123" spans="2:17" x14ac:dyDescent="0.2">
      <c r="B123" s="304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299"/>
      <c r="L123" s="224"/>
      <c r="M123" s="224"/>
      <c r="N123" s="224"/>
      <c r="O123" s="224"/>
    </row>
    <row r="124" spans="2:17" x14ac:dyDescent="0.2">
      <c r="B124" s="304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4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4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4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4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4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4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4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4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4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4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4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4">
        <v>40268</v>
      </c>
      <c r="C136" s="307">
        <v>7.2714774332358623E-3</v>
      </c>
      <c r="D136" s="307">
        <v>-8.0466500837836907E-3</v>
      </c>
      <c r="E136" s="307">
        <v>6.9960321678838921E-2</v>
      </c>
      <c r="F136" s="308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4">
        <v>40298</v>
      </c>
      <c r="C137" s="307">
        <v>8.9710598371586237E-3</v>
      </c>
      <c r="D137" s="307">
        <v>-6.1150600541195477E-3</v>
      </c>
      <c r="E137" s="307">
        <v>8.7738537739706191E-2</v>
      </c>
      <c r="F137" s="308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4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4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4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4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4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4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4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4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4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5">
        <v>40602</v>
      </c>
      <c r="C147" s="307">
        <v>1.1757971236948661E-2</v>
      </c>
      <c r="D147" s="307">
        <v>-3.3122408109134138E-3</v>
      </c>
      <c r="E147" s="307">
        <v>0.127289614049932</v>
      </c>
      <c r="F147" s="308">
        <v>-3.2225550291120619E-2</v>
      </c>
      <c r="G147" s="56"/>
      <c r="H147" s="56"/>
    </row>
    <row r="148" spans="2:12" x14ac:dyDescent="0.2">
      <c r="B148" s="305">
        <v>40633</v>
      </c>
      <c r="C148" s="307">
        <v>1.2311686217160611E-2</v>
      </c>
      <c r="D148" s="307">
        <v>-3.9424626729700485E-3</v>
      </c>
      <c r="E148" s="307">
        <v>0.13478587383121199</v>
      </c>
      <c r="F148" s="308">
        <v>-3.8701592804297302E-2</v>
      </c>
      <c r="G148" s="56"/>
      <c r="H148" s="56"/>
    </row>
    <row r="149" spans="2:12" x14ac:dyDescent="0.2">
      <c r="B149" s="305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5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5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09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09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09">
        <v>40816</v>
      </c>
      <c r="C154" s="310">
        <v>-3.2258906758955153E-3</v>
      </c>
      <c r="D154" s="310">
        <v>-1.9457870608243777E-2</v>
      </c>
      <c r="E154" s="310">
        <v>-3.4398096944852075E-2</v>
      </c>
      <c r="F154" s="310">
        <v>-0.19063329206921498</v>
      </c>
      <c r="G154" s="56"/>
      <c r="H154" s="56"/>
    </row>
    <row r="155" spans="2:12" x14ac:dyDescent="0.2">
      <c r="B155" s="309">
        <v>40847</v>
      </c>
      <c r="C155" s="310">
        <v>2.7862013168424848E-3</v>
      </c>
      <c r="D155" s="310">
        <v>-1.3421994319146924E-2</v>
      </c>
      <c r="E155" s="310">
        <v>3.0839724905906474E-2</v>
      </c>
      <c r="F155" s="310">
        <v>-0.13597857273696135</v>
      </c>
      <c r="G155" s="56"/>
      <c r="H155" s="56"/>
    </row>
    <row r="156" spans="2:12" x14ac:dyDescent="0.2">
      <c r="B156" s="309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09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09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09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09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09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1">
        <v>41060</v>
      </c>
      <c r="C162" s="312">
        <v>6.3884371626934389E-3</v>
      </c>
      <c r="D162" s="312">
        <v>-9.5529530528657425E-3</v>
      </c>
      <c r="E162" s="312">
        <v>7.5981590412642186E-2</v>
      </c>
      <c r="F162" s="308">
        <v>-0.10332023030358439</v>
      </c>
      <c r="G162" s="56"/>
      <c r="H162" s="56"/>
    </row>
    <row r="163" spans="2:8" x14ac:dyDescent="0.2">
      <c r="B163" s="311">
        <v>41090</v>
      </c>
      <c r="C163" s="312">
        <v>6.9047494449268054E-3</v>
      </c>
      <c r="D163" s="312">
        <v>-8.716626672028549E-3</v>
      </c>
      <c r="E163" s="312">
        <v>8.2967716131719493E-2</v>
      </c>
      <c r="F163" s="308">
        <v>-9.525959921194882E-2</v>
      </c>
      <c r="G163" s="56"/>
      <c r="H163" s="56"/>
    </row>
    <row r="164" spans="2:8" x14ac:dyDescent="0.2">
      <c r="B164" s="311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3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3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3">
        <v>41213</v>
      </c>
      <c r="C167" s="314">
        <v>9.9967456049194769E-3</v>
      </c>
      <c r="D167" s="314">
        <v>-5.2719741961625433E-3</v>
      </c>
      <c r="E167" s="314">
        <v>0.12584782986895471</v>
      </c>
      <c r="F167" s="245">
        <v>-5.9854970257877227E-2</v>
      </c>
      <c r="G167" s="56"/>
      <c r="H167" s="56"/>
    </row>
    <row r="168" spans="2:8" x14ac:dyDescent="0.2">
      <c r="B168" s="313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5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3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3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3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3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3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3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3">
        <v>41486</v>
      </c>
      <c r="C176" s="314">
        <v>2.0298161417040772E-2</v>
      </c>
      <c r="D176" s="314">
        <v>6.0511896942254673E-3</v>
      </c>
      <c r="E176" s="314">
        <v>0.28986220667725471</v>
      </c>
      <c r="F176" s="245">
        <v>8.0678685039434983E-2</v>
      </c>
      <c r="G176" s="56"/>
      <c r="H176" s="56"/>
    </row>
    <row r="177" spans="2:8" x14ac:dyDescent="0.2">
      <c r="B177" s="313">
        <v>41517</v>
      </c>
      <c r="C177" s="314">
        <v>1.9116423868826615E-2</v>
      </c>
      <c r="D177" s="314">
        <v>4.9055777142639201E-3</v>
      </c>
      <c r="E177" s="314">
        <v>0.27307344187594884</v>
      </c>
      <c r="F177" s="245">
        <v>6.5627049390809988E-2</v>
      </c>
      <c r="G177" s="56"/>
      <c r="H177" s="56"/>
    </row>
    <row r="178" spans="2:8" x14ac:dyDescent="0.2">
      <c r="B178" s="313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3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3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3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3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3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3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3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3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3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3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3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13">
        <v>41912</v>
      </c>
      <c r="C190" s="250">
        <v>3.3000000000000002E-2</v>
      </c>
      <c r="D190" s="250">
        <v>0.02</v>
      </c>
      <c r="E190" s="250">
        <v>0.57499999999999996</v>
      </c>
      <c r="F190" s="250">
        <v>0.318</v>
      </c>
      <c r="G190" s="56"/>
      <c r="H190" s="56"/>
    </row>
    <row r="191" spans="2:8" x14ac:dyDescent="0.2">
      <c r="B191" s="313">
        <v>41943</v>
      </c>
      <c r="C191" s="250">
        <v>3.5000000000000003E-2</v>
      </c>
      <c r="D191" s="250">
        <v>2.1999999999999999E-2</v>
      </c>
      <c r="E191" s="250">
        <v>0.61399999999999999</v>
      </c>
      <c r="F191" s="250">
        <v>0.35</v>
      </c>
      <c r="G191" s="56"/>
      <c r="H191" s="56"/>
    </row>
    <row r="192" spans="2:8" x14ac:dyDescent="0.2">
      <c r="B192" s="313">
        <v>41973</v>
      </c>
      <c r="C192" s="250">
        <v>3.6999999999999998E-2</v>
      </c>
      <c r="D192" s="250">
        <v>2.3E-2</v>
      </c>
      <c r="E192" s="250">
        <v>0.65400000000000003</v>
      </c>
      <c r="F192" s="250">
        <v>0.38600000000000001</v>
      </c>
      <c r="G192" s="56"/>
      <c r="H192" s="56"/>
    </row>
    <row r="193" spans="2:8" x14ac:dyDescent="0.2">
      <c r="B193" s="313">
        <v>42004</v>
      </c>
      <c r="C193" s="250">
        <v>3.7999999999999999E-2</v>
      </c>
      <c r="D193" s="250">
        <v>2.5000000000000001E-2</v>
      </c>
      <c r="E193" s="250">
        <v>0.68300000000000005</v>
      </c>
      <c r="F193" s="250">
        <v>0.40799999999999997</v>
      </c>
      <c r="G193" s="56"/>
      <c r="H193" s="56"/>
    </row>
    <row r="194" spans="2:8" ht="20.100000000000001" customHeight="1" x14ac:dyDescent="0.2">
      <c r="B194" s="305"/>
      <c r="C194" s="250"/>
      <c r="D194" s="250"/>
      <c r="E194" s="250"/>
      <c r="F194" s="250"/>
      <c r="G194" s="56"/>
      <c r="H194" s="56"/>
    </row>
    <row r="195" spans="2:8" x14ac:dyDescent="0.2">
      <c r="B195" s="298"/>
      <c r="C195" s="224"/>
      <c r="D195" s="224"/>
      <c r="E195" s="224"/>
      <c r="F195" s="224"/>
    </row>
    <row r="196" spans="2:8" x14ac:dyDescent="0.2">
      <c r="B196" s="298"/>
      <c r="C196" s="224"/>
      <c r="D196" s="224"/>
      <c r="E196" s="224"/>
      <c r="F196" s="224"/>
    </row>
    <row r="197" spans="2:8" x14ac:dyDescent="0.2">
      <c r="B197" s="298"/>
      <c r="C197" s="224"/>
      <c r="D197" s="224"/>
      <c r="E197" s="224"/>
      <c r="F197" s="224"/>
    </row>
    <row r="198" spans="2:8" x14ac:dyDescent="0.2">
      <c r="B198" s="298"/>
      <c r="C198" s="224"/>
      <c r="D198" s="224"/>
      <c r="E198" s="224"/>
      <c r="F198" s="224"/>
    </row>
    <row r="199" spans="2:8" x14ac:dyDescent="0.2">
      <c r="B199" s="298"/>
      <c r="C199" s="224"/>
      <c r="D199" s="224"/>
      <c r="E199" s="224"/>
      <c r="F199" s="224"/>
    </row>
    <row r="200" spans="2:8" x14ac:dyDescent="0.2">
      <c r="B200" s="298"/>
      <c r="C200" s="224"/>
      <c r="D200" s="224"/>
      <c r="E200" s="224"/>
      <c r="F200" s="224"/>
    </row>
    <row r="201" spans="2:8" x14ac:dyDescent="0.2">
      <c r="B201" s="298"/>
      <c r="C201" s="224"/>
      <c r="D201" s="224"/>
      <c r="E201" s="224"/>
      <c r="F201" s="224"/>
    </row>
    <row r="202" spans="2:8" x14ac:dyDescent="0.2">
      <c r="B202" s="298"/>
      <c r="C202" s="224"/>
      <c r="D202" s="224"/>
      <c r="E202" s="224"/>
      <c r="F202" s="224"/>
    </row>
    <row r="203" spans="2:8" x14ac:dyDescent="0.2">
      <c r="B203" s="298"/>
      <c r="C203" s="224"/>
      <c r="D203" s="224"/>
      <c r="E203" s="224"/>
      <c r="F203" s="224"/>
    </row>
    <row r="204" spans="2:8" x14ac:dyDescent="0.2">
      <c r="B204" s="298"/>
      <c r="C204" s="224"/>
      <c r="D204" s="224"/>
      <c r="E204" s="224"/>
      <c r="F204" s="224"/>
    </row>
    <row r="205" spans="2:8" x14ac:dyDescent="0.2">
      <c r="B205" s="298"/>
      <c r="C205" s="224"/>
      <c r="D205" s="224"/>
      <c r="E205" s="224"/>
      <c r="F205" s="224"/>
    </row>
    <row r="206" spans="2:8" x14ac:dyDescent="0.2">
      <c r="B206" s="298"/>
      <c r="C206" s="224"/>
      <c r="D206" s="224"/>
      <c r="E206" s="224"/>
      <c r="F206" s="224"/>
    </row>
    <row r="207" spans="2:8" x14ac:dyDescent="0.2">
      <c r="B207" s="298"/>
      <c r="C207" s="224"/>
      <c r="D207" s="224"/>
      <c r="E207" s="224"/>
      <c r="F207" s="224"/>
    </row>
    <row r="208" spans="2:8" x14ac:dyDescent="0.2">
      <c r="B208" s="298"/>
      <c r="C208" s="224"/>
      <c r="D208" s="224"/>
      <c r="E208" s="224"/>
      <c r="F208" s="224"/>
    </row>
    <row r="209" spans="2:6" x14ac:dyDescent="0.2">
      <c r="B209" s="298"/>
      <c r="C209" s="224"/>
      <c r="D209" s="224"/>
      <c r="E209" s="224"/>
      <c r="F209" s="224"/>
    </row>
    <row r="210" spans="2:6" x14ac:dyDescent="0.2">
      <c r="B210" s="298"/>
      <c r="C210" s="224"/>
      <c r="D210" s="224"/>
      <c r="E210" s="224"/>
      <c r="F210" s="224"/>
    </row>
    <row r="211" spans="2:6" x14ac:dyDescent="0.2">
      <c r="B211" s="298"/>
      <c r="C211" s="224"/>
      <c r="D211" s="224"/>
      <c r="E211" s="224"/>
      <c r="F211" s="224"/>
    </row>
    <row r="212" spans="2:6" x14ac:dyDescent="0.2">
      <c r="B212" s="298"/>
      <c r="C212" s="224"/>
      <c r="D212" s="224"/>
      <c r="E212" s="224"/>
      <c r="F212" s="224"/>
    </row>
    <row r="213" spans="2:6" x14ac:dyDescent="0.2">
      <c r="B213" s="298"/>
      <c r="C213" s="224"/>
      <c r="D213" s="224"/>
      <c r="E213" s="224"/>
      <c r="F213" s="224"/>
    </row>
    <row r="214" spans="2:6" x14ac:dyDescent="0.2">
      <c r="B214" s="298"/>
      <c r="C214" s="224"/>
      <c r="D214" s="224"/>
      <c r="E214" s="224"/>
      <c r="F214" s="224"/>
    </row>
    <row r="215" spans="2:6" x14ac:dyDescent="0.2">
      <c r="B215" s="298"/>
      <c r="C215" s="224"/>
      <c r="D215" s="224"/>
      <c r="E215" s="224"/>
      <c r="F215" s="224"/>
    </row>
    <row r="216" spans="2:6" x14ac:dyDescent="0.2">
      <c r="B216" s="298"/>
      <c r="C216" s="224"/>
      <c r="D216" s="224"/>
      <c r="E216" s="224"/>
      <c r="F216" s="224"/>
    </row>
    <row r="217" spans="2:6" x14ac:dyDescent="0.2">
      <c r="B217" s="298"/>
      <c r="C217" s="224"/>
      <c r="D217" s="224"/>
      <c r="E217" s="224"/>
      <c r="F217" s="224"/>
    </row>
    <row r="218" spans="2:6" x14ac:dyDescent="0.2">
      <c r="B218" s="298"/>
      <c r="C218" s="224"/>
      <c r="D218" s="224"/>
      <c r="E218" s="224"/>
      <c r="F218" s="224"/>
    </row>
    <row r="219" spans="2:6" x14ac:dyDescent="0.2">
      <c r="B219" s="298"/>
      <c r="C219" s="224"/>
      <c r="D219" s="224"/>
      <c r="E219" s="224"/>
      <c r="F219" s="224"/>
    </row>
    <row r="220" spans="2:6" x14ac:dyDescent="0.2">
      <c r="B220" s="298"/>
      <c r="C220" s="224"/>
      <c r="D220" s="224"/>
      <c r="E220" s="224"/>
      <c r="F220" s="224"/>
    </row>
    <row r="221" spans="2:6" x14ac:dyDescent="0.2">
      <c r="B221" s="298"/>
      <c r="C221" s="224"/>
      <c r="D221" s="224"/>
      <c r="E221" s="224"/>
      <c r="F221" s="224"/>
    </row>
    <row r="222" spans="2:6" x14ac:dyDescent="0.2">
      <c r="B222" s="298"/>
      <c r="C222" s="224"/>
      <c r="D222" s="224"/>
      <c r="E222" s="224"/>
      <c r="F222" s="224"/>
    </row>
    <row r="223" spans="2:6" x14ac:dyDescent="0.2">
      <c r="B223" s="298"/>
    </row>
    <row r="224" spans="2:6" x14ac:dyDescent="0.2">
      <c r="B224" s="298"/>
    </row>
    <row r="225" spans="2:2" x14ac:dyDescent="0.2">
      <c r="B225" s="298"/>
    </row>
    <row r="226" spans="2:2" x14ac:dyDescent="0.2">
      <c r="B226" s="298"/>
    </row>
    <row r="227" spans="2:2" x14ac:dyDescent="0.2">
      <c r="B227" s="298"/>
    </row>
    <row r="228" spans="2:2" x14ac:dyDescent="0.2">
      <c r="B228" s="298"/>
    </row>
    <row r="229" spans="2:2" x14ac:dyDescent="0.2">
      <c r="B229" s="298"/>
    </row>
    <row r="230" spans="2:2" x14ac:dyDescent="0.2">
      <c r="B230" s="298"/>
    </row>
    <row r="231" spans="2:2" x14ac:dyDescent="0.2">
      <c r="B231" s="298"/>
    </row>
    <row r="232" spans="2:2" x14ac:dyDescent="0.2">
      <c r="B232" s="298"/>
    </row>
    <row r="233" spans="2:2" x14ac:dyDescent="0.2">
      <c r="B233" s="298"/>
    </row>
    <row r="234" spans="2:2" x14ac:dyDescent="0.2">
      <c r="B234" s="298"/>
    </row>
    <row r="235" spans="2:2" x14ac:dyDescent="0.2">
      <c r="B235" s="29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31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18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32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8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33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9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34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35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66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68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69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65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67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102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56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57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2015-01-14T14:44:53Z</dcterms:modified>
</cp:coreProperties>
</file>