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Makro'!$B$21</definedName>
    <definedName name="N1004E" localSheetId="14">'Beskrivning av mått'!$C$33</definedName>
    <definedName name="N1004E" localSheetId="15">'Info Makro'!$B$26</definedName>
    <definedName name="N1006A" localSheetId="15">'Info Makro'!$B$44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marknadsvärde'!$A$4:$N$896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8" i="53" l="1"/>
  <c r="I29" i="53"/>
  <c r="I30" i="53"/>
  <c r="I31" i="53"/>
  <c r="I32" i="53"/>
  <c r="I33" i="53"/>
  <c r="I34" i="53"/>
  <c r="I35" i="53"/>
  <c r="I14" i="53"/>
  <c r="I15" i="53"/>
  <c r="I16" i="53"/>
  <c r="I17" i="53"/>
  <c r="I18" i="53"/>
  <c r="I19" i="53"/>
  <c r="I20" i="53"/>
  <c r="I21" i="53"/>
  <c r="I27" i="53" l="1"/>
  <c r="I13" i="53" l="1"/>
</calcChain>
</file>

<file path=xl/sharedStrings.xml><?xml version="1.0" encoding="utf-8"?>
<sst xmlns="http://schemas.openxmlformats.org/spreadsheetml/2006/main" count="8818" uniqueCount="1153">
  <si>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</si>
  <si>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</si>
  <si>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</si>
  <si>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</si>
  <si>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</si>
  <si>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</si>
  <si>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</si>
  <si>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</si>
  <si>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</si>
  <si>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</si>
  <si>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</si>
  <si>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</si>
  <si>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</si>
  <si>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</si>
  <si>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</si>
  <si>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</si>
  <si>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</si>
  <si>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</si>
  <si>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</si>
  <si>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</si>
  <si>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</si>
  <si>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</si>
  <si>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</si>
  <si>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</si>
  <si>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</si>
  <si>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</si>
  <si>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</si>
  <si>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</si>
  <si>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</si>
  <si>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</si>
  <si>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</si>
  <si>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</si>
  <si>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</si>
  <si>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</si>
  <si>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</si>
  <si>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</si>
  <si>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</si>
  <si>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</si>
  <si>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Europa</t>
  </si>
  <si>
    <t>Nordea Selekta Europa</t>
  </si>
  <si>
    <t>Nordea Europafond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</si>
  <si>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</si>
  <si>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</si>
  <si>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</si>
  <si>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</si>
  <si>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</si>
  <si>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</si>
  <si>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</si>
  <si>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</si>
  <si>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</si>
  <si>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</si>
  <si>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</si>
  <si>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</si>
  <si>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</si>
  <si>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</si>
  <si>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</si>
  <si>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</si>
  <si>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</si>
  <si>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</si>
  <si>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</si>
  <si>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</si>
  <si>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</si>
  <si>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</si>
  <si>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</si>
  <si>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</si>
  <si>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</si>
  <si>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</si>
  <si>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</si>
  <si>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</si>
  <si>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</si>
  <si>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</si>
  <si>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</si>
  <si>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</si>
  <si>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</si>
  <si>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</si>
  <si>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</si>
  <si>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</si>
  <si>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</si>
  <si>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</si>
  <si>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</si>
  <si>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</si>
  <si>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</si>
  <si>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</si>
  <si>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</si>
  <si>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</si>
  <si>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</si>
  <si>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</si>
  <si>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</si>
  <si>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</si>
  <si>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</si>
  <si>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</si>
  <si>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</si>
  <si>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</si>
  <si>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</si>
  <si>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</si>
  <si>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</si>
  <si>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</si>
  <si>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</si>
  <si>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</si>
  <si>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</si>
  <si>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</si>
  <si>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</si>
  <si>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</si>
  <si>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</si>
  <si>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</si>
  <si>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</si>
  <si>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</si>
  <si>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</si>
  <si>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</si>
  <si>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</si>
  <si>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</si>
  <si>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</si>
  <si>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</si>
  <si>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Seligson &amp; Co Global Top 25 Brands</t>
  </si>
  <si>
    <t>SKAGEN Global</t>
  </si>
  <si>
    <t>SKAGEN Vekst</t>
  </si>
  <si>
    <t>Folksam LO Världen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</si>
  <si>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</si>
  <si>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</si>
  <si>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</si>
  <si>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</si>
  <si>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</si>
  <si>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</si>
  <si>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</si>
  <si>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</si>
  <si>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</si>
  <si>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</si>
  <si>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</si>
  <si>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</si>
  <si>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</si>
  <si>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</si>
  <si>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</si>
  <si>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</si>
  <si>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</si>
  <si>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</si>
  <si>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</si>
  <si>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</si>
  <si>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>Pictet EUR Bonds</t>
  </si>
  <si>
    <t>Pictet EUR Corporate Bonds</t>
  </si>
  <si>
    <t>FIM Brands</t>
  </si>
  <si>
    <t>Pictet European Sustainable Equities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</si>
  <si>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</si>
  <si>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</si>
  <si>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</si>
  <si>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</si>
  <si>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</si>
  <si>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</si>
  <si>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</si>
  <si>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</si>
  <si>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</si>
  <si>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</si>
  <si>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</si>
  <si>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</si>
  <si>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</si>
  <si>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</si>
  <si>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</si>
  <si>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</si>
  <si>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</si>
  <si>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</si>
  <si>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</si>
  <si>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</si>
  <si>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</si>
  <si>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</si>
  <si>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</si>
  <si>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</si>
  <si>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</si>
  <si>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</si>
  <si>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</si>
  <si>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</si>
  <si>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</si>
  <si>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</si>
  <si>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</si>
  <si>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</si>
  <si>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</si>
  <si>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</si>
  <si>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</si>
  <si>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</si>
  <si>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</si>
  <si>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</si>
  <si>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</si>
  <si>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</si>
  <si>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</si>
  <si>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</si>
  <si>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</si>
  <si>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</si>
  <si>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</si>
  <si>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</si>
  <si>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</si>
  <si>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</si>
  <si>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</si>
  <si>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</si>
  <si>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</si>
  <si>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Fondita Equity Spice Placeringsfond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</si>
  <si>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</si>
  <si>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</si>
  <si>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</si>
  <si>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</si>
  <si>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</si>
  <si>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Skandia Time Global</t>
  </si>
  <si>
    <t>SEB Teknologifond</t>
  </si>
  <si>
    <t>Folksams Framtidsfond</t>
  </si>
  <si>
    <t>SEB Sverigefond Stora Bolag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</si>
  <si>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</si>
  <si>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</si>
  <si>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</si>
  <si>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</si>
  <si>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</si>
  <si>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</si>
  <si>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</si>
  <si>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</si>
  <si>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</si>
  <si>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</si>
  <si>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</si>
  <si>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</si>
  <si>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</si>
  <si>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</si>
  <si>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</si>
  <si>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</si>
  <si>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</si>
  <si>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</si>
  <si>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</si>
  <si>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</si>
  <si>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</si>
  <si>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</si>
  <si>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</si>
  <si>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</si>
  <si>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</si>
  <si>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</si>
  <si>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</si>
  <si>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</si>
  <si>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</si>
  <si>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</si>
  <si>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</si>
  <si>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</si>
  <si>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</si>
  <si>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</si>
  <si>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Ålandsbanken Europe Value</t>
  </si>
  <si>
    <t>Ålandsbanken Premium 70</t>
  </si>
  <si>
    <t>Simplicity Kina</t>
  </si>
  <si>
    <t>Evli Finland Mix</t>
  </si>
  <si>
    <t>UBS (Lux) Strategy Fund - Growth (EUR)</t>
  </si>
  <si>
    <t>UBS (Lux) Strategy Fund - Balanced (EUR)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</si>
  <si>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</si>
  <si>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</si>
  <si>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</si>
  <si>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</si>
  <si>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Carnegie Corporate Bond</t>
  </si>
  <si>
    <t>Amundi Funds Equity US Concentrated Core</t>
  </si>
  <si>
    <t>Pictet Japanese Equities Opportunities</t>
  </si>
  <si>
    <t>Amundi Funds Equity Global Resources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</si>
  <si>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</si>
  <si>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</si>
  <si>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</si>
  <si>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</si>
  <si>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</si>
  <si>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</si>
  <si>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</si>
  <si>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</si>
  <si>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</si>
  <si>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</si>
  <si>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</si>
  <si>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</si>
  <si>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</si>
  <si>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</si>
  <si>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</si>
  <si>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</si>
  <si>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</si>
  <si>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</si>
  <si>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</si>
  <si>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</si>
  <si>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</si>
  <si>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</si>
  <si>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</si>
  <si>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</si>
  <si>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</si>
  <si>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</si>
  <si>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</si>
  <si>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</si>
  <si>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</si>
  <si>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</si>
  <si>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</si>
  <si>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</si>
  <si>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Aktie-Ansvar Avkastningsfond</t>
  </si>
  <si>
    <t>Carnegie Likviditetsfond</t>
  </si>
  <si>
    <t>Carnegie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</si>
  <si>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</si>
  <si>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</si>
  <si>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</si>
  <si>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</si>
  <si>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</si>
  <si>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</si>
  <si>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</si>
  <si>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</si>
  <si>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</si>
  <si>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</si>
  <si>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BL - Emerging Markets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</si>
  <si>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</si>
  <si>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</si>
  <si>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</si>
  <si>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</si>
  <si>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</si>
  <si>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</si>
  <si>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</si>
  <si>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</si>
  <si>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</si>
  <si>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</si>
  <si>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</si>
  <si>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</si>
  <si>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</si>
  <si>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</si>
  <si>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</si>
  <si>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</si>
  <si>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</si>
  <si>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</si>
  <si>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</si>
  <si>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</si>
  <si>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</si>
  <si>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</si>
  <si>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</si>
  <si>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</si>
  <si>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</si>
  <si>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SKAGEN Krona</t>
  </si>
  <si>
    <t>BL - Global Equities</t>
  </si>
  <si>
    <t>Danske Capital AB</t>
  </si>
  <si>
    <t>PineBridge Investments Ireland Limited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</si>
  <si>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</si>
  <si>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</si>
  <si>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</si>
  <si>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</si>
  <si>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</si>
  <si>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</si>
  <si>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</si>
  <si>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HealthInvest Partners AB</t>
  </si>
  <si>
    <t>Sparinvest Ethical High Yield Value Bonds</t>
  </si>
  <si>
    <t>FIM Kapitalförvaltning Ab</t>
  </si>
  <si>
    <t>UBS (Lux) Equity Fund - Asian Consumption (USD)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</si>
  <si>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</si>
  <si>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</si>
  <si>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</si>
  <si>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</si>
  <si>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</si>
  <si>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</si>
  <si>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</si>
  <si>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</si>
  <si>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</si>
  <si>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</si>
  <si>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</si>
  <si>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</si>
  <si>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</si>
  <si>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</si>
  <si>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</si>
  <si>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</si>
  <si>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</si>
  <si>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</si>
  <si>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</si>
  <si>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</si>
  <si>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</si>
  <si>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</si>
  <si>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</si>
  <si>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</si>
  <si>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</si>
  <si>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SPP Generation 60-tal</t>
  </si>
  <si>
    <t>Länsförsäkringar Pension 2045</t>
  </si>
  <si>
    <t>Länsförsäkringar Pension 2040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</si>
  <si>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</si>
  <si>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</si>
  <si>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</si>
  <si>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</si>
  <si>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</si>
  <si>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</si>
  <si>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</si>
  <si>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</si>
  <si>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</si>
  <si>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</si>
  <si>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</si>
  <si>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</si>
  <si>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</si>
  <si>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</si>
  <si>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</si>
  <si>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</si>
  <si>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</si>
  <si>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Swedbank Robur Amerikafond</t>
  </si>
  <si>
    <t>Swedbank Robur Kinafond</t>
  </si>
  <si>
    <t>Swedbank Robur Realräntefond</t>
  </si>
  <si>
    <t>Swedbank Robur Räntefond Pension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</si>
  <si>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</si>
  <si>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</si>
  <si>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</si>
  <si>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</si>
  <si>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</si>
  <si>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</si>
  <si>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</si>
  <si>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</si>
  <si>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</si>
  <si>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</si>
  <si>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</si>
  <si>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</si>
  <si>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</si>
  <si>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</si>
  <si>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</si>
  <si>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</si>
  <si>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</si>
  <si>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</si>
  <si>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</si>
  <si>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</si>
  <si>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</si>
  <si>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</si>
  <si>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</si>
  <si>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</si>
  <si>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</si>
  <si>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</si>
  <si>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</si>
  <si>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</si>
  <si>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</si>
  <si>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</si>
  <si>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</si>
  <si>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</si>
  <si>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</si>
  <si>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</si>
  <si>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</si>
  <si>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</si>
  <si>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Nordea Nya Tillväxtmarknader</t>
  </si>
  <si>
    <t>BlackRock Global SmallCap Fund</t>
  </si>
  <si>
    <t>BlackRock Emerging Markets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</si>
  <si>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</si>
  <si>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</si>
  <si>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</si>
  <si>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</si>
  <si>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</si>
  <si>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</si>
  <si>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</si>
  <si>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</si>
  <si>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</si>
  <si>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</si>
  <si>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</si>
  <si>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</si>
  <si>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</si>
  <si>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</si>
  <si>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</si>
  <si>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AS Trigon Funds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</si>
  <si>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</si>
  <si>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</si>
  <si>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</si>
  <si>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</si>
  <si>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</si>
  <si>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</si>
  <si>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</si>
  <si>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</si>
  <si>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</si>
  <si>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</si>
  <si>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</si>
  <si>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</si>
  <si>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</si>
  <si>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</si>
  <si>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</si>
  <si>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</si>
  <si>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</si>
  <si>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</si>
  <si>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</si>
  <si>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</si>
  <si>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</si>
  <si>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</si>
  <si>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</si>
  <si>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</si>
  <si>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</si>
  <si>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</si>
  <si>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</si>
  <si>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</si>
  <si>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</si>
  <si>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</si>
  <si>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</si>
  <si>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</si>
  <si>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</si>
  <si>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</si>
  <si>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</si>
  <si>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</si>
  <si>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</si>
  <si>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</si>
  <si>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</si>
  <si>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</si>
  <si>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</si>
  <si>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</si>
  <si>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</si>
  <si>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</si>
  <si>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</si>
  <si>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</si>
  <si>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</si>
  <si>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</si>
  <si>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</si>
  <si>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</si>
  <si>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</si>
  <si>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</si>
  <si>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</si>
  <si>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</si>
  <si>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</si>
  <si>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</si>
  <si>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</si>
  <si>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</si>
  <si>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</si>
  <si>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</si>
  <si>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</si>
  <si>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</si>
  <si>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</si>
  <si>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</si>
  <si>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</si>
  <si>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</si>
  <si>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</si>
  <si>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</si>
  <si>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</si>
  <si>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</si>
  <si>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</si>
  <si>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</si>
  <si>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</si>
  <si>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</si>
  <si>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</si>
  <si>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</si>
  <si>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</si>
  <si>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</si>
  <si>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</si>
  <si>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</si>
  <si>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</si>
  <si>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</si>
  <si>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</si>
  <si>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</si>
  <si>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</si>
  <si>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</si>
  <si>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</si>
  <si>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</si>
  <si>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</si>
  <si>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</si>
  <si>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</si>
  <si>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</si>
  <si>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</si>
  <si>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</si>
  <si>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</si>
  <si>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</si>
  <si>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</si>
  <si>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</si>
  <si>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</si>
  <si>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</si>
  <si>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</si>
  <si>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</si>
  <si>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Lannebo Fonder AB</t>
  </si>
  <si>
    <t>Lannebo Sverige</t>
  </si>
  <si>
    <t>Enter Fonder AB</t>
  </si>
  <si>
    <t>Enter Sverige</t>
  </si>
  <si>
    <t>Folksam LO Sverige</t>
  </si>
  <si>
    <t>Folksam LO Västfonden</t>
  </si>
  <si>
    <t>Aberdeen Global - Japanese Smaller Companies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</si>
  <si>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</si>
  <si>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</si>
  <si>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</si>
  <si>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</si>
  <si>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</si>
  <si>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</si>
  <si>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</si>
  <si>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</si>
  <si>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</si>
  <si>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</si>
  <si>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</si>
  <si>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</si>
  <si>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</si>
  <si>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</si>
  <si>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</si>
  <si>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</si>
  <si>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</si>
  <si>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</si>
  <si>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</si>
  <si>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</si>
  <si>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</si>
  <si>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</si>
  <si>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</si>
  <si>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</si>
  <si>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</si>
  <si>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</si>
  <si>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</si>
  <si>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</si>
  <si>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</si>
  <si>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</si>
  <si>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</si>
  <si>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</si>
  <si>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</si>
  <si>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</si>
  <si>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</si>
  <si>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</si>
  <si>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</si>
  <si>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</si>
  <si>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</si>
  <si>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</si>
  <si>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</si>
  <si>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</si>
  <si>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</si>
  <si>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</si>
  <si>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</si>
  <si>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</si>
  <si>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</si>
  <si>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</si>
  <si>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</si>
  <si>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</si>
  <si>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</si>
  <si>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</si>
  <si>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</si>
  <si>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</si>
  <si>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</si>
  <si>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</si>
  <si>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</si>
  <si>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</si>
  <si>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</si>
  <si>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Globalfond</t>
  </si>
  <si>
    <t>Handelsbanken Sverigefond</t>
  </si>
  <si>
    <t>JPMorgan Asset Management (Europe) S.à.r.l.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</si>
  <si>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</si>
  <si>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</si>
  <si>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</si>
  <si>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</si>
  <si>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</si>
  <si>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</si>
  <si>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</si>
  <si>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</si>
  <si>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</si>
  <si>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</si>
  <si>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</si>
  <si>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</si>
  <si>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</si>
  <si>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</si>
  <si>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</si>
  <si>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</si>
  <si>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</si>
  <si>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</si>
  <si>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</si>
  <si>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</si>
  <si>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</si>
  <si>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</si>
  <si>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</si>
  <si>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</si>
  <si>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</si>
  <si>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</si>
  <si>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</si>
  <si>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</si>
  <si>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</si>
  <si>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</si>
  <si>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AMF Aktiefond Nordamerika</t>
  </si>
  <si>
    <t>AMF Aktiefond Asien Stilla Havet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</si>
  <si>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</si>
  <si>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</si>
  <si>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</si>
  <si>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</si>
  <si>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</si>
  <si>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</si>
  <si>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</si>
  <si>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Swedbank Robur Ny Teknik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</si>
  <si>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</si>
  <si>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</si>
  <si>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</si>
  <si>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</si>
  <si>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</si>
  <si>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</si>
  <si>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</si>
  <si>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Handelsbanken Indienfond</t>
  </si>
  <si>
    <t>BlackRock Global Funds Japan Small &amp; MidCap Opportunities Fund</t>
  </si>
  <si>
    <t>Blackrock Global Funds China Fund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</si>
  <si>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</si>
  <si>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</si>
  <si>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</si>
  <si>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</si>
  <si>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</si>
  <si>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</si>
  <si>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</si>
  <si>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</si>
  <si>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</si>
  <si>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</si>
  <si>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</si>
  <si>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</si>
  <si>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</si>
  <si>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</si>
  <si>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</si>
  <si>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</si>
  <si>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</si>
  <si>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</si>
  <si>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</si>
  <si>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</si>
  <si>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</si>
  <si>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</si>
  <si>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</si>
  <si>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</si>
  <si>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</si>
  <si>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</si>
  <si>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</si>
  <si>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</si>
  <si>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</si>
  <si>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</si>
  <si>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</si>
  <si>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</si>
  <si>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</si>
  <si>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</si>
  <si>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</si>
  <si>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</si>
  <si>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</si>
  <si>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</si>
  <si>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</si>
  <si>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</si>
  <si>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</si>
  <si>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</si>
  <si>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</si>
  <si>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</si>
  <si>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</si>
  <si>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</si>
  <si>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</si>
  <si>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</si>
  <si>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</si>
  <si>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</si>
  <si>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</si>
  <si>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</si>
  <si>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</si>
  <si>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</si>
  <si>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</si>
  <si>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</si>
  <si>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</si>
  <si>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</si>
  <si>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</si>
  <si>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</si>
  <si>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</si>
  <si>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</si>
  <si>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</si>
  <si>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</si>
  <si>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</si>
  <si>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</si>
  <si>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</si>
  <si>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</si>
  <si>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</si>
  <si>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</si>
  <si>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</si>
  <si>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</si>
  <si>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</si>
  <si>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</si>
  <si>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</si>
  <si>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</si>
  <si>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</si>
  <si>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</si>
  <si>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</si>
  <si>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</si>
  <si>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</si>
  <si>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</si>
  <si>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</si>
  <si>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</si>
  <si>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</si>
  <si>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</si>
  <si>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</si>
  <si>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</si>
  <si>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</si>
  <si>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</si>
  <si>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</si>
  <si>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</si>
  <si>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</si>
  <si>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>För att sortera tabellen, klicka på respektive rubrik och därefter på A-Ö eller Ö-A Knapparna i verktygsfältet ovan.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</si>
  <si>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</si>
  <si>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</si>
  <si>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</si>
  <si>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</si>
  <si>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</si>
  <si>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</si>
  <si>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</si>
  <si>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</si>
  <si>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</si>
  <si>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</si>
  <si>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</si>
  <si>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</si>
  <si>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</si>
  <si>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</si>
  <si>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</si>
  <si>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Naventi Defensiv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</si>
  <si>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</si>
  <si>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</si>
  <si>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</si>
  <si>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</si>
  <si>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</si>
  <si>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</si>
  <si>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</si>
  <si>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</si>
  <si>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</si>
  <si>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</si>
  <si>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</si>
  <si>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</si>
  <si>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</si>
  <si>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</si>
  <si>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</si>
  <si>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</si>
  <si>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</si>
  <si>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</si>
  <si>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Alfred Berg Sverige Plus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</si>
  <si>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</si>
  <si>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</si>
  <si>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</si>
  <si>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</si>
  <si>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</si>
  <si>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</si>
  <si>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</si>
  <si>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</si>
  <si>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</si>
  <si>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</si>
  <si>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</si>
  <si>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</si>
  <si>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</si>
  <si>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</si>
  <si>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</si>
  <si>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</si>
  <si>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</si>
  <si>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</si>
  <si>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</si>
  <si>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</si>
  <si>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</si>
  <si>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</si>
  <si>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</si>
  <si>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</si>
  <si>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</si>
  <si>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</si>
  <si>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</si>
  <si>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</si>
  <si>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</si>
  <si>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</si>
  <si>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</si>
  <si>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</si>
  <si>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</si>
  <si>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</si>
  <si>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</si>
  <si>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</si>
  <si>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</si>
  <si>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</si>
  <si>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</si>
  <si>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</si>
  <si>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</si>
  <si>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</si>
  <si>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</si>
  <si>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</si>
  <si>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</si>
  <si>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</si>
  <si>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</si>
  <si>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</si>
  <si>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</si>
  <si>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</si>
  <si>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</si>
  <si>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</si>
  <si>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</si>
  <si>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</si>
  <si>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</si>
  <si>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</si>
  <si>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</si>
  <si>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</si>
  <si>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</si>
  <si>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</si>
  <si>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</si>
  <si>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</si>
  <si>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</si>
  <si>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</si>
  <si>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</si>
  <si>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</si>
  <si>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</si>
  <si>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</si>
  <si>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</si>
  <si>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</si>
  <si>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</si>
  <si>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</si>
  <si>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</si>
  <si>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</si>
  <si>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</si>
  <si>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</si>
  <si>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</si>
  <si>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</si>
  <si>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</si>
  <si>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</si>
  <si>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</si>
  <si>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</si>
  <si>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</si>
  <si>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</si>
  <si>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</si>
  <si>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</si>
  <si>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</si>
  <si>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</si>
  <si>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</si>
  <si>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</si>
  <si>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</si>
  <si>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</si>
  <si>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</si>
  <si>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</si>
  <si>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</si>
  <si>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</si>
  <si>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</si>
  <si>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</si>
  <si>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</si>
  <si>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</si>
  <si>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</si>
  <si>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</si>
  <si>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</si>
  <si>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</si>
  <si>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</si>
  <si>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</si>
  <si>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</si>
  <si>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</si>
  <si>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</si>
  <si>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</si>
  <si>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</si>
  <si>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</si>
  <si>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</si>
  <si>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</si>
  <si>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</si>
  <si>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</si>
  <si>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</si>
  <si>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</si>
  <si>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</si>
  <si>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</si>
  <si>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</si>
  <si>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</si>
  <si>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</si>
  <si>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</si>
  <si>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</si>
  <si>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</si>
  <si>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</si>
  <si>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</si>
  <si>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Balansindex, realt (IR) *</t>
  </si>
  <si>
    <t>Nordea Far East Fund</t>
  </si>
  <si>
    <t>Allianz Euro High Yield Bond</t>
  </si>
  <si>
    <t>Allianz US High Yield</t>
  </si>
  <si>
    <t>Allianz Europe Equity Growth</t>
  </si>
  <si>
    <t>Allianz Global Metals and Mining</t>
  </si>
  <si>
    <t>Allianz US Equity Fund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</si>
  <si>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</si>
  <si>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</si>
  <si>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</si>
  <si>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</si>
  <si>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</si>
  <si>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</si>
  <si>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</si>
  <si>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</si>
  <si>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</si>
  <si>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</si>
  <si>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</si>
  <si>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</si>
  <si>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</si>
  <si>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</si>
  <si>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</si>
  <si>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</si>
  <si>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</si>
  <si>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</si>
  <si>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</si>
  <si>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</si>
  <si>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</si>
  <si>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</si>
  <si>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</si>
  <si>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</si>
  <si>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</si>
  <si>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</si>
  <si>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</si>
  <si>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</si>
  <si>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Global Multi Tech (USD)</t>
  </si>
  <si>
    <t>UBS (Lux) Equity Fund - Health Care (USD)</t>
  </si>
  <si>
    <t>UBS (Lux) Equity Fund - Central Europe (EUR)</t>
  </si>
  <si>
    <t>UBS (Lux) Equity Fund - Greater China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</si>
  <si>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</si>
  <si>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</si>
  <si>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</si>
  <si>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</si>
  <si>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</si>
  <si>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</si>
  <si>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</si>
  <si>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</si>
  <si>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</si>
  <si>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</si>
  <si>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</si>
  <si>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</si>
  <si>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</si>
  <si>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</si>
  <si>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</si>
  <si>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</si>
  <si>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</si>
  <si>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</si>
  <si>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</si>
  <si>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</si>
  <si>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</si>
  <si>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</si>
  <si>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</si>
  <si>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</si>
  <si>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</si>
  <si>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</si>
  <si>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</si>
  <si>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</si>
  <si>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</si>
  <si>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</si>
  <si>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</si>
  <si>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</si>
  <si>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</si>
  <si>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</si>
  <si>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</si>
  <si>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</si>
  <si>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</si>
  <si>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</si>
  <si>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</si>
  <si>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</si>
  <si>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</si>
  <si>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</si>
  <si>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</si>
  <si>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</si>
  <si>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</si>
  <si>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</si>
  <si>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</si>
  <si>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</si>
  <si>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</si>
  <si>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</si>
  <si>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</si>
  <si>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SEB Korträntefond SEK</t>
  </si>
  <si>
    <t>Handelsbanken MSCI USA Index</t>
  </si>
  <si>
    <t>Handelsbanken Sverige Index Criteria</t>
  </si>
  <si>
    <t>Handelsbanken Global Index Criteria</t>
  </si>
  <si>
    <t>Handelsbanken MSCI Emerging Markets Index</t>
  </si>
  <si>
    <t>Handelsbanken Tillväxtmarknadsfond Obligation</t>
  </si>
  <si>
    <t>Handelsbanken Amerika Småbolag</t>
  </si>
  <si>
    <t>JPM Investment Funds - Global Balanced Fund</t>
  </si>
  <si>
    <t>Odin Europa</t>
  </si>
  <si>
    <t>Odin Finland</t>
  </si>
  <si>
    <t>Odin Norden</t>
  </si>
  <si>
    <t>Odin Norge</t>
  </si>
  <si>
    <t>Odin Sverige</t>
  </si>
  <si>
    <t>Odin Offshore</t>
  </si>
  <si>
    <t>Inside Active Global</t>
  </si>
  <si>
    <t>Odin Eiendom 1</t>
  </si>
  <si>
    <t>Odin Emerging Markets</t>
  </si>
  <si>
    <t>Odin Global</t>
  </si>
  <si>
    <t>Odin Maritim</t>
  </si>
  <si>
    <t>Zmart Balanserad</t>
  </si>
  <si>
    <t>Zmartic fonder AB</t>
  </si>
  <si>
    <t>Zmart Optimal</t>
  </si>
  <si>
    <t>Optimus SmallCap</t>
  </si>
  <si>
    <t>Zmart Maximal</t>
  </si>
  <si>
    <t>Alpcot Russia</t>
  </si>
  <si>
    <t>Cicero China Index A</t>
  </si>
  <si>
    <t>Cicero Emerging Markets Index A</t>
  </si>
  <si>
    <t>Länsförsäkringar Fondförvaltning AB (publ)</t>
  </si>
  <si>
    <t>Länsförsäkringar Aktiv Kreditfond</t>
  </si>
  <si>
    <t>Carnegie Fund - WorldWide Asia Sub-fund</t>
  </si>
  <si>
    <t>HealthInvest Value Fund</t>
  </si>
  <si>
    <t>Capricorn Venture Partners NV</t>
  </si>
  <si>
    <t>First State Worldwide Leaders Fund</t>
  </si>
  <si>
    <t>East Capital (Lux) - Emerging Asia Fund</t>
  </si>
  <si>
    <t>Trigon Baltic Fund</t>
  </si>
  <si>
    <t>CB European Quality Fund</t>
  </si>
  <si>
    <t>Vid omräkning av ålderspensionen för 2014 används balansindex i stället för inkomstindex.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</si>
  <si>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</si>
  <si>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BlackRock Japan Flexible Equity Fund</t>
  </si>
  <si>
    <t>IKC Filippinerna Flexibel</t>
  </si>
  <si>
    <t>SPP Penningmarknadsfond</t>
  </si>
  <si>
    <t>Länsförsäkringar Kort Ränta Företag</t>
  </si>
  <si>
    <t>Nordea Stratega Ränta</t>
  </si>
  <si>
    <t>Carnegie Fund - Svensk kort ränte Sub-Fund</t>
  </si>
  <si>
    <t>Carnegie Fund - Svensk Obligationsfond</t>
  </si>
  <si>
    <t>AMF Aktiefond Småbolag</t>
  </si>
  <si>
    <t>Länsförsäkringar Företagsobligation Norden</t>
  </si>
  <si>
    <t>DNB FRN - Fond SEK</t>
  </si>
  <si>
    <t>Swedbank Robur Asienfond</t>
  </si>
  <si>
    <t>Carnegie Fund - Safety 90 Sverige Sub-Fund</t>
  </si>
  <si>
    <t>Länsförsäkringar Global Aktiv</t>
  </si>
  <si>
    <t>Länsförsäkringar Småbolag Sverige</t>
  </si>
  <si>
    <t>Carnegie Fund - WorldWide Sub-Fund</t>
  </si>
  <si>
    <t>Carnegie Fund - European Equity Sub-Fund</t>
  </si>
  <si>
    <t>Carnegie Fund - Swedish Large Cap</t>
  </si>
  <si>
    <t>Carnegie Fund - Swedish Small Cap</t>
  </si>
  <si>
    <t>Carnegie Fund - WorldWide Ethical</t>
  </si>
  <si>
    <t>Carnegie Fund - Nordic Markets Sub-Fund</t>
  </si>
  <si>
    <t>Carnegie Fund - Medical Sub-Fund</t>
  </si>
  <si>
    <t>Länsförsäkringar Tillväxtmarknad Aktiv</t>
  </si>
  <si>
    <t>Morgan Stanley Investment Funds Euro Corporate Bond Fund</t>
  </si>
  <si>
    <t>Morgan Stanley Investment Funds European Currencies High Yield Bond Fund</t>
  </si>
  <si>
    <t>Carnegie Fund - East European Sub-Fund</t>
  </si>
  <si>
    <t>Skandia Tillväxtmarknadsfond</t>
  </si>
  <si>
    <t>BL - Equities Horizon</t>
  </si>
  <si>
    <t>Morgan Stanley Investment Funds Emerging Europe Middle East Africa</t>
  </si>
  <si>
    <t>SEB Rysslandfond</t>
  </si>
  <si>
    <t>Ålandsbanken SICAV - Swedish Growth</t>
  </si>
  <si>
    <t>Öhman Sicav 1 - Öhman Fixed Allocation Fund</t>
  </si>
  <si>
    <t>Ålandsbanken SICAV - Nordic Growth</t>
  </si>
  <si>
    <t>Aktiva Fonder SICAV - Global Stabil</t>
  </si>
  <si>
    <t>IKC Asien Flexibel</t>
  </si>
  <si>
    <t>Cicero World 0-50</t>
  </si>
  <si>
    <t>Sparinvest Global Small Cap Value</t>
  </si>
  <si>
    <t>East Capital (Lux) - China Fund</t>
  </si>
  <si>
    <t>Fidelity Funds - Emerging Europe, Middle East and Africa Fund</t>
  </si>
  <si>
    <t>Nordea Funds Ab</t>
  </si>
  <si>
    <t>Solidar Fonder Sverige</t>
  </si>
  <si>
    <t>Catella Småbolagsfond</t>
  </si>
  <si>
    <t>UBS (Lux) Equity Sicav - Emerging Markets Sustainable</t>
  </si>
  <si>
    <t>Navigera AB</t>
  </si>
  <si>
    <t>Evli Emerging Markets Credit</t>
  </si>
  <si>
    <t>Storebrand Fondene AS</t>
  </si>
  <si>
    <t>Amundi Funds Equity Euro</t>
  </si>
  <si>
    <t>Aberdeen Global - North American Equity Fund</t>
  </si>
  <si>
    <t>Odin Fonder</t>
  </si>
  <si>
    <t>FIM Frontier</t>
  </si>
  <si>
    <t>FIM Sahara</t>
  </si>
  <si>
    <t>Allianz Global Investors Europe GmbH</t>
  </si>
  <si>
    <t>FIM Europa små och medelstora bolag</t>
  </si>
  <si>
    <t>FIM Europa</t>
  </si>
  <si>
    <t>Tellus Midas</t>
  </si>
  <si>
    <t>Tellus Fonder AB</t>
  </si>
  <si>
    <t>FIM Global Placeringsfond</t>
  </si>
  <si>
    <t>Danske Invest Sverige Lång Ränta</t>
  </si>
  <si>
    <t>Skandia Japan Exponering</t>
  </si>
  <si>
    <t>Danske Invest Sverige Kort Ränta</t>
  </si>
  <si>
    <t>Carnegie Asia</t>
  </si>
  <si>
    <t>Nordea Generationsfond 90-tal</t>
  </si>
  <si>
    <t>Spiltan Högräntefond</t>
  </si>
  <si>
    <t>Tellus Eqvator</t>
  </si>
  <si>
    <t>OPM Listed Private Equity</t>
  </si>
  <si>
    <t>Optimized Portfolio Management i Stockholm AB</t>
  </si>
  <si>
    <t>Tundra Vietnam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</si>
  <si>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</si>
  <si>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</si>
  <si>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>Aktieinvest Fonder AB</t>
  </si>
  <si>
    <t>IKC Sunrise</t>
  </si>
  <si>
    <t>Öhman Global Growth</t>
  </si>
  <si>
    <t>Amundi Funds Equity Europe</t>
  </si>
  <si>
    <t>UBS (Lux) Equity Fund - Global Sustainable (USD)</t>
  </si>
  <si>
    <t>UBS (Lux) Equity Fund - Global Sustainable Innovators (EUR)</t>
  </si>
  <si>
    <t>UBS (Lux) Equity Fund - Euro Countries Opportunity (EUR)</t>
  </si>
  <si>
    <t>Aviva Investors - Emerging Europe Equity Fund</t>
  </si>
  <si>
    <t>Falcon Balanced Fund</t>
  </si>
  <si>
    <t>Falcon Funds SICAV Plc</t>
  </si>
  <si>
    <t>Falcon Aggressive Fund</t>
  </si>
  <si>
    <t>Falcon Cautious Fund</t>
  </si>
  <si>
    <t>Nordea Europe Fund</t>
  </si>
  <si>
    <t>Skandia Smart Försiktig</t>
  </si>
  <si>
    <t>Skandia Smart Balanserad</t>
  </si>
  <si>
    <t>Skandia Smart Offensiv</t>
  </si>
  <si>
    <t>Amundi Funds Equity Emerging Minimum Variance</t>
  </si>
  <si>
    <t>FIM Emerging Markets Småbolag</t>
  </si>
  <si>
    <t>Fondstatistik per 2014-08-31</t>
  </si>
  <si>
    <t>Nästa uppdatering: 2014-10-08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</si>
  <si>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</si>
  <si>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</si>
  <si>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</si>
  <si>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</si>
  <si>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</si>
  <si>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</si>
  <si>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</si>
  <si>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</si>
  <si>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</si>
  <si>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</si>
  <si>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</si>
  <si>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</si>
  <si>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</si>
  <si>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</si>
  <si>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</si>
  <si>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</si>
  <si>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Antal fondval och marknadsvärde i fonderna 2014-08-31</t>
  </si>
  <si>
    <t>Nästa uppdatering: 2014-10-15</t>
  </si>
  <si>
    <t>Nästa uppdatering 2014-10-15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</si>
</sst>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5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</borders>
  <cellStyleXfs count="25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9" fillId="0" borderId="0"/>
    <xf numFmtId="0" fontId="29" fillId="0" borderId="0"/>
    <xf numFmtId="0" fontId="30" fillId="0" borderId="0"/>
    <xf numFmtId="0" fontId="3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9" fillId="0" borderId="0"/>
    <xf numFmtId="0" fontId="29" fillId="0" borderId="0"/>
    <xf numFmtId="0" fontId="37" fillId="0" borderId="0" applyNumberFormat="0" applyFill="0" applyBorder="0" applyAlignment="0" applyProtection="0"/>
    <xf numFmtId="0" fontId="38" fillId="0" borderId="18" applyNumberFormat="0" applyFill="0" applyAlignment="0" applyProtection="0"/>
    <xf numFmtId="0" fontId="39" fillId="0" borderId="19" applyNumberFormat="0" applyFill="0" applyAlignment="0" applyProtection="0"/>
    <xf numFmtId="0" fontId="40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41" fillId="5" borderId="0" applyNumberFormat="0" applyBorder="0" applyAlignment="0" applyProtection="0"/>
    <xf numFmtId="0" fontId="42" fillId="6" borderId="0" applyNumberFormat="0" applyBorder="0" applyAlignment="0" applyProtection="0"/>
    <xf numFmtId="0" fontId="43" fillId="7" borderId="0" applyNumberFormat="0" applyBorder="0" applyAlignment="0" applyProtection="0"/>
    <xf numFmtId="0" fontId="44" fillId="8" borderId="21" applyNumberFormat="0" applyAlignment="0" applyProtection="0"/>
    <xf numFmtId="0" fontId="45" fillId="9" borderId="22" applyNumberFormat="0" applyAlignment="0" applyProtection="0"/>
    <xf numFmtId="0" fontId="46" fillId="9" borderId="21" applyNumberFormat="0" applyAlignment="0" applyProtection="0"/>
    <xf numFmtId="0" fontId="47" fillId="0" borderId="23" applyNumberFormat="0" applyFill="0" applyAlignment="0" applyProtection="0"/>
    <xf numFmtId="0" fontId="48" fillId="10" borderId="24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6" applyNumberFormat="0" applyFill="0" applyAlignment="0" applyProtection="0"/>
    <xf numFmtId="0" fontId="52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2" fillId="27" borderId="0" applyNumberFormat="0" applyBorder="0" applyAlignment="0" applyProtection="0"/>
    <xf numFmtId="0" fontId="52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2" fillId="31" borderId="0" applyNumberFormat="0" applyBorder="0" applyAlignment="0" applyProtection="0"/>
    <xf numFmtId="0" fontId="52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2" fillId="35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357">
    <xf numFmtId="0" fontId="0" fillId="0" borderId="0" xfId="0"/>
    <xf numFmtId="0" fontId="17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1" fillId="2" borderId="0" xfId="0" applyFont="1" applyFill="1" applyBorder="1"/>
    <xf numFmtId="0" fontId="11" fillId="2" borderId="0" xfId="0" applyFont="1" applyFill="1" applyAlignment="1">
      <alignment horizontal="center"/>
    </xf>
    <xf numFmtId="0" fontId="11" fillId="2" borderId="0" xfId="0" applyFont="1" applyFill="1" applyBorder="1" applyAlignment="1">
      <alignment horizontal="left"/>
    </xf>
    <xf numFmtId="3" fontId="11" fillId="2" borderId="0" xfId="0" applyNumberFormat="1" applyFont="1" applyFill="1" applyAlignment="1">
      <alignment horizontal="right" indent="1"/>
    </xf>
    <xf numFmtId="0" fontId="11" fillId="2" borderId="0" xfId="0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right" indent="1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center"/>
    </xf>
    <xf numFmtId="0" fontId="11" fillId="2" borderId="0" xfId="0" applyFont="1" applyFill="1" applyAlignment="1">
      <alignment horizontal="left" indent="4"/>
    </xf>
    <xf numFmtId="0" fontId="11" fillId="2" borderId="0" xfId="0" applyFont="1" applyFill="1" applyAlignment="1">
      <alignment horizontal="left"/>
    </xf>
    <xf numFmtId="3" fontId="11" fillId="2" borderId="0" xfId="0" applyNumberFormat="1" applyFont="1" applyFill="1" applyAlignment="1">
      <alignment horizontal="left"/>
    </xf>
    <xf numFmtId="3" fontId="11" fillId="2" borderId="0" xfId="0" applyNumberFormat="1" applyFont="1" applyFill="1" applyAlignment="1">
      <alignment horizontal="center"/>
    </xf>
    <xf numFmtId="3" fontId="11" fillId="2" borderId="0" xfId="0" applyNumberFormat="1" applyFont="1" applyFill="1" applyAlignment="1">
      <alignment horizontal="right"/>
    </xf>
    <xf numFmtId="0" fontId="11" fillId="2" borderId="0" xfId="0" applyFont="1" applyFill="1" applyAlignment="1">
      <alignment horizontal="right"/>
    </xf>
    <xf numFmtId="3" fontId="12" fillId="2" borderId="0" xfId="0" applyNumberFormat="1" applyFont="1" applyFill="1" applyBorder="1" applyAlignment="1" applyProtection="1">
      <alignment horizontal="right"/>
    </xf>
    <xf numFmtId="3" fontId="12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Alignment="1">
      <alignment horizontal="right"/>
    </xf>
    <xf numFmtId="164" fontId="11" fillId="2" borderId="0" xfId="0" applyNumberFormat="1" applyFont="1" applyFill="1" applyAlignment="1">
      <alignment horizontal="center"/>
    </xf>
    <xf numFmtId="0" fontId="14" fillId="2" borderId="0" xfId="0" applyNumberFormat="1" applyFont="1" applyFill="1" applyBorder="1" applyAlignment="1" applyProtection="1">
      <alignment horizontal="left" indent="3"/>
    </xf>
    <xf numFmtId="0" fontId="14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/>
    <xf numFmtId="0" fontId="11" fillId="2" borderId="0" xfId="0" applyFont="1" applyFill="1"/>
    <xf numFmtId="0" fontId="12" fillId="2" borderId="0" xfId="0" applyFont="1" applyFill="1" applyAlignment="1">
      <alignment horizontal="left" indent="3"/>
    </xf>
    <xf numFmtId="0" fontId="12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>
      <alignment horizontal="left" indent="3"/>
    </xf>
    <xf numFmtId="3" fontId="11" fillId="2" borderId="0" xfId="0" applyNumberFormat="1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left"/>
    </xf>
    <xf numFmtId="0" fontId="11" fillId="2" borderId="0" xfId="0" applyFont="1" applyFill="1" applyAlignment="1">
      <alignment horizontal="left" indent="3"/>
    </xf>
    <xf numFmtId="0" fontId="15" fillId="2" borderId="0" xfId="0" applyFont="1" applyFill="1"/>
    <xf numFmtId="3" fontId="12" fillId="2" borderId="0" xfId="0" applyNumberFormat="1" applyFont="1" applyFill="1" applyBorder="1" applyAlignment="1" applyProtection="1">
      <alignment horizontal="center"/>
    </xf>
    <xf numFmtId="3" fontId="11" fillId="2" borderId="0" xfId="0" applyNumberFormat="1" applyFont="1" applyFill="1"/>
    <xf numFmtId="0" fontId="5" fillId="2" borderId="0" xfId="0" applyFont="1" applyFill="1" applyAlignment="1">
      <alignment horizontal="left" indent="2"/>
    </xf>
    <xf numFmtId="0" fontId="5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/>
    <xf numFmtId="3" fontId="12" fillId="2" borderId="0" xfId="0" applyNumberFormat="1" applyFont="1" applyFill="1" applyBorder="1" applyAlignment="1" applyProtection="1">
      <alignment horizontal="right" indent="1"/>
    </xf>
    <xf numFmtId="3" fontId="11" fillId="2" borderId="0" xfId="0" applyNumberFormat="1" applyFont="1" applyFill="1" applyBorder="1" applyAlignment="1">
      <alignment horizontal="right"/>
    </xf>
    <xf numFmtId="0" fontId="11" fillId="2" borderId="0" xfId="0" applyFont="1" applyFill="1" applyBorder="1" applyAlignment="1">
      <alignment horizontal="right"/>
    </xf>
    <xf numFmtId="3" fontId="11" fillId="2" borderId="2" xfId="0" applyNumberFormat="1" applyFont="1" applyFill="1" applyBorder="1" applyAlignment="1">
      <alignment horizontal="right" indent="1"/>
    </xf>
    <xf numFmtId="3" fontId="13" fillId="2" borderId="0" xfId="0" applyNumberFormat="1" applyFont="1" applyFill="1" applyBorder="1" applyAlignment="1">
      <alignment horizontal="right"/>
    </xf>
    <xf numFmtId="0" fontId="11" fillId="2" borderId="1" xfId="0" applyFont="1" applyFill="1" applyBorder="1" applyAlignment="1">
      <alignment horizontal="left" indent="3"/>
    </xf>
    <xf numFmtId="164" fontId="12" fillId="2" borderId="1" xfId="0" applyNumberFormat="1" applyFont="1" applyFill="1" applyBorder="1" applyAlignment="1" applyProtection="1">
      <alignment horizontal="center"/>
    </xf>
    <xf numFmtId="0" fontId="12" fillId="2" borderId="7" xfId="0" applyNumberFormat="1" applyFont="1" applyFill="1" applyBorder="1" applyAlignment="1" applyProtection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" fontId="17" fillId="2" borderId="0" xfId="0" applyNumberFormat="1" applyFont="1" applyFill="1" applyAlignment="1"/>
    <xf numFmtId="1" fontId="17" fillId="2" borderId="0" xfId="0" applyNumberFormat="1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166" fontId="17" fillId="2" borderId="0" xfId="0" applyNumberFormat="1" applyFont="1" applyFill="1" applyAlignment="1">
      <alignment horizontal="center"/>
    </xf>
    <xf numFmtId="165" fontId="17" fillId="2" borderId="0" xfId="0" applyNumberFormat="1" applyFont="1" applyFill="1" applyAlignment="1">
      <alignment horizontal="center"/>
    </xf>
    <xf numFmtId="0" fontId="17" fillId="2" borderId="0" xfId="0" applyFont="1" applyFill="1" applyBorder="1"/>
    <xf numFmtId="1" fontId="17" fillId="2" borderId="0" xfId="0" applyNumberFormat="1" applyFont="1" applyFill="1" applyAlignment="1">
      <alignment horizontal="left"/>
    </xf>
    <xf numFmtId="0" fontId="17" fillId="2" borderId="0" xfId="0" applyFont="1" applyFill="1"/>
    <xf numFmtId="0" fontId="18" fillId="2" borderId="0" xfId="0" applyNumberFormat="1" applyFont="1" applyFill="1" applyBorder="1" applyAlignment="1" applyProtection="1">
      <alignment horizontal="left"/>
    </xf>
    <xf numFmtId="0" fontId="18" fillId="2" borderId="0" xfId="0" applyNumberFormat="1" applyFont="1" applyFill="1" applyBorder="1" applyAlignment="1" applyProtection="1">
      <alignment horizontal="center"/>
    </xf>
    <xf numFmtId="0" fontId="11" fillId="2" borderId="0" xfId="0" applyFont="1" applyFill="1" applyAlignment="1"/>
    <xf numFmtId="170" fontId="11" fillId="2" borderId="0" xfId="0" applyNumberFormat="1" applyFont="1" applyFill="1"/>
    <xf numFmtId="0" fontId="5" fillId="2" borderId="0" xfId="0" applyFont="1" applyFill="1" applyAlignment="1"/>
    <xf numFmtId="0" fontId="17" fillId="2" borderId="2" xfId="0" applyFont="1" applyFill="1" applyBorder="1" applyAlignment="1"/>
    <xf numFmtId="0" fontId="17" fillId="2" borderId="0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166" fontId="17" fillId="2" borderId="2" xfId="0" applyNumberFormat="1" applyFont="1" applyFill="1" applyBorder="1" applyAlignment="1">
      <alignment horizontal="center"/>
    </xf>
    <xf numFmtId="165" fontId="17" fillId="2" borderId="2" xfId="0" applyNumberFormat="1" applyFont="1" applyFill="1" applyBorder="1" applyAlignment="1">
      <alignment horizontal="center"/>
    </xf>
    <xf numFmtId="165" fontId="17" fillId="2" borderId="0" xfId="0" applyNumberFormat="1" applyFont="1" applyFill="1" applyBorder="1" applyAlignment="1">
      <alignment horizontal="center"/>
    </xf>
    <xf numFmtId="1" fontId="17" fillId="2" borderId="0" xfId="0" applyNumberFormat="1" applyFont="1" applyFill="1" applyBorder="1" applyAlignment="1">
      <alignment horizontal="left"/>
    </xf>
    <xf numFmtId="0" fontId="2" fillId="2" borderId="0" xfId="4" applyFill="1" applyAlignment="1">
      <alignment horizontal="center"/>
    </xf>
    <xf numFmtId="2" fontId="2" fillId="2" borderId="0" xfId="4" applyNumberFormat="1" applyFill="1" applyAlignment="1">
      <alignment horizontal="center"/>
    </xf>
    <xf numFmtId="0" fontId="12" fillId="0" borderId="1" xfId="0" applyFont="1" applyFill="1" applyBorder="1" applyAlignment="1" applyProtection="1">
      <alignment horizontal="left" indent="3"/>
      <protection locked="0"/>
    </xf>
    <xf numFmtId="0" fontId="12" fillId="0" borderId="1" xfId="0" applyFont="1" applyFill="1" applyBorder="1" applyAlignment="1" applyProtection="1">
      <alignment horizontal="left"/>
      <protection locked="0"/>
    </xf>
    <xf numFmtId="3" fontId="12" fillId="0" borderId="1" xfId="0" applyNumberFormat="1" applyFont="1" applyFill="1" applyBorder="1" applyAlignment="1" applyProtection="1">
      <alignment horizontal="center"/>
      <protection locked="0"/>
    </xf>
    <xf numFmtId="3" fontId="12" fillId="0" borderId="11" xfId="0" applyNumberFormat="1" applyFont="1" applyFill="1" applyBorder="1" applyAlignment="1" applyProtection="1">
      <alignment horizontal="center"/>
      <protection locked="0"/>
    </xf>
    <xf numFmtId="3" fontId="12" fillId="0" borderId="8" xfId="0" applyNumberFormat="1" applyFont="1" applyFill="1" applyBorder="1" applyAlignment="1" applyProtection="1">
      <alignment horizontal="center"/>
      <protection locked="0"/>
    </xf>
    <xf numFmtId="0" fontId="12" fillId="0" borderId="6" xfId="0" applyFont="1" applyFill="1" applyBorder="1" applyAlignment="1" applyProtection="1">
      <alignment horizontal="left"/>
      <protection locked="0"/>
    </xf>
    <xf numFmtId="0" fontId="12" fillId="0" borderId="5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>
      <alignment horizontal="center"/>
    </xf>
    <xf numFmtId="0" fontId="11" fillId="0" borderId="0" xfId="0" applyFont="1" applyFill="1" applyBorder="1"/>
    <xf numFmtId="3" fontId="0" fillId="2" borderId="0" xfId="0" applyNumberFormat="1" applyFill="1" applyAlignment="1">
      <alignment horizontal="left" indent="1"/>
    </xf>
    <xf numFmtId="0" fontId="11" fillId="2" borderId="0" xfId="0" applyFont="1" applyFill="1" applyBorder="1" applyAlignment="1">
      <alignment horizontal="left" indent="1"/>
    </xf>
    <xf numFmtId="3" fontId="11" fillId="2" borderId="0" xfId="0" applyNumberFormat="1" applyFont="1" applyFill="1" applyAlignment="1">
      <alignment horizontal="left" indent="1"/>
    </xf>
    <xf numFmtId="0" fontId="11" fillId="2" borderId="0" xfId="0" applyFont="1" applyFill="1" applyAlignment="1">
      <alignment horizontal="left" indent="1"/>
    </xf>
    <xf numFmtId="1" fontId="17" fillId="2" borderId="0" xfId="0" applyNumberFormat="1" applyFont="1" applyFill="1" applyAlignment="1">
      <alignment horizontal="left" indent="1"/>
    </xf>
    <xf numFmtId="2" fontId="0" fillId="2" borderId="0" xfId="0" applyNumberFormat="1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0" xfId="0" quotePrefix="1" applyFill="1" applyAlignment="1">
      <alignment horizontal="left" indent="1"/>
    </xf>
    <xf numFmtId="3" fontId="11" fillId="0" borderId="0" xfId="0" applyNumberFormat="1" applyFont="1" applyFill="1" applyAlignment="1">
      <alignment horizontal="right" indent="1"/>
    </xf>
    <xf numFmtId="0" fontId="11" fillId="0" borderId="0" xfId="0" applyFont="1" applyFill="1" applyAlignment="1">
      <alignment horizontal="center"/>
    </xf>
    <xf numFmtId="0" fontId="29" fillId="2" borderId="0" xfId="7" applyFill="1" applyAlignment="1">
      <alignment horizontal="center"/>
    </xf>
    <xf numFmtId="0" fontId="29" fillId="2" borderId="0" xfId="7" applyFill="1" applyAlignment="1">
      <alignment horizontal="left" indent="1"/>
    </xf>
    <xf numFmtId="0" fontId="2" fillId="2" borderId="0" xfId="4" applyFill="1" applyAlignment="1">
      <alignment horizontal="left" indent="1"/>
    </xf>
    <xf numFmtId="3" fontId="13" fillId="2" borderId="0" xfId="0" applyNumberFormat="1" applyFont="1" applyFill="1" applyAlignment="1">
      <alignment horizontal="left" indent="1"/>
    </xf>
    <xf numFmtId="0" fontId="29" fillId="2" borderId="0" xfId="7" applyFill="1"/>
    <xf numFmtId="3" fontId="29" fillId="2" borderId="0" xfId="7" applyNumberFormat="1" applyFill="1" applyAlignment="1">
      <alignment horizontal="right" indent="1"/>
    </xf>
    <xf numFmtId="0" fontId="11" fillId="2" borderId="0" xfId="0" applyFont="1" applyFill="1" applyBorder="1" applyAlignment="1">
      <alignment horizontal="right" indent="1"/>
    </xf>
    <xf numFmtId="3" fontId="0" fillId="2" borderId="0" xfId="0" applyNumberFormat="1" applyFill="1" applyAlignment="1">
      <alignment horizontal="right" indent="1"/>
    </xf>
    <xf numFmtId="0" fontId="11" fillId="2" borderId="0" xfId="0" applyFont="1" applyFill="1" applyAlignment="1">
      <alignment horizontal="right" indent="1"/>
    </xf>
    <xf numFmtId="3" fontId="14" fillId="2" borderId="0" xfId="0" applyNumberFormat="1" applyFont="1" applyFill="1"/>
    <xf numFmtId="0" fontId="14" fillId="2" borderId="0" xfId="0" applyNumberFormat="1" applyFont="1" applyFill="1" applyBorder="1" applyAlignment="1" applyProtection="1">
      <alignment horizontal="left" indent="1"/>
    </xf>
    <xf numFmtId="0" fontId="25" fillId="4" borderId="0" xfId="0" applyFont="1" applyFill="1" applyAlignment="1">
      <alignment horizontal="left" indent="2"/>
    </xf>
    <xf numFmtId="0" fontId="26" fillId="4" borderId="0" xfId="1" applyFont="1" applyFill="1" applyBorder="1" applyAlignment="1" applyProtection="1">
      <alignment horizontal="left" indent="2"/>
    </xf>
    <xf numFmtId="0" fontId="8" fillId="4" borderId="0" xfId="0" applyFont="1" applyFill="1"/>
    <xf numFmtId="0" fontId="8" fillId="4" borderId="0" xfId="0" applyFont="1" applyFill="1" applyAlignment="1">
      <alignment horizontal="left" indent="2"/>
    </xf>
    <xf numFmtId="0" fontId="25" fillId="4" borderId="0" xfId="0" applyFont="1" applyFill="1"/>
    <xf numFmtId="0" fontId="25" fillId="4" borderId="0" xfId="0" applyFont="1" applyFill="1" applyBorder="1"/>
    <xf numFmtId="0" fontId="8" fillId="4" borderId="0" xfId="0" applyFont="1" applyFill="1" applyBorder="1"/>
    <xf numFmtId="0" fontId="24" fillId="4" borderId="0" xfId="0" applyFont="1" applyFill="1" applyBorder="1"/>
    <xf numFmtId="0" fontId="3" fillId="4" borderId="0" xfId="1" applyFill="1" applyBorder="1" applyAlignment="1" applyProtection="1"/>
    <xf numFmtId="0" fontId="2" fillId="4" borderId="0" xfId="1" applyFont="1" applyFill="1" applyBorder="1" applyAlignment="1" applyProtection="1"/>
    <xf numFmtId="0" fontId="3" fillId="4" borderId="0" xfId="1" applyFont="1" applyFill="1" applyBorder="1" applyAlignment="1" applyProtection="1"/>
    <xf numFmtId="0" fontId="3" fillId="4" borderId="0" xfId="1" applyFont="1" applyFill="1" applyAlignment="1" applyProtection="1"/>
    <xf numFmtId="0" fontId="3" fillId="4" borderId="0" xfId="1" applyFill="1" applyAlignment="1" applyProtection="1"/>
    <xf numFmtId="0" fontId="21" fillId="4" borderId="0" xfId="0" applyFont="1" applyFill="1"/>
    <xf numFmtId="0" fontId="0" fillId="4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25" fillId="2" borderId="0" xfId="0" applyFont="1" applyFill="1" applyAlignment="1">
      <alignment horizontal="left" indent="2"/>
    </xf>
    <xf numFmtId="0" fontId="9" fillId="4" borderId="0" xfId="0" applyFont="1" applyFill="1" applyBorder="1"/>
    <xf numFmtId="0" fontId="9" fillId="2" borderId="0" xfId="0" applyFont="1" applyFill="1" applyBorder="1"/>
    <xf numFmtId="0" fontId="9" fillId="2" borderId="0" xfId="0" applyFont="1" applyFill="1" applyBorder="1" applyAlignment="1"/>
    <xf numFmtId="0" fontId="10" fillId="2" borderId="0" xfId="0" applyFont="1" applyFill="1" applyBorder="1"/>
    <xf numFmtId="3" fontId="9" fillId="2" borderId="0" xfId="0" applyNumberFormat="1" applyFont="1" applyFill="1" applyBorder="1" applyAlignment="1" applyProtection="1">
      <alignment horizontal="left"/>
    </xf>
    <xf numFmtId="0" fontId="9" fillId="2" borderId="0" xfId="0" applyFont="1" applyFill="1" applyBorder="1" applyAlignment="1">
      <alignment horizontal="left"/>
    </xf>
    <xf numFmtId="14" fontId="2" fillId="0" borderId="0" xfId="0" applyNumberFormat="1" applyFont="1" applyFill="1" applyBorder="1" applyAlignment="1"/>
    <xf numFmtId="0" fontId="4" fillId="0" borderId="7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1" xfId="0" applyFont="1" applyFill="1" applyBorder="1"/>
    <xf numFmtId="0" fontId="4" fillId="0" borderId="0" xfId="0" applyFont="1" applyFill="1" applyBorder="1" applyAlignment="1"/>
    <xf numFmtId="1" fontId="4" fillId="0" borderId="0" xfId="0" applyNumberFormat="1" applyFont="1" applyFill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/>
    <xf numFmtId="0" fontId="4" fillId="0" borderId="10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left"/>
    </xf>
    <xf numFmtId="0" fontId="17" fillId="4" borderId="0" xfId="0" applyFont="1" applyFill="1"/>
    <xf numFmtId="0" fontId="17" fillId="4" borderId="0" xfId="0" applyFont="1" applyFill="1" applyAlignment="1"/>
    <xf numFmtId="0" fontId="19" fillId="4" borderId="0" xfId="0" applyFont="1" applyFill="1" applyAlignment="1"/>
    <xf numFmtId="0" fontId="19" fillId="4" borderId="0" xfId="0" applyFont="1" applyFill="1" applyAlignment="1">
      <alignment horizontal="left"/>
    </xf>
    <xf numFmtId="1" fontId="17" fillId="4" borderId="0" xfId="0" applyNumberFormat="1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166" fontId="17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165" fontId="17" fillId="4" borderId="0" xfId="0" applyNumberFormat="1" applyFont="1" applyFill="1" applyAlignment="1">
      <alignment horizontal="center"/>
    </xf>
    <xf numFmtId="0" fontId="19" fillId="4" borderId="0" xfId="0" applyFont="1" applyFill="1"/>
    <xf numFmtId="3" fontId="17" fillId="4" borderId="0" xfId="0" applyNumberFormat="1" applyFont="1" applyFill="1" applyBorder="1" applyAlignment="1" applyProtection="1">
      <alignment horizontal="left"/>
    </xf>
    <xf numFmtId="0" fontId="17" fillId="4" borderId="0" xfId="0" applyFont="1" applyFill="1" applyAlignment="1">
      <alignment horizontal="left"/>
    </xf>
    <xf numFmtId="0" fontId="18" fillId="2" borderId="0" xfId="0" applyFont="1" applyFill="1"/>
    <xf numFmtId="0" fontId="17" fillId="2" borderId="0" xfId="0" applyFont="1" applyFill="1" applyAlignment="1"/>
    <xf numFmtId="0" fontId="19" fillId="2" borderId="0" xfId="0" applyFont="1" applyFill="1" applyAlignment="1"/>
    <xf numFmtId="0" fontId="19" fillId="2" borderId="0" xfId="0" applyFont="1" applyFill="1" applyAlignment="1">
      <alignment horizontal="left"/>
    </xf>
    <xf numFmtId="165" fontId="19" fillId="2" borderId="0" xfId="0" applyNumberFormat="1" applyFont="1" applyFill="1" applyAlignment="1">
      <alignment horizontal="center"/>
    </xf>
    <xf numFmtId="0" fontId="32" fillId="2" borderId="0" xfId="0" applyFont="1" applyFill="1" applyAlignment="1">
      <alignment horizontal="left" indent="2"/>
    </xf>
    <xf numFmtId="0" fontId="33" fillId="2" borderId="0" xfId="0" applyFont="1" applyFill="1" applyAlignment="1">
      <alignment horizontal="left" indent="2"/>
    </xf>
    <xf numFmtId="0" fontId="34" fillId="2" borderId="0" xfId="1" applyFont="1" applyFill="1" applyAlignment="1" applyProtection="1">
      <alignment horizontal="left" indent="2"/>
    </xf>
    <xf numFmtId="0" fontId="34" fillId="2" borderId="0" xfId="1" applyFont="1" applyFill="1" applyBorder="1" applyAlignment="1" applyProtection="1">
      <alignment horizontal="left" indent="2"/>
    </xf>
    <xf numFmtId="0" fontId="33" fillId="2" borderId="0" xfId="0" applyFont="1" applyFill="1" applyBorder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5" fillId="4" borderId="0" xfId="0" applyFont="1" applyFill="1"/>
    <xf numFmtId="0" fontId="5" fillId="4" borderId="0" xfId="0" applyFont="1" applyFill="1" applyBorder="1"/>
    <xf numFmtId="0" fontId="5" fillId="4" borderId="0" xfId="0" applyFont="1" applyFill="1" applyAlignment="1">
      <alignment wrapText="1"/>
    </xf>
    <xf numFmtId="1" fontId="5" fillId="4" borderId="0" xfId="0" applyNumberFormat="1" applyFont="1" applyFill="1"/>
    <xf numFmtId="49" fontId="5" fillId="4" borderId="0" xfId="0" applyNumberFormat="1" applyFont="1" applyFill="1"/>
    <xf numFmtId="169" fontId="5" fillId="4" borderId="0" xfId="3" applyNumberFormat="1" applyFont="1" applyFill="1"/>
    <xf numFmtId="0" fontId="5" fillId="2" borderId="0" xfId="0" applyFont="1" applyFill="1"/>
    <xf numFmtId="0" fontId="16" fillId="2" borderId="0" xfId="0" applyFont="1" applyFill="1"/>
    <xf numFmtId="0" fontId="7" fillId="2" borderId="0" xfId="0" applyFont="1" applyFill="1" applyAlignment="1"/>
    <xf numFmtId="0" fontId="5" fillId="2" borderId="0" xfId="0" applyFont="1" applyFill="1" applyBorder="1"/>
    <xf numFmtId="0" fontId="5" fillId="2" borderId="3" xfId="0" applyFont="1" applyFill="1" applyBorder="1"/>
    <xf numFmtId="0" fontId="2" fillId="4" borderId="0" xfId="0" applyFont="1" applyFill="1"/>
    <xf numFmtId="0" fontId="5" fillId="4" borderId="0" xfId="0" applyFont="1" applyFill="1" applyAlignment="1">
      <alignment horizontal="left" indent="1"/>
    </xf>
    <xf numFmtId="3" fontId="5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4" fillId="4" borderId="0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3" fontId="5" fillId="2" borderId="0" xfId="0" applyNumberFormat="1" applyFont="1" applyFill="1"/>
    <xf numFmtId="0" fontId="4" fillId="2" borderId="0" xfId="0" applyFont="1" applyFill="1"/>
    <xf numFmtId="0" fontId="7" fillId="2" borderId="0" xfId="0" applyFont="1" applyFill="1" applyAlignment="1">
      <alignment horizontal="left" indent="1"/>
    </xf>
    <xf numFmtId="3" fontId="29" fillId="2" borderId="0" xfId="7" applyNumberFormat="1" applyFill="1"/>
    <xf numFmtId="3" fontId="0" fillId="2" borderId="0" xfId="0" applyNumberFormat="1" applyFill="1" applyAlignment="1">
      <alignment horizontal="center"/>
    </xf>
    <xf numFmtId="1" fontId="5" fillId="2" borderId="0" xfId="0" applyNumberFormat="1" applyFont="1" applyFill="1"/>
    <xf numFmtId="0" fontId="4" fillId="2" borderId="0" xfId="0" applyFont="1" applyFill="1" applyAlignment="1">
      <alignment horizontal="left" indent="5"/>
    </xf>
    <xf numFmtId="3" fontId="5" fillId="2" borderId="0" xfId="0" applyNumberFormat="1" applyFont="1" applyFill="1" applyBorder="1"/>
    <xf numFmtId="3" fontId="4" fillId="2" borderId="0" xfId="0" applyNumberFormat="1" applyFont="1" applyFill="1"/>
    <xf numFmtId="0" fontId="5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0" fontId="4" fillId="2" borderId="0" xfId="0" applyFont="1" applyFill="1" applyAlignment="1">
      <alignment horizontal="left" indent="4"/>
    </xf>
    <xf numFmtId="1" fontId="4" fillId="2" borderId="0" xfId="0" applyNumberFormat="1" applyFont="1" applyFill="1" applyBorder="1" applyAlignment="1">
      <alignment horizontal="center"/>
    </xf>
    <xf numFmtId="3" fontId="4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 indent="3"/>
    </xf>
    <xf numFmtId="0" fontId="35" fillId="36" borderId="32" xfId="0" applyFont="1" applyFill="1" applyBorder="1" applyAlignment="1">
      <alignment horizontal="left" indent="3"/>
    </xf>
    <xf numFmtId="3" fontId="35" fillId="36" borderId="29" xfId="0" applyNumberFormat="1" applyFont="1" applyFill="1" applyBorder="1" applyAlignment="1">
      <alignment horizontal="center"/>
    </xf>
    <xf numFmtId="3" fontId="35" fillId="36" borderId="30" xfId="0" applyNumberFormat="1" applyFont="1" applyFill="1" applyBorder="1" applyAlignment="1">
      <alignment horizontal="center"/>
    </xf>
    <xf numFmtId="3" fontId="35" fillId="36" borderId="31" xfId="0" applyNumberFormat="1" applyFont="1" applyFill="1" applyBorder="1" applyAlignment="1">
      <alignment horizontal="center"/>
    </xf>
    <xf numFmtId="0" fontId="35" fillId="36" borderId="29" xfId="0" applyFont="1" applyFill="1" applyBorder="1" applyAlignment="1">
      <alignment horizontal="center"/>
    </xf>
    <xf numFmtId="0" fontId="35" fillId="36" borderId="32" xfId="0" applyFont="1" applyFill="1" applyBorder="1" applyAlignment="1">
      <alignment horizontal="left" indent="2"/>
    </xf>
    <xf numFmtId="1" fontId="35" fillId="36" borderId="32" xfId="0" applyNumberFormat="1" applyFont="1" applyFill="1" applyBorder="1" applyAlignment="1">
      <alignment horizontal="center"/>
    </xf>
    <xf numFmtId="0" fontId="35" fillId="36" borderId="33" xfId="0" applyFont="1" applyFill="1" applyBorder="1" applyAlignment="1">
      <alignment horizontal="center"/>
    </xf>
    <xf numFmtId="0" fontId="0" fillId="4" borderId="0" xfId="0" applyFill="1"/>
    <xf numFmtId="0" fontId="2" fillId="4" borderId="0" xfId="4" applyFill="1"/>
    <xf numFmtId="0" fontId="2" fillId="4" borderId="0" xfId="4" applyFill="1" applyBorder="1"/>
    <xf numFmtId="0" fontId="27" fillId="4" borderId="0" xfId="4" applyFont="1" applyFill="1"/>
    <xf numFmtId="0" fontId="2" fillId="2" borderId="0" xfId="4" applyFill="1"/>
    <xf numFmtId="0" fontId="7" fillId="2" borderId="0" xfId="4" applyFont="1" applyFill="1" applyAlignment="1"/>
    <xf numFmtId="0" fontId="2" fillId="2" borderId="0" xfId="4" applyFont="1" applyFill="1"/>
    <xf numFmtId="0" fontId="22" fillId="2" borderId="0" xfId="4" applyFont="1" applyFill="1"/>
    <xf numFmtId="0" fontId="4" fillId="2" borderId="0" xfId="4" applyFont="1" applyFill="1"/>
    <xf numFmtId="0" fontId="2" fillId="2" borderId="0" xfId="4" applyNumberFormat="1" applyFill="1"/>
    <xf numFmtId="0" fontId="53" fillId="2" borderId="0" xfId="4" applyFont="1" applyFill="1"/>
    <xf numFmtId="0" fontId="2" fillId="4" borderId="0" xfId="0" applyFont="1" applyFill="1" applyBorder="1"/>
    <xf numFmtId="0" fontId="2" fillId="2" borderId="0" xfId="0" applyFont="1" applyFill="1" applyBorder="1"/>
    <xf numFmtId="0" fontId="14" fillId="4" borderId="0" xfId="4" applyFont="1" applyFill="1"/>
    <xf numFmtId="0" fontId="12" fillId="4" borderId="0" xfId="4" applyFont="1" applyFill="1"/>
    <xf numFmtId="14" fontId="12" fillId="4" borderId="0" xfId="4" applyNumberFormat="1" applyFont="1" applyFill="1" applyBorder="1" applyAlignment="1">
      <alignment horizontal="left"/>
    </xf>
    <xf numFmtId="0" fontId="12" fillId="4" borderId="0" xfId="4" applyNumberFormat="1" applyFont="1" applyFill="1"/>
    <xf numFmtId="9" fontId="12" fillId="4" borderId="0" xfId="4" applyNumberFormat="1" applyFont="1" applyFill="1" applyBorder="1" applyAlignment="1">
      <alignment horizontal="center"/>
    </xf>
    <xf numFmtId="0" fontId="12" fillId="4" borderId="0" xfId="4" applyFont="1" applyFill="1" applyBorder="1"/>
    <xf numFmtId="0" fontId="19" fillId="4" borderId="0" xfId="0" applyFont="1" applyFill="1" applyBorder="1"/>
    <xf numFmtId="0" fontId="12" fillId="4" borderId="0" xfId="4" applyNumberFormat="1" applyFont="1" applyFill="1" applyAlignment="1">
      <alignment horizontal="center"/>
    </xf>
    <xf numFmtId="0" fontId="11" fillId="4" borderId="0" xfId="4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center"/>
    </xf>
    <xf numFmtId="14" fontId="17" fillId="4" borderId="0" xfId="0" applyNumberFormat="1" applyFont="1" applyFill="1" applyAlignment="1">
      <alignment horizontal="center"/>
    </xf>
    <xf numFmtId="0" fontId="11" fillId="2" borderId="0" xfId="4" applyFont="1" applyFill="1"/>
    <xf numFmtId="0" fontId="14" fillId="2" borderId="0" xfId="4" applyNumberFormat="1" applyFont="1" applyFill="1" applyBorder="1" applyAlignment="1" applyProtection="1">
      <alignment horizontal="left"/>
    </xf>
    <xf numFmtId="0" fontId="12" fillId="2" borderId="0" xfId="4" applyFont="1" applyFill="1"/>
    <xf numFmtId="0" fontId="12" fillId="2" borderId="0" xfId="4" applyNumberFormat="1" applyFont="1" applyFill="1" applyBorder="1" applyAlignment="1" applyProtection="1">
      <alignment horizontal="left"/>
    </xf>
    <xf numFmtId="9" fontId="12" fillId="2" borderId="0" xfId="4" applyNumberFormat="1" applyFont="1" applyFill="1" applyBorder="1" applyAlignment="1">
      <alignment horizontal="center"/>
    </xf>
    <xf numFmtId="0" fontId="12" fillId="2" borderId="0" xfId="4" applyFont="1" applyFill="1" applyBorder="1" applyAlignment="1">
      <alignment horizontal="center"/>
    </xf>
    <xf numFmtId="0" fontId="12" fillId="2" borderId="0" xfId="4" applyFont="1" applyFill="1" applyBorder="1"/>
    <xf numFmtId="167" fontId="12" fillId="2" borderId="0" xfId="4" applyNumberFormat="1" applyFont="1" applyFill="1" applyAlignment="1">
      <alignment horizontal="center"/>
    </xf>
    <xf numFmtId="9" fontId="12" fillId="2" borderId="0" xfId="4" applyNumberFormat="1" applyFont="1" applyFill="1" applyAlignment="1">
      <alignment horizontal="center"/>
    </xf>
    <xf numFmtId="1" fontId="12" fillId="2" borderId="0" xfId="4" applyNumberFormat="1" applyFont="1" applyFill="1" applyAlignment="1">
      <alignment horizontal="center"/>
    </xf>
    <xf numFmtId="14" fontId="11" fillId="2" borderId="0" xfId="4" applyNumberFormat="1" applyFont="1" applyFill="1" applyAlignment="1">
      <alignment horizontal="center"/>
    </xf>
    <xf numFmtId="168" fontId="11" fillId="2" borderId="0" xfId="4" applyNumberFormat="1" applyFont="1" applyFill="1" applyAlignment="1">
      <alignment horizontal="center"/>
    </xf>
    <xf numFmtId="168" fontId="11" fillId="2" borderId="0" xfId="2" applyNumberFormat="1" applyFont="1" applyFill="1" applyAlignment="1">
      <alignment horizontal="center"/>
    </xf>
    <xf numFmtId="165" fontId="11" fillId="2" borderId="0" xfId="4" applyNumberFormat="1" applyFont="1" applyFill="1" applyAlignment="1">
      <alignment horizontal="center"/>
    </xf>
    <xf numFmtId="14" fontId="11" fillId="2" borderId="0" xfId="4" applyNumberFormat="1" applyFont="1" applyFill="1"/>
    <xf numFmtId="168" fontId="2" fillId="2" borderId="0" xfId="2" applyNumberFormat="1" applyFill="1"/>
    <xf numFmtId="168" fontId="11" fillId="2" borderId="0" xfId="4" applyNumberFormat="1" applyFont="1" applyFill="1"/>
    <xf numFmtId="164" fontId="11" fillId="2" borderId="0" xfId="4" applyNumberFormat="1" applyFont="1" applyFill="1" applyAlignment="1">
      <alignment horizontal="center"/>
    </xf>
    <xf numFmtId="14" fontId="2" fillId="2" borderId="0" xfId="4" applyNumberFormat="1" applyFill="1" applyAlignment="1">
      <alignment horizontal="center"/>
    </xf>
    <xf numFmtId="168" fontId="2" fillId="2" borderId="0" xfId="4" applyNumberFormat="1" applyFill="1" applyAlignment="1">
      <alignment horizontal="center"/>
    </xf>
    <xf numFmtId="10" fontId="11" fillId="2" borderId="0" xfId="4" applyNumberFormat="1" applyFont="1" applyFill="1" applyAlignment="1">
      <alignment horizontal="center"/>
    </xf>
    <xf numFmtId="168" fontId="2" fillId="2" borderId="0" xfId="2" applyNumberFormat="1" applyFill="1" applyAlignment="1">
      <alignment horizontal="center"/>
    </xf>
    <xf numFmtId="168" fontId="2" fillId="2" borderId="0" xfId="2" applyNumberFormat="1" applyFont="1" applyFill="1" applyAlignment="1">
      <alignment horizontal="center"/>
    </xf>
    <xf numFmtId="14" fontId="2" fillId="2" borderId="0" xfId="4" applyNumberFormat="1" applyFont="1" applyFill="1" applyAlignment="1">
      <alignment horizontal="center"/>
    </xf>
    <xf numFmtId="168" fontId="17" fillId="2" borderId="0" xfId="0" applyNumberFormat="1" applyFont="1" applyFill="1" applyAlignment="1">
      <alignment horizontal="center"/>
    </xf>
    <xf numFmtId="10" fontId="17" fillId="2" borderId="0" xfId="0" applyNumberFormat="1" applyFont="1" applyFill="1" applyAlignment="1">
      <alignment horizontal="center"/>
    </xf>
    <xf numFmtId="14" fontId="17" fillId="2" borderId="0" xfId="0" applyNumberFormat="1" applyFont="1" applyFill="1" applyAlignment="1">
      <alignment horizontal="center"/>
    </xf>
    <xf numFmtId="0" fontId="18" fillId="4" borderId="0" xfId="0" applyFont="1" applyFill="1"/>
    <xf numFmtId="0" fontId="17" fillId="4" borderId="0" xfId="0" applyFont="1" applyFill="1" applyBorder="1"/>
    <xf numFmtId="0" fontId="17" fillId="4" borderId="0" xfId="0" applyFont="1" applyFill="1" applyBorder="1" applyAlignment="1">
      <alignment horizontal="center"/>
    </xf>
    <xf numFmtId="9" fontId="19" fillId="4" borderId="0" xfId="0" applyNumberFormat="1" applyFont="1" applyFill="1" applyBorder="1" applyAlignment="1">
      <alignment horizontal="center"/>
    </xf>
    <xf numFmtId="0" fontId="19" fillId="4" borderId="2" xfId="0" applyFont="1" applyFill="1" applyBorder="1"/>
    <xf numFmtId="9" fontId="19" fillId="4" borderId="2" xfId="0" applyNumberFormat="1" applyFont="1" applyFill="1" applyBorder="1" applyAlignment="1">
      <alignment horizontal="left"/>
    </xf>
    <xf numFmtId="9" fontId="19" fillId="4" borderId="2" xfId="0" applyNumberFormat="1" applyFont="1" applyFill="1" applyBorder="1" applyAlignment="1">
      <alignment horizontal="center"/>
    </xf>
    <xf numFmtId="168" fontId="17" fillId="4" borderId="0" xfId="2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right"/>
    </xf>
    <xf numFmtId="0" fontId="17" fillId="4" borderId="0" xfId="0" applyNumberFormat="1" applyFont="1" applyFill="1" applyAlignment="1">
      <alignment horizontal="center"/>
    </xf>
    <xf numFmtId="168" fontId="17" fillId="4" borderId="0" xfId="2" applyNumberFormat="1" applyFont="1" applyFill="1" applyAlignment="1">
      <alignment horizontal="right"/>
    </xf>
    <xf numFmtId="168" fontId="17" fillId="4" borderId="0" xfId="0" applyNumberFormat="1" applyFont="1" applyFill="1" applyBorder="1"/>
    <xf numFmtId="168" fontId="2" fillId="4" borderId="0" xfId="2" applyNumberFormat="1" applyFont="1" applyFill="1" applyBorder="1"/>
    <xf numFmtId="1" fontId="17" fillId="4" borderId="0" xfId="0" applyNumberFormat="1" applyFont="1" applyFill="1" applyAlignment="1">
      <alignment horizontal="left"/>
    </xf>
    <xf numFmtId="168" fontId="17" fillId="4" borderId="0" xfId="0" applyNumberFormat="1" applyFont="1" applyFill="1"/>
    <xf numFmtId="168" fontId="17" fillId="4" borderId="0" xfId="0" applyNumberFormat="1" applyFont="1" applyFill="1" applyBorder="1" applyAlignment="1">
      <alignment horizontal="center"/>
    </xf>
    <xf numFmtId="168" fontId="2" fillId="4" borderId="0" xfId="2" applyNumberFormat="1" applyFill="1" applyBorder="1"/>
    <xf numFmtId="168" fontId="2" fillId="4" borderId="0" xfId="0" applyNumberFormat="1" applyFont="1" applyFill="1" applyBorder="1" applyAlignment="1">
      <alignment horizontal="center"/>
    </xf>
    <xf numFmtId="0" fontId="23" fillId="4" borderId="0" xfId="0" applyFont="1" applyFill="1"/>
    <xf numFmtId="0" fontId="14" fillId="2" borderId="0" xfId="0" applyFont="1" applyFill="1"/>
    <xf numFmtId="0" fontId="19" fillId="2" borderId="0" xfId="0" applyFont="1" applyFill="1"/>
    <xf numFmtId="0" fontId="19" fillId="2" borderId="0" xfId="0" applyFont="1" applyFill="1" applyBorder="1"/>
    <xf numFmtId="0" fontId="19" fillId="2" borderId="0" xfId="0" applyFont="1" applyFill="1" applyBorder="1" applyAlignment="1">
      <alignment horizontal="center"/>
    </xf>
    <xf numFmtId="9" fontId="19" fillId="2" borderId="0" xfId="0" applyNumberFormat="1" applyFont="1" applyFill="1" applyBorder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8" fontId="2" fillId="2" borderId="0" xfId="2" applyNumberFormat="1" applyFont="1" applyFill="1" applyBorder="1"/>
    <xf numFmtId="168" fontId="17" fillId="2" borderId="0" xfId="0" applyNumberFormat="1" applyFont="1" applyFill="1" applyBorder="1" applyAlignment="1">
      <alignment horizontal="center"/>
    </xf>
    <xf numFmtId="168" fontId="2" fillId="2" borderId="0" xfId="2" applyNumberFormat="1" applyFont="1" applyFill="1" applyBorder="1" applyAlignment="1">
      <alignment horizontal="center"/>
    </xf>
    <xf numFmtId="168" fontId="2" fillId="2" borderId="0" xfId="2" applyNumberFormat="1" applyFill="1" applyBorder="1"/>
    <xf numFmtId="0" fontId="13" fillId="2" borderId="0" xfId="0" applyFont="1" applyFill="1"/>
    <xf numFmtId="0" fontId="11" fillId="2" borderId="34" xfId="0" applyFont="1" applyFill="1" applyBorder="1"/>
    <xf numFmtId="168" fontId="17" fillId="2" borderId="34" xfId="2" applyNumberFormat="1" applyFont="1" applyFill="1" applyBorder="1" applyAlignment="1">
      <alignment horizontal="center"/>
    </xf>
    <xf numFmtId="168" fontId="17" fillId="2" borderId="34" xfId="0" applyNumberFormat="1" applyFont="1" applyFill="1" applyBorder="1" applyAlignment="1">
      <alignment horizontal="center"/>
    </xf>
    <xf numFmtId="168" fontId="2" fillId="2" borderId="34" xfId="2" applyNumberFormat="1" applyFont="1" applyFill="1" applyBorder="1" applyAlignment="1">
      <alignment horizontal="center"/>
    </xf>
    <xf numFmtId="0" fontId="11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17" fillId="4" borderId="0" xfId="0" applyNumberFormat="1" applyFont="1" applyFill="1" applyAlignment="1">
      <alignment horizontal="right"/>
    </xf>
    <xf numFmtId="1" fontId="20" fillId="4" borderId="0" xfId="0" applyNumberFormat="1" applyFont="1" applyFill="1" applyAlignment="1">
      <alignment horizontal="center"/>
    </xf>
    <xf numFmtId="0" fontId="11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19" fillId="4" borderId="0" xfId="0" applyNumberFormat="1" applyFont="1" applyFill="1" applyBorder="1" applyAlignment="1">
      <alignment horizontal="left"/>
    </xf>
    <xf numFmtId="14" fontId="19" fillId="4" borderId="0" xfId="0" applyNumberFormat="1" applyFont="1" applyFill="1" applyBorder="1" applyAlignment="1">
      <alignment horizontal="right"/>
    </xf>
    <xf numFmtId="9" fontId="17" fillId="4" borderId="0" xfId="0" applyNumberFormat="1" applyFont="1" applyFill="1" applyBorder="1" applyAlignment="1">
      <alignment horizontal="center"/>
    </xf>
    <xf numFmtId="14" fontId="19" fillId="4" borderId="0" xfId="0" applyNumberFormat="1" applyFont="1" applyFill="1" applyAlignment="1">
      <alignment horizontal="center"/>
    </xf>
    <xf numFmtId="9" fontId="19" fillId="4" borderId="0" xfId="0" applyNumberFormat="1" applyFont="1" applyFill="1" applyAlignment="1">
      <alignment horizontal="center"/>
    </xf>
    <xf numFmtId="1" fontId="19" fillId="4" borderId="0" xfId="0" applyNumberFormat="1" applyFont="1" applyFill="1" applyAlignment="1">
      <alignment horizontal="center"/>
    </xf>
    <xf numFmtId="164" fontId="17" fillId="4" borderId="0" xfId="0" applyNumberFormat="1" applyFont="1" applyFill="1" applyAlignment="1">
      <alignment horizontal="center"/>
    </xf>
    <xf numFmtId="164" fontId="17" fillId="4" borderId="0" xfId="0" applyNumberFormat="1" applyFont="1" applyFill="1"/>
    <xf numFmtId="14" fontId="17" fillId="4" borderId="0" xfId="0" applyNumberFormat="1" applyFont="1" applyFill="1"/>
    <xf numFmtId="14" fontId="19" fillId="2" borderId="0" xfId="0" applyNumberFormat="1" applyFont="1" applyFill="1" applyBorder="1" applyAlignment="1">
      <alignment horizontal="right"/>
    </xf>
    <xf numFmtId="9" fontId="17" fillId="2" borderId="0" xfId="0" applyNumberFormat="1" applyFont="1" applyFill="1" applyBorder="1" applyAlignment="1">
      <alignment horizontal="center"/>
    </xf>
    <xf numFmtId="9" fontId="19" fillId="2" borderId="0" xfId="0" applyNumberFormat="1" applyFont="1" applyFill="1" applyAlignment="1">
      <alignment horizontal="center"/>
    </xf>
    <xf numFmtId="1" fontId="19" fillId="2" borderId="0" xfId="0" applyNumberFormat="1" applyFont="1" applyFill="1" applyAlignment="1">
      <alignment horizontal="center"/>
    </xf>
    <xf numFmtId="164" fontId="17" fillId="2" borderId="0" xfId="0" applyNumberFormat="1" applyFont="1" applyFill="1" applyAlignment="1">
      <alignment horizontal="center"/>
    </xf>
    <xf numFmtId="164" fontId="17" fillId="2" borderId="0" xfId="0" applyNumberFormat="1" applyFont="1" applyFill="1"/>
    <xf numFmtId="168" fontId="17" fillId="2" borderId="0" xfId="0" applyNumberFormat="1" applyFont="1" applyFill="1"/>
    <xf numFmtId="168" fontId="5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17" fillId="2" borderId="0" xfId="0" applyNumberFormat="1" applyFont="1" applyFill="1"/>
    <xf numFmtId="168" fontId="17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2" fillId="2" borderId="0" xfId="0" applyNumberFormat="1" applyFont="1" applyFill="1" applyAlignment="1">
      <alignment horizontal="center"/>
    </xf>
    <xf numFmtId="14" fontId="2" fillId="2" borderId="0" xfId="4" applyNumberFormat="1" applyFill="1"/>
    <xf numFmtId="168" fontId="2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5" fillId="3" borderId="0" xfId="0" applyNumberFormat="1" applyFont="1" applyFill="1" applyBorder="1" applyAlignment="1">
      <alignment horizontal="center"/>
    </xf>
    <xf numFmtId="14" fontId="35" fillId="3" borderId="0" xfId="0" applyNumberFormat="1" applyFont="1" applyFill="1" applyAlignment="1">
      <alignment horizontal="center"/>
    </xf>
    <xf numFmtId="0" fontId="35" fillId="3" borderId="2" xfId="0" applyFont="1" applyFill="1" applyBorder="1"/>
    <xf numFmtId="0" fontId="35" fillId="3" borderId="2" xfId="0" applyFont="1" applyFill="1" applyBorder="1" applyAlignment="1">
      <alignment horizontal="center"/>
    </xf>
    <xf numFmtId="167" fontId="35" fillId="3" borderId="2" xfId="0" applyNumberFormat="1" applyFont="1" applyFill="1" applyBorder="1" applyAlignment="1">
      <alignment horizontal="center"/>
    </xf>
    <xf numFmtId="167" fontId="35" fillId="3" borderId="0" xfId="0" applyNumberFormat="1" applyFont="1" applyFill="1" applyAlignment="1">
      <alignment horizontal="center"/>
    </xf>
    <xf numFmtId="164" fontId="35" fillId="3" borderId="2" xfId="0" applyNumberFormat="1" applyFont="1" applyFill="1" applyBorder="1" applyAlignment="1">
      <alignment horizontal="center"/>
    </xf>
    <xf numFmtId="1" fontId="35" fillId="3" borderId="2" xfId="0" applyNumberFormat="1" applyFont="1" applyFill="1" applyBorder="1" applyAlignment="1">
      <alignment horizontal="center"/>
    </xf>
    <xf numFmtId="164" fontId="35" fillId="3" borderId="0" xfId="0" applyNumberFormat="1" applyFont="1" applyFill="1" applyAlignment="1">
      <alignment horizontal="center"/>
    </xf>
    <xf numFmtId="9" fontId="35" fillId="3" borderId="0" xfId="4" applyNumberFormat="1" applyFont="1" applyFill="1" applyBorder="1" applyAlignment="1">
      <alignment horizontal="center"/>
    </xf>
    <xf numFmtId="14" fontId="35" fillId="3" borderId="0" xfId="4" applyNumberFormat="1" applyFont="1" applyFill="1" applyAlignment="1">
      <alignment horizontal="center"/>
    </xf>
    <xf numFmtId="0" fontId="17" fillId="2" borderId="34" xfId="0" applyFont="1" applyFill="1" applyBorder="1"/>
    <xf numFmtId="1" fontId="17" fillId="2" borderId="34" xfId="0" applyNumberFormat="1" applyFont="1" applyFill="1" applyBorder="1" applyAlignment="1">
      <alignment horizontal="center"/>
    </xf>
    <xf numFmtId="3" fontId="11" fillId="2" borderId="34" xfId="0" applyNumberFormat="1" applyFont="1" applyFill="1" applyBorder="1" applyAlignment="1">
      <alignment horizontal="center"/>
    </xf>
    <xf numFmtId="1" fontId="0" fillId="2" borderId="34" xfId="0" applyNumberFormat="1" applyFill="1" applyBorder="1" applyAlignment="1">
      <alignment horizontal="center"/>
    </xf>
    <xf numFmtId="0" fontId="29" fillId="2" borderId="35" xfId="7" applyFill="1" applyBorder="1" applyAlignment="1">
      <alignment horizontal="left" indent="1"/>
    </xf>
    <xf numFmtId="3" fontId="29" fillId="2" borderId="35" xfId="7" applyNumberFormat="1" applyFill="1" applyBorder="1"/>
    <xf numFmtId="3" fontId="0" fillId="2" borderId="35" xfId="0" applyNumberFormat="1" applyFill="1" applyBorder="1" applyAlignment="1">
      <alignment horizontal="center"/>
    </xf>
    <xf numFmtId="0" fontId="2" fillId="2" borderId="35" xfId="4" applyFill="1" applyBorder="1" applyAlignment="1">
      <alignment horizontal="left" indent="1"/>
    </xf>
    <xf numFmtId="0" fontId="2" fillId="2" borderId="35" xfId="4" applyFill="1" applyBorder="1" applyAlignment="1">
      <alignment horizontal="center"/>
    </xf>
    <xf numFmtId="0" fontId="7" fillId="0" borderId="0" xfId="0" applyFont="1" applyFill="1" applyAlignment="1">
      <alignment horizontal="left" indent="1"/>
    </xf>
    <xf numFmtId="168" fontId="2" fillId="0" borderId="0" xfId="2" applyNumberFormat="1" applyFont="1" applyFill="1" applyAlignment="1">
      <alignment horizontal="center"/>
    </xf>
    <xf numFmtId="14" fontId="2" fillId="0" borderId="0" xfId="4" applyNumberFormat="1" applyFont="1" applyAlignment="1">
      <alignment horizontal="center"/>
    </xf>
    <xf numFmtId="168" fontId="2" fillId="0" borderId="0" xfId="4" applyNumberFormat="1" applyFont="1" applyAlignment="1">
      <alignment horizontal="center"/>
    </xf>
    <xf numFmtId="3" fontId="12" fillId="2" borderId="11" xfId="0" applyNumberFormat="1" applyFont="1" applyFill="1" applyBorder="1" applyAlignment="1">
      <alignment horizontal="center"/>
    </xf>
    <xf numFmtId="3" fontId="12" fillId="2" borderId="12" xfId="0" applyNumberFormat="1" applyFont="1" applyFill="1" applyBorder="1" applyAlignment="1">
      <alignment horizontal="center"/>
    </xf>
    <xf numFmtId="3" fontId="12" fillId="2" borderId="5" xfId="0" applyNumberFormat="1" applyFont="1" applyFill="1" applyBorder="1" applyAlignment="1">
      <alignment horizontal="center"/>
    </xf>
    <xf numFmtId="3" fontId="12" fillId="2" borderId="13" xfId="0" applyNumberFormat="1" applyFont="1" applyFill="1" applyBorder="1" applyAlignment="1">
      <alignment horizontal="center"/>
    </xf>
    <xf numFmtId="3" fontId="12" fillId="2" borderId="14" xfId="0" applyNumberFormat="1" applyFont="1" applyFill="1" applyBorder="1" applyAlignment="1">
      <alignment horizontal="center"/>
    </xf>
    <xf numFmtId="3" fontId="35" fillId="36" borderId="27" xfId="0" applyNumberFormat="1" applyFont="1" applyFill="1" applyBorder="1" applyAlignment="1">
      <alignment horizontal="center"/>
    </xf>
    <xf numFmtId="3" fontId="35" fillId="36" borderId="28" xfId="0" applyNumberFormat="1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9" fontId="35" fillId="3" borderId="0" xfId="4" applyNumberFormat="1" applyFont="1" applyFill="1" applyAlignment="1">
      <alignment horizontal="center" wrapText="1"/>
    </xf>
    <xf numFmtId="0" fontId="35" fillId="3" borderId="0" xfId="4" applyFont="1" applyFill="1" applyBorder="1" applyAlignment="1">
      <alignment horizontal="center" wrapText="1"/>
    </xf>
    <xf numFmtId="0" fontId="55" fillId="3" borderId="0" xfId="4" applyFont="1" applyFill="1" applyAlignment="1">
      <alignment horizontal="center" wrapText="1"/>
    </xf>
    <xf numFmtId="9" fontId="19" fillId="4" borderId="0" xfId="0" applyNumberFormat="1" applyFont="1" applyFill="1" applyAlignment="1">
      <alignment horizontal="center" wrapText="1"/>
    </xf>
    <xf numFmtId="9" fontId="35" fillId="3" borderId="0" xfId="0" applyNumberFormat="1" applyFont="1" applyFill="1" applyAlignment="1">
      <alignment horizontal="center" wrapText="1"/>
    </xf>
  </cellXfs>
  <cellStyles count="252">
    <cellStyle name="20% - Dekorfärg1" xfId="31" builtinId="30" customBuiltin="1"/>
    <cellStyle name="20% - Dekorfärg1 10" xfId="170"/>
    <cellStyle name="20% - Dekorfärg1 11" xfId="184"/>
    <cellStyle name="20% - Dekorfärg1 12" xfId="198"/>
    <cellStyle name="20% - Dekorfärg1 13" xfId="212"/>
    <cellStyle name="20% - Dekorfärg1 14" xfId="226"/>
    <cellStyle name="20% - Dekorfärg1 15" xfId="240"/>
    <cellStyle name="20% - Dekorfärg1 2" xfId="58"/>
    <cellStyle name="20% - Dekorfärg1 3" xfId="72"/>
    <cellStyle name="20% - Dekorfärg1 4" xfId="86"/>
    <cellStyle name="20% - Dekorfärg1 5" xfId="100"/>
    <cellStyle name="20% - Dekorfärg1 6" xfId="114"/>
    <cellStyle name="20% - Dekorfärg1 7" xfId="128"/>
    <cellStyle name="20% - Dekorfärg1 8" xfId="142"/>
    <cellStyle name="20% - Dekorfärg1 9" xfId="156"/>
    <cellStyle name="20% - Dekorfärg2" xfId="35" builtinId="34" customBuiltin="1"/>
    <cellStyle name="20% - Dekorfärg2 10" xfId="172"/>
    <cellStyle name="20% - Dekorfärg2 11" xfId="186"/>
    <cellStyle name="20% - Dekorfärg2 12" xfId="200"/>
    <cellStyle name="20% - Dekorfärg2 13" xfId="214"/>
    <cellStyle name="20% - Dekorfärg2 14" xfId="228"/>
    <cellStyle name="20% - Dekorfärg2 15" xfId="242"/>
    <cellStyle name="20% - Dekorfärg2 2" xfId="60"/>
    <cellStyle name="20% - Dekorfärg2 3" xfId="74"/>
    <cellStyle name="20% - Dekorfärg2 4" xfId="88"/>
    <cellStyle name="20% - Dekorfärg2 5" xfId="102"/>
    <cellStyle name="20% - Dekorfärg2 6" xfId="116"/>
    <cellStyle name="20% - Dekorfärg2 7" xfId="130"/>
    <cellStyle name="20% - Dekorfärg2 8" xfId="144"/>
    <cellStyle name="20% - Dekorfärg2 9" xfId="158"/>
    <cellStyle name="20% - Dekorfärg3" xfId="39" builtinId="38" customBuiltin="1"/>
    <cellStyle name="20% - Dekorfärg3 10" xfId="174"/>
    <cellStyle name="20% - Dekorfärg3 11" xfId="188"/>
    <cellStyle name="20% - Dekorfärg3 12" xfId="202"/>
    <cellStyle name="20% - Dekorfärg3 13" xfId="216"/>
    <cellStyle name="20% - Dekorfärg3 14" xfId="230"/>
    <cellStyle name="20% - Dekorfärg3 15" xfId="244"/>
    <cellStyle name="20% - Dekorfärg3 2" xfId="62"/>
    <cellStyle name="20% - Dekorfärg3 3" xfId="76"/>
    <cellStyle name="20% - Dekorfärg3 4" xfId="90"/>
    <cellStyle name="20% - Dekorfärg3 5" xfId="104"/>
    <cellStyle name="20% - Dekorfärg3 6" xfId="118"/>
    <cellStyle name="20% - Dekorfärg3 7" xfId="132"/>
    <cellStyle name="20% - Dekorfärg3 8" xfId="146"/>
    <cellStyle name="20% - Dekorfärg3 9" xfId="160"/>
    <cellStyle name="20% - Dekorfärg4" xfId="43" builtinId="42" customBuiltin="1"/>
    <cellStyle name="20% - Dekorfärg4 10" xfId="176"/>
    <cellStyle name="20% - Dekorfärg4 11" xfId="190"/>
    <cellStyle name="20% - Dekorfärg4 12" xfId="204"/>
    <cellStyle name="20% - Dekorfärg4 13" xfId="218"/>
    <cellStyle name="20% - Dekorfärg4 14" xfId="232"/>
    <cellStyle name="20% - Dekorfärg4 15" xfId="246"/>
    <cellStyle name="20% - Dekorfärg4 2" xfId="64"/>
    <cellStyle name="20% - Dekorfärg4 3" xfId="78"/>
    <cellStyle name="20% - Dekorfärg4 4" xfId="92"/>
    <cellStyle name="20% - Dekorfärg4 5" xfId="106"/>
    <cellStyle name="20% - Dekorfärg4 6" xfId="120"/>
    <cellStyle name="20% - Dekorfärg4 7" xfId="134"/>
    <cellStyle name="20% - Dekorfärg4 8" xfId="148"/>
    <cellStyle name="20% - Dekorfärg4 9" xfId="162"/>
    <cellStyle name="20% - Dekorfärg5" xfId="47" builtinId="46" customBuiltin="1"/>
    <cellStyle name="20% - Dekorfärg5 10" xfId="178"/>
    <cellStyle name="20% - Dekorfärg5 11" xfId="192"/>
    <cellStyle name="20% - Dekorfärg5 12" xfId="206"/>
    <cellStyle name="20% - Dekorfärg5 13" xfId="220"/>
    <cellStyle name="20% - Dekorfärg5 14" xfId="234"/>
    <cellStyle name="20% - Dekorfärg5 15" xfId="248"/>
    <cellStyle name="20% - Dekorfärg5 2" xfId="66"/>
    <cellStyle name="20% - Dekorfärg5 3" xfId="80"/>
    <cellStyle name="20% - Dekorfärg5 4" xfId="94"/>
    <cellStyle name="20% - Dekorfärg5 5" xfId="108"/>
    <cellStyle name="20% - Dekorfärg5 6" xfId="122"/>
    <cellStyle name="20% - Dekorfärg5 7" xfId="136"/>
    <cellStyle name="20% - Dekorfärg5 8" xfId="150"/>
    <cellStyle name="20% - Dekorfärg5 9" xfId="164"/>
    <cellStyle name="20% - Dekorfärg6" xfId="51" builtinId="50" customBuiltin="1"/>
    <cellStyle name="20% - Dekorfärg6 10" xfId="180"/>
    <cellStyle name="20% - Dekorfärg6 11" xfId="194"/>
    <cellStyle name="20% - Dekorfärg6 12" xfId="208"/>
    <cellStyle name="20% - Dekorfärg6 13" xfId="222"/>
    <cellStyle name="20% - Dekorfärg6 14" xfId="236"/>
    <cellStyle name="20% - Dekorfärg6 15" xfId="250"/>
    <cellStyle name="20% - Dekorfärg6 2" xfId="68"/>
    <cellStyle name="20% - Dekorfärg6 3" xfId="82"/>
    <cellStyle name="20% - Dekorfärg6 4" xfId="96"/>
    <cellStyle name="20% - Dekorfärg6 5" xfId="110"/>
    <cellStyle name="20% - Dekorfärg6 6" xfId="124"/>
    <cellStyle name="20% - Dekorfärg6 7" xfId="138"/>
    <cellStyle name="20% - Dekorfärg6 8" xfId="152"/>
    <cellStyle name="20% - Dekorfärg6 9" xfId="166"/>
    <cellStyle name="40% - Dekorfärg1" xfId="32" builtinId="31" customBuiltin="1"/>
    <cellStyle name="40% - Dekorfärg1 10" xfId="171"/>
    <cellStyle name="40% - Dekorfärg1 11" xfId="185"/>
    <cellStyle name="40% - Dekorfärg1 12" xfId="199"/>
    <cellStyle name="40% - Dekorfärg1 13" xfId="213"/>
    <cellStyle name="40% - Dekorfärg1 14" xfId="227"/>
    <cellStyle name="40% - Dekorfärg1 15" xfId="241"/>
    <cellStyle name="40% - Dekorfärg1 2" xfId="59"/>
    <cellStyle name="40% - Dekorfärg1 3" xfId="73"/>
    <cellStyle name="40% - Dekorfärg1 4" xfId="87"/>
    <cellStyle name="40% - Dekorfärg1 5" xfId="101"/>
    <cellStyle name="40% - Dekorfärg1 6" xfId="115"/>
    <cellStyle name="40% - Dekorfärg1 7" xfId="129"/>
    <cellStyle name="40% - Dekorfärg1 8" xfId="143"/>
    <cellStyle name="40% - Dekorfärg1 9" xfId="157"/>
    <cellStyle name="40% - Dekorfärg2" xfId="36" builtinId="35" customBuiltin="1"/>
    <cellStyle name="40% - Dekorfärg2 10" xfId="173"/>
    <cellStyle name="40% - Dekorfärg2 11" xfId="187"/>
    <cellStyle name="40% - Dekorfärg2 12" xfId="201"/>
    <cellStyle name="40% - Dekorfärg2 13" xfId="215"/>
    <cellStyle name="40% - Dekorfärg2 14" xfId="229"/>
    <cellStyle name="40% - Dekorfärg2 15" xfId="243"/>
    <cellStyle name="40% - Dekorfärg2 2" xfId="61"/>
    <cellStyle name="40% - Dekorfärg2 3" xfId="75"/>
    <cellStyle name="40% - Dekorfärg2 4" xfId="89"/>
    <cellStyle name="40% - Dekorfärg2 5" xfId="103"/>
    <cellStyle name="40% - Dekorfärg2 6" xfId="117"/>
    <cellStyle name="40% - Dekorfärg2 7" xfId="131"/>
    <cellStyle name="40% - Dekorfärg2 8" xfId="145"/>
    <cellStyle name="40% - Dekorfärg2 9" xfId="159"/>
    <cellStyle name="40% - Dekorfärg3" xfId="40" builtinId="39" customBuiltin="1"/>
    <cellStyle name="40% - Dekorfärg3 10" xfId="175"/>
    <cellStyle name="40% - Dekorfärg3 11" xfId="189"/>
    <cellStyle name="40% - Dekorfärg3 12" xfId="203"/>
    <cellStyle name="40% - Dekorfärg3 13" xfId="217"/>
    <cellStyle name="40% - Dekorfärg3 14" xfId="231"/>
    <cellStyle name="40% - Dekorfärg3 15" xfId="245"/>
    <cellStyle name="40% - Dekorfärg3 2" xfId="63"/>
    <cellStyle name="40% - Dekorfärg3 3" xfId="77"/>
    <cellStyle name="40% - Dekorfärg3 4" xfId="91"/>
    <cellStyle name="40% - Dekorfärg3 5" xfId="105"/>
    <cellStyle name="40% - Dekorfärg3 6" xfId="119"/>
    <cellStyle name="40% - Dekorfärg3 7" xfId="133"/>
    <cellStyle name="40% - Dekorfärg3 8" xfId="147"/>
    <cellStyle name="40% - Dekorfärg3 9" xfId="161"/>
    <cellStyle name="40% - Dekorfärg4" xfId="44" builtinId="43" customBuiltin="1"/>
    <cellStyle name="40% - Dekorfärg4 10" xfId="177"/>
    <cellStyle name="40% - Dekorfärg4 11" xfId="191"/>
    <cellStyle name="40% - Dekorfärg4 12" xfId="205"/>
    <cellStyle name="40% - Dekorfärg4 13" xfId="219"/>
    <cellStyle name="40% - Dekorfärg4 14" xfId="233"/>
    <cellStyle name="40% - Dekorfärg4 15" xfId="247"/>
    <cellStyle name="40% - Dekorfärg4 2" xfId="65"/>
    <cellStyle name="40% - Dekorfärg4 3" xfId="79"/>
    <cellStyle name="40% - Dekorfärg4 4" xfId="93"/>
    <cellStyle name="40% - Dekorfärg4 5" xfId="107"/>
    <cellStyle name="40% - Dekorfärg4 6" xfId="121"/>
    <cellStyle name="40% - Dekorfärg4 7" xfId="135"/>
    <cellStyle name="40% - Dekorfärg4 8" xfId="149"/>
    <cellStyle name="40% - Dekorfärg4 9" xfId="163"/>
    <cellStyle name="40% - Dekorfärg5" xfId="48" builtinId="47" customBuiltin="1"/>
    <cellStyle name="40% - Dekorfärg5 10" xfId="179"/>
    <cellStyle name="40% - Dekorfärg5 11" xfId="193"/>
    <cellStyle name="40% - Dekorfärg5 12" xfId="207"/>
    <cellStyle name="40% - Dekorfärg5 13" xfId="221"/>
    <cellStyle name="40% - Dekorfärg5 14" xfId="235"/>
    <cellStyle name="40% - Dekorfärg5 15" xfId="249"/>
    <cellStyle name="40% - Dekorfärg5 2" xfId="67"/>
    <cellStyle name="40% - Dekorfärg5 3" xfId="81"/>
    <cellStyle name="40% - Dekorfärg5 4" xfId="95"/>
    <cellStyle name="40% - Dekorfärg5 5" xfId="109"/>
    <cellStyle name="40% - Dekorfärg5 6" xfId="123"/>
    <cellStyle name="40% - Dekorfärg5 7" xfId="137"/>
    <cellStyle name="40% - Dekorfärg5 8" xfId="151"/>
    <cellStyle name="40% - Dekorfärg5 9" xfId="165"/>
    <cellStyle name="40% - Dekorfärg6" xfId="52" builtinId="51" customBuiltin="1"/>
    <cellStyle name="40% - Dekorfärg6 10" xfId="181"/>
    <cellStyle name="40% - Dekorfärg6 11" xfId="195"/>
    <cellStyle name="40% - Dekorfärg6 12" xfId="209"/>
    <cellStyle name="40% - Dekorfärg6 13" xfId="223"/>
    <cellStyle name="40% - Dekorfärg6 14" xfId="237"/>
    <cellStyle name="40% - Dekorfärg6 15" xfId="251"/>
    <cellStyle name="40% - Dekorfärg6 2" xfId="69"/>
    <cellStyle name="40% - Dekorfärg6 3" xfId="83"/>
    <cellStyle name="40% - Dekorfärg6 4" xfId="97"/>
    <cellStyle name="40% - Dekorfärg6 5" xfId="111"/>
    <cellStyle name="40% - Dekorfärg6 6" xfId="125"/>
    <cellStyle name="40% - Dekorfärg6 7" xfId="139"/>
    <cellStyle name="40% - Dekorfärg6 8" xfId="153"/>
    <cellStyle name="40% - Dekorfärg6 9" xfId="167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1" xfId="169"/>
    <cellStyle name="Anteckning 12" xfId="183"/>
    <cellStyle name="Anteckning 13" xfId="197"/>
    <cellStyle name="Anteckning 14" xfId="211"/>
    <cellStyle name="Anteckning 15" xfId="225"/>
    <cellStyle name="Anteckning 16" xfId="239"/>
    <cellStyle name="Anteckning 2" xfId="55"/>
    <cellStyle name="Anteckning 3" xfId="57"/>
    <cellStyle name="Anteckning 4" xfId="71"/>
    <cellStyle name="Anteckning 5" xfId="85"/>
    <cellStyle name="Anteckning 6" xfId="99"/>
    <cellStyle name="Anteckning 7" xfId="113"/>
    <cellStyle name="Anteckning 8" xfId="127"/>
    <cellStyle name="Anteckning 9" xfId="141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1" xfId="168"/>
    <cellStyle name="Normal 12" xfId="182"/>
    <cellStyle name="Normal 13" xfId="196"/>
    <cellStyle name="Normal 14" xfId="210"/>
    <cellStyle name="Normal 15" xfId="224"/>
    <cellStyle name="Normal 16" xfId="238"/>
    <cellStyle name="Normal 2" xfId="4"/>
    <cellStyle name="Normal 2 2" xfId="7"/>
    <cellStyle name="Normal 2 3" xfId="54"/>
    <cellStyle name="Normal 3" xfId="6"/>
    <cellStyle name="Normal 3 2" xfId="56"/>
    <cellStyle name="Normal 4" xfId="8"/>
    <cellStyle name="Normal 4 2" xfId="12"/>
    <cellStyle name="Normal 4 3" xfId="70"/>
    <cellStyle name="Normal 5" xfId="9"/>
    <cellStyle name="Normal 5 2" xfId="13"/>
    <cellStyle name="Normal 5 3" xfId="84"/>
    <cellStyle name="Normal 6" xfId="98"/>
    <cellStyle name="Normal 7" xfId="112"/>
    <cellStyle name="Normal 8" xfId="126"/>
    <cellStyle name="Normal 9" xfId="140"/>
    <cellStyle name="Procent" xfId="2" builtinId="5"/>
    <cellStyle name="Procent 2" xfId="5"/>
    <cellStyle name="Procent 3" xfId="1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2014-08-31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pp-systemet'!$B$27:$B$913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</c:numCache>
            </c:numRef>
          </c:cat>
          <c:val>
            <c:numRef>
              <c:f>'Avkastning pp-systemet'!$C$27:$C$913</c:f>
              <c:numCache>
                <c:formatCode>0.0%</c:formatCode>
                <c:ptCount val="8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pp-systemet'!$B$27:$B$913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</c:numCache>
            </c:numRef>
          </c:cat>
          <c:val>
            <c:numRef>
              <c:f>'Avkastning pp-systemet'!$D$27:$D$913</c:f>
              <c:numCache>
                <c:formatCode>0.0%</c:formatCode>
                <c:ptCount val="8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pp-systemet'!$B$27:$B$913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</c:numCache>
            </c:numRef>
          </c:cat>
          <c:val>
            <c:numRef>
              <c:f>'Avkastning pp-systemet'!$E$27:$E$184</c:f>
              <c:numCache>
                <c:formatCode>0.0%</c:formatCode>
                <c:ptCount val="15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pp-systemet'!$B$27:$B$913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</c:numCache>
            </c:numRef>
          </c:cat>
          <c:val>
            <c:numRef>
              <c:f>'Avkastning pp-systemet'!$F$27:$F$184</c:f>
              <c:numCache>
                <c:formatCode>0.0%</c:formatCode>
                <c:ptCount val="15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544512"/>
        <c:axId val="292546048"/>
      </c:lineChart>
      <c:dateAx>
        <c:axId val="292544512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546048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9254604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5445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41882</c:v>
                </c:pt>
              </c:numCache>
            </c:numRef>
          </c:cat>
          <c:val>
            <c:numRef>
              <c:f>'Index, fondrörelsen'!$C$15:$P$15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0.13300000000000001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41882</c:v>
                </c:pt>
              </c:numCache>
            </c:numRef>
          </c:cat>
          <c:val>
            <c:numRef>
              <c:f>'Index, fondrörelsen'!$C$16:$P$16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0.192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92873344"/>
        <c:axId val="292874880"/>
      </c:barChart>
      <c:catAx>
        <c:axId val="2928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874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2874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87334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41882</c:v>
                </c:pt>
              </c:numCache>
            </c:numRef>
          </c:cat>
          <c:val>
            <c:numRef>
              <c:f>'Marknadsv. och tillfört kapital'!$C$16:$Q$16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423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41882</c:v>
                </c:pt>
              </c:numCache>
            </c:numRef>
          </c:cat>
          <c:val>
            <c:numRef>
              <c:f>'Marknadsv. och tillfört kapital'!$C$17:$Q$17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681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92972416"/>
        <c:axId val="292973952"/>
      </c:barChart>
      <c:catAx>
        <c:axId val="292972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973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297395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97241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2000'!$B$24:$B$205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</c:numCache>
            </c:numRef>
          </c:cat>
          <c:val>
            <c:numRef>
              <c:f>'Avkastning sedan 2000'!$E$24:$E$205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2000'!$B$24:$B$205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</c:numCache>
            </c:numRef>
          </c:cat>
          <c:val>
            <c:numRef>
              <c:f>'Avkastning sedan 2000'!$F$24:$F$204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121024"/>
        <c:axId val="293122816"/>
      </c:lineChart>
      <c:dateAx>
        <c:axId val="293121024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312281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9312281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312102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2000'!$B$24:$B$256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</c:numCache>
            </c:numRef>
          </c:cat>
          <c:val>
            <c:numRef>
              <c:f>'Avkastning sedan 2000'!$C$24:$C$254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2000'!$B$24:$B$256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</c:numCache>
            </c:numRef>
          </c:cat>
          <c:val>
            <c:numRef>
              <c:f>'Avkastning sedan 2000'!$D$24:$D$254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121280"/>
        <c:axId val="295122816"/>
      </c:lineChart>
      <c:dateAx>
        <c:axId val="295121280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512281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9512281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512128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7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85725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86750" y="1238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47625</xdr:colOff>
      <xdr:row>1</xdr:row>
      <xdr:rowOff>0</xdr:rowOff>
    </xdr:from>
    <xdr:to>
      <xdr:col>0</xdr:col>
      <xdr:colOff>838101</xdr:colOff>
      <xdr:row>3</xdr:row>
      <xdr:rowOff>104721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61925"/>
          <a:ext cx="790476" cy="4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6572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133350</xdr:colOff>
      <xdr:row>1</xdr:row>
      <xdr:rowOff>19050</xdr:rowOff>
    </xdr:from>
    <xdr:to>
      <xdr:col>1</xdr:col>
      <xdr:colOff>923826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19050"/>
          <a:ext cx="790476" cy="428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152400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152400"/>
          <a:ext cx="1628775" cy="24765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5</xdr:col>
      <xdr:colOff>238125</xdr:colOff>
      <xdr:row>6</xdr:row>
      <xdr:rowOff>28575</xdr:rowOff>
    </xdr:from>
    <xdr:to>
      <xdr:col>6</xdr:col>
      <xdr:colOff>257175</xdr:colOff>
      <xdr:row>8</xdr:row>
      <xdr:rowOff>0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38900" y="10668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53350" y="1619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180975</xdr:colOff>
      <xdr:row>0</xdr:row>
      <xdr:rowOff>123825</xdr:rowOff>
    </xdr:from>
    <xdr:to>
      <xdr:col>0</xdr:col>
      <xdr:colOff>971451</xdr:colOff>
      <xdr:row>3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975" y="123825"/>
          <a:ext cx="790476" cy="4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19050</xdr:colOff>
      <xdr:row>1</xdr:row>
      <xdr:rowOff>28575</xdr:rowOff>
    </xdr:from>
    <xdr:to>
      <xdr:col>3</xdr:col>
      <xdr:colOff>18951</xdr:colOff>
      <xdr:row>3</xdr:row>
      <xdr:rowOff>133296</xdr:rowOff>
    </xdr:to>
    <xdr:pic>
      <xdr:nvPicPr>
        <xdr:cNvPr id="8" name="Bildobjekt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375" y="190500"/>
          <a:ext cx="790476" cy="4285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28575</xdr:rowOff>
    </xdr:from>
    <xdr:to>
      <xdr:col>16</xdr:col>
      <xdr:colOff>579868</xdr:colOff>
      <xdr:row>40</xdr:row>
      <xdr:rowOff>132710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5525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4953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247650</xdr:colOff>
      <xdr:row>1</xdr:row>
      <xdr:rowOff>123825</xdr:rowOff>
    </xdr:from>
    <xdr:to>
      <xdr:col>2</xdr:col>
      <xdr:colOff>428526</xdr:colOff>
      <xdr:row>4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85750"/>
          <a:ext cx="790476" cy="4285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17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49530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257175</xdr:colOff>
      <xdr:row>1</xdr:row>
      <xdr:rowOff>19050</xdr:rowOff>
    </xdr:from>
    <xdr:to>
      <xdr:col>2</xdr:col>
      <xdr:colOff>438051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0.64605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47700" y="876299"/>
          <a:ext cx="5819775" cy="3905251"/>
        </a:xfrm>
        <a:prstGeom xmlns:a="http://schemas.openxmlformats.org/drawingml/2006/main" prst="rect">
          <a:avLst/>
        </a:prstGeom>
        <a:solidFill xmlns:a="http://schemas.openxmlformats.org/drawingml/2006/main">
          <a:srgbClr val="FFFFCC">
            <a:alpha val="50000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95250</xdr:rowOff>
    </xdr:from>
    <xdr:to>
      <xdr:col>17</xdr:col>
      <xdr:colOff>114299</xdr:colOff>
      <xdr:row>40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285750</xdr:colOff>
      <xdr:row>2</xdr:row>
      <xdr:rowOff>95250</xdr:rowOff>
    </xdr:from>
    <xdr:to>
      <xdr:col>2</xdr:col>
      <xdr:colOff>466626</xdr:colOff>
      <xdr:row>5</xdr:row>
      <xdr:rowOff>38046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5750" y="419100"/>
          <a:ext cx="790476" cy="42857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4953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247650</xdr:colOff>
      <xdr:row>1</xdr:row>
      <xdr:rowOff>85725</xdr:rowOff>
    </xdr:from>
    <xdr:to>
      <xdr:col>2</xdr:col>
      <xdr:colOff>428526</xdr:colOff>
      <xdr:row>4</xdr:row>
      <xdr:rowOff>28521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47650"/>
          <a:ext cx="790476" cy="4285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276225</xdr:colOff>
      <xdr:row>1</xdr:row>
      <xdr:rowOff>142875</xdr:rowOff>
    </xdr:from>
    <xdr:to>
      <xdr:col>2</xdr:col>
      <xdr:colOff>457101</xdr:colOff>
      <xdr:row>4</xdr:row>
      <xdr:rowOff>85671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6225" y="304800"/>
          <a:ext cx="790476" cy="4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28575</xdr:colOff>
      <xdr:row>1</xdr:row>
      <xdr:rowOff>19050</xdr:rowOff>
    </xdr:from>
    <xdr:to>
      <xdr:col>1</xdr:col>
      <xdr:colOff>819051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0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11</xdr:row>
      <xdr:rowOff>142875</xdr:rowOff>
    </xdr:from>
    <xdr:to>
      <xdr:col>1</xdr:col>
      <xdr:colOff>1362075</xdr:colOff>
      <xdr:row>11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38100</xdr:colOff>
      <xdr:row>1</xdr:row>
      <xdr:rowOff>47625</xdr:rowOff>
    </xdr:from>
    <xdr:to>
      <xdr:col>1</xdr:col>
      <xdr:colOff>828576</xdr:colOff>
      <xdr:row>3</xdr:row>
      <xdr:rowOff>152346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209550"/>
          <a:ext cx="790476" cy="42857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12</xdr:row>
      <xdr:rowOff>76200</xdr:rowOff>
    </xdr:from>
    <xdr:to>
      <xdr:col>1</xdr:col>
      <xdr:colOff>1390650</xdr:colOff>
      <xdr:row>12</xdr:row>
      <xdr:rowOff>342900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08597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16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816769"/>
          <a:ext cx="1523999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790476</xdr:colOff>
      <xdr:row>4</xdr:row>
      <xdr:rowOff>104721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0" y="323850"/>
          <a:ext cx="790476" cy="42857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2</xdr:col>
      <xdr:colOff>114201</xdr:colOff>
      <xdr:row>3</xdr:row>
      <xdr:rowOff>142821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0500" y="200025"/>
          <a:ext cx="790476" cy="42857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5</xdr:row>
      <xdr:rowOff>123825</xdr:rowOff>
    </xdr:from>
    <xdr:to>
      <xdr:col>4</xdr:col>
      <xdr:colOff>419100</xdr:colOff>
      <xdr:row>7</xdr:row>
      <xdr:rowOff>38100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66725" y="1000125"/>
          <a:ext cx="1562100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9525</xdr:rowOff>
    </xdr:from>
    <xdr:to>
      <xdr:col>3</xdr:col>
      <xdr:colOff>180876</xdr:colOff>
      <xdr:row>3</xdr:row>
      <xdr:rowOff>114246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9625" y="171450"/>
          <a:ext cx="790476" cy="42857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16</xdr:row>
      <xdr:rowOff>66675</xdr:rowOff>
    </xdr:from>
    <xdr:to>
      <xdr:col>7</xdr:col>
      <xdr:colOff>542925</xdr:colOff>
      <xdr:row>24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29</xdr:row>
      <xdr:rowOff>66675</xdr:rowOff>
    </xdr:from>
    <xdr:to>
      <xdr:col>8</xdr:col>
      <xdr:colOff>600075</xdr:colOff>
      <xdr:row>48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6</xdr:row>
      <xdr:rowOff>38099</xdr:rowOff>
    </xdr:from>
    <xdr:to>
      <xdr:col>14</xdr:col>
      <xdr:colOff>514350</xdr:colOff>
      <xdr:row>8</xdr:row>
      <xdr:rowOff>146249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847724"/>
          <a:ext cx="1495425" cy="4320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14</xdr:row>
      <xdr:rowOff>95250</xdr:rowOff>
    </xdr:from>
    <xdr:to>
      <xdr:col>7</xdr:col>
      <xdr:colOff>542925</xdr:colOff>
      <xdr:row>16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2</xdr:row>
      <xdr:rowOff>9525</xdr:rowOff>
    </xdr:from>
    <xdr:to>
      <xdr:col>3</xdr:col>
      <xdr:colOff>352725</xdr:colOff>
      <xdr:row>5</xdr:row>
      <xdr:rowOff>104775</xdr:rowOff>
    </xdr:to>
    <xdr:pic>
      <xdr:nvPicPr>
        <xdr:cNvPr id="6" name="Bildobjekt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550" y="333375"/>
          <a:ext cx="1562400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103" customWidth="1"/>
    <col min="2" max="2" width="53.85546875" style="104" customWidth="1"/>
    <col min="3" max="3" width="4.7109375" style="103" customWidth="1"/>
    <col min="4" max="4" width="9.140625" style="103"/>
    <col min="5" max="5" width="16.85546875" style="103" customWidth="1"/>
    <col min="6" max="7" width="9.140625" style="103"/>
    <col min="8" max="8" width="41.28515625" style="103" bestFit="1" customWidth="1"/>
    <col min="9" max="16384" width="9.140625" style="103"/>
  </cols>
  <sheetData>
    <row r="2" spans="2:11" x14ac:dyDescent="0.2">
      <c r="B2" s="116"/>
    </row>
    <row r="3" spans="2:11" x14ac:dyDescent="0.2">
      <c r="B3" s="116"/>
    </row>
    <row r="4" spans="2:11" x14ac:dyDescent="0.2">
      <c r="B4" s="116"/>
    </row>
    <row r="5" spans="2:11" x14ac:dyDescent="0.2">
      <c r="B5" s="116"/>
    </row>
    <row r="6" spans="2:11" x14ac:dyDescent="0.2">
      <c r="B6" s="116"/>
    </row>
    <row r="7" spans="2:11" ht="13.5" x14ac:dyDescent="0.2">
      <c r="B7" s="117"/>
      <c r="C7" s="105"/>
      <c r="D7" s="105"/>
    </row>
    <row r="8" spans="2:11" ht="18" x14ac:dyDescent="0.25">
      <c r="B8" s="159" t="s">
        <v>1112</v>
      </c>
      <c r="C8" s="105"/>
      <c r="D8" s="105"/>
    </row>
    <row r="9" spans="2:11" ht="13.5" x14ac:dyDescent="0.2">
      <c r="B9" s="117"/>
      <c r="C9" s="105"/>
      <c r="D9" s="105"/>
    </row>
    <row r="10" spans="2:11" ht="13.5" x14ac:dyDescent="0.2">
      <c r="B10" s="154" t="s">
        <v>531</v>
      </c>
      <c r="C10" s="105"/>
      <c r="D10" s="105"/>
      <c r="E10" s="107"/>
      <c r="F10" s="107"/>
      <c r="G10" s="107"/>
      <c r="H10" s="107"/>
      <c r="I10" s="107"/>
      <c r="J10" s="107"/>
      <c r="K10" s="107"/>
    </row>
    <row r="11" spans="2:11" ht="15.75" x14ac:dyDescent="0.25">
      <c r="B11" s="155" t="s">
        <v>343</v>
      </c>
      <c r="C11" s="105"/>
      <c r="D11" s="105"/>
      <c r="E11" s="107"/>
      <c r="F11" s="107"/>
      <c r="G11" s="107"/>
      <c r="H11" s="108"/>
      <c r="I11" s="107"/>
      <c r="J11" s="107"/>
      <c r="K11" s="107"/>
    </row>
    <row r="12" spans="2:11" ht="15.75" x14ac:dyDescent="0.25">
      <c r="B12" s="155"/>
      <c r="C12" s="105"/>
      <c r="D12" s="105"/>
      <c r="E12" s="107"/>
      <c r="F12" s="107"/>
      <c r="G12" s="107"/>
      <c r="H12" s="108"/>
      <c r="I12" s="107"/>
      <c r="J12" s="107"/>
      <c r="K12" s="107"/>
    </row>
    <row r="13" spans="2:11" ht="22.5" customHeight="1" x14ac:dyDescent="0.2">
      <c r="B13" s="156" t="s">
        <v>655</v>
      </c>
      <c r="C13" s="105"/>
      <c r="D13" s="105"/>
      <c r="E13" s="107"/>
      <c r="F13" s="109"/>
      <c r="G13" s="107"/>
      <c r="H13" s="107"/>
      <c r="I13" s="107"/>
      <c r="J13" s="107"/>
      <c r="K13" s="107"/>
    </row>
    <row r="14" spans="2:11" ht="22.5" customHeight="1" x14ac:dyDescent="0.2">
      <c r="B14" s="156" t="s">
        <v>340</v>
      </c>
      <c r="C14" s="105"/>
      <c r="D14" s="105"/>
      <c r="E14" s="107"/>
      <c r="F14" s="110"/>
      <c r="G14" s="107"/>
      <c r="H14" s="107"/>
      <c r="I14" s="107"/>
      <c r="J14" s="107"/>
      <c r="K14" s="107"/>
    </row>
    <row r="15" spans="2:11" ht="22.5" customHeight="1" x14ac:dyDescent="0.2">
      <c r="B15" s="156" t="s">
        <v>745</v>
      </c>
      <c r="C15" s="105"/>
      <c r="D15" s="105"/>
      <c r="E15" s="107"/>
      <c r="F15" s="109"/>
      <c r="G15" s="107"/>
      <c r="H15" s="107"/>
      <c r="I15" s="107"/>
      <c r="J15" s="107"/>
      <c r="K15" s="107"/>
    </row>
    <row r="16" spans="2:11" ht="22.5" customHeight="1" x14ac:dyDescent="0.2">
      <c r="B16" s="156" t="s">
        <v>341</v>
      </c>
      <c r="C16" s="105"/>
      <c r="D16" s="105"/>
      <c r="E16" s="107"/>
      <c r="F16" s="111"/>
      <c r="G16" s="107"/>
      <c r="H16" s="107"/>
      <c r="I16" s="107"/>
      <c r="J16" s="107"/>
      <c r="K16" s="107"/>
    </row>
    <row r="17" spans="2:11" ht="22.5" customHeight="1" x14ac:dyDescent="0.2">
      <c r="B17" s="156" t="s">
        <v>342</v>
      </c>
      <c r="C17" s="105"/>
      <c r="D17" s="105"/>
      <c r="E17" s="107"/>
      <c r="F17" s="109"/>
      <c r="G17" s="107"/>
      <c r="H17" s="107"/>
      <c r="I17" s="107"/>
      <c r="J17" s="107"/>
      <c r="K17" s="107"/>
    </row>
    <row r="18" spans="2:11" ht="22.5" customHeight="1" x14ac:dyDescent="0.2">
      <c r="B18" s="156" t="s">
        <v>678</v>
      </c>
      <c r="C18" s="105"/>
      <c r="D18" s="105"/>
      <c r="E18" s="107"/>
      <c r="F18" s="109"/>
      <c r="G18" s="107"/>
      <c r="H18" s="107"/>
      <c r="I18" s="107"/>
      <c r="J18" s="107"/>
      <c r="K18" s="107"/>
    </row>
    <row r="19" spans="2:11" ht="22.5" customHeight="1" x14ac:dyDescent="0.2">
      <c r="B19" s="156" t="s">
        <v>6</v>
      </c>
      <c r="C19" s="105"/>
      <c r="D19" s="105"/>
      <c r="E19" s="107"/>
      <c r="F19" s="109"/>
      <c r="G19" s="107"/>
      <c r="H19" s="107"/>
      <c r="I19" s="107"/>
      <c r="J19" s="107"/>
      <c r="K19" s="107"/>
    </row>
    <row r="20" spans="2:11" ht="22.5" customHeight="1" x14ac:dyDescent="0.2">
      <c r="B20" s="157" t="s">
        <v>674</v>
      </c>
      <c r="C20" s="106"/>
      <c r="D20" s="106"/>
      <c r="E20" s="107"/>
      <c r="F20" s="109"/>
      <c r="G20" s="107"/>
      <c r="H20" s="107"/>
      <c r="I20" s="107"/>
      <c r="J20" s="107"/>
      <c r="K20" s="107"/>
    </row>
    <row r="21" spans="2:11" ht="22.5" customHeight="1" x14ac:dyDescent="0.2">
      <c r="B21" s="157" t="s">
        <v>461</v>
      </c>
      <c r="C21" s="102"/>
      <c r="D21" s="102"/>
      <c r="E21" s="102"/>
      <c r="F21" s="109"/>
      <c r="G21" s="107"/>
      <c r="H21" s="107"/>
      <c r="I21" s="107"/>
      <c r="J21" s="107"/>
      <c r="K21" s="107"/>
    </row>
    <row r="22" spans="2:11" ht="13.5" x14ac:dyDescent="0.2">
      <c r="B22" s="158" t="s">
        <v>339</v>
      </c>
      <c r="C22" s="106"/>
      <c r="D22" s="106"/>
      <c r="E22" s="107"/>
      <c r="F22" s="109"/>
      <c r="G22" s="107"/>
      <c r="H22" s="107"/>
      <c r="I22" s="107"/>
      <c r="J22" s="107"/>
      <c r="K22" s="107"/>
    </row>
    <row r="23" spans="2:11" ht="13.5" x14ac:dyDescent="0.2">
      <c r="B23" s="157" t="s">
        <v>306</v>
      </c>
      <c r="C23" s="106"/>
      <c r="D23" s="106"/>
      <c r="E23" s="107"/>
      <c r="F23" s="109"/>
      <c r="G23" s="107"/>
      <c r="I23" s="107"/>
      <c r="J23" s="107"/>
      <c r="K23" s="107"/>
    </row>
    <row r="24" spans="2:11" ht="13.5" x14ac:dyDescent="0.2">
      <c r="B24" s="158"/>
      <c r="C24" s="106"/>
      <c r="D24" s="106"/>
      <c r="E24" s="107"/>
      <c r="F24" s="109"/>
    </row>
    <row r="25" spans="2:11" ht="13.5" x14ac:dyDescent="0.2">
      <c r="B25" s="157" t="s">
        <v>506</v>
      </c>
      <c r="C25" s="106"/>
      <c r="D25" s="106"/>
      <c r="E25" s="107"/>
      <c r="F25" s="109"/>
    </row>
    <row r="26" spans="2:11" ht="13.5" x14ac:dyDescent="0.2">
      <c r="B26" s="158"/>
      <c r="C26" s="106"/>
      <c r="D26" s="106"/>
      <c r="E26" s="107"/>
      <c r="F26" s="111"/>
    </row>
    <row r="27" spans="2:11" ht="13.5" x14ac:dyDescent="0.2">
      <c r="B27" s="101"/>
      <c r="C27" s="106"/>
      <c r="D27" s="106"/>
      <c r="E27" s="107"/>
      <c r="F27" s="109"/>
    </row>
    <row r="28" spans="2:11" ht="13.5" x14ac:dyDescent="0.2">
      <c r="B28" s="101"/>
      <c r="C28" s="107"/>
      <c r="D28" s="107"/>
      <c r="E28" s="107"/>
      <c r="F28" s="111"/>
    </row>
    <row r="29" spans="2:11" ht="13.5" x14ac:dyDescent="0.2">
      <c r="B29" s="101"/>
      <c r="C29" s="107"/>
      <c r="D29" s="107"/>
      <c r="E29" s="107"/>
      <c r="F29" s="109"/>
    </row>
    <row r="30" spans="2:11" ht="13.5" x14ac:dyDescent="0.2">
      <c r="B30" s="101"/>
      <c r="F30" s="112"/>
    </row>
    <row r="31" spans="2:11" ht="13.5" x14ac:dyDescent="0.2">
      <c r="B31" s="101"/>
      <c r="F31" s="113"/>
    </row>
    <row r="32" spans="2:11" x14ac:dyDescent="0.2">
      <c r="F32" s="114"/>
    </row>
    <row r="33" spans="2:6" x14ac:dyDescent="0.2">
      <c r="F33" s="113"/>
    </row>
    <row r="34" spans="2:6" ht="13.5" x14ac:dyDescent="0.2">
      <c r="B34" s="101"/>
      <c r="C34" s="115"/>
    </row>
    <row r="35" spans="2:6" ht="13.5" x14ac:dyDescent="0.2">
      <c r="B35" s="101"/>
      <c r="C35" s="115"/>
    </row>
    <row r="36" spans="2:6" ht="13.5" x14ac:dyDescent="0.2">
      <c r="B36" s="101"/>
      <c r="C36" s="115"/>
    </row>
    <row r="37" spans="2:6" ht="13.5" x14ac:dyDescent="0.2">
      <c r="B37" s="101"/>
      <c r="C37" s="115"/>
    </row>
  </sheetData>
  <phoneticPr fontId="6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6"/>
  <sheetViews>
    <sheetView showGridLines="0" showRowColHeaders="0" zoomScaleNormal="100" workbookViewId="0">
      <pane ySplit="22" topLeftCell="A23" activePane="bottomLeft" state="frozen"/>
      <selection pane="bottomLeft" activeCell="A5" sqref="A5"/>
    </sheetView>
  </sheetViews>
  <sheetFormatPr defaultRowHeight="12.75" x14ac:dyDescent="0.2"/>
  <cols>
    <col min="1" max="1" width="27.28515625" style="31" customWidth="1"/>
    <col min="2" max="2" width="60.28515625" style="13" bestFit="1" customWidth="1"/>
    <col min="3" max="3" width="12" style="14" bestFit="1" customWidth="1"/>
    <col min="4" max="4" width="12" style="15" bestFit="1" customWidth="1"/>
    <col min="5" max="5" width="12" style="14" bestFit="1" customWidth="1"/>
    <col min="6" max="6" width="20.28515625" style="16" bestFit="1" customWidth="1"/>
    <col min="7" max="7" width="22" style="17" bestFit="1" customWidth="1"/>
    <col min="8" max="8" width="20.28515625" style="14" bestFit="1" customWidth="1"/>
    <col min="9" max="9" width="9.7109375" style="7" customWidth="1"/>
    <col min="10" max="10" width="17.28515625" style="7" bestFit="1" customWidth="1"/>
    <col min="11" max="11" width="8.7109375" style="20" bestFit="1" customWidth="1"/>
    <col min="12" max="12" width="58" style="15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2"/>
      <c r="H4" s="18"/>
      <c r="I4" s="19"/>
      <c r="O4" s="21"/>
    </row>
    <row r="5" spans="1:15" x14ac:dyDescent="0.2">
      <c r="A5" s="12"/>
      <c r="H5" s="18"/>
      <c r="I5" s="19"/>
      <c r="O5" s="21"/>
    </row>
    <row r="6" spans="1:15" ht="18" x14ac:dyDescent="0.25">
      <c r="A6" s="22" t="s">
        <v>1150</v>
      </c>
      <c r="B6" s="23"/>
      <c r="C6" s="24" t="s">
        <v>1133</v>
      </c>
      <c r="E6" s="19"/>
      <c r="F6" s="19"/>
      <c r="G6" s="19"/>
      <c r="H6" s="19"/>
      <c r="I6" s="25"/>
    </row>
    <row r="7" spans="1:15" x14ac:dyDescent="0.2">
      <c r="A7" s="26"/>
      <c r="B7" s="27"/>
      <c r="E7" s="19"/>
      <c r="F7" s="19"/>
      <c r="G7" s="19"/>
      <c r="H7" s="19"/>
      <c r="I7" s="19"/>
    </row>
    <row r="8" spans="1:15" x14ac:dyDescent="0.2">
      <c r="A8" s="28" t="s">
        <v>653</v>
      </c>
      <c r="B8" s="19"/>
      <c r="D8" s="29"/>
      <c r="E8" s="19"/>
      <c r="F8" s="19"/>
      <c r="G8" s="19"/>
      <c r="H8" s="19"/>
      <c r="I8" s="19"/>
    </row>
    <row r="9" spans="1:15" x14ac:dyDescent="0.2">
      <c r="A9" s="28" t="s">
        <v>540</v>
      </c>
      <c r="B9" s="19"/>
      <c r="C9" s="4"/>
      <c r="D9" s="30"/>
      <c r="E9" s="19"/>
      <c r="F9" s="19"/>
      <c r="G9" s="19"/>
      <c r="H9" s="19"/>
      <c r="I9" s="19"/>
    </row>
    <row r="10" spans="1:15" ht="15" customHeight="1" x14ac:dyDescent="0.2">
      <c r="A10" s="31" t="s">
        <v>1113</v>
      </c>
      <c r="E10" s="19"/>
      <c r="F10" s="19"/>
      <c r="G10" s="19"/>
      <c r="H10" s="19"/>
      <c r="I10" s="32"/>
    </row>
    <row r="11" spans="1:15" ht="15" hidden="1" customHeight="1" x14ac:dyDescent="0.2">
      <c r="A11" s="35" t="s">
        <v>349</v>
      </c>
      <c r="D11" s="33"/>
      <c r="E11" s="19"/>
      <c r="F11" s="19"/>
      <c r="G11" s="19"/>
      <c r="H11" s="19"/>
      <c r="I11" s="19"/>
      <c r="K11" s="7"/>
      <c r="L11" s="7"/>
    </row>
    <row r="12" spans="1:15" ht="15" hidden="1" customHeight="1" x14ac:dyDescent="0.2">
      <c r="A12" s="35"/>
      <c r="D12" s="33"/>
      <c r="E12" s="19"/>
      <c r="F12" s="19"/>
      <c r="G12" s="19"/>
      <c r="H12" s="19"/>
      <c r="I12" s="19"/>
      <c r="J12" s="2"/>
    </row>
    <row r="13" spans="1:15" ht="15" hidden="1" customHeight="1" x14ac:dyDescent="0.2">
      <c r="A13" s="35"/>
      <c r="C13" s="34"/>
      <c r="D13" s="34"/>
      <c r="E13" s="19"/>
      <c r="F13" s="19"/>
      <c r="G13" s="19"/>
      <c r="H13" s="19"/>
      <c r="I13" s="19"/>
    </row>
    <row r="14" spans="1:15" ht="15" hidden="1" customHeight="1" x14ac:dyDescent="0.2">
      <c r="C14" s="34"/>
      <c r="D14" s="34"/>
      <c r="E14" s="19"/>
      <c r="F14" s="19"/>
      <c r="G14" s="19"/>
      <c r="H14" s="19"/>
      <c r="I14" s="19"/>
    </row>
    <row r="15" spans="1:15" ht="15" customHeight="1" x14ac:dyDescent="0.25">
      <c r="C15" s="99"/>
      <c r="D15" s="33"/>
      <c r="E15" s="19"/>
      <c r="F15" s="19"/>
      <c r="G15" s="19"/>
      <c r="H15" s="19"/>
      <c r="I15" s="19"/>
    </row>
    <row r="16" spans="1:15" ht="15" customHeight="1" x14ac:dyDescent="0.2">
      <c r="A16" s="35"/>
      <c r="B16" s="36"/>
      <c r="C16" s="34"/>
      <c r="D16" s="33"/>
      <c r="E16" s="19"/>
      <c r="F16" s="19"/>
      <c r="G16" s="19"/>
      <c r="H16" s="3"/>
      <c r="I16" s="19"/>
    </row>
    <row r="17" spans="1:15" ht="15" customHeight="1" x14ac:dyDescent="0.2">
      <c r="B17" s="36"/>
      <c r="D17" s="33"/>
      <c r="E17" s="19"/>
      <c r="F17" s="18"/>
      <c r="G17" s="18"/>
      <c r="H17" s="37"/>
      <c r="I17" s="38"/>
    </row>
    <row r="18" spans="1:15" ht="15" customHeight="1" x14ac:dyDescent="0.2">
      <c r="B18" s="36"/>
      <c r="C18" s="34"/>
      <c r="D18" s="33"/>
      <c r="I18" s="9"/>
    </row>
    <row r="19" spans="1:15" ht="15" customHeight="1" x14ac:dyDescent="0.2">
      <c r="B19" s="36"/>
      <c r="I19" s="9"/>
    </row>
    <row r="20" spans="1:15" ht="15" customHeight="1" x14ac:dyDescent="0.2">
      <c r="B20" s="6"/>
      <c r="C20" s="30"/>
      <c r="D20" s="29"/>
      <c r="E20" s="30"/>
      <c r="F20" s="39"/>
      <c r="G20" s="40"/>
      <c r="H20" s="30"/>
      <c r="I20" s="41"/>
      <c r="J20" s="9"/>
      <c r="K20" s="42"/>
      <c r="L20" s="29"/>
      <c r="M20" s="9"/>
      <c r="N20" s="9"/>
      <c r="O20" s="8"/>
    </row>
    <row r="21" spans="1:15" s="8" customFormat="1" x14ac:dyDescent="0.2">
      <c r="A21" s="43"/>
      <c r="B21" s="44"/>
      <c r="C21" s="342" t="s">
        <v>654</v>
      </c>
      <c r="D21" s="343"/>
      <c r="E21" s="344"/>
      <c r="F21" s="345" t="s">
        <v>491</v>
      </c>
      <c r="G21" s="346"/>
      <c r="H21" s="346"/>
      <c r="I21" s="45" t="s">
        <v>19</v>
      </c>
      <c r="J21" s="46"/>
      <c r="K21" s="47"/>
      <c r="L21" s="48"/>
    </row>
    <row r="22" spans="1:15" s="79" customFormat="1" x14ac:dyDescent="0.2">
      <c r="A22" s="71" t="s">
        <v>489</v>
      </c>
      <c r="B22" s="72" t="s">
        <v>488</v>
      </c>
      <c r="C22" s="73" t="s">
        <v>494</v>
      </c>
      <c r="D22" s="73" t="s">
        <v>495</v>
      </c>
      <c r="E22" s="73" t="s">
        <v>496</v>
      </c>
      <c r="F22" s="73" t="s">
        <v>494</v>
      </c>
      <c r="G22" s="73" t="s">
        <v>495</v>
      </c>
      <c r="H22" s="74" t="s">
        <v>496</v>
      </c>
      <c r="I22" s="75" t="s">
        <v>485</v>
      </c>
      <c r="J22" s="76" t="s">
        <v>497</v>
      </c>
      <c r="K22" s="77" t="s">
        <v>493</v>
      </c>
      <c r="L22" s="78" t="s">
        <v>492</v>
      </c>
      <c r="M22" s="88"/>
      <c r="N22" s="88"/>
      <c r="O22" s="89"/>
    </row>
    <row r="23" spans="1:15" x14ac:dyDescent="0.2">
      <c r="A23" s="91" t="s">
        <v>611</v>
      </c>
      <c r="B23" s="91" t="s">
        <v>85</v>
      </c>
      <c r="C23" s="95">
        <v>1527110</v>
      </c>
      <c r="D23" s="95">
        <v>1643779</v>
      </c>
      <c r="E23" s="95">
        <v>3170889</v>
      </c>
      <c r="F23" s="95">
        <v>94952138277</v>
      </c>
      <c r="G23" s="95">
        <v>120222806601</v>
      </c>
      <c r="H23" s="95">
        <v>215174944878</v>
      </c>
      <c r="I23" s="91" t="s">
        <v>585</v>
      </c>
      <c r="J23" s="91" t="s">
        <v>92</v>
      </c>
      <c r="K23" s="94">
        <v>1</v>
      </c>
      <c r="L23" s="91" t="s">
        <v>539</v>
      </c>
      <c r="M23" s="2"/>
      <c r="N23" s="3"/>
      <c r="O23" s="4"/>
    </row>
    <row r="24" spans="1:15" x14ac:dyDescent="0.2">
      <c r="A24" s="91" t="s">
        <v>611</v>
      </c>
      <c r="B24" s="91" t="s">
        <v>86</v>
      </c>
      <c r="C24" s="95">
        <v>3280</v>
      </c>
      <c r="D24" s="95">
        <v>3411</v>
      </c>
      <c r="E24" s="95">
        <v>6691</v>
      </c>
      <c r="F24" s="95">
        <v>367059797</v>
      </c>
      <c r="G24" s="95">
        <v>441875714</v>
      </c>
      <c r="H24" s="95">
        <v>808935511</v>
      </c>
      <c r="I24" s="91" t="s">
        <v>585</v>
      </c>
      <c r="J24" s="91" t="s">
        <v>91</v>
      </c>
      <c r="K24" s="94">
        <v>2</v>
      </c>
      <c r="L24" s="91" t="s">
        <v>539</v>
      </c>
      <c r="M24" s="2"/>
      <c r="N24" s="3"/>
      <c r="O24" s="4"/>
    </row>
    <row r="25" spans="1:15" x14ac:dyDescent="0.2">
      <c r="A25" s="91" t="s">
        <v>611</v>
      </c>
      <c r="B25" s="91" t="s">
        <v>87</v>
      </c>
      <c r="C25" s="95">
        <v>5365</v>
      </c>
      <c r="D25" s="95">
        <v>6094</v>
      </c>
      <c r="E25" s="95">
        <v>11459</v>
      </c>
      <c r="F25" s="95">
        <v>682972042</v>
      </c>
      <c r="G25" s="95">
        <v>865716734</v>
      </c>
      <c r="H25" s="95">
        <v>1548688776</v>
      </c>
      <c r="I25" s="91" t="s">
        <v>585</v>
      </c>
      <c r="J25" s="91" t="s">
        <v>91</v>
      </c>
      <c r="K25" s="94">
        <v>3</v>
      </c>
      <c r="L25" s="91" t="s">
        <v>539</v>
      </c>
      <c r="M25" s="2"/>
      <c r="N25" s="3"/>
      <c r="O25" s="4"/>
    </row>
    <row r="26" spans="1:15" x14ac:dyDescent="0.2">
      <c r="A26" s="91" t="s">
        <v>611</v>
      </c>
      <c r="B26" s="91" t="s">
        <v>88</v>
      </c>
      <c r="C26" s="95">
        <v>4293</v>
      </c>
      <c r="D26" s="95">
        <v>7915</v>
      </c>
      <c r="E26" s="95">
        <v>12208</v>
      </c>
      <c r="F26" s="95">
        <v>544753822</v>
      </c>
      <c r="G26" s="95">
        <v>1101424411</v>
      </c>
      <c r="H26" s="95">
        <v>1646178233</v>
      </c>
      <c r="I26" s="91" t="s">
        <v>585</v>
      </c>
      <c r="J26" s="91" t="s">
        <v>91</v>
      </c>
      <c r="K26" s="94">
        <v>4</v>
      </c>
      <c r="L26" s="91" t="s">
        <v>539</v>
      </c>
      <c r="M26" s="2"/>
      <c r="N26" s="3"/>
      <c r="O26" s="4"/>
    </row>
    <row r="27" spans="1:15" x14ac:dyDescent="0.2">
      <c r="A27" s="91" t="s">
        <v>38</v>
      </c>
      <c r="B27" s="91" t="s">
        <v>532</v>
      </c>
      <c r="C27" s="95">
        <v>1256</v>
      </c>
      <c r="D27" s="95">
        <v>1243</v>
      </c>
      <c r="E27" s="95">
        <v>2499</v>
      </c>
      <c r="F27" s="95">
        <v>15761187</v>
      </c>
      <c r="G27" s="95">
        <v>21873976</v>
      </c>
      <c r="H27" s="95">
        <v>37635162</v>
      </c>
      <c r="I27" s="91" t="s">
        <v>585</v>
      </c>
      <c r="J27" s="91" t="s">
        <v>89</v>
      </c>
      <c r="K27" s="94">
        <v>102897</v>
      </c>
      <c r="L27" s="91" t="s">
        <v>377</v>
      </c>
      <c r="M27" s="2"/>
      <c r="N27" s="2"/>
      <c r="O27" s="4"/>
    </row>
    <row r="28" spans="1:15" x14ac:dyDescent="0.2">
      <c r="A28" s="91" t="s">
        <v>478</v>
      </c>
      <c r="B28" s="91" t="s">
        <v>25</v>
      </c>
      <c r="C28" s="95">
        <v>290</v>
      </c>
      <c r="D28" s="95">
        <v>387</v>
      </c>
      <c r="E28" s="95">
        <v>677</v>
      </c>
      <c r="F28" s="95">
        <v>7550365</v>
      </c>
      <c r="G28" s="95">
        <v>10726740</v>
      </c>
      <c r="H28" s="95">
        <v>18277104</v>
      </c>
      <c r="I28" s="91" t="s">
        <v>485</v>
      </c>
      <c r="J28" s="91" t="s">
        <v>90</v>
      </c>
      <c r="K28" s="94">
        <v>103010</v>
      </c>
      <c r="L28" s="91" t="s">
        <v>268</v>
      </c>
      <c r="M28" s="2"/>
      <c r="N28" s="2"/>
      <c r="O28" s="4"/>
    </row>
    <row r="29" spans="1:15" x14ac:dyDescent="0.2">
      <c r="A29" s="91" t="s">
        <v>559</v>
      </c>
      <c r="B29" s="91" t="s">
        <v>561</v>
      </c>
      <c r="C29" s="95">
        <v>1447</v>
      </c>
      <c r="D29" s="95">
        <v>1930</v>
      </c>
      <c r="E29" s="95">
        <v>3377</v>
      </c>
      <c r="F29" s="95">
        <v>59997423</v>
      </c>
      <c r="G29" s="95">
        <v>95444346</v>
      </c>
      <c r="H29" s="95">
        <v>155441769</v>
      </c>
      <c r="I29" s="91" t="s">
        <v>585</v>
      </c>
      <c r="J29" s="91" t="s">
        <v>89</v>
      </c>
      <c r="K29" s="94">
        <v>103606</v>
      </c>
      <c r="L29" s="91" t="s">
        <v>524</v>
      </c>
      <c r="M29" s="2"/>
      <c r="N29" s="2"/>
      <c r="O29" s="4"/>
    </row>
    <row r="30" spans="1:15" x14ac:dyDescent="0.2">
      <c r="A30" s="91" t="s">
        <v>98</v>
      </c>
      <c r="B30" s="91" t="s">
        <v>1056</v>
      </c>
      <c r="C30" s="95">
        <v>13068</v>
      </c>
      <c r="D30" s="95">
        <v>15146</v>
      </c>
      <c r="E30" s="95">
        <v>28214</v>
      </c>
      <c r="F30" s="95">
        <v>309102921</v>
      </c>
      <c r="G30" s="95">
        <v>477647309</v>
      </c>
      <c r="H30" s="95">
        <v>786750230</v>
      </c>
      <c r="I30" s="91" t="s">
        <v>585</v>
      </c>
      <c r="J30" s="91" t="s">
        <v>89</v>
      </c>
      <c r="K30" s="94">
        <v>104257</v>
      </c>
      <c r="L30" s="91" t="s">
        <v>133</v>
      </c>
      <c r="M30" s="2"/>
      <c r="N30" s="2"/>
      <c r="O30" s="4"/>
    </row>
    <row r="31" spans="1:15" x14ac:dyDescent="0.2">
      <c r="A31" s="91" t="s">
        <v>478</v>
      </c>
      <c r="B31" s="91" t="s">
        <v>414</v>
      </c>
      <c r="C31" s="95">
        <v>3561</v>
      </c>
      <c r="D31" s="95">
        <v>4119</v>
      </c>
      <c r="E31" s="95">
        <v>7680</v>
      </c>
      <c r="F31" s="95">
        <v>136099563</v>
      </c>
      <c r="G31" s="95">
        <v>193833924</v>
      </c>
      <c r="H31" s="95">
        <v>329933486</v>
      </c>
      <c r="I31" s="91" t="s">
        <v>585</v>
      </c>
      <c r="J31" s="91" t="s">
        <v>90</v>
      </c>
      <c r="K31" s="94">
        <v>104786</v>
      </c>
      <c r="L31" s="91" t="s">
        <v>528</v>
      </c>
      <c r="M31" s="2"/>
      <c r="N31" s="2"/>
      <c r="O31" s="4"/>
    </row>
    <row r="32" spans="1:15" x14ac:dyDescent="0.2">
      <c r="A32" s="91" t="s">
        <v>109</v>
      </c>
      <c r="B32" s="91" t="s">
        <v>1064</v>
      </c>
      <c r="C32" s="95">
        <v>290</v>
      </c>
      <c r="D32" s="95">
        <v>207</v>
      </c>
      <c r="E32" s="95">
        <v>497</v>
      </c>
      <c r="F32" s="95">
        <v>9446112</v>
      </c>
      <c r="G32" s="95">
        <v>8107255</v>
      </c>
      <c r="H32" s="95">
        <v>17553367</v>
      </c>
      <c r="I32" s="91" t="s">
        <v>485</v>
      </c>
      <c r="J32" s="91" t="s">
        <v>89</v>
      </c>
      <c r="K32" s="94">
        <v>106492</v>
      </c>
      <c r="L32" s="91" t="s">
        <v>594</v>
      </c>
      <c r="M32" s="2"/>
      <c r="N32" s="2"/>
      <c r="O32" s="4"/>
    </row>
    <row r="33" spans="1:15" x14ac:dyDescent="0.2">
      <c r="A33" s="91" t="s">
        <v>72</v>
      </c>
      <c r="B33" s="91" t="s">
        <v>73</v>
      </c>
      <c r="C33" s="95">
        <v>363</v>
      </c>
      <c r="D33" s="95">
        <v>584</v>
      </c>
      <c r="E33" s="95">
        <v>947</v>
      </c>
      <c r="F33" s="95">
        <v>12286097</v>
      </c>
      <c r="G33" s="95">
        <v>25358776</v>
      </c>
      <c r="H33" s="95">
        <v>37644873</v>
      </c>
      <c r="I33" s="91" t="s">
        <v>485</v>
      </c>
      <c r="J33" s="91" t="s">
        <v>89</v>
      </c>
      <c r="K33" s="94">
        <v>107201</v>
      </c>
      <c r="L33" s="91" t="s">
        <v>755</v>
      </c>
      <c r="M33" s="2"/>
      <c r="N33" s="2"/>
      <c r="O33" s="4"/>
    </row>
    <row r="34" spans="1:15" x14ac:dyDescent="0.2">
      <c r="A34" s="91" t="s">
        <v>38</v>
      </c>
      <c r="B34" s="91" t="s">
        <v>40</v>
      </c>
      <c r="C34" s="95">
        <v>21758</v>
      </c>
      <c r="D34" s="95">
        <v>20722</v>
      </c>
      <c r="E34" s="95">
        <v>42480</v>
      </c>
      <c r="F34" s="95">
        <v>500503320</v>
      </c>
      <c r="G34" s="95">
        <v>574977180</v>
      </c>
      <c r="H34" s="95">
        <v>1075480500</v>
      </c>
      <c r="I34" s="91" t="s">
        <v>585</v>
      </c>
      <c r="J34" s="91" t="s">
        <v>89</v>
      </c>
      <c r="K34" s="94">
        <v>108506</v>
      </c>
      <c r="L34" s="91" t="s">
        <v>1084</v>
      </c>
      <c r="M34" s="2"/>
      <c r="N34" s="2"/>
      <c r="O34" s="4"/>
    </row>
    <row r="35" spans="1:15" x14ac:dyDescent="0.2">
      <c r="A35" s="91" t="s">
        <v>207</v>
      </c>
      <c r="B35" s="91" t="s">
        <v>9</v>
      </c>
      <c r="C35" s="95">
        <v>2455</v>
      </c>
      <c r="D35" s="95">
        <v>2901</v>
      </c>
      <c r="E35" s="95">
        <v>5356</v>
      </c>
      <c r="F35" s="95">
        <v>48348796</v>
      </c>
      <c r="G35" s="95">
        <v>76614265</v>
      </c>
      <c r="H35" s="95">
        <v>124963062</v>
      </c>
      <c r="I35" s="91" t="s">
        <v>585</v>
      </c>
      <c r="J35" s="91" t="s">
        <v>89</v>
      </c>
      <c r="K35" s="94">
        <v>110098</v>
      </c>
      <c r="L35" s="91" t="s">
        <v>521</v>
      </c>
      <c r="M35" s="2"/>
      <c r="N35" s="2"/>
      <c r="O35" s="4"/>
    </row>
    <row r="36" spans="1:15" x14ac:dyDescent="0.2">
      <c r="A36" s="91" t="s">
        <v>478</v>
      </c>
      <c r="B36" s="91" t="s">
        <v>191</v>
      </c>
      <c r="C36" s="95">
        <v>2308</v>
      </c>
      <c r="D36" s="95">
        <v>2191</v>
      </c>
      <c r="E36" s="95">
        <v>4499</v>
      </c>
      <c r="F36" s="95">
        <v>65246401</v>
      </c>
      <c r="G36" s="95">
        <v>76505578</v>
      </c>
      <c r="H36" s="95">
        <v>141751979</v>
      </c>
      <c r="I36" s="91" t="s">
        <v>485</v>
      </c>
      <c r="J36" s="91" t="s">
        <v>90</v>
      </c>
      <c r="K36" s="94">
        <v>111518</v>
      </c>
      <c r="L36" s="91" t="s">
        <v>586</v>
      </c>
      <c r="M36" s="2"/>
      <c r="N36" s="2"/>
      <c r="O36" s="4"/>
    </row>
    <row r="37" spans="1:15" x14ac:dyDescent="0.2">
      <c r="A37" s="91" t="s">
        <v>478</v>
      </c>
      <c r="B37" s="91" t="s">
        <v>420</v>
      </c>
      <c r="C37" s="95">
        <v>1745</v>
      </c>
      <c r="D37" s="95">
        <v>1878</v>
      </c>
      <c r="E37" s="95">
        <v>3623</v>
      </c>
      <c r="F37" s="95">
        <v>67511130</v>
      </c>
      <c r="G37" s="95">
        <v>96198711</v>
      </c>
      <c r="H37" s="95">
        <v>163709841</v>
      </c>
      <c r="I37" s="91" t="s">
        <v>585</v>
      </c>
      <c r="J37" s="91" t="s">
        <v>90</v>
      </c>
      <c r="K37" s="94">
        <v>112755</v>
      </c>
      <c r="L37" s="91" t="s">
        <v>519</v>
      </c>
      <c r="M37" s="2"/>
      <c r="N37" s="2"/>
      <c r="O37" s="4"/>
    </row>
    <row r="38" spans="1:15" x14ac:dyDescent="0.2">
      <c r="A38" s="91" t="s">
        <v>121</v>
      </c>
      <c r="B38" s="91" t="s">
        <v>1083</v>
      </c>
      <c r="C38" s="95">
        <v>153</v>
      </c>
      <c r="D38" s="95">
        <v>343</v>
      </c>
      <c r="E38" s="95">
        <v>496</v>
      </c>
      <c r="F38" s="95">
        <v>4223758</v>
      </c>
      <c r="G38" s="95">
        <v>11271345</v>
      </c>
      <c r="H38" s="95">
        <v>15495103</v>
      </c>
      <c r="I38" s="91" t="s">
        <v>485</v>
      </c>
      <c r="J38" s="91" t="s">
        <v>89</v>
      </c>
      <c r="K38" s="94">
        <v>114280</v>
      </c>
      <c r="L38" s="91" t="s">
        <v>802</v>
      </c>
      <c r="M38" s="2"/>
      <c r="N38" s="2"/>
      <c r="O38" s="4"/>
    </row>
    <row r="39" spans="1:15" x14ac:dyDescent="0.2">
      <c r="A39" s="91" t="s">
        <v>180</v>
      </c>
      <c r="B39" s="91" t="s">
        <v>769</v>
      </c>
      <c r="C39" s="95">
        <v>36</v>
      </c>
      <c r="D39" s="95">
        <v>58</v>
      </c>
      <c r="E39" s="95">
        <v>94</v>
      </c>
      <c r="F39" s="95">
        <v>828264</v>
      </c>
      <c r="G39" s="95">
        <v>2304212</v>
      </c>
      <c r="H39" s="95">
        <v>3132477</v>
      </c>
      <c r="I39" s="91" t="s">
        <v>485</v>
      </c>
      <c r="J39" s="91" t="s">
        <v>89</v>
      </c>
      <c r="K39" s="94">
        <v>116111</v>
      </c>
      <c r="L39" s="91" t="s">
        <v>393</v>
      </c>
      <c r="M39" s="2"/>
      <c r="N39" s="2"/>
      <c r="O39" s="4"/>
    </row>
    <row r="40" spans="1:15" x14ac:dyDescent="0.2">
      <c r="A40" s="91" t="s">
        <v>65</v>
      </c>
      <c r="B40" s="91" t="s">
        <v>624</v>
      </c>
      <c r="C40" s="95">
        <v>298</v>
      </c>
      <c r="D40" s="95">
        <v>512</v>
      </c>
      <c r="E40" s="95">
        <v>810</v>
      </c>
      <c r="F40" s="95">
        <v>9929584</v>
      </c>
      <c r="G40" s="95">
        <v>20534226</v>
      </c>
      <c r="H40" s="95">
        <v>30463810</v>
      </c>
      <c r="I40" s="91" t="s">
        <v>485</v>
      </c>
      <c r="J40" s="91" t="s">
        <v>89</v>
      </c>
      <c r="K40" s="94">
        <v>116293</v>
      </c>
      <c r="L40" s="91" t="s">
        <v>61</v>
      </c>
      <c r="M40" s="2"/>
      <c r="N40" s="2"/>
      <c r="O40" s="4"/>
    </row>
    <row r="41" spans="1:15" x14ac:dyDescent="0.2">
      <c r="A41" s="91" t="s">
        <v>278</v>
      </c>
      <c r="B41" s="91" t="s">
        <v>604</v>
      </c>
      <c r="C41" s="95">
        <v>445</v>
      </c>
      <c r="D41" s="95">
        <v>729</v>
      </c>
      <c r="E41" s="95">
        <v>1174</v>
      </c>
      <c r="F41" s="95">
        <v>15003482</v>
      </c>
      <c r="G41" s="95">
        <v>30605448</v>
      </c>
      <c r="H41" s="95">
        <v>45608930</v>
      </c>
      <c r="I41" s="91" t="s">
        <v>485</v>
      </c>
      <c r="J41" s="91" t="s">
        <v>89</v>
      </c>
      <c r="K41" s="94">
        <v>116822</v>
      </c>
      <c r="L41" s="91" t="s">
        <v>597</v>
      </c>
      <c r="M41" s="2"/>
      <c r="N41" s="2"/>
      <c r="O41" s="4"/>
    </row>
    <row r="42" spans="1:15" x14ac:dyDescent="0.2">
      <c r="A42" s="91" t="s">
        <v>219</v>
      </c>
      <c r="B42" s="91" t="s">
        <v>221</v>
      </c>
      <c r="C42" s="95">
        <v>10471</v>
      </c>
      <c r="D42" s="95">
        <v>4625</v>
      </c>
      <c r="E42" s="95">
        <v>15096</v>
      </c>
      <c r="F42" s="95">
        <v>557759018</v>
      </c>
      <c r="G42" s="95">
        <v>236983056</v>
      </c>
      <c r="H42" s="95">
        <v>794742074</v>
      </c>
      <c r="I42" s="91" t="s">
        <v>585</v>
      </c>
      <c r="J42" s="91" t="s">
        <v>91</v>
      </c>
      <c r="K42" s="94">
        <v>117002</v>
      </c>
      <c r="L42" s="91" t="s">
        <v>871</v>
      </c>
      <c r="M42" s="2"/>
      <c r="N42" s="2"/>
      <c r="O42" s="4"/>
    </row>
    <row r="43" spans="1:15" x14ac:dyDescent="0.2">
      <c r="A43" s="91" t="s">
        <v>109</v>
      </c>
      <c r="B43" s="91" t="s">
        <v>292</v>
      </c>
      <c r="C43" s="95">
        <v>781</v>
      </c>
      <c r="D43" s="95">
        <v>2153</v>
      </c>
      <c r="E43" s="95">
        <v>2934</v>
      </c>
      <c r="F43" s="95">
        <v>14904369</v>
      </c>
      <c r="G43" s="95">
        <v>44073966</v>
      </c>
      <c r="H43" s="95">
        <v>58978335</v>
      </c>
      <c r="I43" s="91" t="s">
        <v>485</v>
      </c>
      <c r="J43" s="91" t="s">
        <v>89</v>
      </c>
      <c r="K43" s="94">
        <v>118000</v>
      </c>
      <c r="L43" s="91" t="s">
        <v>46</v>
      </c>
      <c r="M43" s="2"/>
      <c r="N43" s="2"/>
      <c r="O43" s="4"/>
    </row>
    <row r="44" spans="1:15" x14ac:dyDescent="0.2">
      <c r="A44" s="91" t="s">
        <v>109</v>
      </c>
      <c r="B44" s="91" t="s">
        <v>1119</v>
      </c>
      <c r="C44" s="95">
        <v>263</v>
      </c>
      <c r="D44" s="95">
        <v>288</v>
      </c>
      <c r="E44" s="95">
        <v>551</v>
      </c>
      <c r="F44" s="95">
        <v>6925248</v>
      </c>
      <c r="G44" s="95">
        <v>9070015</v>
      </c>
      <c r="H44" s="95">
        <v>15995263</v>
      </c>
      <c r="I44" s="91" t="s">
        <v>485</v>
      </c>
      <c r="J44" s="91" t="s">
        <v>89</v>
      </c>
      <c r="K44" s="94">
        <v>118067</v>
      </c>
      <c r="L44" s="91" t="s">
        <v>61</v>
      </c>
      <c r="M44" s="2"/>
      <c r="N44" s="2"/>
      <c r="O44" s="4"/>
    </row>
    <row r="45" spans="1:15" x14ac:dyDescent="0.2">
      <c r="A45" s="91" t="s">
        <v>275</v>
      </c>
      <c r="B45" s="91" t="s">
        <v>103</v>
      </c>
      <c r="C45" s="95">
        <v>339</v>
      </c>
      <c r="D45" s="95">
        <v>596</v>
      </c>
      <c r="E45" s="95">
        <v>935</v>
      </c>
      <c r="F45" s="95">
        <v>8338066</v>
      </c>
      <c r="G45" s="95">
        <v>18035319</v>
      </c>
      <c r="H45" s="95">
        <v>26373385</v>
      </c>
      <c r="I45" s="91" t="s">
        <v>485</v>
      </c>
      <c r="J45" s="91" t="s">
        <v>89</v>
      </c>
      <c r="K45" s="94">
        <v>118182</v>
      </c>
      <c r="L45" s="91" t="s">
        <v>334</v>
      </c>
      <c r="M45" s="2"/>
      <c r="N45" s="2"/>
      <c r="O45" s="4"/>
    </row>
    <row r="46" spans="1:15" x14ac:dyDescent="0.2">
      <c r="A46" s="91" t="s">
        <v>227</v>
      </c>
      <c r="B46" s="91" t="s">
        <v>684</v>
      </c>
      <c r="C46" s="95">
        <v>21962</v>
      </c>
      <c r="D46" s="95">
        <v>18991</v>
      </c>
      <c r="E46" s="95">
        <v>40953</v>
      </c>
      <c r="F46" s="95">
        <v>2540010108</v>
      </c>
      <c r="G46" s="95">
        <v>2594238699</v>
      </c>
      <c r="H46" s="95">
        <v>5134248807</v>
      </c>
      <c r="I46" s="91" t="s">
        <v>485</v>
      </c>
      <c r="J46" s="91" t="s">
        <v>91</v>
      </c>
      <c r="K46" s="94">
        <v>119776</v>
      </c>
      <c r="L46" s="91" t="s">
        <v>299</v>
      </c>
      <c r="M46" s="2"/>
      <c r="N46" s="2"/>
      <c r="O46" s="4"/>
    </row>
    <row r="47" spans="1:15" x14ac:dyDescent="0.2">
      <c r="A47" s="91" t="s">
        <v>515</v>
      </c>
      <c r="B47" s="91" t="s">
        <v>60</v>
      </c>
      <c r="C47" s="95">
        <v>200</v>
      </c>
      <c r="D47" s="95">
        <v>282</v>
      </c>
      <c r="E47" s="95">
        <v>482</v>
      </c>
      <c r="F47" s="95">
        <v>6558609</v>
      </c>
      <c r="G47" s="95">
        <v>10387846</v>
      </c>
      <c r="H47" s="95">
        <v>16946456</v>
      </c>
      <c r="I47" s="91" t="s">
        <v>585</v>
      </c>
      <c r="J47" s="91" t="s">
        <v>89</v>
      </c>
      <c r="K47" s="94">
        <v>119891</v>
      </c>
      <c r="L47" s="91" t="s">
        <v>472</v>
      </c>
      <c r="M47" s="2"/>
      <c r="N47" s="2"/>
      <c r="O47" s="4"/>
    </row>
    <row r="48" spans="1:15" x14ac:dyDescent="0.2">
      <c r="A48" s="91" t="s">
        <v>109</v>
      </c>
      <c r="B48" s="91" t="s">
        <v>115</v>
      </c>
      <c r="C48" s="95">
        <v>2292</v>
      </c>
      <c r="D48" s="95">
        <v>2992</v>
      </c>
      <c r="E48" s="95">
        <v>5284</v>
      </c>
      <c r="F48" s="95">
        <v>72071191</v>
      </c>
      <c r="G48" s="95">
        <v>113697526</v>
      </c>
      <c r="H48" s="95">
        <v>185768717</v>
      </c>
      <c r="I48" s="91" t="s">
        <v>485</v>
      </c>
      <c r="J48" s="91" t="s">
        <v>89</v>
      </c>
      <c r="K48" s="94">
        <v>120014</v>
      </c>
      <c r="L48" s="91" t="s">
        <v>621</v>
      </c>
      <c r="M48" s="2"/>
      <c r="N48" s="2"/>
      <c r="O48" s="4"/>
    </row>
    <row r="49" spans="1:15" x14ac:dyDescent="0.2">
      <c r="A49" s="91" t="s">
        <v>180</v>
      </c>
      <c r="B49" s="91" t="s">
        <v>855</v>
      </c>
      <c r="C49" s="95">
        <v>331</v>
      </c>
      <c r="D49" s="95">
        <v>658</v>
      </c>
      <c r="E49" s="95">
        <v>989</v>
      </c>
      <c r="F49" s="95">
        <v>9616946</v>
      </c>
      <c r="G49" s="95">
        <v>21516664</v>
      </c>
      <c r="H49" s="95">
        <v>31133611</v>
      </c>
      <c r="I49" s="91" t="s">
        <v>485</v>
      </c>
      <c r="J49" s="91" t="s">
        <v>89</v>
      </c>
      <c r="K49" s="94">
        <v>121608</v>
      </c>
      <c r="L49" s="91" t="s">
        <v>347</v>
      </c>
      <c r="M49" s="2"/>
      <c r="N49" s="2"/>
      <c r="O49" s="4"/>
    </row>
    <row r="50" spans="1:15" x14ac:dyDescent="0.2">
      <c r="A50" s="91" t="s">
        <v>38</v>
      </c>
      <c r="B50" s="91" t="s">
        <v>41</v>
      </c>
      <c r="C50" s="95">
        <v>7390</v>
      </c>
      <c r="D50" s="95">
        <v>6788</v>
      </c>
      <c r="E50" s="95">
        <v>14178</v>
      </c>
      <c r="F50" s="95">
        <v>177492069</v>
      </c>
      <c r="G50" s="95">
        <v>195675648</v>
      </c>
      <c r="H50" s="95">
        <v>373167717</v>
      </c>
      <c r="I50" s="91" t="s">
        <v>585</v>
      </c>
      <c r="J50" s="91" t="s">
        <v>89</v>
      </c>
      <c r="K50" s="94">
        <v>122432</v>
      </c>
      <c r="L50" s="91" t="s">
        <v>616</v>
      </c>
      <c r="M50" s="2"/>
      <c r="N50" s="2"/>
      <c r="O50" s="4"/>
    </row>
    <row r="51" spans="1:15" x14ac:dyDescent="0.2">
      <c r="A51" s="91" t="s">
        <v>109</v>
      </c>
      <c r="B51" s="91" t="s">
        <v>608</v>
      </c>
      <c r="C51" s="95">
        <v>13630</v>
      </c>
      <c r="D51" s="95">
        <v>12923</v>
      </c>
      <c r="E51" s="95">
        <v>26553</v>
      </c>
      <c r="F51" s="95">
        <v>396269054</v>
      </c>
      <c r="G51" s="95">
        <v>437453043</v>
      </c>
      <c r="H51" s="95">
        <v>833722097</v>
      </c>
      <c r="I51" s="91" t="s">
        <v>585</v>
      </c>
      <c r="J51" s="91" t="s">
        <v>89</v>
      </c>
      <c r="K51" s="94">
        <v>123679</v>
      </c>
      <c r="L51" s="91" t="s">
        <v>521</v>
      </c>
      <c r="M51" s="2"/>
      <c r="N51" s="2"/>
      <c r="O51" s="4"/>
    </row>
    <row r="52" spans="1:15" x14ac:dyDescent="0.2">
      <c r="A52" s="91" t="s">
        <v>227</v>
      </c>
      <c r="B52" s="91" t="s">
        <v>1031</v>
      </c>
      <c r="C52" s="95">
        <v>161</v>
      </c>
      <c r="D52" s="95">
        <v>572</v>
      </c>
      <c r="E52" s="95">
        <v>733</v>
      </c>
      <c r="F52" s="95">
        <v>18586572</v>
      </c>
      <c r="G52" s="95">
        <v>77397589</v>
      </c>
      <c r="H52" s="95">
        <v>95984162</v>
      </c>
      <c r="I52" s="91" t="s">
        <v>585</v>
      </c>
      <c r="J52" s="91" t="s">
        <v>91</v>
      </c>
      <c r="K52" s="94">
        <v>123968</v>
      </c>
      <c r="L52" s="91" t="s">
        <v>1028</v>
      </c>
      <c r="M52" s="2"/>
      <c r="N52" s="2"/>
      <c r="O52" s="4"/>
    </row>
    <row r="53" spans="1:15" x14ac:dyDescent="0.2">
      <c r="A53" s="91" t="s">
        <v>276</v>
      </c>
      <c r="B53" s="91" t="s">
        <v>979</v>
      </c>
      <c r="C53" s="95">
        <v>13</v>
      </c>
      <c r="D53" s="95">
        <v>22</v>
      </c>
      <c r="E53" s="95">
        <v>35</v>
      </c>
      <c r="F53" s="95">
        <v>346538</v>
      </c>
      <c r="G53" s="95">
        <v>825361</v>
      </c>
      <c r="H53" s="95">
        <v>1171899</v>
      </c>
      <c r="I53" s="91" t="s">
        <v>485</v>
      </c>
      <c r="J53" s="91" t="s">
        <v>89</v>
      </c>
      <c r="K53" s="94">
        <v>125799</v>
      </c>
      <c r="L53" s="91" t="s">
        <v>889</v>
      </c>
      <c r="M53" s="2"/>
      <c r="N53" s="2"/>
      <c r="O53" s="4"/>
    </row>
    <row r="54" spans="1:15" x14ac:dyDescent="0.2">
      <c r="A54" s="91" t="s">
        <v>59</v>
      </c>
      <c r="B54" s="91" t="s">
        <v>1091</v>
      </c>
      <c r="C54" s="95">
        <v>784</v>
      </c>
      <c r="D54" s="95">
        <v>1327</v>
      </c>
      <c r="E54" s="95">
        <v>2111</v>
      </c>
      <c r="F54" s="95">
        <v>16311517</v>
      </c>
      <c r="G54" s="95">
        <v>34582093</v>
      </c>
      <c r="H54" s="95">
        <v>50893609</v>
      </c>
      <c r="I54" s="91" t="s">
        <v>485</v>
      </c>
      <c r="J54" s="91" t="s">
        <v>89</v>
      </c>
      <c r="K54" s="94">
        <v>125856</v>
      </c>
      <c r="L54" s="91" t="s">
        <v>636</v>
      </c>
      <c r="M54" s="2"/>
      <c r="N54" s="2"/>
      <c r="O54" s="4"/>
    </row>
    <row r="55" spans="1:15" x14ac:dyDescent="0.2">
      <c r="A55" s="91" t="s">
        <v>180</v>
      </c>
      <c r="B55" s="91" t="s">
        <v>999</v>
      </c>
      <c r="C55" s="95">
        <v>130</v>
      </c>
      <c r="D55" s="95">
        <v>302</v>
      </c>
      <c r="E55" s="95">
        <v>432</v>
      </c>
      <c r="F55" s="95">
        <v>3965954</v>
      </c>
      <c r="G55" s="95">
        <v>12948882</v>
      </c>
      <c r="H55" s="95">
        <v>16914837</v>
      </c>
      <c r="I55" s="91" t="s">
        <v>485</v>
      </c>
      <c r="J55" s="91" t="s">
        <v>89</v>
      </c>
      <c r="K55" s="94">
        <v>127621</v>
      </c>
      <c r="L55" s="91" t="s">
        <v>995</v>
      </c>
      <c r="M55" s="2"/>
      <c r="N55" s="2"/>
      <c r="O55" s="4"/>
    </row>
    <row r="56" spans="1:15" x14ac:dyDescent="0.2">
      <c r="A56" s="91" t="s">
        <v>227</v>
      </c>
      <c r="B56" s="91" t="s">
        <v>237</v>
      </c>
      <c r="C56" s="95">
        <v>28</v>
      </c>
      <c r="D56" s="95">
        <v>34</v>
      </c>
      <c r="E56" s="95">
        <v>62</v>
      </c>
      <c r="F56" s="95">
        <v>638159</v>
      </c>
      <c r="G56" s="95">
        <v>1144661</v>
      </c>
      <c r="H56" s="95">
        <v>1782820</v>
      </c>
      <c r="I56" s="91" t="s">
        <v>485</v>
      </c>
      <c r="J56" s="91" t="s">
        <v>91</v>
      </c>
      <c r="K56" s="94">
        <v>131342</v>
      </c>
      <c r="L56" s="91" t="s">
        <v>228</v>
      </c>
      <c r="M56" s="2"/>
      <c r="N56" s="2"/>
      <c r="O56" s="4"/>
    </row>
    <row r="57" spans="1:15" x14ac:dyDescent="0.2">
      <c r="A57" s="91" t="s">
        <v>465</v>
      </c>
      <c r="B57" s="91" t="s">
        <v>613</v>
      </c>
      <c r="C57" s="95">
        <v>2426</v>
      </c>
      <c r="D57" s="95">
        <v>2190</v>
      </c>
      <c r="E57" s="95">
        <v>4616</v>
      </c>
      <c r="F57" s="95">
        <v>87957540</v>
      </c>
      <c r="G57" s="95">
        <v>92892989</v>
      </c>
      <c r="H57" s="95">
        <v>180850529</v>
      </c>
      <c r="I57" s="91" t="s">
        <v>485</v>
      </c>
      <c r="J57" s="91" t="s">
        <v>90</v>
      </c>
      <c r="K57" s="94">
        <v>131409</v>
      </c>
      <c r="L57" s="91" t="s">
        <v>1084</v>
      </c>
      <c r="M57" s="2"/>
      <c r="N57" s="2"/>
      <c r="O57" s="4"/>
    </row>
    <row r="58" spans="1:15" x14ac:dyDescent="0.2">
      <c r="A58" s="91" t="s">
        <v>219</v>
      </c>
      <c r="B58" s="91" t="s">
        <v>783</v>
      </c>
      <c r="C58" s="95">
        <v>79</v>
      </c>
      <c r="D58" s="95">
        <v>167</v>
      </c>
      <c r="E58" s="95">
        <v>246</v>
      </c>
      <c r="F58" s="95">
        <v>3973609</v>
      </c>
      <c r="G58" s="95">
        <v>9615813</v>
      </c>
      <c r="H58" s="95">
        <v>13589422</v>
      </c>
      <c r="I58" s="91" t="s">
        <v>485</v>
      </c>
      <c r="J58" s="91" t="s">
        <v>91</v>
      </c>
      <c r="K58" s="94">
        <v>133116</v>
      </c>
      <c r="L58" s="91" t="s">
        <v>299</v>
      </c>
      <c r="M58" s="2"/>
      <c r="N58" s="2"/>
      <c r="O58" s="4"/>
    </row>
    <row r="59" spans="1:15" x14ac:dyDescent="0.2">
      <c r="A59" s="91" t="s">
        <v>180</v>
      </c>
      <c r="B59" s="91" t="s">
        <v>619</v>
      </c>
      <c r="C59" s="95">
        <v>342</v>
      </c>
      <c r="D59" s="95">
        <v>386</v>
      </c>
      <c r="E59" s="95">
        <v>728</v>
      </c>
      <c r="F59" s="95">
        <v>10225142</v>
      </c>
      <c r="G59" s="95">
        <v>13441745</v>
      </c>
      <c r="H59" s="95">
        <v>23666888</v>
      </c>
      <c r="I59" s="91" t="s">
        <v>485</v>
      </c>
      <c r="J59" s="91" t="s">
        <v>89</v>
      </c>
      <c r="K59" s="94">
        <v>133298</v>
      </c>
      <c r="L59" s="91" t="s">
        <v>71</v>
      </c>
      <c r="M59" s="2"/>
      <c r="N59" s="2"/>
      <c r="O59" s="4"/>
    </row>
    <row r="60" spans="1:15" x14ac:dyDescent="0.2">
      <c r="A60" s="91" t="s">
        <v>368</v>
      </c>
      <c r="B60" s="91" t="s">
        <v>369</v>
      </c>
      <c r="C60" s="95">
        <v>173</v>
      </c>
      <c r="D60" s="95">
        <v>174</v>
      </c>
      <c r="E60" s="95">
        <v>347</v>
      </c>
      <c r="F60" s="95">
        <v>6426402</v>
      </c>
      <c r="G60" s="95">
        <v>8614353</v>
      </c>
      <c r="H60" s="95">
        <v>15040755</v>
      </c>
      <c r="I60" s="91" t="s">
        <v>585</v>
      </c>
      <c r="J60" s="91" t="s">
        <v>90</v>
      </c>
      <c r="K60" s="94">
        <v>134593</v>
      </c>
      <c r="L60" s="91" t="s">
        <v>544</v>
      </c>
      <c r="M60" s="2"/>
      <c r="N60" s="2"/>
      <c r="O60" s="4"/>
    </row>
    <row r="61" spans="1:15" x14ac:dyDescent="0.2">
      <c r="A61" s="91" t="s">
        <v>180</v>
      </c>
      <c r="B61" s="91" t="s">
        <v>181</v>
      </c>
      <c r="C61" s="95">
        <v>2888</v>
      </c>
      <c r="D61" s="95">
        <v>4097</v>
      </c>
      <c r="E61" s="95">
        <v>6985</v>
      </c>
      <c r="F61" s="95">
        <v>53859579</v>
      </c>
      <c r="G61" s="95">
        <v>99532362</v>
      </c>
      <c r="H61" s="95">
        <v>153391941</v>
      </c>
      <c r="I61" s="91" t="s">
        <v>485</v>
      </c>
      <c r="J61" s="91" t="s">
        <v>89</v>
      </c>
      <c r="K61" s="94">
        <v>135129</v>
      </c>
      <c r="L61" s="91" t="s">
        <v>334</v>
      </c>
      <c r="M61" s="2"/>
      <c r="N61" s="2"/>
      <c r="O61" s="4"/>
    </row>
    <row r="62" spans="1:15" x14ac:dyDescent="0.2">
      <c r="A62" s="91" t="s">
        <v>207</v>
      </c>
      <c r="B62" s="91" t="s">
        <v>20</v>
      </c>
      <c r="C62" s="95">
        <v>308</v>
      </c>
      <c r="D62" s="95">
        <v>374</v>
      </c>
      <c r="E62" s="95">
        <v>682</v>
      </c>
      <c r="F62" s="95">
        <v>7289091</v>
      </c>
      <c r="G62" s="95">
        <v>11912110</v>
      </c>
      <c r="H62" s="95">
        <v>19201201</v>
      </c>
      <c r="I62" s="91" t="s">
        <v>485</v>
      </c>
      <c r="J62" s="91" t="s">
        <v>89</v>
      </c>
      <c r="K62" s="94">
        <v>136895</v>
      </c>
      <c r="L62" s="91" t="s">
        <v>268</v>
      </c>
      <c r="M62" s="2"/>
      <c r="N62" s="2"/>
      <c r="O62" s="4"/>
    </row>
    <row r="63" spans="1:15" x14ac:dyDescent="0.2">
      <c r="A63" s="91" t="s">
        <v>478</v>
      </c>
      <c r="B63" s="91" t="s">
        <v>891</v>
      </c>
      <c r="C63" s="95">
        <v>4</v>
      </c>
      <c r="D63" s="95">
        <v>16</v>
      </c>
      <c r="E63" s="95">
        <v>20</v>
      </c>
      <c r="F63" s="95">
        <v>133860</v>
      </c>
      <c r="G63" s="95">
        <v>468320</v>
      </c>
      <c r="H63" s="95">
        <v>602179</v>
      </c>
      <c r="I63" s="91" t="s">
        <v>485</v>
      </c>
      <c r="J63" s="91" t="s">
        <v>90</v>
      </c>
      <c r="K63" s="94">
        <v>140434</v>
      </c>
      <c r="L63" s="91" t="s">
        <v>93</v>
      </c>
      <c r="M63" s="2"/>
      <c r="N63" s="2"/>
      <c r="O63" s="4"/>
    </row>
    <row r="64" spans="1:15" x14ac:dyDescent="0.2">
      <c r="A64" s="91" t="s">
        <v>580</v>
      </c>
      <c r="B64" s="91" t="s">
        <v>533</v>
      </c>
      <c r="C64" s="95">
        <v>18187</v>
      </c>
      <c r="D64" s="95">
        <v>26126</v>
      </c>
      <c r="E64" s="95">
        <v>44313</v>
      </c>
      <c r="F64" s="95">
        <v>877126249</v>
      </c>
      <c r="G64" s="95">
        <v>1457896063</v>
      </c>
      <c r="H64" s="95">
        <v>2335022311</v>
      </c>
      <c r="I64" s="91" t="s">
        <v>585</v>
      </c>
      <c r="J64" s="91" t="s">
        <v>89</v>
      </c>
      <c r="K64" s="94">
        <v>140491</v>
      </c>
      <c r="L64" s="91" t="s">
        <v>526</v>
      </c>
      <c r="M64" s="2"/>
      <c r="N64" s="2"/>
      <c r="O64" s="4"/>
    </row>
    <row r="65" spans="1:15" x14ac:dyDescent="0.2">
      <c r="A65" s="91" t="s">
        <v>67</v>
      </c>
      <c r="B65" s="91" t="s">
        <v>731</v>
      </c>
      <c r="C65" s="95">
        <v>33731</v>
      </c>
      <c r="D65" s="95">
        <v>32751</v>
      </c>
      <c r="E65" s="95">
        <v>66482</v>
      </c>
      <c r="F65" s="95">
        <v>821242662</v>
      </c>
      <c r="G65" s="95">
        <v>973044671</v>
      </c>
      <c r="H65" s="95">
        <v>1794287333</v>
      </c>
      <c r="I65" s="91" t="s">
        <v>585</v>
      </c>
      <c r="J65" s="91" t="s">
        <v>89</v>
      </c>
      <c r="K65" s="94">
        <v>140673</v>
      </c>
      <c r="L65" s="91" t="s">
        <v>622</v>
      </c>
      <c r="M65" s="2"/>
      <c r="N65" s="2"/>
      <c r="O65" s="4"/>
    </row>
    <row r="66" spans="1:15" x14ac:dyDescent="0.2">
      <c r="A66" s="91" t="s">
        <v>38</v>
      </c>
      <c r="B66" s="91" t="s">
        <v>892</v>
      </c>
      <c r="C66" s="95">
        <v>601</v>
      </c>
      <c r="D66" s="95">
        <v>742</v>
      </c>
      <c r="E66" s="95">
        <v>1343</v>
      </c>
      <c r="F66" s="95">
        <v>18305202</v>
      </c>
      <c r="G66" s="95">
        <v>27067767</v>
      </c>
      <c r="H66" s="95">
        <v>45372969</v>
      </c>
      <c r="I66" s="91" t="s">
        <v>585</v>
      </c>
      <c r="J66" s="91" t="s">
        <v>89</v>
      </c>
      <c r="K66" s="94">
        <v>144923</v>
      </c>
      <c r="L66" s="91" t="s">
        <v>323</v>
      </c>
      <c r="M66" s="2"/>
      <c r="N66" s="2"/>
      <c r="O66" s="4"/>
    </row>
    <row r="67" spans="1:15" x14ac:dyDescent="0.2">
      <c r="A67" s="91" t="s">
        <v>180</v>
      </c>
      <c r="B67" s="91" t="s">
        <v>187</v>
      </c>
      <c r="C67" s="95">
        <v>1363</v>
      </c>
      <c r="D67" s="95">
        <v>2039</v>
      </c>
      <c r="E67" s="95">
        <v>3402</v>
      </c>
      <c r="F67" s="95">
        <v>50292018</v>
      </c>
      <c r="G67" s="95">
        <v>96114365</v>
      </c>
      <c r="H67" s="95">
        <v>146406384</v>
      </c>
      <c r="I67" s="91" t="s">
        <v>485</v>
      </c>
      <c r="J67" s="91" t="s">
        <v>89</v>
      </c>
      <c r="K67" s="94">
        <v>147348</v>
      </c>
      <c r="L67" s="91" t="s">
        <v>586</v>
      </c>
      <c r="M67" s="2"/>
      <c r="N67" s="2"/>
      <c r="O67" s="4"/>
    </row>
    <row r="68" spans="1:15" x14ac:dyDescent="0.2">
      <c r="A68" s="91" t="s">
        <v>98</v>
      </c>
      <c r="B68" s="91" t="s">
        <v>823</v>
      </c>
      <c r="C68" s="95">
        <v>89</v>
      </c>
      <c r="D68" s="95">
        <v>157</v>
      </c>
      <c r="E68" s="95">
        <v>246</v>
      </c>
      <c r="F68" s="95">
        <v>2055515</v>
      </c>
      <c r="G68" s="95">
        <v>5472785</v>
      </c>
      <c r="H68" s="95">
        <v>7528300</v>
      </c>
      <c r="I68" s="91" t="s">
        <v>485</v>
      </c>
      <c r="J68" s="91" t="s">
        <v>89</v>
      </c>
      <c r="K68" s="94">
        <v>150110</v>
      </c>
      <c r="L68" s="91" t="s">
        <v>802</v>
      </c>
      <c r="M68" s="2"/>
      <c r="N68" s="2"/>
      <c r="O68" s="4"/>
    </row>
    <row r="69" spans="1:15" x14ac:dyDescent="0.2">
      <c r="A69" s="91" t="s">
        <v>59</v>
      </c>
      <c r="B69" s="91" t="s">
        <v>62</v>
      </c>
      <c r="C69" s="95">
        <v>84</v>
      </c>
      <c r="D69" s="95">
        <v>128</v>
      </c>
      <c r="E69" s="95">
        <v>212</v>
      </c>
      <c r="F69" s="95">
        <v>2113062</v>
      </c>
      <c r="G69" s="95">
        <v>4608920</v>
      </c>
      <c r="H69" s="95">
        <v>6721982</v>
      </c>
      <c r="I69" s="91" t="s">
        <v>485</v>
      </c>
      <c r="J69" s="91" t="s">
        <v>89</v>
      </c>
      <c r="K69" s="94">
        <v>151001</v>
      </c>
      <c r="L69" s="91" t="s">
        <v>590</v>
      </c>
      <c r="M69" s="2"/>
      <c r="N69" s="2"/>
      <c r="O69" s="4"/>
    </row>
    <row r="70" spans="1:15" x14ac:dyDescent="0.2">
      <c r="A70" s="91" t="s">
        <v>515</v>
      </c>
      <c r="B70" s="91" t="s">
        <v>473</v>
      </c>
      <c r="C70" s="95">
        <v>2202</v>
      </c>
      <c r="D70" s="95">
        <v>3387</v>
      </c>
      <c r="E70" s="95">
        <v>5589</v>
      </c>
      <c r="F70" s="95">
        <v>118942388</v>
      </c>
      <c r="G70" s="95">
        <v>201009831</v>
      </c>
      <c r="H70" s="95">
        <v>319952219</v>
      </c>
      <c r="I70" s="91" t="s">
        <v>585</v>
      </c>
      <c r="J70" s="91" t="s">
        <v>89</v>
      </c>
      <c r="K70" s="94">
        <v>152181</v>
      </c>
      <c r="L70" s="91" t="s">
        <v>472</v>
      </c>
      <c r="M70" s="2"/>
      <c r="N70" s="2"/>
      <c r="O70" s="4"/>
    </row>
    <row r="71" spans="1:15" x14ac:dyDescent="0.2">
      <c r="A71" s="91" t="s">
        <v>65</v>
      </c>
      <c r="B71" s="91" t="s">
        <v>125</v>
      </c>
      <c r="C71" s="95">
        <v>438</v>
      </c>
      <c r="D71" s="95">
        <v>747</v>
      </c>
      <c r="E71" s="95">
        <v>1185</v>
      </c>
      <c r="F71" s="95">
        <v>13416427</v>
      </c>
      <c r="G71" s="95">
        <v>29127290</v>
      </c>
      <c r="H71" s="95">
        <v>42543718</v>
      </c>
      <c r="I71" s="91" t="s">
        <v>485</v>
      </c>
      <c r="J71" s="91" t="s">
        <v>89</v>
      </c>
      <c r="K71" s="94">
        <v>152652</v>
      </c>
      <c r="L71" s="91" t="s">
        <v>597</v>
      </c>
      <c r="M71" s="2"/>
      <c r="N71" s="2"/>
      <c r="O71" s="4"/>
    </row>
    <row r="72" spans="1:15" x14ac:dyDescent="0.2">
      <c r="A72" s="91" t="s">
        <v>565</v>
      </c>
      <c r="B72" s="91" t="s">
        <v>579</v>
      </c>
      <c r="C72" s="95">
        <v>10676</v>
      </c>
      <c r="D72" s="95">
        <v>4176</v>
      </c>
      <c r="E72" s="95">
        <v>14852</v>
      </c>
      <c r="F72" s="95">
        <v>681250245</v>
      </c>
      <c r="G72" s="95">
        <v>298303137</v>
      </c>
      <c r="H72" s="95">
        <v>979553382</v>
      </c>
      <c r="I72" s="91" t="s">
        <v>585</v>
      </c>
      <c r="J72" s="91" t="s">
        <v>89</v>
      </c>
      <c r="K72" s="94">
        <v>152835</v>
      </c>
      <c r="L72" s="91" t="s">
        <v>871</v>
      </c>
      <c r="M72" s="2"/>
      <c r="N72" s="2"/>
      <c r="O72" s="4"/>
    </row>
    <row r="73" spans="1:15" x14ac:dyDescent="0.2">
      <c r="A73" s="91" t="s">
        <v>121</v>
      </c>
      <c r="B73" s="91" t="s">
        <v>295</v>
      </c>
      <c r="C73" s="95">
        <v>1030</v>
      </c>
      <c r="D73" s="95">
        <v>2183</v>
      </c>
      <c r="E73" s="95">
        <v>3213</v>
      </c>
      <c r="F73" s="95">
        <v>27816093</v>
      </c>
      <c r="G73" s="95">
        <v>66280305</v>
      </c>
      <c r="H73" s="95">
        <v>94096398</v>
      </c>
      <c r="I73" s="91" t="s">
        <v>485</v>
      </c>
      <c r="J73" s="91" t="s">
        <v>89</v>
      </c>
      <c r="K73" s="94">
        <v>153833</v>
      </c>
      <c r="L73" s="91" t="s">
        <v>46</v>
      </c>
      <c r="M73" s="2"/>
      <c r="N73" s="2"/>
      <c r="O73" s="4"/>
    </row>
    <row r="74" spans="1:15" x14ac:dyDescent="0.2">
      <c r="A74" s="91" t="s">
        <v>180</v>
      </c>
      <c r="B74" s="91" t="s">
        <v>810</v>
      </c>
      <c r="C74" s="95">
        <v>200</v>
      </c>
      <c r="D74" s="95">
        <v>391</v>
      </c>
      <c r="E74" s="95">
        <v>591</v>
      </c>
      <c r="F74" s="95">
        <v>3952086</v>
      </c>
      <c r="G74" s="95">
        <v>11194088</v>
      </c>
      <c r="H74" s="95">
        <v>15146174</v>
      </c>
      <c r="I74" s="91" t="s">
        <v>585</v>
      </c>
      <c r="J74" s="91" t="s">
        <v>89</v>
      </c>
      <c r="K74" s="94">
        <v>154369</v>
      </c>
      <c r="L74" s="91" t="s">
        <v>987</v>
      </c>
      <c r="M74" s="2"/>
      <c r="N74" s="2"/>
      <c r="O74" s="4"/>
    </row>
    <row r="75" spans="1:15" x14ac:dyDescent="0.2">
      <c r="A75" s="91" t="s">
        <v>38</v>
      </c>
      <c r="B75" s="91" t="s">
        <v>45</v>
      </c>
      <c r="C75" s="95">
        <v>399</v>
      </c>
      <c r="D75" s="95">
        <v>507</v>
      </c>
      <c r="E75" s="95">
        <v>906</v>
      </c>
      <c r="F75" s="95">
        <v>10411494</v>
      </c>
      <c r="G75" s="95">
        <v>15166808</v>
      </c>
      <c r="H75" s="95">
        <v>25578302</v>
      </c>
      <c r="I75" s="91" t="s">
        <v>485</v>
      </c>
      <c r="J75" s="91" t="s">
        <v>89</v>
      </c>
      <c r="K75" s="94">
        <v>155259</v>
      </c>
      <c r="L75" s="91" t="s">
        <v>264</v>
      </c>
      <c r="M75" s="2"/>
      <c r="N75" s="2"/>
      <c r="O75" s="4"/>
    </row>
    <row r="76" spans="1:15" x14ac:dyDescent="0.2">
      <c r="A76" s="91" t="s">
        <v>227</v>
      </c>
      <c r="B76" s="91" t="s">
        <v>683</v>
      </c>
      <c r="C76" s="95">
        <v>4947</v>
      </c>
      <c r="D76" s="95">
        <v>3567</v>
      </c>
      <c r="E76" s="95">
        <v>8514</v>
      </c>
      <c r="F76" s="95">
        <v>494469563</v>
      </c>
      <c r="G76" s="95">
        <v>413799657</v>
      </c>
      <c r="H76" s="95">
        <v>908269220</v>
      </c>
      <c r="I76" s="91" t="s">
        <v>485</v>
      </c>
      <c r="J76" s="91" t="s">
        <v>91</v>
      </c>
      <c r="K76" s="94">
        <v>155606</v>
      </c>
      <c r="L76" s="91" t="s">
        <v>299</v>
      </c>
      <c r="M76" s="2"/>
      <c r="N76" s="2"/>
      <c r="O76" s="4"/>
    </row>
    <row r="77" spans="1:15" x14ac:dyDescent="0.2">
      <c r="A77" s="91" t="s">
        <v>38</v>
      </c>
      <c r="B77" s="91" t="s">
        <v>671</v>
      </c>
      <c r="C77" s="95">
        <v>203</v>
      </c>
      <c r="D77" s="95">
        <v>278</v>
      </c>
      <c r="E77" s="95">
        <v>481</v>
      </c>
      <c r="F77" s="95">
        <v>5202337</v>
      </c>
      <c r="G77" s="95">
        <v>8752857</v>
      </c>
      <c r="H77" s="95">
        <v>13955194</v>
      </c>
      <c r="I77" s="91" t="s">
        <v>485</v>
      </c>
      <c r="J77" s="91" t="s">
        <v>89</v>
      </c>
      <c r="K77" s="94">
        <v>155788</v>
      </c>
      <c r="L77" s="91" t="s">
        <v>268</v>
      </c>
      <c r="M77" s="2"/>
      <c r="N77" s="2"/>
      <c r="O77" s="4"/>
    </row>
    <row r="78" spans="1:15" x14ac:dyDescent="0.2">
      <c r="A78" s="91" t="s">
        <v>227</v>
      </c>
      <c r="B78" s="91" t="s">
        <v>998</v>
      </c>
      <c r="C78" s="95">
        <v>2616</v>
      </c>
      <c r="D78" s="95">
        <v>3527</v>
      </c>
      <c r="E78" s="95">
        <v>6143</v>
      </c>
      <c r="F78" s="95">
        <v>178540563</v>
      </c>
      <c r="G78" s="95">
        <v>268451846</v>
      </c>
      <c r="H78" s="95">
        <v>446992409</v>
      </c>
      <c r="I78" s="91" t="s">
        <v>585</v>
      </c>
      <c r="J78" s="91" t="s">
        <v>91</v>
      </c>
      <c r="K78" s="94">
        <v>156315</v>
      </c>
      <c r="L78" s="91" t="s">
        <v>303</v>
      </c>
      <c r="M78" s="2"/>
      <c r="N78" s="2"/>
      <c r="O78" s="4"/>
    </row>
    <row r="79" spans="1:15" x14ac:dyDescent="0.2">
      <c r="A79" s="91" t="s">
        <v>180</v>
      </c>
      <c r="B79" s="91" t="s">
        <v>849</v>
      </c>
      <c r="C79" s="95">
        <v>60</v>
      </c>
      <c r="D79" s="95">
        <v>80</v>
      </c>
      <c r="E79" s="95">
        <v>140</v>
      </c>
      <c r="F79" s="95">
        <v>2218679</v>
      </c>
      <c r="G79" s="95">
        <v>3220764</v>
      </c>
      <c r="H79" s="95">
        <v>5439443</v>
      </c>
      <c r="I79" s="91" t="s">
        <v>485</v>
      </c>
      <c r="J79" s="91" t="s">
        <v>89</v>
      </c>
      <c r="K79" s="94">
        <v>157438</v>
      </c>
      <c r="L79" s="91" t="s">
        <v>347</v>
      </c>
      <c r="M79" s="2"/>
      <c r="N79" s="2"/>
      <c r="O79" s="4"/>
    </row>
    <row r="80" spans="1:15" x14ac:dyDescent="0.2">
      <c r="A80" s="91" t="s">
        <v>515</v>
      </c>
      <c r="B80" s="91" t="s">
        <v>201</v>
      </c>
      <c r="C80" s="95">
        <v>8056</v>
      </c>
      <c r="D80" s="95">
        <v>7928</v>
      </c>
      <c r="E80" s="95">
        <v>15984</v>
      </c>
      <c r="F80" s="95">
        <v>347852036</v>
      </c>
      <c r="G80" s="95">
        <v>426634238</v>
      </c>
      <c r="H80" s="95">
        <v>774486274</v>
      </c>
      <c r="I80" s="91" t="s">
        <v>585</v>
      </c>
      <c r="J80" s="91" t="s">
        <v>89</v>
      </c>
      <c r="K80" s="94">
        <v>158261</v>
      </c>
      <c r="L80" s="91" t="s">
        <v>616</v>
      </c>
      <c r="M80" s="2"/>
      <c r="N80" s="2"/>
      <c r="O80" s="4"/>
    </row>
    <row r="81" spans="1:15" x14ac:dyDescent="0.2">
      <c r="A81" s="91" t="s">
        <v>170</v>
      </c>
      <c r="B81" s="91" t="s">
        <v>659</v>
      </c>
      <c r="C81" s="95">
        <v>560</v>
      </c>
      <c r="D81" s="95">
        <v>837</v>
      </c>
      <c r="E81" s="95">
        <v>1397</v>
      </c>
      <c r="F81" s="95">
        <v>15882372</v>
      </c>
      <c r="G81" s="95">
        <v>31861481</v>
      </c>
      <c r="H81" s="95">
        <v>47743853</v>
      </c>
      <c r="I81" s="91" t="s">
        <v>485</v>
      </c>
      <c r="J81" s="91" t="s">
        <v>89</v>
      </c>
      <c r="K81" s="94">
        <v>159442</v>
      </c>
      <c r="L81" s="91" t="s">
        <v>591</v>
      </c>
      <c r="M81" s="2"/>
      <c r="N81" s="2"/>
      <c r="O81" s="4"/>
    </row>
    <row r="82" spans="1:15" x14ac:dyDescent="0.2">
      <c r="A82" s="91" t="s">
        <v>227</v>
      </c>
      <c r="B82" s="91" t="s">
        <v>1029</v>
      </c>
      <c r="C82" s="95">
        <v>627</v>
      </c>
      <c r="D82" s="95">
        <v>1156</v>
      </c>
      <c r="E82" s="95">
        <v>1783</v>
      </c>
      <c r="F82" s="95">
        <v>71284565</v>
      </c>
      <c r="G82" s="95">
        <v>153603471</v>
      </c>
      <c r="H82" s="95">
        <v>224888036</v>
      </c>
      <c r="I82" s="91" t="s">
        <v>585</v>
      </c>
      <c r="J82" s="91" t="s">
        <v>91</v>
      </c>
      <c r="K82" s="94">
        <v>159798</v>
      </c>
      <c r="L82" s="91" t="s">
        <v>1028</v>
      </c>
      <c r="M82" s="2"/>
      <c r="N82" s="2"/>
      <c r="O82" s="4"/>
    </row>
    <row r="83" spans="1:15" x14ac:dyDescent="0.2">
      <c r="A83" s="91" t="s">
        <v>157</v>
      </c>
      <c r="B83" s="91" t="s">
        <v>978</v>
      </c>
      <c r="C83" s="95">
        <v>14</v>
      </c>
      <c r="D83" s="95">
        <v>24</v>
      </c>
      <c r="E83" s="95">
        <v>38</v>
      </c>
      <c r="F83" s="95">
        <v>465663</v>
      </c>
      <c r="G83" s="95">
        <v>981666</v>
      </c>
      <c r="H83" s="95">
        <v>1447329</v>
      </c>
      <c r="I83" s="91" t="s">
        <v>485</v>
      </c>
      <c r="J83" s="91" t="s">
        <v>89</v>
      </c>
      <c r="K83" s="94">
        <v>161620</v>
      </c>
      <c r="L83" s="91" t="s">
        <v>889</v>
      </c>
      <c r="M83" s="2"/>
      <c r="N83" s="2"/>
      <c r="O83" s="4"/>
    </row>
    <row r="84" spans="1:15" x14ac:dyDescent="0.2">
      <c r="A84" s="91" t="s">
        <v>121</v>
      </c>
      <c r="B84" s="91" t="s">
        <v>242</v>
      </c>
      <c r="C84" s="95">
        <v>15</v>
      </c>
      <c r="D84" s="95">
        <v>38</v>
      </c>
      <c r="E84" s="95">
        <v>53</v>
      </c>
      <c r="F84" s="95">
        <v>413769</v>
      </c>
      <c r="G84" s="95">
        <v>1031552</v>
      </c>
      <c r="H84" s="95">
        <v>1445321</v>
      </c>
      <c r="I84" s="91" t="s">
        <v>485</v>
      </c>
      <c r="J84" s="91" t="s">
        <v>89</v>
      </c>
      <c r="K84" s="94">
        <v>161687</v>
      </c>
      <c r="L84" s="91" t="s">
        <v>636</v>
      </c>
      <c r="M84" s="2"/>
      <c r="N84" s="2"/>
      <c r="O84" s="4"/>
    </row>
    <row r="85" spans="1:15" x14ac:dyDescent="0.2">
      <c r="A85" s="91" t="s">
        <v>98</v>
      </c>
      <c r="B85" s="91" t="s">
        <v>457</v>
      </c>
      <c r="C85" s="95">
        <v>175</v>
      </c>
      <c r="D85" s="95">
        <v>289</v>
      </c>
      <c r="E85" s="95">
        <v>464</v>
      </c>
      <c r="F85" s="95">
        <v>4371620</v>
      </c>
      <c r="G85" s="95">
        <v>9578154</v>
      </c>
      <c r="H85" s="95">
        <v>13949773</v>
      </c>
      <c r="I85" s="91" t="s">
        <v>485</v>
      </c>
      <c r="J85" s="91" t="s">
        <v>89</v>
      </c>
      <c r="K85" s="94">
        <v>166173</v>
      </c>
      <c r="L85" s="91" t="s">
        <v>636</v>
      </c>
      <c r="M85" s="2"/>
      <c r="N85" s="2"/>
      <c r="O85" s="4"/>
    </row>
    <row r="86" spans="1:15" x14ac:dyDescent="0.2">
      <c r="A86" s="91" t="s">
        <v>254</v>
      </c>
      <c r="B86" s="91" t="s">
        <v>825</v>
      </c>
      <c r="C86" s="95">
        <v>1367</v>
      </c>
      <c r="D86" s="95">
        <v>945</v>
      </c>
      <c r="E86" s="95">
        <v>2312</v>
      </c>
      <c r="F86" s="95">
        <v>96545497</v>
      </c>
      <c r="G86" s="95">
        <v>73930517</v>
      </c>
      <c r="H86" s="95">
        <v>170476015</v>
      </c>
      <c r="I86" s="91" t="s">
        <v>485</v>
      </c>
      <c r="J86" s="91" t="s">
        <v>92</v>
      </c>
      <c r="K86" s="94">
        <v>167114</v>
      </c>
      <c r="L86" s="91" t="s">
        <v>826</v>
      </c>
      <c r="M86" s="2"/>
      <c r="N86" s="2"/>
      <c r="O86" s="4"/>
    </row>
    <row r="87" spans="1:15" x14ac:dyDescent="0.2">
      <c r="A87" s="91" t="s">
        <v>180</v>
      </c>
      <c r="B87" s="91" t="s">
        <v>235</v>
      </c>
      <c r="C87" s="95">
        <v>36</v>
      </c>
      <c r="D87" s="95">
        <v>36</v>
      </c>
      <c r="E87" s="95">
        <v>72</v>
      </c>
      <c r="F87" s="95">
        <v>1373338</v>
      </c>
      <c r="G87" s="95">
        <v>1416970</v>
      </c>
      <c r="H87" s="95">
        <v>2790308</v>
      </c>
      <c r="I87" s="91" t="s">
        <v>485</v>
      </c>
      <c r="J87" s="91" t="s">
        <v>89</v>
      </c>
      <c r="K87" s="94">
        <v>167171</v>
      </c>
      <c r="L87" s="91" t="s">
        <v>228</v>
      </c>
      <c r="M87" s="2"/>
      <c r="N87" s="2"/>
      <c r="O87" s="4"/>
    </row>
    <row r="88" spans="1:15" x14ac:dyDescent="0.2">
      <c r="A88" s="91" t="s">
        <v>121</v>
      </c>
      <c r="B88" s="91" t="s">
        <v>421</v>
      </c>
      <c r="C88" s="95">
        <v>3281</v>
      </c>
      <c r="D88" s="95">
        <v>4520</v>
      </c>
      <c r="E88" s="95">
        <v>7801</v>
      </c>
      <c r="F88" s="95">
        <v>68228041</v>
      </c>
      <c r="G88" s="95">
        <v>121594245</v>
      </c>
      <c r="H88" s="95">
        <v>189822286</v>
      </c>
      <c r="I88" s="91" t="s">
        <v>485</v>
      </c>
      <c r="J88" s="91" t="s">
        <v>89</v>
      </c>
      <c r="K88" s="94">
        <v>167239</v>
      </c>
      <c r="L88" s="91" t="s">
        <v>1084</v>
      </c>
      <c r="M88" s="2"/>
      <c r="N88" s="2"/>
      <c r="O88" s="4"/>
    </row>
    <row r="89" spans="1:15" x14ac:dyDescent="0.2">
      <c r="A89" s="91" t="s">
        <v>98</v>
      </c>
      <c r="B89" s="91" t="s">
        <v>455</v>
      </c>
      <c r="C89" s="95">
        <v>520</v>
      </c>
      <c r="D89" s="95">
        <v>782</v>
      </c>
      <c r="E89" s="95">
        <v>1302</v>
      </c>
      <c r="F89" s="95">
        <v>13389291</v>
      </c>
      <c r="G89" s="95">
        <v>26669451</v>
      </c>
      <c r="H89" s="95">
        <v>40058743</v>
      </c>
      <c r="I89" s="91" t="s">
        <v>485</v>
      </c>
      <c r="J89" s="91" t="s">
        <v>89</v>
      </c>
      <c r="K89" s="94">
        <v>169060</v>
      </c>
      <c r="L89" s="91" t="s">
        <v>636</v>
      </c>
      <c r="M89" s="2"/>
      <c r="N89" s="2"/>
      <c r="O89" s="4"/>
    </row>
    <row r="90" spans="1:15" x14ac:dyDescent="0.2">
      <c r="A90" s="91" t="s">
        <v>515</v>
      </c>
      <c r="B90" s="91" t="s">
        <v>545</v>
      </c>
      <c r="C90" s="95">
        <v>863</v>
      </c>
      <c r="D90" s="95">
        <v>1103</v>
      </c>
      <c r="E90" s="95">
        <v>1966</v>
      </c>
      <c r="F90" s="95">
        <v>32010706</v>
      </c>
      <c r="G90" s="95">
        <v>49393688</v>
      </c>
      <c r="H90" s="95">
        <v>81404394</v>
      </c>
      <c r="I90" s="91" t="s">
        <v>585</v>
      </c>
      <c r="J90" s="91" t="s">
        <v>89</v>
      </c>
      <c r="K90" s="94">
        <v>170423</v>
      </c>
      <c r="L90" s="91" t="s">
        <v>544</v>
      </c>
      <c r="M90" s="2"/>
      <c r="N90" s="2"/>
      <c r="O90" s="4"/>
    </row>
    <row r="91" spans="1:15" x14ac:dyDescent="0.2">
      <c r="A91" s="91" t="s">
        <v>98</v>
      </c>
      <c r="B91" s="91" t="s">
        <v>134</v>
      </c>
      <c r="C91" s="95">
        <v>1319</v>
      </c>
      <c r="D91" s="95">
        <v>2282</v>
      </c>
      <c r="E91" s="95">
        <v>3601</v>
      </c>
      <c r="F91" s="95">
        <v>35385468</v>
      </c>
      <c r="G91" s="95">
        <v>83269391</v>
      </c>
      <c r="H91" s="95">
        <v>118654859</v>
      </c>
      <c r="I91" s="91" t="s">
        <v>485</v>
      </c>
      <c r="J91" s="91" t="s">
        <v>89</v>
      </c>
      <c r="K91" s="94">
        <v>170894</v>
      </c>
      <c r="L91" s="91" t="s">
        <v>606</v>
      </c>
      <c r="M91" s="2"/>
      <c r="N91" s="2"/>
      <c r="O91" s="4"/>
    </row>
    <row r="92" spans="1:15" x14ac:dyDescent="0.2">
      <c r="A92" s="91" t="s">
        <v>580</v>
      </c>
      <c r="B92" s="91" t="s">
        <v>1077</v>
      </c>
      <c r="C92" s="95">
        <v>285</v>
      </c>
      <c r="D92" s="95">
        <v>327</v>
      </c>
      <c r="E92" s="95">
        <v>612</v>
      </c>
      <c r="F92" s="95">
        <v>6843742</v>
      </c>
      <c r="G92" s="95">
        <v>10628142</v>
      </c>
      <c r="H92" s="95">
        <v>17471884</v>
      </c>
      <c r="I92" s="91" t="s">
        <v>485</v>
      </c>
      <c r="J92" s="91" t="s">
        <v>89</v>
      </c>
      <c r="K92" s="94">
        <v>170951</v>
      </c>
      <c r="L92" s="91" t="s">
        <v>336</v>
      </c>
      <c r="M92" s="2"/>
      <c r="N92" s="2"/>
      <c r="O92" s="4"/>
    </row>
    <row r="93" spans="1:15" x14ac:dyDescent="0.2">
      <c r="A93" s="91" t="s">
        <v>227</v>
      </c>
      <c r="B93" s="91" t="s">
        <v>721</v>
      </c>
      <c r="C93" s="95">
        <v>591</v>
      </c>
      <c r="D93" s="95">
        <v>923</v>
      </c>
      <c r="E93" s="95">
        <v>1514</v>
      </c>
      <c r="F93" s="95">
        <v>95852980</v>
      </c>
      <c r="G93" s="95">
        <v>165048703</v>
      </c>
      <c r="H93" s="95">
        <v>260901683</v>
      </c>
      <c r="I93" s="91" t="s">
        <v>585</v>
      </c>
      <c r="J93" s="91" t="s">
        <v>91</v>
      </c>
      <c r="K93" s="94">
        <v>172601</v>
      </c>
      <c r="L93" s="91" t="s">
        <v>1088</v>
      </c>
      <c r="M93" s="2"/>
      <c r="N93" s="2"/>
      <c r="O93" s="4"/>
    </row>
    <row r="94" spans="1:15" x14ac:dyDescent="0.2">
      <c r="A94" s="91" t="s">
        <v>478</v>
      </c>
      <c r="B94" s="91" t="s">
        <v>141</v>
      </c>
      <c r="C94" s="95">
        <v>427</v>
      </c>
      <c r="D94" s="95">
        <v>520</v>
      </c>
      <c r="E94" s="95">
        <v>947</v>
      </c>
      <c r="F94" s="95">
        <v>9619800</v>
      </c>
      <c r="G94" s="95">
        <v>16206349</v>
      </c>
      <c r="H94" s="95">
        <v>25826149</v>
      </c>
      <c r="I94" s="91" t="s">
        <v>485</v>
      </c>
      <c r="J94" s="91" t="s">
        <v>90</v>
      </c>
      <c r="K94" s="94">
        <v>173435</v>
      </c>
      <c r="L94" s="91" t="s">
        <v>320</v>
      </c>
      <c r="M94" s="2"/>
      <c r="N94" s="2"/>
      <c r="O94" s="4"/>
    </row>
    <row r="95" spans="1:15" x14ac:dyDescent="0.2">
      <c r="A95" s="91" t="s">
        <v>72</v>
      </c>
      <c r="B95" s="91" t="s">
        <v>259</v>
      </c>
      <c r="C95" s="95">
        <v>2316</v>
      </c>
      <c r="D95" s="95">
        <v>3279</v>
      </c>
      <c r="E95" s="95">
        <v>5595</v>
      </c>
      <c r="F95" s="95">
        <v>76330341</v>
      </c>
      <c r="G95" s="95">
        <v>130582074</v>
      </c>
      <c r="H95" s="95">
        <v>206912415</v>
      </c>
      <c r="I95" s="91" t="s">
        <v>485</v>
      </c>
      <c r="J95" s="91" t="s">
        <v>89</v>
      </c>
      <c r="K95" s="94">
        <v>174086</v>
      </c>
      <c r="L95" s="91" t="s">
        <v>268</v>
      </c>
      <c r="M95" s="2"/>
      <c r="N95" s="2"/>
      <c r="O95" s="4"/>
    </row>
    <row r="96" spans="1:15" x14ac:dyDescent="0.2">
      <c r="A96" s="91" t="s">
        <v>276</v>
      </c>
      <c r="B96" s="91" t="s">
        <v>1032</v>
      </c>
      <c r="C96" s="95">
        <v>20</v>
      </c>
      <c r="D96" s="95">
        <v>36</v>
      </c>
      <c r="E96" s="95">
        <v>56</v>
      </c>
      <c r="F96" s="95">
        <v>821290</v>
      </c>
      <c r="G96" s="95">
        <v>1558093</v>
      </c>
      <c r="H96" s="95">
        <v>2379383</v>
      </c>
      <c r="I96" s="91" t="s">
        <v>485</v>
      </c>
      <c r="J96" s="91" t="s">
        <v>89</v>
      </c>
      <c r="K96" s="94">
        <v>174433</v>
      </c>
      <c r="L96" s="91" t="s">
        <v>348</v>
      </c>
      <c r="M96" s="2"/>
      <c r="N96" s="2"/>
      <c r="O96" s="4"/>
    </row>
    <row r="97" spans="1:15" x14ac:dyDescent="0.2">
      <c r="A97" s="91" t="s">
        <v>170</v>
      </c>
      <c r="B97" s="91" t="s">
        <v>453</v>
      </c>
      <c r="C97" s="95">
        <v>3018</v>
      </c>
      <c r="D97" s="95">
        <v>3940</v>
      </c>
      <c r="E97" s="95">
        <v>6958</v>
      </c>
      <c r="F97" s="95">
        <v>42894987</v>
      </c>
      <c r="G97" s="95">
        <v>73250959</v>
      </c>
      <c r="H97" s="95">
        <v>116145946</v>
      </c>
      <c r="I97" s="91" t="s">
        <v>485</v>
      </c>
      <c r="J97" s="91" t="s">
        <v>89</v>
      </c>
      <c r="K97" s="94">
        <v>174490</v>
      </c>
      <c r="L97" s="91" t="s">
        <v>636</v>
      </c>
      <c r="M97" s="2"/>
      <c r="N97" s="2"/>
      <c r="O97" s="4"/>
    </row>
    <row r="98" spans="1:15" x14ac:dyDescent="0.2">
      <c r="A98" s="91" t="s">
        <v>277</v>
      </c>
      <c r="B98" s="91" t="s">
        <v>541</v>
      </c>
      <c r="C98" s="95">
        <v>366</v>
      </c>
      <c r="D98" s="95">
        <v>511</v>
      </c>
      <c r="E98" s="95">
        <v>877</v>
      </c>
      <c r="F98" s="95">
        <v>8947610</v>
      </c>
      <c r="G98" s="95">
        <v>15946948</v>
      </c>
      <c r="H98" s="95">
        <v>24894558</v>
      </c>
      <c r="I98" s="91" t="s">
        <v>485</v>
      </c>
      <c r="J98" s="91" t="s">
        <v>89</v>
      </c>
      <c r="K98" s="94">
        <v>174672</v>
      </c>
      <c r="L98" s="91" t="s">
        <v>268</v>
      </c>
      <c r="M98" s="2"/>
      <c r="N98" s="2"/>
      <c r="O98" s="4"/>
    </row>
    <row r="99" spans="1:15" x14ac:dyDescent="0.2">
      <c r="A99" s="91" t="s">
        <v>109</v>
      </c>
      <c r="B99" s="91" t="s">
        <v>1040</v>
      </c>
      <c r="C99" s="95">
        <v>153</v>
      </c>
      <c r="D99" s="95">
        <v>180</v>
      </c>
      <c r="E99" s="95">
        <v>333</v>
      </c>
      <c r="F99" s="95">
        <v>4316840</v>
      </c>
      <c r="G99" s="95">
        <v>5884779</v>
      </c>
      <c r="H99" s="95">
        <v>10201620</v>
      </c>
      <c r="I99" s="91" t="s">
        <v>485</v>
      </c>
      <c r="J99" s="91" t="s">
        <v>89</v>
      </c>
      <c r="K99" s="94">
        <v>175265</v>
      </c>
      <c r="L99" s="91" t="s">
        <v>270</v>
      </c>
      <c r="M99" s="2"/>
      <c r="N99" s="2"/>
      <c r="O99" s="4"/>
    </row>
    <row r="100" spans="1:15" x14ac:dyDescent="0.2">
      <c r="A100" s="91" t="s">
        <v>565</v>
      </c>
      <c r="B100" s="91" t="s">
        <v>378</v>
      </c>
      <c r="C100" s="95">
        <v>12984</v>
      </c>
      <c r="D100" s="95">
        <v>11707</v>
      </c>
      <c r="E100" s="95">
        <v>24691</v>
      </c>
      <c r="F100" s="95">
        <v>444157635</v>
      </c>
      <c r="G100" s="95">
        <v>490555744</v>
      </c>
      <c r="H100" s="95">
        <v>934713378</v>
      </c>
      <c r="I100" s="91" t="s">
        <v>585</v>
      </c>
      <c r="J100" s="91" t="s">
        <v>89</v>
      </c>
      <c r="K100" s="94">
        <v>175919</v>
      </c>
      <c r="L100" s="91" t="s">
        <v>133</v>
      </c>
      <c r="M100" s="2"/>
      <c r="N100" s="2"/>
      <c r="O100" s="4"/>
    </row>
    <row r="101" spans="1:15" x14ac:dyDescent="0.2">
      <c r="A101" s="91" t="s">
        <v>170</v>
      </c>
      <c r="B101" s="91" t="s">
        <v>732</v>
      </c>
      <c r="C101" s="95">
        <v>6917</v>
      </c>
      <c r="D101" s="95">
        <v>9833</v>
      </c>
      <c r="E101" s="95">
        <v>16750</v>
      </c>
      <c r="F101" s="95">
        <v>115182410</v>
      </c>
      <c r="G101" s="95">
        <v>206723516</v>
      </c>
      <c r="H101" s="95">
        <v>321905926</v>
      </c>
      <c r="I101" s="91" t="s">
        <v>585</v>
      </c>
      <c r="J101" s="91" t="s">
        <v>89</v>
      </c>
      <c r="K101" s="94">
        <v>176503</v>
      </c>
      <c r="L101" s="91" t="s">
        <v>622</v>
      </c>
      <c r="M101" s="2"/>
      <c r="N101" s="2"/>
      <c r="O101" s="4"/>
    </row>
    <row r="102" spans="1:15" x14ac:dyDescent="0.2">
      <c r="A102" s="91" t="s">
        <v>412</v>
      </c>
      <c r="B102" s="91" t="s">
        <v>284</v>
      </c>
      <c r="C102" s="95">
        <v>1420</v>
      </c>
      <c r="D102" s="95">
        <v>1425</v>
      </c>
      <c r="E102" s="95">
        <v>2845</v>
      </c>
      <c r="F102" s="95">
        <v>40106047</v>
      </c>
      <c r="G102" s="95">
        <v>52467424</v>
      </c>
      <c r="H102" s="95">
        <v>92573471</v>
      </c>
      <c r="I102" s="91" t="s">
        <v>585</v>
      </c>
      <c r="J102" s="91" t="s">
        <v>90</v>
      </c>
      <c r="K102" s="94">
        <v>178335</v>
      </c>
      <c r="L102" s="91" t="s">
        <v>657</v>
      </c>
      <c r="M102" s="2"/>
      <c r="N102" s="2"/>
      <c r="O102" s="4"/>
    </row>
    <row r="103" spans="1:15" x14ac:dyDescent="0.2">
      <c r="A103" s="91" t="s">
        <v>98</v>
      </c>
      <c r="B103" s="91" t="s">
        <v>1041</v>
      </c>
      <c r="C103" s="95">
        <v>1185</v>
      </c>
      <c r="D103" s="95">
        <v>1895</v>
      </c>
      <c r="E103" s="95">
        <v>3080</v>
      </c>
      <c r="F103" s="95">
        <v>35069911</v>
      </c>
      <c r="G103" s="95">
        <v>68072425</v>
      </c>
      <c r="H103" s="95">
        <v>103142336</v>
      </c>
      <c r="I103" s="91" t="s">
        <v>485</v>
      </c>
      <c r="J103" s="91" t="s">
        <v>89</v>
      </c>
      <c r="K103" s="94">
        <v>178624</v>
      </c>
      <c r="L103" s="91" t="s">
        <v>943</v>
      </c>
      <c r="M103" s="2"/>
      <c r="N103" s="2"/>
      <c r="O103" s="4"/>
    </row>
    <row r="104" spans="1:15" x14ac:dyDescent="0.2">
      <c r="A104" s="91" t="s">
        <v>72</v>
      </c>
      <c r="B104" s="91" t="s">
        <v>885</v>
      </c>
      <c r="C104" s="95">
        <v>5578</v>
      </c>
      <c r="D104" s="95">
        <v>6414</v>
      </c>
      <c r="E104" s="95">
        <v>11992</v>
      </c>
      <c r="F104" s="95">
        <v>189238138</v>
      </c>
      <c r="G104" s="95">
        <v>266214047</v>
      </c>
      <c r="H104" s="95">
        <v>455452186</v>
      </c>
      <c r="I104" s="91" t="s">
        <v>485</v>
      </c>
      <c r="J104" s="91" t="s">
        <v>89</v>
      </c>
      <c r="K104" s="94">
        <v>182287</v>
      </c>
      <c r="L104" s="91" t="s">
        <v>1084</v>
      </c>
      <c r="M104" s="2"/>
      <c r="N104" s="2"/>
      <c r="O104" s="4"/>
    </row>
    <row r="105" spans="1:15" x14ac:dyDescent="0.2">
      <c r="A105" s="91" t="s">
        <v>180</v>
      </c>
      <c r="B105" s="91" t="s">
        <v>196</v>
      </c>
      <c r="C105" s="95">
        <v>1327</v>
      </c>
      <c r="D105" s="95">
        <v>1543</v>
      </c>
      <c r="E105" s="95">
        <v>2870</v>
      </c>
      <c r="F105" s="95">
        <v>48538476</v>
      </c>
      <c r="G105" s="95">
        <v>64957431</v>
      </c>
      <c r="H105" s="95">
        <v>113495908</v>
      </c>
      <c r="I105" s="91" t="s">
        <v>485</v>
      </c>
      <c r="J105" s="91" t="s">
        <v>89</v>
      </c>
      <c r="K105" s="94">
        <v>182584</v>
      </c>
      <c r="L105" s="91" t="s">
        <v>195</v>
      </c>
      <c r="M105" s="2"/>
      <c r="N105" s="2"/>
      <c r="O105" s="4"/>
    </row>
    <row r="106" spans="1:15" x14ac:dyDescent="0.2">
      <c r="A106" s="91" t="s">
        <v>180</v>
      </c>
      <c r="B106" s="91" t="s">
        <v>188</v>
      </c>
      <c r="C106" s="95">
        <v>3533</v>
      </c>
      <c r="D106" s="95">
        <v>4269</v>
      </c>
      <c r="E106" s="95">
        <v>7802</v>
      </c>
      <c r="F106" s="95">
        <v>136096422</v>
      </c>
      <c r="G106" s="95">
        <v>198257270</v>
      </c>
      <c r="H106" s="95">
        <v>334353692</v>
      </c>
      <c r="I106" s="91" t="s">
        <v>485</v>
      </c>
      <c r="J106" s="91" t="s">
        <v>89</v>
      </c>
      <c r="K106" s="94">
        <v>183178</v>
      </c>
      <c r="L106" s="91" t="s">
        <v>586</v>
      </c>
      <c r="M106" s="2"/>
      <c r="N106" s="2"/>
      <c r="O106" s="4"/>
    </row>
    <row r="107" spans="1:15" x14ac:dyDescent="0.2">
      <c r="A107" s="91" t="s">
        <v>109</v>
      </c>
      <c r="B107" s="91" t="s">
        <v>843</v>
      </c>
      <c r="C107" s="95">
        <v>258</v>
      </c>
      <c r="D107" s="95">
        <v>350</v>
      </c>
      <c r="E107" s="95">
        <v>608</v>
      </c>
      <c r="F107" s="95">
        <v>9262250</v>
      </c>
      <c r="G107" s="95">
        <v>15458005</v>
      </c>
      <c r="H107" s="95">
        <v>24720255</v>
      </c>
      <c r="I107" s="91" t="s">
        <v>585</v>
      </c>
      <c r="J107" s="91" t="s">
        <v>89</v>
      </c>
      <c r="K107" s="94">
        <v>184119</v>
      </c>
      <c r="L107" s="91" t="s">
        <v>622</v>
      </c>
      <c r="M107" s="2"/>
      <c r="N107" s="2"/>
      <c r="O107" s="4"/>
    </row>
    <row r="108" spans="1:15" x14ac:dyDescent="0.2">
      <c r="A108" s="91" t="s">
        <v>121</v>
      </c>
      <c r="B108" s="91" t="s">
        <v>298</v>
      </c>
      <c r="C108" s="95">
        <v>2190</v>
      </c>
      <c r="D108" s="95">
        <v>4893</v>
      </c>
      <c r="E108" s="95">
        <v>7083</v>
      </c>
      <c r="F108" s="95">
        <v>57706163</v>
      </c>
      <c r="G108" s="95">
        <v>173190210</v>
      </c>
      <c r="H108" s="95">
        <v>230896373</v>
      </c>
      <c r="I108" s="91" t="s">
        <v>585</v>
      </c>
      <c r="J108" s="91" t="s">
        <v>89</v>
      </c>
      <c r="K108" s="94">
        <v>184291</v>
      </c>
      <c r="L108" s="91" t="s">
        <v>657</v>
      </c>
      <c r="M108" s="2"/>
      <c r="N108" s="2"/>
      <c r="O108" s="4"/>
    </row>
    <row r="109" spans="1:15" x14ac:dyDescent="0.2">
      <c r="A109" s="91" t="s">
        <v>559</v>
      </c>
      <c r="B109" s="91" t="s">
        <v>1086</v>
      </c>
      <c r="C109" s="95">
        <v>1535</v>
      </c>
      <c r="D109" s="95">
        <v>1545</v>
      </c>
      <c r="E109" s="95">
        <v>3080</v>
      </c>
      <c r="F109" s="95">
        <v>62418051</v>
      </c>
      <c r="G109" s="95">
        <v>79808017</v>
      </c>
      <c r="H109" s="95">
        <v>142226067</v>
      </c>
      <c r="I109" s="91" t="s">
        <v>585</v>
      </c>
      <c r="J109" s="91" t="s">
        <v>89</v>
      </c>
      <c r="K109" s="94">
        <v>184416</v>
      </c>
      <c r="L109" s="91" t="s">
        <v>519</v>
      </c>
      <c r="M109" s="2"/>
      <c r="N109" s="2"/>
      <c r="O109" s="4"/>
    </row>
    <row r="110" spans="1:15" x14ac:dyDescent="0.2">
      <c r="A110" s="91" t="s">
        <v>227</v>
      </c>
      <c r="B110" s="91" t="s">
        <v>1080</v>
      </c>
      <c r="C110" s="95">
        <v>160</v>
      </c>
      <c r="D110" s="95">
        <v>117</v>
      </c>
      <c r="E110" s="95">
        <v>277</v>
      </c>
      <c r="F110" s="95">
        <v>16060002</v>
      </c>
      <c r="G110" s="95">
        <v>12739687</v>
      </c>
      <c r="H110" s="95">
        <v>28799689</v>
      </c>
      <c r="I110" s="91" t="s">
        <v>585</v>
      </c>
      <c r="J110" s="91" t="s">
        <v>91</v>
      </c>
      <c r="K110" s="94">
        <v>187898</v>
      </c>
      <c r="L110" s="91" t="s">
        <v>518</v>
      </c>
      <c r="M110" s="2"/>
      <c r="N110" s="2"/>
      <c r="O110" s="4"/>
    </row>
    <row r="111" spans="1:15" x14ac:dyDescent="0.2">
      <c r="A111" s="91" t="s">
        <v>38</v>
      </c>
      <c r="B111" s="91" t="s">
        <v>124</v>
      </c>
      <c r="C111" s="95">
        <v>34</v>
      </c>
      <c r="D111" s="95">
        <v>40</v>
      </c>
      <c r="E111" s="95">
        <v>74</v>
      </c>
      <c r="F111" s="95">
        <v>1221405</v>
      </c>
      <c r="G111" s="95">
        <v>1545707</v>
      </c>
      <c r="H111" s="95">
        <v>2767112</v>
      </c>
      <c r="I111" s="91" t="s">
        <v>485</v>
      </c>
      <c r="J111" s="91" t="s">
        <v>89</v>
      </c>
      <c r="K111" s="94">
        <v>188482</v>
      </c>
      <c r="L111" s="91" t="s">
        <v>597</v>
      </c>
      <c r="M111" s="2"/>
      <c r="N111" s="2"/>
      <c r="O111" s="4"/>
    </row>
    <row r="112" spans="1:15" x14ac:dyDescent="0.2">
      <c r="A112" s="91" t="s">
        <v>368</v>
      </c>
      <c r="B112" s="91" t="s">
        <v>372</v>
      </c>
      <c r="C112" s="95">
        <v>4356</v>
      </c>
      <c r="D112" s="95">
        <v>1920</v>
      </c>
      <c r="E112" s="95">
        <v>6276</v>
      </c>
      <c r="F112" s="95">
        <v>111665459</v>
      </c>
      <c r="G112" s="95">
        <v>66949495</v>
      </c>
      <c r="H112" s="95">
        <v>178614954</v>
      </c>
      <c r="I112" s="91" t="s">
        <v>585</v>
      </c>
      <c r="J112" s="91" t="s">
        <v>90</v>
      </c>
      <c r="K112" s="94">
        <v>188664</v>
      </c>
      <c r="L112" s="91" t="s">
        <v>133</v>
      </c>
      <c r="M112" s="2"/>
      <c r="N112" s="2"/>
      <c r="O112" s="4"/>
    </row>
    <row r="113" spans="1:15" x14ac:dyDescent="0.2">
      <c r="A113" s="91" t="s">
        <v>207</v>
      </c>
      <c r="B113" s="91" t="s">
        <v>148</v>
      </c>
      <c r="C113" s="95">
        <v>596</v>
      </c>
      <c r="D113" s="95">
        <v>690</v>
      </c>
      <c r="E113" s="95">
        <v>1286</v>
      </c>
      <c r="F113" s="95">
        <v>15111636</v>
      </c>
      <c r="G113" s="95">
        <v>21664459</v>
      </c>
      <c r="H113" s="95">
        <v>36776095</v>
      </c>
      <c r="I113" s="91" t="s">
        <v>485</v>
      </c>
      <c r="J113" s="91" t="s">
        <v>89</v>
      </c>
      <c r="K113" s="94">
        <v>189258</v>
      </c>
      <c r="L113" s="91" t="s">
        <v>320</v>
      </c>
      <c r="M113" s="2"/>
      <c r="N113" s="2"/>
      <c r="O113" s="4"/>
    </row>
    <row r="114" spans="1:15" x14ac:dyDescent="0.2">
      <c r="A114" s="91" t="s">
        <v>465</v>
      </c>
      <c r="B114" s="91" t="s">
        <v>699</v>
      </c>
      <c r="C114" s="95">
        <v>317</v>
      </c>
      <c r="D114" s="95">
        <v>348</v>
      </c>
      <c r="E114" s="95">
        <v>665</v>
      </c>
      <c r="F114" s="95">
        <v>10212654</v>
      </c>
      <c r="G114" s="95">
        <v>14942920</v>
      </c>
      <c r="H114" s="95">
        <v>25155574</v>
      </c>
      <c r="I114" s="91" t="s">
        <v>585</v>
      </c>
      <c r="J114" s="91" t="s">
        <v>90</v>
      </c>
      <c r="K114" s="94">
        <v>189662</v>
      </c>
      <c r="L114" s="91" t="s">
        <v>871</v>
      </c>
      <c r="M114" s="2"/>
      <c r="N114" s="2"/>
      <c r="O114" s="4"/>
    </row>
    <row r="115" spans="1:15" x14ac:dyDescent="0.2">
      <c r="A115" s="91" t="s">
        <v>180</v>
      </c>
      <c r="B115" s="91" t="s">
        <v>807</v>
      </c>
      <c r="C115" s="95">
        <v>3</v>
      </c>
      <c r="D115" s="95">
        <v>15</v>
      </c>
      <c r="E115" s="95">
        <v>18</v>
      </c>
      <c r="F115" s="95">
        <v>206351</v>
      </c>
      <c r="G115" s="95">
        <v>497986</v>
      </c>
      <c r="H115" s="95">
        <v>704337</v>
      </c>
      <c r="I115" s="91" t="s">
        <v>585</v>
      </c>
      <c r="J115" s="91" t="s">
        <v>89</v>
      </c>
      <c r="K115" s="94">
        <v>190199</v>
      </c>
      <c r="L115" s="91" t="s">
        <v>987</v>
      </c>
      <c r="M115" s="2"/>
      <c r="N115" s="2"/>
      <c r="O115" s="4"/>
    </row>
    <row r="116" spans="1:15" x14ac:dyDescent="0.2">
      <c r="A116" s="91" t="s">
        <v>121</v>
      </c>
      <c r="B116" s="91" t="s">
        <v>122</v>
      </c>
      <c r="C116" s="95">
        <v>7190</v>
      </c>
      <c r="D116" s="95">
        <v>7147</v>
      </c>
      <c r="E116" s="95">
        <v>14337</v>
      </c>
      <c r="F116" s="95">
        <v>107959855</v>
      </c>
      <c r="G116" s="95">
        <v>146828727</v>
      </c>
      <c r="H116" s="95">
        <v>254788582</v>
      </c>
      <c r="I116" s="91" t="s">
        <v>485</v>
      </c>
      <c r="J116" s="91" t="s">
        <v>89</v>
      </c>
      <c r="K116" s="94">
        <v>191080</v>
      </c>
      <c r="L116" s="91" t="s">
        <v>264</v>
      </c>
      <c r="M116" s="2"/>
      <c r="N116" s="2"/>
      <c r="O116" s="4"/>
    </row>
    <row r="117" spans="1:15" x14ac:dyDescent="0.2">
      <c r="A117" s="91" t="s">
        <v>478</v>
      </c>
      <c r="B117" s="91" t="s">
        <v>938</v>
      </c>
      <c r="C117" s="95">
        <v>7031</v>
      </c>
      <c r="D117" s="95">
        <v>5721</v>
      </c>
      <c r="E117" s="95">
        <v>12752</v>
      </c>
      <c r="F117" s="95">
        <v>192115719</v>
      </c>
      <c r="G117" s="95">
        <v>190567332</v>
      </c>
      <c r="H117" s="95">
        <v>382683051</v>
      </c>
      <c r="I117" s="91" t="s">
        <v>485</v>
      </c>
      <c r="J117" s="91" t="s">
        <v>90</v>
      </c>
      <c r="K117" s="94">
        <v>191437</v>
      </c>
      <c r="L117" s="91" t="s">
        <v>299</v>
      </c>
      <c r="M117" s="2"/>
      <c r="N117" s="2"/>
      <c r="O117" s="4"/>
    </row>
    <row r="118" spans="1:15" x14ac:dyDescent="0.2">
      <c r="A118" s="91" t="s">
        <v>227</v>
      </c>
      <c r="B118" s="91" t="s">
        <v>665</v>
      </c>
      <c r="C118" s="95">
        <v>25</v>
      </c>
      <c r="D118" s="95">
        <v>26</v>
      </c>
      <c r="E118" s="95">
        <v>51</v>
      </c>
      <c r="F118" s="95">
        <v>727125</v>
      </c>
      <c r="G118" s="95">
        <v>1213549</v>
      </c>
      <c r="H118" s="95">
        <v>1940674</v>
      </c>
      <c r="I118" s="91" t="s">
        <v>585</v>
      </c>
      <c r="J118" s="91" t="s">
        <v>91</v>
      </c>
      <c r="K118" s="94">
        <v>191494</v>
      </c>
      <c r="L118" s="91" t="s">
        <v>27</v>
      </c>
      <c r="M118" s="2"/>
      <c r="N118" s="2"/>
      <c r="O118" s="4"/>
    </row>
    <row r="119" spans="1:15" x14ac:dyDescent="0.2">
      <c r="A119" s="91" t="s">
        <v>197</v>
      </c>
      <c r="B119" s="91" t="s">
        <v>707</v>
      </c>
      <c r="C119" s="95">
        <v>3931</v>
      </c>
      <c r="D119" s="95">
        <v>6175</v>
      </c>
      <c r="E119" s="95">
        <v>10106</v>
      </c>
      <c r="F119" s="95">
        <v>149532358</v>
      </c>
      <c r="G119" s="95">
        <v>272577572</v>
      </c>
      <c r="H119" s="95">
        <v>422109930</v>
      </c>
      <c r="I119" s="91" t="s">
        <v>485</v>
      </c>
      <c r="J119" s="91" t="s">
        <v>89</v>
      </c>
      <c r="K119" s="94">
        <v>191676</v>
      </c>
      <c r="L119" s="91" t="s">
        <v>708</v>
      </c>
      <c r="M119" s="2"/>
      <c r="N119" s="2"/>
      <c r="O119" s="4"/>
    </row>
    <row r="120" spans="1:15" x14ac:dyDescent="0.2">
      <c r="A120" s="91" t="s">
        <v>170</v>
      </c>
      <c r="B120" s="91" t="s">
        <v>548</v>
      </c>
      <c r="C120" s="95">
        <v>640</v>
      </c>
      <c r="D120" s="95">
        <v>1237</v>
      </c>
      <c r="E120" s="95">
        <v>1877</v>
      </c>
      <c r="F120" s="95">
        <v>20978157</v>
      </c>
      <c r="G120" s="95">
        <v>48099063</v>
      </c>
      <c r="H120" s="95">
        <v>69077221</v>
      </c>
      <c r="I120" s="91" t="s">
        <v>485</v>
      </c>
      <c r="J120" s="91" t="s">
        <v>89</v>
      </c>
      <c r="K120" s="94">
        <v>192146</v>
      </c>
      <c r="L120" s="91" t="s">
        <v>584</v>
      </c>
      <c r="M120" s="2"/>
      <c r="N120" s="2"/>
      <c r="O120" s="4"/>
    </row>
    <row r="121" spans="1:15" x14ac:dyDescent="0.2">
      <c r="A121" s="91" t="s">
        <v>197</v>
      </c>
      <c r="B121" s="91" t="s">
        <v>199</v>
      </c>
      <c r="C121" s="95">
        <v>17886</v>
      </c>
      <c r="D121" s="95">
        <v>20249</v>
      </c>
      <c r="E121" s="95">
        <v>38135</v>
      </c>
      <c r="F121" s="95">
        <v>540689472</v>
      </c>
      <c r="G121" s="95">
        <v>789487649</v>
      </c>
      <c r="H121" s="95">
        <v>1330177121</v>
      </c>
      <c r="I121" s="91" t="s">
        <v>585</v>
      </c>
      <c r="J121" s="91" t="s">
        <v>89</v>
      </c>
      <c r="K121" s="94">
        <v>194092</v>
      </c>
      <c r="L121" s="91" t="s">
        <v>616</v>
      </c>
      <c r="M121" s="2"/>
      <c r="N121" s="2"/>
      <c r="O121" s="4"/>
    </row>
    <row r="122" spans="1:15" x14ac:dyDescent="0.2">
      <c r="A122" s="91" t="s">
        <v>109</v>
      </c>
      <c r="B122" s="91" t="s">
        <v>422</v>
      </c>
      <c r="C122" s="95">
        <v>431</v>
      </c>
      <c r="D122" s="95">
        <v>546</v>
      </c>
      <c r="E122" s="95">
        <v>977</v>
      </c>
      <c r="F122" s="95">
        <v>12220515</v>
      </c>
      <c r="G122" s="95">
        <v>19158495</v>
      </c>
      <c r="H122" s="95">
        <v>31379010</v>
      </c>
      <c r="I122" s="91" t="s">
        <v>485</v>
      </c>
      <c r="J122" s="91" t="s">
        <v>89</v>
      </c>
      <c r="K122" s="94">
        <v>195271</v>
      </c>
      <c r="L122" s="91" t="s">
        <v>591</v>
      </c>
      <c r="M122" s="2"/>
      <c r="N122" s="2"/>
      <c r="O122" s="4"/>
    </row>
    <row r="123" spans="1:15" x14ac:dyDescent="0.2">
      <c r="A123" s="91" t="s">
        <v>227</v>
      </c>
      <c r="B123" s="91" t="s">
        <v>1027</v>
      </c>
      <c r="C123" s="95">
        <v>1512</v>
      </c>
      <c r="D123" s="95">
        <v>2177</v>
      </c>
      <c r="E123" s="95">
        <v>3689</v>
      </c>
      <c r="F123" s="95">
        <v>153696432</v>
      </c>
      <c r="G123" s="95">
        <v>259083022</v>
      </c>
      <c r="H123" s="95">
        <v>412779455</v>
      </c>
      <c r="I123" s="91" t="s">
        <v>585</v>
      </c>
      <c r="J123" s="91" t="s">
        <v>91</v>
      </c>
      <c r="K123" s="94">
        <v>195628</v>
      </c>
      <c r="L123" s="91" t="s">
        <v>1028</v>
      </c>
      <c r="M123" s="2"/>
      <c r="N123" s="2"/>
      <c r="O123" s="4"/>
    </row>
    <row r="124" spans="1:15" x14ac:dyDescent="0.2">
      <c r="A124" s="91" t="s">
        <v>72</v>
      </c>
      <c r="B124" s="91" t="s">
        <v>243</v>
      </c>
      <c r="C124" s="95">
        <v>785</v>
      </c>
      <c r="D124" s="95">
        <v>773</v>
      </c>
      <c r="E124" s="95">
        <v>1558</v>
      </c>
      <c r="F124" s="95">
        <v>29240028</v>
      </c>
      <c r="G124" s="95">
        <v>35418399</v>
      </c>
      <c r="H124" s="95">
        <v>64658427</v>
      </c>
      <c r="I124" s="91" t="s">
        <v>485</v>
      </c>
      <c r="J124" s="91" t="s">
        <v>89</v>
      </c>
      <c r="K124" s="94">
        <v>197517</v>
      </c>
      <c r="L124" s="91" t="s">
        <v>636</v>
      </c>
      <c r="M124" s="2"/>
      <c r="N124" s="2"/>
      <c r="O124" s="4"/>
    </row>
    <row r="125" spans="1:15" x14ac:dyDescent="0.2">
      <c r="A125" s="91" t="s">
        <v>275</v>
      </c>
      <c r="B125" s="91" t="s">
        <v>458</v>
      </c>
      <c r="C125" s="95">
        <v>808</v>
      </c>
      <c r="D125" s="95">
        <v>1483</v>
      </c>
      <c r="E125" s="95">
        <v>2291</v>
      </c>
      <c r="F125" s="95">
        <v>24493192</v>
      </c>
      <c r="G125" s="95">
        <v>56121905</v>
      </c>
      <c r="H125" s="95">
        <v>80615097</v>
      </c>
      <c r="I125" s="91" t="s">
        <v>485</v>
      </c>
      <c r="J125" s="91" t="s">
        <v>89</v>
      </c>
      <c r="K125" s="94">
        <v>197632</v>
      </c>
      <c r="L125" s="91" t="s">
        <v>636</v>
      </c>
      <c r="M125" s="2"/>
      <c r="N125" s="2"/>
      <c r="O125" s="4"/>
    </row>
    <row r="126" spans="1:15" x14ac:dyDescent="0.2">
      <c r="A126" s="91" t="s">
        <v>109</v>
      </c>
      <c r="B126" s="91" t="s">
        <v>52</v>
      </c>
      <c r="C126" s="95">
        <v>17</v>
      </c>
      <c r="D126" s="95">
        <v>18</v>
      </c>
      <c r="E126" s="95">
        <v>35</v>
      </c>
      <c r="F126" s="95">
        <v>369024</v>
      </c>
      <c r="G126" s="95">
        <v>568904</v>
      </c>
      <c r="H126" s="95">
        <v>937928</v>
      </c>
      <c r="I126" s="91" t="s">
        <v>485</v>
      </c>
      <c r="J126" s="91" t="s">
        <v>89</v>
      </c>
      <c r="K126" s="94">
        <v>199406</v>
      </c>
      <c r="L126" s="91" t="s">
        <v>271</v>
      </c>
      <c r="M126" s="2"/>
      <c r="N126" s="2"/>
      <c r="O126" s="4"/>
    </row>
    <row r="127" spans="1:15" x14ac:dyDescent="0.2">
      <c r="A127" s="91" t="s">
        <v>565</v>
      </c>
      <c r="B127" s="91" t="s">
        <v>874</v>
      </c>
      <c r="C127" s="95">
        <v>107</v>
      </c>
      <c r="D127" s="95">
        <v>117</v>
      </c>
      <c r="E127" s="95">
        <v>224</v>
      </c>
      <c r="F127" s="95">
        <v>4426602</v>
      </c>
      <c r="G127" s="95">
        <v>5961078</v>
      </c>
      <c r="H127" s="95">
        <v>10387681</v>
      </c>
      <c r="I127" s="91" t="s">
        <v>585</v>
      </c>
      <c r="J127" s="91" t="s">
        <v>89</v>
      </c>
      <c r="K127" s="94">
        <v>201111</v>
      </c>
      <c r="L127" s="91" t="s">
        <v>622</v>
      </c>
      <c r="M127" s="2"/>
      <c r="N127" s="2"/>
      <c r="O127" s="4"/>
    </row>
    <row r="128" spans="1:15" x14ac:dyDescent="0.2">
      <c r="A128" s="91" t="s">
        <v>207</v>
      </c>
      <c r="B128" s="91" t="s">
        <v>212</v>
      </c>
      <c r="C128" s="95">
        <v>116</v>
      </c>
      <c r="D128" s="95">
        <v>124</v>
      </c>
      <c r="E128" s="95">
        <v>240</v>
      </c>
      <c r="F128" s="95">
        <v>3100326</v>
      </c>
      <c r="G128" s="95">
        <v>3514014</v>
      </c>
      <c r="H128" s="95">
        <v>6614340</v>
      </c>
      <c r="I128" s="91" t="s">
        <v>485</v>
      </c>
      <c r="J128" s="91" t="s">
        <v>89</v>
      </c>
      <c r="K128" s="94">
        <v>202002</v>
      </c>
      <c r="L128" s="91" t="s">
        <v>36</v>
      </c>
      <c r="M128" s="2"/>
      <c r="N128" s="2"/>
      <c r="O128" s="4"/>
    </row>
    <row r="129" spans="1:15" x14ac:dyDescent="0.2">
      <c r="A129" s="91" t="s">
        <v>469</v>
      </c>
      <c r="B129" s="91" t="s">
        <v>285</v>
      </c>
      <c r="C129" s="95">
        <v>68</v>
      </c>
      <c r="D129" s="95">
        <v>83</v>
      </c>
      <c r="E129" s="95">
        <v>151</v>
      </c>
      <c r="F129" s="95">
        <v>2007852</v>
      </c>
      <c r="G129" s="95">
        <v>3879648</v>
      </c>
      <c r="H129" s="95">
        <v>5887500</v>
      </c>
      <c r="I129" s="91" t="s">
        <v>485</v>
      </c>
      <c r="J129" s="91" t="s">
        <v>90</v>
      </c>
      <c r="K129" s="94">
        <v>203000</v>
      </c>
      <c r="L129" s="91" t="s">
        <v>228</v>
      </c>
      <c r="M129" s="2"/>
      <c r="N129" s="2"/>
      <c r="O129" s="4"/>
    </row>
    <row r="130" spans="1:15" x14ac:dyDescent="0.2">
      <c r="A130" s="91" t="s">
        <v>515</v>
      </c>
      <c r="B130" s="91" t="s">
        <v>756</v>
      </c>
      <c r="C130" s="95">
        <v>13385</v>
      </c>
      <c r="D130" s="95">
        <v>12740</v>
      </c>
      <c r="E130" s="95">
        <v>26125</v>
      </c>
      <c r="F130" s="95">
        <v>422815170</v>
      </c>
      <c r="G130" s="95">
        <v>489453225</v>
      </c>
      <c r="H130" s="95">
        <v>912268395</v>
      </c>
      <c r="I130" s="91" t="s">
        <v>585</v>
      </c>
      <c r="J130" s="91" t="s">
        <v>89</v>
      </c>
      <c r="K130" s="94">
        <v>203067</v>
      </c>
      <c r="L130" s="91" t="s">
        <v>1084</v>
      </c>
      <c r="M130" s="2"/>
      <c r="N130" s="2"/>
      <c r="O130" s="4"/>
    </row>
    <row r="131" spans="1:15" x14ac:dyDescent="0.2">
      <c r="A131" s="91" t="s">
        <v>170</v>
      </c>
      <c r="B131" s="91" t="s">
        <v>273</v>
      </c>
      <c r="C131" s="95">
        <v>445</v>
      </c>
      <c r="D131" s="95">
        <v>612</v>
      </c>
      <c r="E131" s="95">
        <v>1057</v>
      </c>
      <c r="F131" s="95">
        <v>10605252</v>
      </c>
      <c r="G131" s="95">
        <v>19246808</v>
      </c>
      <c r="H131" s="95">
        <v>29852061</v>
      </c>
      <c r="I131" s="91" t="s">
        <v>585</v>
      </c>
      <c r="J131" s="91" t="s">
        <v>89</v>
      </c>
      <c r="K131" s="94">
        <v>203182</v>
      </c>
      <c r="L131" s="91" t="s">
        <v>521</v>
      </c>
      <c r="M131" s="2"/>
      <c r="N131" s="2"/>
      <c r="O131" s="4"/>
    </row>
    <row r="132" spans="1:15" x14ac:dyDescent="0.2">
      <c r="A132" s="91" t="s">
        <v>277</v>
      </c>
      <c r="B132" s="91" t="s">
        <v>791</v>
      </c>
      <c r="C132" s="95">
        <v>1020</v>
      </c>
      <c r="D132" s="95">
        <v>1627</v>
      </c>
      <c r="E132" s="95">
        <v>2647</v>
      </c>
      <c r="F132" s="95">
        <v>23034078</v>
      </c>
      <c r="G132" s="95">
        <v>44489576</v>
      </c>
      <c r="H132" s="95">
        <v>67523654</v>
      </c>
      <c r="I132" s="91" t="s">
        <v>485</v>
      </c>
      <c r="J132" s="91" t="s">
        <v>89</v>
      </c>
      <c r="K132" s="94">
        <v>204891</v>
      </c>
      <c r="L132" s="91" t="s">
        <v>636</v>
      </c>
      <c r="M132" s="2"/>
      <c r="N132" s="2"/>
      <c r="O132" s="4"/>
    </row>
    <row r="133" spans="1:15" x14ac:dyDescent="0.2">
      <c r="A133" s="91" t="s">
        <v>121</v>
      </c>
      <c r="B133" s="91" t="s">
        <v>1067</v>
      </c>
      <c r="C133" s="95">
        <v>992</v>
      </c>
      <c r="D133" s="95">
        <v>1289</v>
      </c>
      <c r="E133" s="95">
        <v>2281</v>
      </c>
      <c r="F133" s="95">
        <v>25726790</v>
      </c>
      <c r="G133" s="95">
        <v>41129239</v>
      </c>
      <c r="H133" s="95">
        <v>66856030</v>
      </c>
      <c r="I133" s="91" t="s">
        <v>585</v>
      </c>
      <c r="J133" s="91" t="s">
        <v>89</v>
      </c>
      <c r="K133" s="94">
        <v>206250</v>
      </c>
      <c r="L133" s="91" t="s">
        <v>1035</v>
      </c>
      <c r="M133" s="2"/>
      <c r="N133" s="2"/>
      <c r="O133" s="4"/>
    </row>
    <row r="134" spans="1:15" x14ac:dyDescent="0.2">
      <c r="A134" s="91" t="s">
        <v>109</v>
      </c>
      <c r="B134" s="91" t="s">
        <v>714</v>
      </c>
      <c r="C134" s="95">
        <v>2366</v>
      </c>
      <c r="D134" s="95">
        <v>3251</v>
      </c>
      <c r="E134" s="95">
        <v>5617</v>
      </c>
      <c r="F134" s="95">
        <v>141495307</v>
      </c>
      <c r="G134" s="95">
        <v>230141696</v>
      </c>
      <c r="H134" s="95">
        <v>371637002</v>
      </c>
      <c r="I134" s="91" t="s">
        <v>585</v>
      </c>
      <c r="J134" s="91" t="s">
        <v>89</v>
      </c>
      <c r="K134" s="94">
        <v>208439</v>
      </c>
      <c r="L134" s="91" t="s">
        <v>569</v>
      </c>
      <c r="M134" s="2"/>
      <c r="N134" s="2"/>
      <c r="O134" s="4"/>
    </row>
    <row r="135" spans="1:15" x14ac:dyDescent="0.2">
      <c r="A135" s="91" t="s">
        <v>170</v>
      </c>
      <c r="B135" s="91" t="s">
        <v>379</v>
      </c>
      <c r="C135" s="95">
        <v>4523</v>
      </c>
      <c r="D135" s="95">
        <v>6050</v>
      </c>
      <c r="E135" s="95">
        <v>10573</v>
      </c>
      <c r="F135" s="95">
        <v>79072923</v>
      </c>
      <c r="G135" s="95">
        <v>137966399</v>
      </c>
      <c r="H135" s="95">
        <v>217039322</v>
      </c>
      <c r="I135" s="91" t="s">
        <v>585</v>
      </c>
      <c r="J135" s="91" t="s">
        <v>89</v>
      </c>
      <c r="K135" s="94">
        <v>211748</v>
      </c>
      <c r="L135" s="91" t="s">
        <v>133</v>
      </c>
      <c r="M135" s="2"/>
      <c r="N135" s="2"/>
      <c r="O135" s="4"/>
    </row>
    <row r="136" spans="1:15" x14ac:dyDescent="0.2">
      <c r="A136" s="91" t="s">
        <v>562</v>
      </c>
      <c r="B136" s="91" t="s">
        <v>558</v>
      </c>
      <c r="C136" s="95">
        <v>45590</v>
      </c>
      <c r="D136" s="95">
        <v>48988</v>
      </c>
      <c r="E136" s="95">
        <v>94578</v>
      </c>
      <c r="F136" s="95">
        <v>1980672413</v>
      </c>
      <c r="G136" s="95">
        <v>2643580124</v>
      </c>
      <c r="H136" s="95">
        <v>4624252538</v>
      </c>
      <c r="I136" s="91" t="s">
        <v>585</v>
      </c>
      <c r="J136" s="91" t="s">
        <v>89</v>
      </c>
      <c r="K136" s="94">
        <v>212332</v>
      </c>
      <c r="L136" s="91" t="s">
        <v>622</v>
      </c>
      <c r="M136" s="2"/>
      <c r="N136" s="2"/>
      <c r="O136" s="4"/>
    </row>
    <row r="137" spans="1:15" x14ac:dyDescent="0.2">
      <c r="A137" s="91" t="s">
        <v>478</v>
      </c>
      <c r="B137" s="91" t="s">
        <v>1036</v>
      </c>
      <c r="C137" s="95">
        <v>6</v>
      </c>
      <c r="D137" s="95">
        <v>8</v>
      </c>
      <c r="E137" s="95">
        <v>14</v>
      </c>
      <c r="F137" s="95">
        <v>134542</v>
      </c>
      <c r="G137" s="95">
        <v>294437</v>
      </c>
      <c r="H137" s="95">
        <v>428979</v>
      </c>
      <c r="I137" s="91" t="s">
        <v>585</v>
      </c>
      <c r="J137" s="91" t="s">
        <v>90</v>
      </c>
      <c r="K137" s="94">
        <v>212621</v>
      </c>
      <c r="L137" s="91" t="s">
        <v>1035</v>
      </c>
      <c r="M137" s="2"/>
      <c r="N137" s="2"/>
      <c r="O137" s="4"/>
    </row>
    <row r="138" spans="1:15" x14ac:dyDescent="0.2">
      <c r="A138" s="91" t="s">
        <v>368</v>
      </c>
      <c r="B138" s="91" t="s">
        <v>283</v>
      </c>
      <c r="C138" s="95">
        <v>917</v>
      </c>
      <c r="D138" s="95">
        <v>1012</v>
      </c>
      <c r="E138" s="95">
        <v>1929</v>
      </c>
      <c r="F138" s="95">
        <v>39204429</v>
      </c>
      <c r="G138" s="95">
        <v>58461528</v>
      </c>
      <c r="H138" s="95">
        <v>97665957</v>
      </c>
      <c r="I138" s="91" t="s">
        <v>585</v>
      </c>
      <c r="J138" s="91" t="s">
        <v>90</v>
      </c>
      <c r="K138" s="94">
        <v>214163</v>
      </c>
      <c r="L138" s="91" t="s">
        <v>657</v>
      </c>
      <c r="M138" s="2"/>
      <c r="N138" s="2"/>
      <c r="O138" s="4"/>
    </row>
    <row r="139" spans="1:15" x14ac:dyDescent="0.2">
      <c r="A139" s="91" t="s">
        <v>353</v>
      </c>
      <c r="B139" s="91" t="s">
        <v>841</v>
      </c>
      <c r="C139" s="95">
        <v>23401</v>
      </c>
      <c r="D139" s="95">
        <v>21076</v>
      </c>
      <c r="E139" s="95">
        <v>44477</v>
      </c>
      <c r="F139" s="95">
        <v>1108761170</v>
      </c>
      <c r="G139" s="95">
        <v>1222139464</v>
      </c>
      <c r="H139" s="95">
        <v>2330900634</v>
      </c>
      <c r="I139" s="91" t="s">
        <v>585</v>
      </c>
      <c r="J139" s="91" t="s">
        <v>92</v>
      </c>
      <c r="K139" s="94">
        <v>215996</v>
      </c>
      <c r="L139" s="91" t="s">
        <v>1084</v>
      </c>
      <c r="M139" s="2"/>
      <c r="N139" s="2"/>
      <c r="O139" s="4"/>
    </row>
    <row r="140" spans="1:15" x14ac:dyDescent="0.2">
      <c r="A140" s="91" t="s">
        <v>109</v>
      </c>
      <c r="B140" s="91" t="s">
        <v>57</v>
      </c>
      <c r="C140" s="95">
        <v>10</v>
      </c>
      <c r="D140" s="95">
        <v>3</v>
      </c>
      <c r="E140" s="95">
        <v>13</v>
      </c>
      <c r="F140" s="95">
        <v>380376</v>
      </c>
      <c r="G140" s="95">
        <v>108735</v>
      </c>
      <c r="H140" s="95">
        <v>489111</v>
      </c>
      <c r="I140" s="91" t="s">
        <v>485</v>
      </c>
      <c r="J140" s="91" t="s">
        <v>89</v>
      </c>
      <c r="K140" s="94">
        <v>216408</v>
      </c>
      <c r="L140" s="91" t="s">
        <v>46</v>
      </c>
      <c r="M140" s="2"/>
      <c r="N140" s="2"/>
      <c r="O140" s="4"/>
    </row>
    <row r="141" spans="1:15" x14ac:dyDescent="0.2">
      <c r="A141" s="91" t="s">
        <v>170</v>
      </c>
      <c r="B141" s="91" t="s">
        <v>884</v>
      </c>
      <c r="C141" s="95">
        <v>985</v>
      </c>
      <c r="D141" s="95">
        <v>1177</v>
      </c>
      <c r="E141" s="95">
        <v>2162</v>
      </c>
      <c r="F141" s="95">
        <v>16075744</v>
      </c>
      <c r="G141" s="95">
        <v>25855601</v>
      </c>
      <c r="H141" s="95">
        <v>41931345</v>
      </c>
      <c r="I141" s="91" t="s">
        <v>485</v>
      </c>
      <c r="J141" s="91" t="s">
        <v>89</v>
      </c>
      <c r="K141" s="94">
        <v>218115</v>
      </c>
      <c r="L141" s="91" t="s">
        <v>1084</v>
      </c>
      <c r="M141" s="2"/>
      <c r="N141" s="2"/>
      <c r="O141" s="4"/>
    </row>
    <row r="142" spans="1:15" x14ac:dyDescent="0.2">
      <c r="A142" s="91" t="s">
        <v>580</v>
      </c>
      <c r="B142" s="91" t="s">
        <v>76</v>
      </c>
      <c r="C142" s="95">
        <v>530</v>
      </c>
      <c r="D142" s="95">
        <v>667</v>
      </c>
      <c r="E142" s="95">
        <v>1197</v>
      </c>
      <c r="F142" s="95">
        <v>17240211</v>
      </c>
      <c r="G142" s="95">
        <v>26953176</v>
      </c>
      <c r="H142" s="95">
        <v>44193387</v>
      </c>
      <c r="I142" s="91" t="s">
        <v>485</v>
      </c>
      <c r="J142" s="91" t="s">
        <v>89</v>
      </c>
      <c r="K142" s="94">
        <v>219006</v>
      </c>
      <c r="L142" s="91" t="s">
        <v>586</v>
      </c>
      <c r="M142" s="2"/>
      <c r="N142" s="2"/>
      <c r="O142" s="4"/>
    </row>
    <row r="143" spans="1:15" x14ac:dyDescent="0.2">
      <c r="A143" s="91" t="s">
        <v>180</v>
      </c>
      <c r="B143" s="91" t="s">
        <v>102</v>
      </c>
      <c r="C143" s="95">
        <v>1028</v>
      </c>
      <c r="D143" s="95">
        <v>1591</v>
      </c>
      <c r="E143" s="95">
        <v>2619</v>
      </c>
      <c r="F143" s="95">
        <v>29873862</v>
      </c>
      <c r="G143" s="95">
        <v>59065029</v>
      </c>
      <c r="H143" s="95">
        <v>88938891</v>
      </c>
      <c r="I143" s="91" t="s">
        <v>485</v>
      </c>
      <c r="J143" s="91" t="s">
        <v>89</v>
      </c>
      <c r="K143" s="94">
        <v>220186</v>
      </c>
      <c r="L143" s="91" t="s">
        <v>334</v>
      </c>
      <c r="M143" s="2"/>
      <c r="N143" s="2"/>
      <c r="O143" s="4"/>
    </row>
    <row r="144" spans="1:15" x14ac:dyDescent="0.2">
      <c r="A144" s="91" t="s">
        <v>515</v>
      </c>
      <c r="B144" s="91" t="s">
        <v>520</v>
      </c>
      <c r="C144" s="95">
        <v>10407</v>
      </c>
      <c r="D144" s="95">
        <v>11445</v>
      </c>
      <c r="E144" s="95">
        <v>21852</v>
      </c>
      <c r="F144" s="95">
        <v>484892215</v>
      </c>
      <c r="G144" s="95">
        <v>649248214</v>
      </c>
      <c r="H144" s="95">
        <v>1134140429</v>
      </c>
      <c r="I144" s="91" t="s">
        <v>585</v>
      </c>
      <c r="J144" s="91" t="s">
        <v>89</v>
      </c>
      <c r="K144" s="94">
        <v>220244</v>
      </c>
      <c r="L144" s="91" t="s">
        <v>519</v>
      </c>
      <c r="M144" s="2"/>
      <c r="N144" s="2"/>
      <c r="O144" s="4"/>
    </row>
    <row r="145" spans="1:15" x14ac:dyDescent="0.2">
      <c r="A145" s="91" t="s">
        <v>38</v>
      </c>
      <c r="B145" s="91" t="s">
        <v>50</v>
      </c>
      <c r="C145" s="95">
        <v>101</v>
      </c>
      <c r="D145" s="95">
        <v>146</v>
      </c>
      <c r="E145" s="95">
        <v>247</v>
      </c>
      <c r="F145" s="95">
        <v>2381920</v>
      </c>
      <c r="G145" s="95">
        <v>4202817</v>
      </c>
      <c r="H145" s="95">
        <v>6584737</v>
      </c>
      <c r="I145" s="91" t="s">
        <v>485</v>
      </c>
      <c r="J145" s="91" t="s">
        <v>89</v>
      </c>
      <c r="K145" s="94">
        <v>222661</v>
      </c>
      <c r="L145" s="91" t="s">
        <v>590</v>
      </c>
      <c r="M145" s="2"/>
      <c r="N145" s="2"/>
      <c r="O145" s="4"/>
    </row>
    <row r="146" spans="1:15" x14ac:dyDescent="0.2">
      <c r="A146" s="91" t="s">
        <v>109</v>
      </c>
      <c r="B146" s="91" t="s">
        <v>603</v>
      </c>
      <c r="C146" s="95">
        <v>26</v>
      </c>
      <c r="D146" s="95">
        <v>25</v>
      </c>
      <c r="E146" s="95">
        <v>51</v>
      </c>
      <c r="F146" s="95">
        <v>870580</v>
      </c>
      <c r="G146" s="95">
        <v>588208</v>
      </c>
      <c r="H146" s="95">
        <v>1458788</v>
      </c>
      <c r="I146" s="91" t="s">
        <v>485</v>
      </c>
      <c r="J146" s="91" t="s">
        <v>89</v>
      </c>
      <c r="K146" s="94">
        <v>224311</v>
      </c>
      <c r="L146" s="91" t="s">
        <v>597</v>
      </c>
      <c r="M146" s="2"/>
      <c r="N146" s="2"/>
      <c r="O146" s="4"/>
    </row>
    <row r="147" spans="1:15" x14ac:dyDescent="0.2">
      <c r="A147" s="91" t="s">
        <v>219</v>
      </c>
      <c r="B147" s="91" t="s">
        <v>225</v>
      </c>
      <c r="C147" s="95">
        <v>12261</v>
      </c>
      <c r="D147" s="95">
        <v>4879</v>
      </c>
      <c r="E147" s="95">
        <v>17140</v>
      </c>
      <c r="F147" s="95">
        <v>440732460</v>
      </c>
      <c r="G147" s="95">
        <v>193917178</v>
      </c>
      <c r="H147" s="95">
        <v>634649638</v>
      </c>
      <c r="I147" s="91" t="s">
        <v>585</v>
      </c>
      <c r="J147" s="91" t="s">
        <v>91</v>
      </c>
      <c r="K147" s="94">
        <v>224493</v>
      </c>
      <c r="L147" s="91" t="s">
        <v>133</v>
      </c>
      <c r="M147" s="2"/>
      <c r="N147" s="2"/>
      <c r="O147" s="4"/>
    </row>
    <row r="148" spans="1:15" x14ac:dyDescent="0.2">
      <c r="A148" s="91" t="s">
        <v>207</v>
      </c>
      <c r="B148" s="91" t="s">
        <v>709</v>
      </c>
      <c r="C148" s="95">
        <v>318</v>
      </c>
      <c r="D148" s="95">
        <v>512</v>
      </c>
      <c r="E148" s="95">
        <v>830</v>
      </c>
      <c r="F148" s="95">
        <v>8147804</v>
      </c>
      <c r="G148" s="95">
        <v>15901572</v>
      </c>
      <c r="H148" s="95">
        <v>24049377</v>
      </c>
      <c r="I148" s="91" t="s">
        <v>485</v>
      </c>
      <c r="J148" s="91" t="s">
        <v>89</v>
      </c>
      <c r="K148" s="94">
        <v>225490</v>
      </c>
      <c r="L148" s="91" t="s">
        <v>697</v>
      </c>
      <c r="M148" s="2"/>
      <c r="N148" s="2"/>
      <c r="O148" s="4"/>
    </row>
    <row r="149" spans="1:15" x14ac:dyDescent="0.2">
      <c r="A149" s="91" t="s">
        <v>278</v>
      </c>
      <c r="B149" s="91" t="s">
        <v>814</v>
      </c>
      <c r="C149" s="95">
        <v>111</v>
      </c>
      <c r="D149" s="95">
        <v>265</v>
      </c>
      <c r="E149" s="95">
        <v>376</v>
      </c>
      <c r="F149" s="95">
        <v>2864919</v>
      </c>
      <c r="G149" s="95">
        <v>10482285</v>
      </c>
      <c r="H149" s="95">
        <v>13347204</v>
      </c>
      <c r="I149" s="91" t="s">
        <v>585</v>
      </c>
      <c r="J149" s="91" t="s">
        <v>89</v>
      </c>
      <c r="K149" s="94">
        <v>226027</v>
      </c>
      <c r="L149" s="91" t="s">
        <v>987</v>
      </c>
      <c r="M149" s="2"/>
      <c r="N149" s="2"/>
      <c r="O149" s="4"/>
    </row>
    <row r="150" spans="1:15" x14ac:dyDescent="0.2">
      <c r="A150" s="91" t="s">
        <v>478</v>
      </c>
      <c r="B150" s="91" t="s">
        <v>1089</v>
      </c>
      <c r="C150" s="95">
        <v>130</v>
      </c>
      <c r="D150" s="95">
        <v>147</v>
      </c>
      <c r="E150" s="95">
        <v>277</v>
      </c>
      <c r="F150" s="95">
        <v>3385721</v>
      </c>
      <c r="G150" s="95">
        <v>4685327</v>
      </c>
      <c r="H150" s="95">
        <v>8071048</v>
      </c>
      <c r="I150" s="91" t="s">
        <v>485</v>
      </c>
      <c r="J150" s="91" t="s">
        <v>90</v>
      </c>
      <c r="K150" s="94">
        <v>229625</v>
      </c>
      <c r="L150" s="91" t="s">
        <v>596</v>
      </c>
      <c r="M150" s="2"/>
      <c r="N150" s="2"/>
      <c r="O150" s="4"/>
    </row>
    <row r="151" spans="1:15" x14ac:dyDescent="0.2">
      <c r="A151" s="91" t="s">
        <v>109</v>
      </c>
      <c r="B151" s="91" t="s">
        <v>747</v>
      </c>
      <c r="C151" s="95">
        <v>990</v>
      </c>
      <c r="D151" s="95">
        <v>1236</v>
      </c>
      <c r="E151" s="95">
        <v>2226</v>
      </c>
      <c r="F151" s="95">
        <v>36125920</v>
      </c>
      <c r="G151" s="95">
        <v>58752415</v>
      </c>
      <c r="H151" s="95">
        <v>94878335</v>
      </c>
      <c r="I151" s="91" t="s">
        <v>585</v>
      </c>
      <c r="J151" s="91" t="s">
        <v>89</v>
      </c>
      <c r="K151" s="94">
        <v>229682</v>
      </c>
      <c r="L151" s="91" t="s">
        <v>633</v>
      </c>
      <c r="M151" s="2"/>
      <c r="N151" s="2"/>
      <c r="O151" s="4"/>
    </row>
    <row r="152" spans="1:15" x14ac:dyDescent="0.2">
      <c r="A152" s="91" t="s">
        <v>202</v>
      </c>
      <c r="B152" s="91" t="s">
        <v>205</v>
      </c>
      <c r="C152" s="95">
        <v>38799</v>
      </c>
      <c r="D152" s="95">
        <v>38380</v>
      </c>
      <c r="E152" s="95">
        <v>77179</v>
      </c>
      <c r="F152" s="95">
        <v>1420008373</v>
      </c>
      <c r="G152" s="95">
        <v>1739528588</v>
      </c>
      <c r="H152" s="95">
        <v>3159536961</v>
      </c>
      <c r="I152" s="91" t="s">
        <v>585</v>
      </c>
      <c r="J152" s="91" t="s">
        <v>89</v>
      </c>
      <c r="K152" s="94">
        <v>229922</v>
      </c>
      <c r="L152" s="91" t="s">
        <v>616</v>
      </c>
      <c r="M152" s="2"/>
      <c r="N152" s="2"/>
      <c r="O152" s="4"/>
    </row>
    <row r="153" spans="1:15" x14ac:dyDescent="0.2">
      <c r="A153" s="91" t="s">
        <v>121</v>
      </c>
      <c r="B153" s="91" t="s">
        <v>423</v>
      </c>
      <c r="C153" s="95">
        <v>352</v>
      </c>
      <c r="D153" s="95">
        <v>523</v>
      </c>
      <c r="E153" s="95">
        <v>875</v>
      </c>
      <c r="F153" s="95">
        <v>8077757</v>
      </c>
      <c r="G153" s="95">
        <v>16028955</v>
      </c>
      <c r="H153" s="95">
        <v>24106713</v>
      </c>
      <c r="I153" s="91" t="s">
        <v>485</v>
      </c>
      <c r="J153" s="91" t="s">
        <v>89</v>
      </c>
      <c r="K153" s="94">
        <v>231100</v>
      </c>
      <c r="L153" s="91" t="s">
        <v>591</v>
      </c>
      <c r="M153" s="2"/>
      <c r="N153" s="2"/>
      <c r="O153" s="4"/>
    </row>
    <row r="154" spans="1:15" x14ac:dyDescent="0.2">
      <c r="A154" s="91" t="s">
        <v>121</v>
      </c>
      <c r="B154" s="91" t="s">
        <v>452</v>
      </c>
      <c r="C154" s="95">
        <v>1007</v>
      </c>
      <c r="D154" s="95">
        <v>1620</v>
      </c>
      <c r="E154" s="95">
        <v>2627</v>
      </c>
      <c r="F154" s="95">
        <v>24962556</v>
      </c>
      <c r="G154" s="95">
        <v>47352387</v>
      </c>
      <c r="H154" s="95">
        <v>72314943</v>
      </c>
      <c r="I154" s="91" t="s">
        <v>485</v>
      </c>
      <c r="J154" s="91" t="s">
        <v>89</v>
      </c>
      <c r="K154" s="94">
        <v>232991</v>
      </c>
      <c r="L154" s="91" t="s">
        <v>324</v>
      </c>
      <c r="M154" s="2"/>
      <c r="N154" s="2"/>
      <c r="O154" s="4"/>
    </row>
    <row r="155" spans="1:15" x14ac:dyDescent="0.2">
      <c r="A155" s="91" t="s">
        <v>207</v>
      </c>
      <c r="B155" s="91" t="s">
        <v>244</v>
      </c>
      <c r="C155" s="95">
        <v>107</v>
      </c>
      <c r="D155" s="95">
        <v>195</v>
      </c>
      <c r="E155" s="95">
        <v>302</v>
      </c>
      <c r="F155" s="95">
        <v>3939952</v>
      </c>
      <c r="G155" s="95">
        <v>7851983</v>
      </c>
      <c r="H155" s="95">
        <v>11791935</v>
      </c>
      <c r="I155" s="91" t="s">
        <v>485</v>
      </c>
      <c r="J155" s="91" t="s">
        <v>89</v>
      </c>
      <c r="K155" s="94">
        <v>233346</v>
      </c>
      <c r="L155" s="91" t="s">
        <v>636</v>
      </c>
      <c r="M155" s="2"/>
      <c r="N155" s="2"/>
      <c r="O155" s="4"/>
    </row>
    <row r="156" spans="1:15" x14ac:dyDescent="0.2">
      <c r="A156" s="91" t="s">
        <v>180</v>
      </c>
      <c r="B156" s="91" t="s">
        <v>456</v>
      </c>
      <c r="C156" s="95">
        <v>626</v>
      </c>
      <c r="D156" s="95">
        <v>1110</v>
      </c>
      <c r="E156" s="95">
        <v>1736</v>
      </c>
      <c r="F156" s="95">
        <v>19663040</v>
      </c>
      <c r="G156" s="95">
        <v>44195956</v>
      </c>
      <c r="H156" s="95">
        <v>63858996</v>
      </c>
      <c r="I156" s="91" t="s">
        <v>485</v>
      </c>
      <c r="J156" s="91" t="s">
        <v>89</v>
      </c>
      <c r="K156" s="94">
        <v>233460</v>
      </c>
      <c r="L156" s="91" t="s">
        <v>636</v>
      </c>
      <c r="M156" s="2"/>
      <c r="N156" s="2"/>
      <c r="O156" s="4"/>
    </row>
    <row r="157" spans="1:15" x14ac:dyDescent="0.2">
      <c r="A157" s="91" t="s">
        <v>275</v>
      </c>
      <c r="B157" s="91" t="s">
        <v>983</v>
      </c>
      <c r="C157" s="95">
        <v>4071</v>
      </c>
      <c r="D157" s="95">
        <v>6233</v>
      </c>
      <c r="E157" s="95">
        <v>10304</v>
      </c>
      <c r="F157" s="95">
        <v>122736986</v>
      </c>
      <c r="G157" s="95">
        <v>242344667</v>
      </c>
      <c r="H157" s="95">
        <v>365081653</v>
      </c>
      <c r="I157" s="91" t="s">
        <v>485</v>
      </c>
      <c r="J157" s="91" t="s">
        <v>89</v>
      </c>
      <c r="K157" s="94">
        <v>233585</v>
      </c>
      <c r="L157" s="91" t="s">
        <v>610</v>
      </c>
      <c r="M157" s="2"/>
      <c r="N157" s="2"/>
      <c r="O157" s="4"/>
    </row>
    <row r="158" spans="1:15" x14ac:dyDescent="0.2">
      <c r="A158" s="91" t="s">
        <v>227</v>
      </c>
      <c r="B158" s="91" t="s">
        <v>53</v>
      </c>
      <c r="C158" s="95">
        <v>27</v>
      </c>
      <c r="D158" s="95">
        <v>30</v>
      </c>
      <c r="E158" s="95">
        <v>57</v>
      </c>
      <c r="F158" s="95">
        <v>1007439</v>
      </c>
      <c r="G158" s="95">
        <v>1332536</v>
      </c>
      <c r="H158" s="95">
        <v>2339975</v>
      </c>
      <c r="I158" s="91" t="s">
        <v>485</v>
      </c>
      <c r="J158" s="91" t="s">
        <v>91</v>
      </c>
      <c r="K158" s="94">
        <v>235234</v>
      </c>
      <c r="L158" s="91" t="s">
        <v>271</v>
      </c>
      <c r="M158" s="2"/>
      <c r="N158" s="2"/>
      <c r="O158" s="4"/>
    </row>
    <row r="159" spans="1:15" x14ac:dyDescent="0.2">
      <c r="A159" s="91" t="s">
        <v>277</v>
      </c>
      <c r="B159" s="91" t="s">
        <v>474</v>
      </c>
      <c r="C159" s="95">
        <v>1389</v>
      </c>
      <c r="D159" s="95">
        <v>1976</v>
      </c>
      <c r="E159" s="95">
        <v>3365</v>
      </c>
      <c r="F159" s="95">
        <v>31974187</v>
      </c>
      <c r="G159" s="95">
        <v>57348741</v>
      </c>
      <c r="H159" s="95">
        <v>89322927</v>
      </c>
      <c r="I159" s="91" t="s">
        <v>485</v>
      </c>
      <c r="J159" s="91" t="s">
        <v>89</v>
      </c>
      <c r="K159" s="94">
        <v>235291</v>
      </c>
      <c r="L159" s="91" t="s">
        <v>264</v>
      </c>
      <c r="M159" s="2"/>
      <c r="N159" s="2"/>
      <c r="O159" s="4"/>
    </row>
    <row r="160" spans="1:15" x14ac:dyDescent="0.2">
      <c r="A160" s="91" t="s">
        <v>109</v>
      </c>
      <c r="B160" s="91" t="s">
        <v>766</v>
      </c>
      <c r="C160" s="95">
        <v>2021</v>
      </c>
      <c r="D160" s="95">
        <v>2594</v>
      </c>
      <c r="E160" s="95">
        <v>4615</v>
      </c>
      <c r="F160" s="95">
        <v>222068135</v>
      </c>
      <c r="G160" s="95">
        <v>334528872</v>
      </c>
      <c r="H160" s="95">
        <v>556597007</v>
      </c>
      <c r="I160" s="91" t="s">
        <v>485</v>
      </c>
      <c r="J160" s="91" t="s">
        <v>89</v>
      </c>
      <c r="K160" s="94">
        <v>237008</v>
      </c>
      <c r="L160" s="91" t="s">
        <v>336</v>
      </c>
      <c r="M160" s="2"/>
      <c r="N160" s="2"/>
      <c r="O160" s="4"/>
    </row>
    <row r="161" spans="1:15" x14ac:dyDescent="0.2">
      <c r="A161" s="91" t="s">
        <v>580</v>
      </c>
      <c r="B161" s="91" t="s">
        <v>37</v>
      </c>
      <c r="C161" s="95">
        <v>542</v>
      </c>
      <c r="D161" s="95">
        <v>702</v>
      </c>
      <c r="E161" s="95">
        <v>1244</v>
      </c>
      <c r="F161" s="95">
        <v>18113083</v>
      </c>
      <c r="G161" s="95">
        <v>28943920</v>
      </c>
      <c r="H161" s="95">
        <v>47057003</v>
      </c>
      <c r="I161" s="91" t="s">
        <v>485</v>
      </c>
      <c r="J161" s="91" t="s">
        <v>89</v>
      </c>
      <c r="K161" s="94">
        <v>237834</v>
      </c>
      <c r="L161" s="91" t="s">
        <v>36</v>
      </c>
      <c r="M161" s="2"/>
      <c r="N161" s="2"/>
      <c r="O161" s="4"/>
    </row>
    <row r="162" spans="1:15" x14ac:dyDescent="0.2">
      <c r="A162" s="91" t="s">
        <v>38</v>
      </c>
      <c r="B162" s="91" t="s">
        <v>236</v>
      </c>
      <c r="C162" s="95">
        <v>43</v>
      </c>
      <c r="D162" s="95">
        <v>56</v>
      </c>
      <c r="E162" s="95">
        <v>99</v>
      </c>
      <c r="F162" s="95">
        <v>1198811</v>
      </c>
      <c r="G162" s="95">
        <v>1873342</v>
      </c>
      <c r="H162" s="95">
        <v>3072154</v>
      </c>
      <c r="I162" s="91" t="s">
        <v>485</v>
      </c>
      <c r="J162" s="91" t="s">
        <v>89</v>
      </c>
      <c r="K162" s="94">
        <v>238832</v>
      </c>
      <c r="L162" s="91" t="s">
        <v>228</v>
      </c>
      <c r="M162" s="2"/>
      <c r="N162" s="2"/>
      <c r="O162" s="4"/>
    </row>
    <row r="163" spans="1:15" x14ac:dyDescent="0.2">
      <c r="A163" s="91" t="s">
        <v>227</v>
      </c>
      <c r="B163" s="91" t="s">
        <v>13</v>
      </c>
      <c r="C163" s="95">
        <v>1302</v>
      </c>
      <c r="D163" s="95">
        <v>1291</v>
      </c>
      <c r="E163" s="95">
        <v>2593</v>
      </c>
      <c r="F163" s="95">
        <v>33993046</v>
      </c>
      <c r="G163" s="95">
        <v>43269358</v>
      </c>
      <c r="H163" s="95">
        <v>77262404</v>
      </c>
      <c r="I163" s="91" t="s">
        <v>485</v>
      </c>
      <c r="J163" s="91" t="s">
        <v>91</v>
      </c>
      <c r="K163" s="94">
        <v>240663</v>
      </c>
      <c r="L163" s="91" t="s">
        <v>14</v>
      </c>
      <c r="M163" s="2"/>
      <c r="N163" s="2"/>
      <c r="O163" s="4"/>
    </row>
    <row r="164" spans="1:15" x14ac:dyDescent="0.2">
      <c r="A164" s="91" t="s">
        <v>38</v>
      </c>
      <c r="B164" s="91" t="s">
        <v>1061</v>
      </c>
      <c r="C164" s="95">
        <v>1691</v>
      </c>
      <c r="D164" s="95">
        <v>1898</v>
      </c>
      <c r="E164" s="95">
        <v>3589</v>
      </c>
      <c r="F164" s="95">
        <v>43160176</v>
      </c>
      <c r="G164" s="95">
        <v>57733623</v>
      </c>
      <c r="H164" s="95">
        <v>100893799</v>
      </c>
      <c r="I164" s="91" t="s">
        <v>485</v>
      </c>
      <c r="J164" s="91" t="s">
        <v>89</v>
      </c>
      <c r="K164" s="94">
        <v>241497</v>
      </c>
      <c r="L164" s="91" t="s">
        <v>594</v>
      </c>
      <c r="M164" s="2"/>
      <c r="N164" s="2"/>
      <c r="O164" s="4"/>
    </row>
    <row r="165" spans="1:15" x14ac:dyDescent="0.2">
      <c r="A165" s="91" t="s">
        <v>412</v>
      </c>
      <c r="B165" s="91" t="s">
        <v>893</v>
      </c>
      <c r="C165" s="95">
        <v>2883</v>
      </c>
      <c r="D165" s="95">
        <v>2429</v>
      </c>
      <c r="E165" s="95">
        <v>5312</v>
      </c>
      <c r="F165" s="95">
        <v>86874903</v>
      </c>
      <c r="G165" s="95">
        <v>91519072</v>
      </c>
      <c r="H165" s="95">
        <v>178393975</v>
      </c>
      <c r="I165" s="91" t="s">
        <v>585</v>
      </c>
      <c r="J165" s="91" t="s">
        <v>90</v>
      </c>
      <c r="K165" s="94">
        <v>242081</v>
      </c>
      <c r="L165" s="91" t="s">
        <v>1035</v>
      </c>
      <c r="M165" s="2"/>
      <c r="N165" s="2"/>
      <c r="O165" s="4"/>
    </row>
    <row r="166" spans="1:15" x14ac:dyDescent="0.2">
      <c r="A166" s="91" t="s">
        <v>580</v>
      </c>
      <c r="B166" s="91" t="s">
        <v>702</v>
      </c>
      <c r="C166" s="95">
        <v>366</v>
      </c>
      <c r="D166" s="95">
        <v>530</v>
      </c>
      <c r="E166" s="95">
        <v>896</v>
      </c>
      <c r="F166" s="95">
        <v>12036715</v>
      </c>
      <c r="G166" s="95">
        <v>19314497</v>
      </c>
      <c r="H166" s="95">
        <v>31351212</v>
      </c>
      <c r="I166" s="91" t="s">
        <v>485</v>
      </c>
      <c r="J166" s="91" t="s">
        <v>89</v>
      </c>
      <c r="K166" s="94">
        <v>242495</v>
      </c>
      <c r="L166" s="91" t="s">
        <v>697</v>
      </c>
      <c r="M166" s="2"/>
      <c r="N166" s="2"/>
      <c r="O166" s="4"/>
    </row>
    <row r="167" spans="1:15" x14ac:dyDescent="0.2">
      <c r="A167" s="91" t="s">
        <v>353</v>
      </c>
      <c r="B167" s="91" t="s">
        <v>830</v>
      </c>
      <c r="C167" s="95">
        <v>2616</v>
      </c>
      <c r="D167" s="95">
        <v>2531</v>
      </c>
      <c r="E167" s="95">
        <v>5147</v>
      </c>
      <c r="F167" s="95">
        <v>125730302</v>
      </c>
      <c r="G167" s="95">
        <v>141122860</v>
      </c>
      <c r="H167" s="95">
        <v>266853162</v>
      </c>
      <c r="I167" s="91" t="s">
        <v>485</v>
      </c>
      <c r="J167" s="91" t="s">
        <v>92</v>
      </c>
      <c r="K167" s="94">
        <v>243022</v>
      </c>
      <c r="L167" s="91" t="s">
        <v>826</v>
      </c>
      <c r="M167" s="2"/>
      <c r="N167" s="2"/>
      <c r="O167" s="4"/>
    </row>
    <row r="168" spans="1:15" x14ac:dyDescent="0.2">
      <c r="A168" s="91" t="s">
        <v>275</v>
      </c>
      <c r="B168" s="91" t="s">
        <v>32</v>
      </c>
      <c r="C168" s="95">
        <v>180</v>
      </c>
      <c r="D168" s="95">
        <v>281</v>
      </c>
      <c r="E168" s="95">
        <v>461</v>
      </c>
      <c r="F168" s="95">
        <v>4765957</v>
      </c>
      <c r="G168" s="95">
        <v>10020088</v>
      </c>
      <c r="H168" s="95">
        <v>14786045</v>
      </c>
      <c r="I168" s="91" t="s">
        <v>485</v>
      </c>
      <c r="J168" s="91" t="s">
        <v>89</v>
      </c>
      <c r="K168" s="94">
        <v>246868</v>
      </c>
      <c r="L168" s="91" t="s">
        <v>324</v>
      </c>
      <c r="M168" s="2"/>
      <c r="N168" s="2"/>
      <c r="O168" s="4"/>
    </row>
    <row r="169" spans="1:15" x14ac:dyDescent="0.2">
      <c r="A169" s="91" t="s">
        <v>72</v>
      </c>
      <c r="B169" s="91" t="s">
        <v>733</v>
      </c>
      <c r="C169" s="95">
        <v>22027</v>
      </c>
      <c r="D169" s="95">
        <v>27319</v>
      </c>
      <c r="E169" s="95">
        <v>49346</v>
      </c>
      <c r="F169" s="95">
        <v>700723648</v>
      </c>
      <c r="G169" s="95">
        <v>1061456589</v>
      </c>
      <c r="H169" s="95">
        <v>1762180237</v>
      </c>
      <c r="I169" s="91" t="s">
        <v>585</v>
      </c>
      <c r="J169" s="91" t="s">
        <v>89</v>
      </c>
      <c r="K169" s="94">
        <v>248161</v>
      </c>
      <c r="L169" s="91" t="s">
        <v>622</v>
      </c>
      <c r="M169" s="2"/>
      <c r="N169" s="2"/>
      <c r="O169" s="4"/>
    </row>
    <row r="170" spans="1:15" x14ac:dyDescent="0.2">
      <c r="A170" s="91" t="s">
        <v>276</v>
      </c>
      <c r="B170" s="91" t="s">
        <v>300</v>
      </c>
      <c r="C170" s="95">
        <v>21014</v>
      </c>
      <c r="D170" s="95">
        <v>32023</v>
      </c>
      <c r="E170" s="95">
        <v>53037</v>
      </c>
      <c r="F170" s="95">
        <v>753238642</v>
      </c>
      <c r="G170" s="95">
        <v>1531835297</v>
      </c>
      <c r="H170" s="95">
        <v>2285073939</v>
      </c>
      <c r="I170" s="91" t="s">
        <v>585</v>
      </c>
      <c r="J170" s="91" t="s">
        <v>89</v>
      </c>
      <c r="K170" s="94">
        <v>249995</v>
      </c>
      <c r="L170" s="91" t="s">
        <v>657</v>
      </c>
      <c r="M170" s="2"/>
      <c r="N170" s="2"/>
      <c r="O170" s="4"/>
    </row>
    <row r="171" spans="1:15" x14ac:dyDescent="0.2">
      <c r="A171" s="91" t="s">
        <v>227</v>
      </c>
      <c r="B171" s="91" t="s">
        <v>997</v>
      </c>
      <c r="C171" s="95">
        <v>3365</v>
      </c>
      <c r="D171" s="95">
        <v>6006</v>
      </c>
      <c r="E171" s="95">
        <v>9371</v>
      </c>
      <c r="F171" s="95">
        <v>328446587</v>
      </c>
      <c r="G171" s="95">
        <v>668618324</v>
      </c>
      <c r="H171" s="95">
        <v>997064911</v>
      </c>
      <c r="I171" s="91" t="s">
        <v>585</v>
      </c>
      <c r="J171" s="91" t="s">
        <v>91</v>
      </c>
      <c r="K171" s="94">
        <v>250340</v>
      </c>
      <c r="L171" s="91" t="s">
        <v>853</v>
      </c>
      <c r="M171" s="2"/>
      <c r="N171" s="2"/>
      <c r="O171" s="4"/>
    </row>
    <row r="172" spans="1:15" x14ac:dyDescent="0.2">
      <c r="A172" s="91" t="s">
        <v>478</v>
      </c>
      <c r="B172" s="91" t="s">
        <v>475</v>
      </c>
      <c r="C172" s="95">
        <v>1354</v>
      </c>
      <c r="D172" s="95">
        <v>1450</v>
      </c>
      <c r="E172" s="95">
        <v>2804</v>
      </c>
      <c r="F172" s="95">
        <v>39268130</v>
      </c>
      <c r="G172" s="95">
        <v>52209921</v>
      </c>
      <c r="H172" s="95">
        <v>91478052</v>
      </c>
      <c r="I172" s="91" t="s">
        <v>485</v>
      </c>
      <c r="J172" s="91" t="s">
        <v>90</v>
      </c>
      <c r="K172" s="94">
        <v>252296</v>
      </c>
      <c r="L172" s="91" t="s">
        <v>621</v>
      </c>
      <c r="M172" s="2"/>
      <c r="N172" s="2"/>
      <c r="O172" s="4"/>
    </row>
    <row r="173" spans="1:15" x14ac:dyDescent="0.2">
      <c r="A173" s="91" t="s">
        <v>207</v>
      </c>
      <c r="B173" s="91" t="s">
        <v>765</v>
      </c>
      <c r="C173" s="95">
        <v>131</v>
      </c>
      <c r="D173" s="95">
        <v>170</v>
      </c>
      <c r="E173" s="95">
        <v>301</v>
      </c>
      <c r="F173" s="95">
        <v>3471561</v>
      </c>
      <c r="G173" s="95">
        <v>5905857</v>
      </c>
      <c r="H173" s="95">
        <v>9377418</v>
      </c>
      <c r="I173" s="91" t="s">
        <v>485</v>
      </c>
      <c r="J173" s="91" t="s">
        <v>89</v>
      </c>
      <c r="K173" s="94">
        <v>252353</v>
      </c>
      <c r="L173" s="91" t="s">
        <v>588</v>
      </c>
      <c r="M173" s="2"/>
      <c r="N173" s="2"/>
      <c r="O173" s="4"/>
    </row>
    <row r="174" spans="1:15" x14ac:dyDescent="0.2">
      <c r="A174" s="91" t="s">
        <v>109</v>
      </c>
      <c r="B174" s="91" t="s">
        <v>630</v>
      </c>
      <c r="C174" s="95">
        <v>5898</v>
      </c>
      <c r="D174" s="95">
        <v>7680</v>
      </c>
      <c r="E174" s="95">
        <v>13578</v>
      </c>
      <c r="F174" s="95">
        <v>239245422</v>
      </c>
      <c r="G174" s="95">
        <v>362800302</v>
      </c>
      <c r="H174" s="95">
        <v>602045724</v>
      </c>
      <c r="I174" s="91" t="s">
        <v>585</v>
      </c>
      <c r="J174" s="91" t="s">
        <v>89</v>
      </c>
      <c r="K174" s="94">
        <v>252411</v>
      </c>
      <c r="L174" s="91" t="s">
        <v>323</v>
      </c>
      <c r="M174" s="2"/>
      <c r="N174" s="2"/>
      <c r="O174" s="4"/>
    </row>
    <row r="175" spans="1:15" x14ac:dyDescent="0.2">
      <c r="A175" s="91" t="s">
        <v>227</v>
      </c>
      <c r="B175" s="91" t="s">
        <v>1007</v>
      </c>
      <c r="C175" s="95">
        <v>0</v>
      </c>
      <c r="D175" s="95">
        <v>3</v>
      </c>
      <c r="E175" s="95">
        <v>3</v>
      </c>
      <c r="F175" s="95">
        <v>0</v>
      </c>
      <c r="G175" s="95">
        <v>101740</v>
      </c>
      <c r="H175" s="95">
        <v>101740</v>
      </c>
      <c r="I175" s="91" t="s">
        <v>485</v>
      </c>
      <c r="J175" s="91" t="s">
        <v>91</v>
      </c>
      <c r="K175" s="94">
        <v>254060</v>
      </c>
      <c r="L175" s="91" t="s">
        <v>299</v>
      </c>
      <c r="M175" s="2"/>
      <c r="N175" s="2"/>
      <c r="O175" s="4"/>
    </row>
    <row r="176" spans="1:15" x14ac:dyDescent="0.2">
      <c r="A176" s="91" t="s">
        <v>72</v>
      </c>
      <c r="B176" s="91" t="s">
        <v>934</v>
      </c>
      <c r="C176" s="95">
        <v>24</v>
      </c>
      <c r="D176" s="95">
        <v>51</v>
      </c>
      <c r="E176" s="95">
        <v>75</v>
      </c>
      <c r="F176" s="95">
        <v>864552</v>
      </c>
      <c r="G176" s="95">
        <v>2281998</v>
      </c>
      <c r="H176" s="95">
        <v>3146551</v>
      </c>
      <c r="I176" s="91" t="s">
        <v>585</v>
      </c>
      <c r="J176" s="91" t="s">
        <v>89</v>
      </c>
      <c r="K176" s="94">
        <v>256362</v>
      </c>
      <c r="L176" s="91" t="s">
        <v>524</v>
      </c>
      <c r="M176" s="2"/>
      <c r="N176" s="2"/>
      <c r="O176" s="4"/>
    </row>
    <row r="177" spans="1:15" x14ac:dyDescent="0.2">
      <c r="A177" s="91" t="s">
        <v>478</v>
      </c>
      <c r="B177" s="91" t="s">
        <v>288</v>
      </c>
      <c r="C177" s="95">
        <v>1036</v>
      </c>
      <c r="D177" s="95">
        <v>1263</v>
      </c>
      <c r="E177" s="95">
        <v>2299</v>
      </c>
      <c r="F177" s="95">
        <v>82058031</v>
      </c>
      <c r="G177" s="95">
        <v>138004413</v>
      </c>
      <c r="H177" s="95">
        <v>220062443</v>
      </c>
      <c r="I177" s="91" t="s">
        <v>485</v>
      </c>
      <c r="J177" s="91" t="s">
        <v>90</v>
      </c>
      <c r="K177" s="94">
        <v>259499</v>
      </c>
      <c r="L177" s="91" t="s">
        <v>61</v>
      </c>
      <c r="M177" s="2"/>
      <c r="N177" s="2"/>
      <c r="O177" s="4"/>
    </row>
    <row r="178" spans="1:15" x14ac:dyDescent="0.2">
      <c r="A178" s="91" t="s">
        <v>219</v>
      </c>
      <c r="B178" s="91" t="s">
        <v>226</v>
      </c>
      <c r="C178" s="95">
        <v>10688</v>
      </c>
      <c r="D178" s="95">
        <v>4626</v>
      </c>
      <c r="E178" s="95">
        <v>15314</v>
      </c>
      <c r="F178" s="95">
        <v>402549719</v>
      </c>
      <c r="G178" s="95">
        <v>197391731</v>
      </c>
      <c r="H178" s="95">
        <v>599941450</v>
      </c>
      <c r="I178" s="91" t="s">
        <v>585</v>
      </c>
      <c r="J178" s="91" t="s">
        <v>91</v>
      </c>
      <c r="K178" s="94">
        <v>260323</v>
      </c>
      <c r="L178" s="91" t="s">
        <v>133</v>
      </c>
      <c r="M178" s="2"/>
      <c r="N178" s="2"/>
      <c r="O178" s="4"/>
    </row>
    <row r="179" spans="1:15" x14ac:dyDescent="0.2">
      <c r="A179" s="91" t="s">
        <v>279</v>
      </c>
      <c r="B179" s="91" t="s">
        <v>17</v>
      </c>
      <c r="C179" s="95">
        <v>7625</v>
      </c>
      <c r="D179" s="95">
        <v>9764</v>
      </c>
      <c r="E179" s="95">
        <v>17389</v>
      </c>
      <c r="F179" s="95">
        <v>287832185</v>
      </c>
      <c r="G179" s="95">
        <v>443232994</v>
      </c>
      <c r="H179" s="95">
        <v>731065179</v>
      </c>
      <c r="I179" s="91" t="s">
        <v>485</v>
      </c>
      <c r="J179" s="91" t="s">
        <v>89</v>
      </c>
      <c r="K179" s="94">
        <v>260919</v>
      </c>
      <c r="L179" s="91" t="s">
        <v>320</v>
      </c>
      <c r="M179" s="2"/>
      <c r="N179" s="2"/>
      <c r="O179" s="4"/>
    </row>
    <row r="180" spans="1:15" x14ac:dyDescent="0.2">
      <c r="A180" s="91" t="s">
        <v>180</v>
      </c>
      <c r="B180" s="91" t="s">
        <v>811</v>
      </c>
      <c r="C180" s="95">
        <v>81</v>
      </c>
      <c r="D180" s="95">
        <v>146</v>
      </c>
      <c r="E180" s="95">
        <v>227</v>
      </c>
      <c r="F180" s="95">
        <v>3574789</v>
      </c>
      <c r="G180" s="95">
        <v>7533917</v>
      </c>
      <c r="H180" s="95">
        <v>11108706</v>
      </c>
      <c r="I180" s="91" t="s">
        <v>585</v>
      </c>
      <c r="J180" s="91" t="s">
        <v>89</v>
      </c>
      <c r="K180" s="94">
        <v>261859</v>
      </c>
      <c r="L180" s="91" t="s">
        <v>987</v>
      </c>
      <c r="M180" s="2"/>
      <c r="N180" s="2"/>
      <c r="O180" s="4"/>
    </row>
    <row r="181" spans="1:15" x14ac:dyDescent="0.2">
      <c r="A181" s="91" t="s">
        <v>207</v>
      </c>
      <c r="B181" s="91" t="s">
        <v>210</v>
      </c>
      <c r="C181" s="95">
        <v>1455</v>
      </c>
      <c r="D181" s="95">
        <v>2024</v>
      </c>
      <c r="E181" s="95">
        <v>3479</v>
      </c>
      <c r="F181" s="95">
        <v>27872585</v>
      </c>
      <c r="G181" s="95">
        <v>47813500</v>
      </c>
      <c r="H181" s="95">
        <v>75686086</v>
      </c>
      <c r="I181" s="91" t="s">
        <v>485</v>
      </c>
      <c r="J181" s="91" t="s">
        <v>89</v>
      </c>
      <c r="K181" s="94">
        <v>262741</v>
      </c>
      <c r="L181" s="91" t="s">
        <v>264</v>
      </c>
      <c r="M181" s="2"/>
      <c r="N181" s="2"/>
      <c r="O181" s="4"/>
    </row>
    <row r="182" spans="1:15" x14ac:dyDescent="0.2">
      <c r="A182" s="91" t="s">
        <v>412</v>
      </c>
      <c r="B182" s="91" t="s">
        <v>746</v>
      </c>
      <c r="C182" s="95">
        <v>1885</v>
      </c>
      <c r="D182" s="95">
        <v>2592</v>
      </c>
      <c r="E182" s="95">
        <v>4477</v>
      </c>
      <c r="F182" s="95">
        <v>77736609</v>
      </c>
      <c r="G182" s="95">
        <v>137542528</v>
      </c>
      <c r="H182" s="95">
        <v>215279137</v>
      </c>
      <c r="I182" s="91" t="s">
        <v>585</v>
      </c>
      <c r="J182" s="91" t="s">
        <v>90</v>
      </c>
      <c r="K182" s="94">
        <v>265512</v>
      </c>
      <c r="L182" s="91" t="s">
        <v>633</v>
      </c>
      <c r="M182" s="2"/>
      <c r="N182" s="2"/>
      <c r="O182" s="4"/>
    </row>
    <row r="183" spans="1:15" x14ac:dyDescent="0.2">
      <c r="A183" s="91" t="s">
        <v>559</v>
      </c>
      <c r="B183" s="91" t="s">
        <v>1053</v>
      </c>
      <c r="C183" s="95">
        <v>17427</v>
      </c>
      <c r="D183" s="95">
        <v>22120</v>
      </c>
      <c r="E183" s="95">
        <v>39547</v>
      </c>
      <c r="F183" s="95">
        <v>762965944</v>
      </c>
      <c r="G183" s="95">
        <v>1217012346</v>
      </c>
      <c r="H183" s="95">
        <v>1979978289</v>
      </c>
      <c r="I183" s="91" t="s">
        <v>585</v>
      </c>
      <c r="J183" s="91" t="s">
        <v>89</v>
      </c>
      <c r="K183" s="94">
        <v>269357</v>
      </c>
      <c r="L183" s="91" t="s">
        <v>633</v>
      </c>
      <c r="M183" s="2"/>
      <c r="N183" s="2"/>
      <c r="O183" s="4"/>
    </row>
    <row r="184" spans="1:15" x14ac:dyDescent="0.2">
      <c r="A184" s="91" t="s">
        <v>227</v>
      </c>
      <c r="B184" s="91" t="s">
        <v>1108</v>
      </c>
      <c r="C184" s="95">
        <v>1</v>
      </c>
      <c r="D184" s="95">
        <v>2</v>
      </c>
      <c r="E184" s="95">
        <v>3</v>
      </c>
      <c r="F184" s="95">
        <v>2074</v>
      </c>
      <c r="G184" s="95">
        <v>110162</v>
      </c>
      <c r="H184" s="95">
        <v>112236</v>
      </c>
      <c r="I184" s="91" t="s">
        <v>585</v>
      </c>
      <c r="J184" s="91" t="s">
        <v>91</v>
      </c>
      <c r="K184" s="94">
        <v>269704</v>
      </c>
      <c r="L184" s="91" t="s">
        <v>1100</v>
      </c>
      <c r="M184" s="2"/>
      <c r="N184" s="2"/>
      <c r="O184" s="4"/>
    </row>
    <row r="185" spans="1:15" x14ac:dyDescent="0.2">
      <c r="A185" s="91" t="s">
        <v>227</v>
      </c>
      <c r="B185" s="91" t="s">
        <v>54</v>
      </c>
      <c r="C185" s="95">
        <v>15</v>
      </c>
      <c r="D185" s="95">
        <v>18</v>
      </c>
      <c r="E185" s="95">
        <v>33</v>
      </c>
      <c r="F185" s="95">
        <v>442056</v>
      </c>
      <c r="G185" s="95">
        <v>535197</v>
      </c>
      <c r="H185" s="95">
        <v>977253</v>
      </c>
      <c r="I185" s="91" t="s">
        <v>485</v>
      </c>
      <c r="J185" s="91" t="s">
        <v>91</v>
      </c>
      <c r="K185" s="94">
        <v>271064</v>
      </c>
      <c r="L185" s="91" t="s">
        <v>271</v>
      </c>
      <c r="M185" s="2"/>
      <c r="N185" s="2"/>
      <c r="O185" s="4"/>
    </row>
    <row r="186" spans="1:15" x14ac:dyDescent="0.2">
      <c r="A186" s="91" t="s">
        <v>109</v>
      </c>
      <c r="B186" s="91" t="s">
        <v>1078</v>
      </c>
      <c r="C186" s="95">
        <v>514</v>
      </c>
      <c r="D186" s="95">
        <v>435</v>
      </c>
      <c r="E186" s="95">
        <v>949</v>
      </c>
      <c r="F186" s="95">
        <v>49294146</v>
      </c>
      <c r="G186" s="95">
        <v>46497773</v>
      </c>
      <c r="H186" s="95">
        <v>95791919</v>
      </c>
      <c r="I186" s="91" t="s">
        <v>485</v>
      </c>
      <c r="J186" s="91" t="s">
        <v>89</v>
      </c>
      <c r="K186" s="94">
        <v>272831</v>
      </c>
      <c r="L186" s="91" t="s">
        <v>336</v>
      </c>
      <c r="M186" s="2"/>
      <c r="N186" s="2"/>
      <c r="O186" s="4"/>
    </row>
    <row r="187" spans="1:15" x14ac:dyDescent="0.2">
      <c r="A187" s="91" t="s">
        <v>515</v>
      </c>
      <c r="B187" s="91" t="s">
        <v>466</v>
      </c>
      <c r="C187" s="95">
        <v>1601</v>
      </c>
      <c r="D187" s="95">
        <v>2288</v>
      </c>
      <c r="E187" s="95">
        <v>3889</v>
      </c>
      <c r="F187" s="95">
        <v>63796363</v>
      </c>
      <c r="G187" s="95">
        <v>108277352</v>
      </c>
      <c r="H187" s="95">
        <v>172073715</v>
      </c>
      <c r="I187" s="91" t="s">
        <v>585</v>
      </c>
      <c r="J187" s="91" t="s">
        <v>89</v>
      </c>
      <c r="K187" s="94">
        <v>272898</v>
      </c>
      <c r="L187" s="91" t="s">
        <v>472</v>
      </c>
      <c r="M187" s="2"/>
      <c r="N187" s="2"/>
      <c r="O187" s="4"/>
    </row>
    <row r="188" spans="1:15" x14ac:dyDescent="0.2">
      <c r="A188" s="91" t="s">
        <v>38</v>
      </c>
      <c r="B188" s="91" t="s">
        <v>56</v>
      </c>
      <c r="C188" s="95">
        <v>684</v>
      </c>
      <c r="D188" s="95">
        <v>581</v>
      </c>
      <c r="E188" s="95">
        <v>1265</v>
      </c>
      <c r="F188" s="95">
        <v>19842017</v>
      </c>
      <c r="G188" s="95">
        <v>21078807</v>
      </c>
      <c r="H188" s="95">
        <v>40920824</v>
      </c>
      <c r="I188" s="91" t="s">
        <v>585</v>
      </c>
      <c r="J188" s="91" t="s">
        <v>89</v>
      </c>
      <c r="K188" s="94">
        <v>273078</v>
      </c>
      <c r="L188" s="91" t="s">
        <v>516</v>
      </c>
      <c r="M188" s="2"/>
      <c r="N188" s="2"/>
      <c r="O188" s="4"/>
    </row>
    <row r="189" spans="1:15" x14ac:dyDescent="0.2">
      <c r="A189" s="91" t="s">
        <v>180</v>
      </c>
      <c r="B189" s="91" t="s">
        <v>192</v>
      </c>
      <c r="C189" s="95">
        <v>247</v>
      </c>
      <c r="D189" s="95">
        <v>345</v>
      </c>
      <c r="E189" s="95">
        <v>592</v>
      </c>
      <c r="F189" s="95">
        <v>7201292</v>
      </c>
      <c r="G189" s="95">
        <v>11394731</v>
      </c>
      <c r="H189" s="95">
        <v>18596023</v>
      </c>
      <c r="I189" s="91" t="s">
        <v>485</v>
      </c>
      <c r="J189" s="91" t="s">
        <v>89</v>
      </c>
      <c r="K189" s="94">
        <v>273664</v>
      </c>
      <c r="L189" s="91" t="s">
        <v>36</v>
      </c>
      <c r="M189" s="2"/>
      <c r="N189" s="2"/>
      <c r="O189" s="4"/>
    </row>
    <row r="190" spans="1:15" x14ac:dyDescent="0.2">
      <c r="A190" s="91" t="s">
        <v>170</v>
      </c>
      <c r="B190" s="91" t="s">
        <v>175</v>
      </c>
      <c r="C190" s="95">
        <v>1664</v>
      </c>
      <c r="D190" s="95">
        <v>1925</v>
      </c>
      <c r="E190" s="95">
        <v>3589</v>
      </c>
      <c r="F190" s="95">
        <v>26621485</v>
      </c>
      <c r="G190" s="95">
        <v>39220720</v>
      </c>
      <c r="H190" s="95">
        <v>65842205</v>
      </c>
      <c r="I190" s="91" t="s">
        <v>485</v>
      </c>
      <c r="J190" s="91" t="s">
        <v>89</v>
      </c>
      <c r="K190" s="94">
        <v>275495</v>
      </c>
      <c r="L190" s="91" t="s">
        <v>610</v>
      </c>
      <c r="M190" s="2"/>
      <c r="N190" s="2"/>
      <c r="O190" s="4"/>
    </row>
    <row r="191" spans="1:15" x14ac:dyDescent="0.2">
      <c r="A191" s="91" t="s">
        <v>227</v>
      </c>
      <c r="B191" s="91" t="s">
        <v>15</v>
      </c>
      <c r="C191" s="95">
        <v>3925</v>
      </c>
      <c r="D191" s="95">
        <v>3518</v>
      </c>
      <c r="E191" s="95">
        <v>7443</v>
      </c>
      <c r="F191" s="95">
        <v>148093108</v>
      </c>
      <c r="G191" s="95">
        <v>154607412</v>
      </c>
      <c r="H191" s="95">
        <v>302700520</v>
      </c>
      <c r="I191" s="91" t="s">
        <v>485</v>
      </c>
      <c r="J191" s="91" t="s">
        <v>91</v>
      </c>
      <c r="K191" s="94">
        <v>276493</v>
      </c>
      <c r="L191" s="91" t="s">
        <v>14</v>
      </c>
      <c r="M191" s="2"/>
      <c r="N191" s="2"/>
      <c r="O191" s="4"/>
    </row>
    <row r="192" spans="1:15" x14ac:dyDescent="0.2">
      <c r="A192" s="91" t="s">
        <v>353</v>
      </c>
      <c r="B192" s="91" t="s">
        <v>829</v>
      </c>
      <c r="C192" s="95">
        <v>3554</v>
      </c>
      <c r="D192" s="95">
        <v>3357</v>
      </c>
      <c r="E192" s="95">
        <v>6911</v>
      </c>
      <c r="F192" s="95">
        <v>323099532</v>
      </c>
      <c r="G192" s="95">
        <v>334059891</v>
      </c>
      <c r="H192" s="95">
        <v>657159423</v>
      </c>
      <c r="I192" s="91" t="s">
        <v>485</v>
      </c>
      <c r="J192" s="91" t="s">
        <v>92</v>
      </c>
      <c r="K192" s="94">
        <v>278853</v>
      </c>
      <c r="L192" s="91" t="s">
        <v>826</v>
      </c>
      <c r="M192" s="2"/>
      <c r="N192" s="2"/>
      <c r="O192" s="4"/>
    </row>
    <row r="193" spans="1:15" x14ac:dyDescent="0.2">
      <c r="A193" s="91" t="s">
        <v>38</v>
      </c>
      <c r="B193" s="91" t="s">
        <v>1016</v>
      </c>
      <c r="C193" s="95">
        <v>2984</v>
      </c>
      <c r="D193" s="95">
        <v>3468</v>
      </c>
      <c r="E193" s="95">
        <v>6452</v>
      </c>
      <c r="F193" s="95">
        <v>99164104</v>
      </c>
      <c r="G193" s="95">
        <v>138575534</v>
      </c>
      <c r="H193" s="95">
        <v>237739638</v>
      </c>
      <c r="I193" s="91" t="s">
        <v>485</v>
      </c>
      <c r="J193" s="91" t="s">
        <v>89</v>
      </c>
      <c r="K193" s="94">
        <v>280867</v>
      </c>
      <c r="L193" s="91" t="s">
        <v>1093</v>
      </c>
      <c r="M193" s="2"/>
      <c r="N193" s="2"/>
      <c r="O193" s="4"/>
    </row>
    <row r="194" spans="1:15" x14ac:dyDescent="0.2">
      <c r="A194" s="91" t="s">
        <v>469</v>
      </c>
      <c r="B194" s="91" t="s">
        <v>137</v>
      </c>
      <c r="C194" s="95">
        <v>42</v>
      </c>
      <c r="D194" s="95">
        <v>45</v>
      </c>
      <c r="E194" s="95">
        <v>87</v>
      </c>
      <c r="F194" s="95">
        <v>1133781</v>
      </c>
      <c r="G194" s="95">
        <v>1294968</v>
      </c>
      <c r="H194" s="95">
        <v>2428749</v>
      </c>
      <c r="I194" s="91" t="s">
        <v>485</v>
      </c>
      <c r="J194" s="91" t="s">
        <v>90</v>
      </c>
      <c r="K194" s="94">
        <v>280925</v>
      </c>
      <c r="L194" s="91" t="s">
        <v>320</v>
      </c>
      <c r="M194" s="2"/>
      <c r="N194" s="2"/>
      <c r="O194" s="4"/>
    </row>
    <row r="195" spans="1:15" x14ac:dyDescent="0.2">
      <c r="A195" s="91" t="s">
        <v>109</v>
      </c>
      <c r="B195" s="91" t="s">
        <v>763</v>
      </c>
      <c r="C195" s="95">
        <v>21865</v>
      </c>
      <c r="D195" s="95">
        <v>21373</v>
      </c>
      <c r="E195" s="95">
        <v>43238</v>
      </c>
      <c r="F195" s="95">
        <v>550123512</v>
      </c>
      <c r="G195" s="95">
        <v>650512328</v>
      </c>
      <c r="H195" s="95">
        <v>1200635841</v>
      </c>
      <c r="I195" s="91" t="s">
        <v>485</v>
      </c>
      <c r="J195" s="91" t="s">
        <v>89</v>
      </c>
      <c r="K195" s="94">
        <v>282517</v>
      </c>
      <c r="L195" s="91" t="s">
        <v>1084</v>
      </c>
      <c r="M195" s="2"/>
      <c r="N195" s="2"/>
      <c r="O195" s="4"/>
    </row>
    <row r="196" spans="1:15" x14ac:dyDescent="0.2">
      <c r="A196" s="91" t="s">
        <v>109</v>
      </c>
      <c r="B196" s="91" t="s">
        <v>394</v>
      </c>
      <c r="C196" s="95">
        <v>52</v>
      </c>
      <c r="D196" s="95">
        <v>90</v>
      </c>
      <c r="E196" s="95">
        <v>142</v>
      </c>
      <c r="F196" s="95">
        <v>1938441</v>
      </c>
      <c r="G196" s="95">
        <v>3300114</v>
      </c>
      <c r="H196" s="95">
        <v>5238555</v>
      </c>
      <c r="I196" s="91" t="s">
        <v>485</v>
      </c>
      <c r="J196" s="91" t="s">
        <v>89</v>
      </c>
      <c r="K196" s="94">
        <v>282632</v>
      </c>
      <c r="L196" s="91" t="s">
        <v>393</v>
      </c>
      <c r="M196" s="2"/>
      <c r="N196" s="2"/>
      <c r="O196" s="4"/>
    </row>
    <row r="197" spans="1:15" x14ac:dyDescent="0.2">
      <c r="A197" s="91" t="s">
        <v>170</v>
      </c>
      <c r="B197" s="91" t="s">
        <v>459</v>
      </c>
      <c r="C197" s="95">
        <v>50</v>
      </c>
      <c r="D197" s="95">
        <v>96</v>
      </c>
      <c r="E197" s="95">
        <v>146</v>
      </c>
      <c r="F197" s="95">
        <v>997625</v>
      </c>
      <c r="G197" s="95">
        <v>2584052</v>
      </c>
      <c r="H197" s="95">
        <v>3581678</v>
      </c>
      <c r="I197" s="91" t="s">
        <v>485</v>
      </c>
      <c r="J197" s="91" t="s">
        <v>89</v>
      </c>
      <c r="K197" s="94">
        <v>282699</v>
      </c>
      <c r="L197" s="91" t="s">
        <v>324</v>
      </c>
      <c r="M197" s="2"/>
      <c r="N197" s="2"/>
      <c r="O197" s="4"/>
    </row>
    <row r="198" spans="1:15" x14ac:dyDescent="0.2">
      <c r="A198" s="91" t="s">
        <v>207</v>
      </c>
      <c r="B198" s="91" t="s">
        <v>757</v>
      </c>
      <c r="C198" s="95">
        <v>124997</v>
      </c>
      <c r="D198" s="95">
        <v>129685</v>
      </c>
      <c r="E198" s="95">
        <v>254682</v>
      </c>
      <c r="F198" s="95">
        <v>3758274829</v>
      </c>
      <c r="G198" s="95">
        <v>4988929073</v>
      </c>
      <c r="H198" s="95">
        <v>8747203903</v>
      </c>
      <c r="I198" s="91" t="s">
        <v>585</v>
      </c>
      <c r="J198" s="91" t="s">
        <v>89</v>
      </c>
      <c r="K198" s="94">
        <v>283408</v>
      </c>
      <c r="L198" s="91" t="s">
        <v>133</v>
      </c>
      <c r="M198" s="2"/>
      <c r="N198" s="2"/>
      <c r="O198" s="4"/>
    </row>
    <row r="199" spans="1:15" x14ac:dyDescent="0.2">
      <c r="A199" s="91" t="s">
        <v>121</v>
      </c>
      <c r="B199" s="91" t="s">
        <v>293</v>
      </c>
      <c r="C199" s="95">
        <v>4774</v>
      </c>
      <c r="D199" s="95">
        <v>6401</v>
      </c>
      <c r="E199" s="95">
        <v>11175</v>
      </c>
      <c r="F199" s="95">
        <v>121200328</v>
      </c>
      <c r="G199" s="95">
        <v>201234308</v>
      </c>
      <c r="H199" s="95">
        <v>322434636</v>
      </c>
      <c r="I199" s="91" t="s">
        <v>585</v>
      </c>
      <c r="J199" s="91" t="s">
        <v>89</v>
      </c>
      <c r="K199" s="94">
        <v>285825</v>
      </c>
      <c r="L199" s="91" t="s">
        <v>657</v>
      </c>
      <c r="M199" s="2"/>
      <c r="N199" s="2"/>
      <c r="O199" s="4"/>
    </row>
    <row r="200" spans="1:15" x14ac:dyDescent="0.2">
      <c r="A200" s="91" t="s">
        <v>227</v>
      </c>
      <c r="B200" s="91" t="s">
        <v>993</v>
      </c>
      <c r="C200" s="95">
        <v>32572</v>
      </c>
      <c r="D200" s="95">
        <v>32755</v>
      </c>
      <c r="E200" s="95">
        <v>65327</v>
      </c>
      <c r="F200" s="95">
        <v>3591590921</v>
      </c>
      <c r="G200" s="95">
        <v>4043461038</v>
      </c>
      <c r="H200" s="95">
        <v>7635051959</v>
      </c>
      <c r="I200" s="91" t="s">
        <v>585</v>
      </c>
      <c r="J200" s="91" t="s">
        <v>91</v>
      </c>
      <c r="K200" s="94">
        <v>286179</v>
      </c>
      <c r="L200" s="91" t="s">
        <v>853</v>
      </c>
      <c r="M200" s="2"/>
      <c r="N200" s="2"/>
      <c r="O200" s="4"/>
    </row>
    <row r="201" spans="1:15" x14ac:dyDescent="0.2">
      <c r="A201" s="91" t="s">
        <v>580</v>
      </c>
      <c r="B201" s="91" t="s">
        <v>380</v>
      </c>
      <c r="C201" s="95">
        <v>19812</v>
      </c>
      <c r="D201" s="95">
        <v>20552</v>
      </c>
      <c r="E201" s="95">
        <v>40364</v>
      </c>
      <c r="F201" s="95">
        <v>683211203</v>
      </c>
      <c r="G201" s="95">
        <v>867956611</v>
      </c>
      <c r="H201" s="95">
        <v>1551167814</v>
      </c>
      <c r="I201" s="91" t="s">
        <v>485</v>
      </c>
      <c r="J201" s="91" t="s">
        <v>89</v>
      </c>
      <c r="K201" s="94">
        <v>286294</v>
      </c>
      <c r="L201" s="91" t="s">
        <v>1084</v>
      </c>
      <c r="M201" s="2"/>
      <c r="N201" s="2"/>
      <c r="O201" s="4"/>
    </row>
    <row r="202" spans="1:15" x14ac:dyDescent="0.2">
      <c r="A202" s="91" t="s">
        <v>157</v>
      </c>
      <c r="B202" s="91" t="s">
        <v>167</v>
      </c>
      <c r="C202" s="95">
        <v>719</v>
      </c>
      <c r="D202" s="95">
        <v>861</v>
      </c>
      <c r="E202" s="95">
        <v>1580</v>
      </c>
      <c r="F202" s="95">
        <v>13168760</v>
      </c>
      <c r="G202" s="95">
        <v>19662776</v>
      </c>
      <c r="H202" s="95">
        <v>32831536</v>
      </c>
      <c r="I202" s="91" t="s">
        <v>585</v>
      </c>
      <c r="J202" s="91" t="s">
        <v>89</v>
      </c>
      <c r="K202" s="94">
        <v>286948</v>
      </c>
      <c r="L202" s="91" t="s">
        <v>27</v>
      </c>
      <c r="M202" s="2"/>
      <c r="N202" s="2"/>
      <c r="O202" s="4"/>
    </row>
    <row r="203" spans="1:15" x14ac:dyDescent="0.2">
      <c r="A203" s="91" t="s">
        <v>353</v>
      </c>
      <c r="B203" s="91" t="s">
        <v>840</v>
      </c>
      <c r="C203" s="95">
        <v>35387</v>
      </c>
      <c r="D203" s="95">
        <v>29337</v>
      </c>
      <c r="E203" s="95">
        <v>64724</v>
      </c>
      <c r="F203" s="95">
        <v>3056059667</v>
      </c>
      <c r="G203" s="95">
        <v>3024167923</v>
      </c>
      <c r="H203" s="95">
        <v>6080227590</v>
      </c>
      <c r="I203" s="91" t="s">
        <v>585</v>
      </c>
      <c r="J203" s="91" t="s">
        <v>92</v>
      </c>
      <c r="K203" s="94">
        <v>287656</v>
      </c>
      <c r="L203" s="91" t="s">
        <v>1084</v>
      </c>
      <c r="M203" s="2"/>
      <c r="N203" s="2"/>
      <c r="O203" s="4"/>
    </row>
    <row r="204" spans="1:15" x14ac:dyDescent="0.2">
      <c r="A204" s="91" t="s">
        <v>469</v>
      </c>
      <c r="B204" s="91" t="s">
        <v>471</v>
      </c>
      <c r="C204" s="95">
        <v>85</v>
      </c>
      <c r="D204" s="95">
        <v>127</v>
      </c>
      <c r="E204" s="95">
        <v>212</v>
      </c>
      <c r="F204" s="95">
        <v>1307111</v>
      </c>
      <c r="G204" s="95">
        <v>2715653</v>
      </c>
      <c r="H204" s="95">
        <v>4022764</v>
      </c>
      <c r="I204" s="91" t="s">
        <v>485</v>
      </c>
      <c r="J204" s="91" t="s">
        <v>90</v>
      </c>
      <c r="K204" s="94">
        <v>288001</v>
      </c>
      <c r="L204" s="91" t="s">
        <v>93</v>
      </c>
      <c r="M204" s="2"/>
      <c r="N204" s="2"/>
      <c r="O204" s="4"/>
    </row>
    <row r="205" spans="1:15" x14ac:dyDescent="0.2">
      <c r="A205" s="91" t="s">
        <v>157</v>
      </c>
      <c r="B205" s="91" t="s">
        <v>1121</v>
      </c>
      <c r="C205" s="95">
        <v>621</v>
      </c>
      <c r="D205" s="95">
        <v>771</v>
      </c>
      <c r="E205" s="95">
        <v>1392</v>
      </c>
      <c r="F205" s="95">
        <v>12825332</v>
      </c>
      <c r="G205" s="95">
        <v>19061694</v>
      </c>
      <c r="H205" s="95">
        <v>31887027</v>
      </c>
      <c r="I205" s="91" t="s">
        <v>485</v>
      </c>
      <c r="J205" s="91" t="s">
        <v>89</v>
      </c>
      <c r="K205" s="94">
        <v>288183</v>
      </c>
      <c r="L205" s="91" t="s">
        <v>588</v>
      </c>
      <c r="M205" s="2"/>
      <c r="N205" s="2"/>
      <c r="O205" s="4"/>
    </row>
    <row r="206" spans="1:15" x14ac:dyDescent="0.2">
      <c r="A206" s="91" t="s">
        <v>562</v>
      </c>
      <c r="B206" s="91" t="s">
        <v>564</v>
      </c>
      <c r="C206" s="95">
        <v>13861</v>
      </c>
      <c r="D206" s="95">
        <v>18712</v>
      </c>
      <c r="E206" s="95">
        <v>32573</v>
      </c>
      <c r="F206" s="95">
        <v>577974829</v>
      </c>
      <c r="G206" s="95">
        <v>961133282</v>
      </c>
      <c r="H206" s="95">
        <v>1539108111</v>
      </c>
      <c r="I206" s="91" t="s">
        <v>585</v>
      </c>
      <c r="J206" s="91" t="s">
        <v>89</v>
      </c>
      <c r="K206" s="94">
        <v>290072</v>
      </c>
      <c r="L206" s="91" t="s">
        <v>1114</v>
      </c>
      <c r="M206" s="2"/>
      <c r="N206" s="2"/>
      <c r="O206" s="4"/>
    </row>
    <row r="207" spans="1:15" x14ac:dyDescent="0.2">
      <c r="A207" s="91" t="s">
        <v>109</v>
      </c>
      <c r="B207" s="91" t="s">
        <v>186</v>
      </c>
      <c r="C207" s="95">
        <v>358</v>
      </c>
      <c r="D207" s="95">
        <v>410</v>
      </c>
      <c r="E207" s="95">
        <v>768</v>
      </c>
      <c r="F207" s="95">
        <v>9147067</v>
      </c>
      <c r="G207" s="95">
        <v>12216832</v>
      </c>
      <c r="H207" s="95">
        <v>21363899</v>
      </c>
      <c r="I207" s="91" t="s">
        <v>485</v>
      </c>
      <c r="J207" s="91" t="s">
        <v>89</v>
      </c>
      <c r="K207" s="94">
        <v>290668</v>
      </c>
      <c r="L207" s="91" t="s">
        <v>586</v>
      </c>
      <c r="M207" s="2"/>
      <c r="N207" s="2"/>
      <c r="O207" s="4"/>
    </row>
    <row r="208" spans="1:15" x14ac:dyDescent="0.2">
      <c r="A208" s="91" t="s">
        <v>515</v>
      </c>
      <c r="B208" s="91" t="s">
        <v>527</v>
      </c>
      <c r="C208" s="95">
        <v>115765</v>
      </c>
      <c r="D208" s="95">
        <v>126867</v>
      </c>
      <c r="E208" s="95">
        <v>242632</v>
      </c>
      <c r="F208" s="95">
        <v>7259240721</v>
      </c>
      <c r="G208" s="95">
        <v>9633526293</v>
      </c>
      <c r="H208" s="95">
        <v>16892767014</v>
      </c>
      <c r="I208" s="91" t="s">
        <v>585</v>
      </c>
      <c r="J208" s="91" t="s">
        <v>89</v>
      </c>
      <c r="K208" s="94">
        <v>291906</v>
      </c>
      <c r="L208" s="91" t="s">
        <v>526</v>
      </c>
      <c r="M208" s="2"/>
      <c r="N208" s="2"/>
      <c r="O208" s="4"/>
    </row>
    <row r="209" spans="1:15" x14ac:dyDescent="0.2">
      <c r="A209" s="91" t="s">
        <v>562</v>
      </c>
      <c r="B209" s="91" t="s">
        <v>935</v>
      </c>
      <c r="C209" s="95">
        <v>28</v>
      </c>
      <c r="D209" s="95">
        <v>45</v>
      </c>
      <c r="E209" s="95">
        <v>73</v>
      </c>
      <c r="F209" s="95">
        <v>935824</v>
      </c>
      <c r="G209" s="95">
        <v>2184256</v>
      </c>
      <c r="H209" s="95">
        <v>3120080</v>
      </c>
      <c r="I209" s="91" t="s">
        <v>585</v>
      </c>
      <c r="J209" s="91" t="s">
        <v>89</v>
      </c>
      <c r="K209" s="94">
        <v>292193</v>
      </c>
      <c r="L209" s="91" t="s">
        <v>524</v>
      </c>
      <c r="M209" s="2"/>
      <c r="N209" s="2"/>
      <c r="O209" s="4"/>
    </row>
    <row r="210" spans="1:15" x14ac:dyDescent="0.2">
      <c r="A210" s="91" t="s">
        <v>98</v>
      </c>
      <c r="B210" s="91" t="s">
        <v>870</v>
      </c>
      <c r="C210" s="95">
        <v>743</v>
      </c>
      <c r="D210" s="95">
        <v>1026</v>
      </c>
      <c r="E210" s="95">
        <v>1769</v>
      </c>
      <c r="F210" s="95">
        <v>8223367</v>
      </c>
      <c r="G210" s="95">
        <v>22429892</v>
      </c>
      <c r="H210" s="95">
        <v>30653259</v>
      </c>
      <c r="I210" s="91" t="s">
        <v>585</v>
      </c>
      <c r="J210" s="91" t="s">
        <v>89</v>
      </c>
      <c r="K210" s="94">
        <v>293498</v>
      </c>
      <c r="L210" s="91" t="s">
        <v>853</v>
      </c>
      <c r="M210" s="2"/>
      <c r="N210" s="2"/>
      <c r="O210" s="4"/>
    </row>
    <row r="211" spans="1:15" x14ac:dyDescent="0.2">
      <c r="A211" s="91" t="s">
        <v>109</v>
      </c>
      <c r="B211" s="91" t="s">
        <v>110</v>
      </c>
      <c r="C211" s="95">
        <v>444</v>
      </c>
      <c r="D211" s="95">
        <v>466</v>
      </c>
      <c r="E211" s="95">
        <v>910</v>
      </c>
      <c r="F211" s="95">
        <v>10613869</v>
      </c>
      <c r="G211" s="95">
        <v>14860486</v>
      </c>
      <c r="H211" s="95">
        <v>25474354</v>
      </c>
      <c r="I211" s="91" t="s">
        <v>485</v>
      </c>
      <c r="J211" s="91" t="s">
        <v>89</v>
      </c>
      <c r="K211" s="94">
        <v>294322</v>
      </c>
      <c r="L211" s="91" t="s">
        <v>590</v>
      </c>
      <c r="M211" s="2"/>
      <c r="N211" s="2"/>
      <c r="O211" s="4"/>
    </row>
    <row r="212" spans="1:15" x14ac:dyDescent="0.2">
      <c r="A212" s="91" t="s">
        <v>368</v>
      </c>
      <c r="B212" s="91" t="s">
        <v>370</v>
      </c>
      <c r="C212" s="95">
        <v>744</v>
      </c>
      <c r="D212" s="95">
        <v>1170</v>
      </c>
      <c r="E212" s="95">
        <v>1914</v>
      </c>
      <c r="F212" s="95">
        <v>32330192</v>
      </c>
      <c r="G212" s="95">
        <v>70754791</v>
      </c>
      <c r="H212" s="95">
        <v>103084983</v>
      </c>
      <c r="I212" s="91" t="s">
        <v>585</v>
      </c>
      <c r="J212" s="91" t="s">
        <v>90</v>
      </c>
      <c r="K212" s="94">
        <v>294918</v>
      </c>
      <c r="L212" s="91" t="s">
        <v>528</v>
      </c>
      <c r="M212" s="2"/>
      <c r="N212" s="2"/>
      <c r="O212" s="4"/>
    </row>
    <row r="213" spans="1:15" x14ac:dyDescent="0.2">
      <c r="A213" s="91" t="s">
        <v>121</v>
      </c>
      <c r="B213" s="91" t="s">
        <v>844</v>
      </c>
      <c r="C213" s="95">
        <v>213</v>
      </c>
      <c r="D213" s="95">
        <v>398</v>
      </c>
      <c r="E213" s="95">
        <v>611</v>
      </c>
      <c r="F213" s="95">
        <v>4977626</v>
      </c>
      <c r="G213" s="95">
        <v>10831179</v>
      </c>
      <c r="H213" s="95">
        <v>15808806</v>
      </c>
      <c r="I213" s="91" t="s">
        <v>585</v>
      </c>
      <c r="J213" s="91" t="s">
        <v>89</v>
      </c>
      <c r="K213" s="94">
        <v>295857</v>
      </c>
      <c r="L213" s="91" t="s">
        <v>528</v>
      </c>
      <c r="M213" s="2"/>
      <c r="N213" s="2"/>
      <c r="O213" s="4"/>
    </row>
    <row r="214" spans="1:15" x14ac:dyDescent="0.2">
      <c r="A214" s="91" t="s">
        <v>121</v>
      </c>
      <c r="B214" s="91" t="s">
        <v>602</v>
      </c>
      <c r="C214" s="95">
        <v>6</v>
      </c>
      <c r="D214" s="95">
        <v>16</v>
      </c>
      <c r="E214" s="95">
        <v>22</v>
      </c>
      <c r="F214" s="95">
        <v>117183</v>
      </c>
      <c r="G214" s="95">
        <v>529985</v>
      </c>
      <c r="H214" s="95">
        <v>647168</v>
      </c>
      <c r="I214" s="91" t="s">
        <v>485</v>
      </c>
      <c r="J214" s="91" t="s">
        <v>89</v>
      </c>
      <c r="K214" s="94">
        <v>295972</v>
      </c>
      <c r="L214" s="91" t="s">
        <v>597</v>
      </c>
      <c r="M214" s="2"/>
      <c r="N214" s="2"/>
      <c r="O214" s="4"/>
    </row>
    <row r="215" spans="1:15" x14ac:dyDescent="0.2">
      <c r="A215" s="91" t="s">
        <v>565</v>
      </c>
      <c r="B215" s="91" t="s">
        <v>578</v>
      </c>
      <c r="C215" s="95">
        <v>17804</v>
      </c>
      <c r="D215" s="95">
        <v>8131</v>
      </c>
      <c r="E215" s="95">
        <v>25935</v>
      </c>
      <c r="F215" s="95">
        <v>750353421</v>
      </c>
      <c r="G215" s="95">
        <v>400075170</v>
      </c>
      <c r="H215" s="95">
        <v>1150428591</v>
      </c>
      <c r="I215" s="91" t="s">
        <v>585</v>
      </c>
      <c r="J215" s="91" t="s">
        <v>89</v>
      </c>
      <c r="K215" s="94">
        <v>296152</v>
      </c>
      <c r="L215" s="91" t="s">
        <v>133</v>
      </c>
      <c r="M215" s="2"/>
      <c r="N215" s="2"/>
      <c r="O215" s="4"/>
    </row>
    <row r="216" spans="1:15" x14ac:dyDescent="0.2">
      <c r="A216" s="91" t="s">
        <v>197</v>
      </c>
      <c r="B216" s="91" t="s">
        <v>147</v>
      </c>
      <c r="C216" s="95">
        <v>287</v>
      </c>
      <c r="D216" s="95">
        <v>405</v>
      </c>
      <c r="E216" s="95">
        <v>692</v>
      </c>
      <c r="F216" s="95">
        <v>8300987</v>
      </c>
      <c r="G216" s="95">
        <v>14535907</v>
      </c>
      <c r="H216" s="95">
        <v>22836894</v>
      </c>
      <c r="I216" s="91" t="s">
        <v>485</v>
      </c>
      <c r="J216" s="91" t="s">
        <v>89</v>
      </c>
      <c r="K216" s="94">
        <v>296749</v>
      </c>
      <c r="L216" s="91" t="s">
        <v>320</v>
      </c>
      <c r="M216" s="2"/>
      <c r="N216" s="2"/>
      <c r="O216" s="4"/>
    </row>
    <row r="217" spans="1:15" x14ac:dyDescent="0.2">
      <c r="A217" s="91" t="s">
        <v>72</v>
      </c>
      <c r="B217" s="91" t="s">
        <v>803</v>
      </c>
      <c r="C217" s="95">
        <v>164</v>
      </c>
      <c r="D217" s="95">
        <v>389</v>
      </c>
      <c r="E217" s="95">
        <v>553</v>
      </c>
      <c r="F217" s="95">
        <v>6181032</v>
      </c>
      <c r="G217" s="95">
        <v>16249537</v>
      </c>
      <c r="H217" s="95">
        <v>22430569</v>
      </c>
      <c r="I217" s="91" t="s">
        <v>585</v>
      </c>
      <c r="J217" s="91" t="s">
        <v>89</v>
      </c>
      <c r="K217" s="94">
        <v>297689</v>
      </c>
      <c r="L217" s="91" t="s">
        <v>987</v>
      </c>
      <c r="M217" s="2"/>
      <c r="N217" s="2"/>
      <c r="O217" s="4"/>
    </row>
    <row r="218" spans="1:15" x14ac:dyDescent="0.2">
      <c r="A218" s="91" t="s">
        <v>478</v>
      </c>
      <c r="B218" s="91" t="s">
        <v>481</v>
      </c>
      <c r="C218" s="95">
        <v>583</v>
      </c>
      <c r="D218" s="95">
        <v>864</v>
      </c>
      <c r="E218" s="95">
        <v>1447</v>
      </c>
      <c r="F218" s="95">
        <v>16586539</v>
      </c>
      <c r="G218" s="95">
        <v>30078478</v>
      </c>
      <c r="H218" s="95">
        <v>46665016</v>
      </c>
      <c r="I218" s="91" t="s">
        <v>485</v>
      </c>
      <c r="J218" s="91" t="s">
        <v>90</v>
      </c>
      <c r="K218" s="94">
        <v>298570</v>
      </c>
      <c r="L218" s="91" t="s">
        <v>264</v>
      </c>
      <c r="M218" s="2"/>
      <c r="N218" s="2"/>
      <c r="O218" s="4"/>
    </row>
    <row r="219" spans="1:15" x14ac:dyDescent="0.2">
      <c r="A219" s="91" t="s">
        <v>478</v>
      </c>
      <c r="B219" s="91" t="s">
        <v>1076</v>
      </c>
      <c r="C219" s="95">
        <v>11</v>
      </c>
      <c r="D219" s="95">
        <v>18</v>
      </c>
      <c r="E219" s="95">
        <v>29</v>
      </c>
      <c r="F219" s="95">
        <v>334132</v>
      </c>
      <c r="G219" s="95">
        <v>803146</v>
      </c>
      <c r="H219" s="95">
        <v>1137278</v>
      </c>
      <c r="I219" s="91" t="s">
        <v>485</v>
      </c>
      <c r="J219" s="91" t="s">
        <v>90</v>
      </c>
      <c r="K219" s="94">
        <v>299511</v>
      </c>
      <c r="L219" s="91" t="s">
        <v>645</v>
      </c>
      <c r="M219" s="2"/>
      <c r="N219" s="2"/>
      <c r="O219" s="4"/>
    </row>
    <row r="220" spans="1:15" x14ac:dyDescent="0.2">
      <c r="A220" s="91" t="s">
        <v>109</v>
      </c>
      <c r="B220" s="91" t="s">
        <v>1081</v>
      </c>
      <c r="C220" s="95">
        <v>60</v>
      </c>
      <c r="D220" s="95">
        <v>102</v>
      </c>
      <c r="E220" s="95">
        <v>162</v>
      </c>
      <c r="F220" s="95">
        <v>1960599</v>
      </c>
      <c r="G220" s="95">
        <v>4267635</v>
      </c>
      <c r="H220" s="95">
        <v>6228234</v>
      </c>
      <c r="I220" s="91" t="s">
        <v>485</v>
      </c>
      <c r="J220" s="91" t="s">
        <v>89</v>
      </c>
      <c r="K220" s="94">
        <v>299636</v>
      </c>
      <c r="L220" s="91" t="s">
        <v>271</v>
      </c>
      <c r="M220" s="2"/>
      <c r="N220" s="2"/>
      <c r="O220" s="4"/>
    </row>
    <row r="221" spans="1:15" x14ac:dyDescent="0.2">
      <c r="A221" s="91" t="s">
        <v>170</v>
      </c>
      <c r="B221" s="91" t="s">
        <v>1046</v>
      </c>
      <c r="C221" s="95">
        <v>119</v>
      </c>
      <c r="D221" s="95">
        <v>259</v>
      </c>
      <c r="E221" s="95">
        <v>378</v>
      </c>
      <c r="F221" s="95">
        <v>3158600</v>
      </c>
      <c r="G221" s="95">
        <v>9492353</v>
      </c>
      <c r="H221" s="95">
        <v>12650953</v>
      </c>
      <c r="I221" s="91" t="s">
        <v>485</v>
      </c>
      <c r="J221" s="91" t="s">
        <v>89</v>
      </c>
      <c r="K221" s="94">
        <v>299693</v>
      </c>
      <c r="L221" s="91" t="s">
        <v>591</v>
      </c>
      <c r="M221" s="2"/>
      <c r="N221" s="2"/>
      <c r="O221" s="4"/>
    </row>
    <row r="222" spans="1:15" x14ac:dyDescent="0.2">
      <c r="A222" s="91" t="s">
        <v>72</v>
      </c>
      <c r="B222" s="91" t="s">
        <v>75</v>
      </c>
      <c r="C222" s="95">
        <v>2729</v>
      </c>
      <c r="D222" s="95">
        <v>3493</v>
      </c>
      <c r="E222" s="95">
        <v>6222</v>
      </c>
      <c r="F222" s="95">
        <v>85693554</v>
      </c>
      <c r="G222" s="95">
        <v>129334702</v>
      </c>
      <c r="H222" s="95">
        <v>215028256</v>
      </c>
      <c r="I222" s="91" t="s">
        <v>485</v>
      </c>
      <c r="J222" s="91" t="s">
        <v>89</v>
      </c>
      <c r="K222" s="94">
        <v>300996</v>
      </c>
      <c r="L222" s="91" t="s">
        <v>46</v>
      </c>
      <c r="M222" s="2"/>
      <c r="N222" s="2"/>
      <c r="O222" s="4"/>
    </row>
    <row r="223" spans="1:15" x14ac:dyDescent="0.2">
      <c r="A223" s="91" t="s">
        <v>565</v>
      </c>
      <c r="B223" s="91" t="s">
        <v>577</v>
      </c>
      <c r="C223" s="95">
        <v>5112</v>
      </c>
      <c r="D223" s="95">
        <v>4903</v>
      </c>
      <c r="E223" s="95">
        <v>10015</v>
      </c>
      <c r="F223" s="95">
        <v>268109952</v>
      </c>
      <c r="G223" s="95">
        <v>303672616</v>
      </c>
      <c r="H223" s="95">
        <v>571782568</v>
      </c>
      <c r="I223" s="91" t="s">
        <v>585</v>
      </c>
      <c r="J223" s="91" t="s">
        <v>89</v>
      </c>
      <c r="K223" s="94">
        <v>301580</v>
      </c>
      <c r="L223" s="91" t="s">
        <v>616</v>
      </c>
      <c r="M223" s="2"/>
      <c r="N223" s="2"/>
      <c r="O223" s="4"/>
    </row>
    <row r="224" spans="1:15" x14ac:dyDescent="0.2">
      <c r="A224" s="91" t="s">
        <v>227</v>
      </c>
      <c r="B224" s="91" t="s">
        <v>424</v>
      </c>
      <c r="C224" s="95">
        <v>1405</v>
      </c>
      <c r="D224" s="95">
        <v>1259</v>
      </c>
      <c r="E224" s="95">
        <v>2664</v>
      </c>
      <c r="F224" s="95">
        <v>34287149</v>
      </c>
      <c r="G224" s="95">
        <v>37208396</v>
      </c>
      <c r="H224" s="95">
        <v>71495545</v>
      </c>
      <c r="I224" s="91" t="s">
        <v>485</v>
      </c>
      <c r="J224" s="91" t="s">
        <v>91</v>
      </c>
      <c r="K224" s="94">
        <v>302760</v>
      </c>
      <c r="L224" s="91" t="s">
        <v>591</v>
      </c>
      <c r="M224" s="2"/>
      <c r="N224" s="2"/>
      <c r="O224" s="4"/>
    </row>
    <row r="225" spans="1:15" x14ac:dyDescent="0.2">
      <c r="A225" s="91" t="s">
        <v>109</v>
      </c>
      <c r="B225" s="91" t="s">
        <v>403</v>
      </c>
      <c r="C225" s="95">
        <v>228</v>
      </c>
      <c r="D225" s="95">
        <v>323</v>
      </c>
      <c r="E225" s="95">
        <v>551</v>
      </c>
      <c r="F225" s="95">
        <v>5373701</v>
      </c>
      <c r="G225" s="95">
        <v>11731823</v>
      </c>
      <c r="H225" s="95">
        <v>17105524</v>
      </c>
      <c r="I225" s="91" t="s">
        <v>485</v>
      </c>
      <c r="J225" s="91" t="s">
        <v>89</v>
      </c>
      <c r="K225" s="94">
        <v>303230</v>
      </c>
      <c r="L225" s="91" t="s">
        <v>636</v>
      </c>
      <c r="M225" s="2"/>
      <c r="N225" s="2"/>
      <c r="O225" s="4"/>
    </row>
    <row r="226" spans="1:15" x14ac:dyDescent="0.2">
      <c r="A226" s="91" t="s">
        <v>109</v>
      </c>
      <c r="B226" s="91" t="s">
        <v>454</v>
      </c>
      <c r="C226" s="95">
        <v>13162</v>
      </c>
      <c r="D226" s="95">
        <v>12825</v>
      </c>
      <c r="E226" s="95">
        <v>25987</v>
      </c>
      <c r="F226" s="95">
        <v>344343790</v>
      </c>
      <c r="G226" s="95">
        <v>378383481</v>
      </c>
      <c r="H226" s="95">
        <v>722727271</v>
      </c>
      <c r="I226" s="91" t="s">
        <v>485</v>
      </c>
      <c r="J226" s="91" t="s">
        <v>89</v>
      </c>
      <c r="K226" s="94">
        <v>303412</v>
      </c>
      <c r="L226" s="91" t="s">
        <v>636</v>
      </c>
      <c r="M226" s="2"/>
      <c r="N226" s="2"/>
      <c r="O226" s="4"/>
    </row>
    <row r="227" spans="1:15" x14ac:dyDescent="0.2">
      <c r="A227" s="91" t="s">
        <v>72</v>
      </c>
      <c r="B227" s="91" t="s">
        <v>30</v>
      </c>
      <c r="C227" s="95">
        <v>266</v>
      </c>
      <c r="D227" s="95">
        <v>429</v>
      </c>
      <c r="E227" s="95">
        <v>695</v>
      </c>
      <c r="F227" s="95">
        <v>7083808</v>
      </c>
      <c r="G227" s="95">
        <v>15370244</v>
      </c>
      <c r="H227" s="95">
        <v>22454052</v>
      </c>
      <c r="I227" s="91" t="s">
        <v>485</v>
      </c>
      <c r="J227" s="91" t="s">
        <v>89</v>
      </c>
      <c r="K227" s="94">
        <v>304659</v>
      </c>
      <c r="L227" s="91" t="s">
        <v>324</v>
      </c>
      <c r="M227" s="2"/>
      <c r="N227" s="2"/>
      <c r="O227" s="4"/>
    </row>
    <row r="228" spans="1:15" x14ac:dyDescent="0.2">
      <c r="A228" s="91" t="s">
        <v>207</v>
      </c>
      <c r="B228" s="91" t="s">
        <v>245</v>
      </c>
      <c r="C228" s="95">
        <v>1941</v>
      </c>
      <c r="D228" s="95">
        <v>3471</v>
      </c>
      <c r="E228" s="95">
        <v>5412</v>
      </c>
      <c r="F228" s="95">
        <v>56475202</v>
      </c>
      <c r="G228" s="95">
        <v>145391099</v>
      </c>
      <c r="H228" s="95">
        <v>201866301</v>
      </c>
      <c r="I228" s="91" t="s">
        <v>485</v>
      </c>
      <c r="J228" s="91" t="s">
        <v>89</v>
      </c>
      <c r="K228" s="94">
        <v>305003</v>
      </c>
      <c r="L228" s="91" t="s">
        <v>636</v>
      </c>
      <c r="M228" s="2"/>
      <c r="N228" s="2"/>
      <c r="O228" s="4"/>
    </row>
    <row r="229" spans="1:15" x14ac:dyDescent="0.2">
      <c r="A229" s="91" t="s">
        <v>368</v>
      </c>
      <c r="B229" s="91" t="s">
        <v>632</v>
      </c>
      <c r="C229" s="95">
        <v>14708</v>
      </c>
      <c r="D229" s="95">
        <v>15668</v>
      </c>
      <c r="E229" s="95">
        <v>30376</v>
      </c>
      <c r="F229" s="95">
        <v>754192749</v>
      </c>
      <c r="G229" s="95">
        <v>1077278723</v>
      </c>
      <c r="H229" s="95">
        <v>1831471472</v>
      </c>
      <c r="I229" s="91" t="s">
        <v>585</v>
      </c>
      <c r="J229" s="91" t="s">
        <v>90</v>
      </c>
      <c r="K229" s="94">
        <v>305185</v>
      </c>
      <c r="L229" s="91" t="s">
        <v>633</v>
      </c>
      <c r="M229" s="2"/>
      <c r="N229" s="2"/>
      <c r="O229" s="4"/>
    </row>
    <row r="230" spans="1:15" x14ac:dyDescent="0.2">
      <c r="A230" s="91" t="s">
        <v>121</v>
      </c>
      <c r="B230" s="91" t="s">
        <v>128</v>
      </c>
      <c r="C230" s="95">
        <v>7274</v>
      </c>
      <c r="D230" s="95">
        <v>8168</v>
      </c>
      <c r="E230" s="95">
        <v>15442</v>
      </c>
      <c r="F230" s="95">
        <v>165891529</v>
      </c>
      <c r="G230" s="95">
        <v>242189095</v>
      </c>
      <c r="H230" s="95">
        <v>408080624</v>
      </c>
      <c r="I230" s="91" t="s">
        <v>485</v>
      </c>
      <c r="J230" s="91" t="s">
        <v>89</v>
      </c>
      <c r="K230" s="94">
        <v>305243</v>
      </c>
      <c r="L230" s="91" t="s">
        <v>610</v>
      </c>
      <c r="M230" s="2"/>
      <c r="N230" s="2"/>
      <c r="O230" s="4"/>
    </row>
    <row r="231" spans="1:15" x14ac:dyDescent="0.2">
      <c r="A231" s="91" t="s">
        <v>227</v>
      </c>
      <c r="B231" s="91" t="s">
        <v>1099</v>
      </c>
      <c r="C231" s="95">
        <v>1</v>
      </c>
      <c r="D231" s="95">
        <v>4</v>
      </c>
      <c r="E231" s="95">
        <v>5</v>
      </c>
      <c r="F231" s="95">
        <v>231</v>
      </c>
      <c r="G231" s="95">
        <v>202242</v>
      </c>
      <c r="H231" s="95">
        <v>202473</v>
      </c>
      <c r="I231" s="91" t="s">
        <v>585</v>
      </c>
      <c r="J231" s="91" t="s">
        <v>91</v>
      </c>
      <c r="K231" s="94">
        <v>305532</v>
      </c>
      <c r="L231" s="91" t="s">
        <v>1100</v>
      </c>
      <c r="M231" s="2"/>
      <c r="N231" s="2"/>
      <c r="O231" s="4"/>
    </row>
    <row r="232" spans="1:15" x14ac:dyDescent="0.2">
      <c r="A232" s="91" t="s">
        <v>109</v>
      </c>
      <c r="B232" s="91" t="s">
        <v>301</v>
      </c>
      <c r="C232" s="95">
        <v>3</v>
      </c>
      <c r="D232" s="95">
        <v>4</v>
      </c>
      <c r="E232" s="95">
        <v>7</v>
      </c>
      <c r="F232" s="95">
        <v>59182</v>
      </c>
      <c r="G232" s="95">
        <v>103423</v>
      </c>
      <c r="H232" s="95">
        <v>162605</v>
      </c>
      <c r="I232" s="91" t="s">
        <v>485</v>
      </c>
      <c r="J232" s="91" t="s">
        <v>89</v>
      </c>
      <c r="K232" s="94">
        <v>306894</v>
      </c>
      <c r="L232" s="91" t="s">
        <v>271</v>
      </c>
      <c r="M232" s="2"/>
      <c r="N232" s="2"/>
      <c r="O232" s="4"/>
    </row>
    <row r="233" spans="1:15" x14ac:dyDescent="0.2">
      <c r="A233" s="91" t="s">
        <v>368</v>
      </c>
      <c r="B233" s="91" t="s">
        <v>282</v>
      </c>
      <c r="C233" s="95">
        <v>1660</v>
      </c>
      <c r="D233" s="95">
        <v>1510</v>
      </c>
      <c r="E233" s="95">
        <v>3170</v>
      </c>
      <c r="F233" s="95">
        <v>44914766</v>
      </c>
      <c r="G233" s="95">
        <v>57008277</v>
      </c>
      <c r="H233" s="95">
        <v>101923043</v>
      </c>
      <c r="I233" s="91" t="s">
        <v>585</v>
      </c>
      <c r="J233" s="91" t="s">
        <v>90</v>
      </c>
      <c r="K233" s="94">
        <v>308908</v>
      </c>
      <c r="L233" s="91" t="s">
        <v>516</v>
      </c>
      <c r="M233" s="2"/>
      <c r="N233" s="2"/>
      <c r="O233" s="4"/>
    </row>
    <row r="234" spans="1:15" x14ac:dyDescent="0.2">
      <c r="A234" s="91" t="s">
        <v>38</v>
      </c>
      <c r="B234" s="91" t="s">
        <v>1043</v>
      </c>
      <c r="C234" s="95">
        <v>97</v>
      </c>
      <c r="D234" s="95">
        <v>124</v>
      </c>
      <c r="E234" s="95">
        <v>221</v>
      </c>
      <c r="F234" s="95">
        <v>2661761</v>
      </c>
      <c r="G234" s="95">
        <v>3756699</v>
      </c>
      <c r="H234" s="95">
        <v>6418460</v>
      </c>
      <c r="I234" s="91" t="s">
        <v>485</v>
      </c>
      <c r="J234" s="91" t="s">
        <v>89</v>
      </c>
      <c r="K234" s="94">
        <v>309492</v>
      </c>
      <c r="L234" s="91" t="s">
        <v>48</v>
      </c>
      <c r="M234" s="2"/>
      <c r="N234" s="2"/>
      <c r="O234" s="4"/>
    </row>
    <row r="235" spans="1:15" x14ac:dyDescent="0.2">
      <c r="A235" s="91" t="s">
        <v>207</v>
      </c>
      <c r="B235" s="91" t="s">
        <v>914</v>
      </c>
      <c r="C235" s="95">
        <v>219</v>
      </c>
      <c r="D235" s="95">
        <v>393</v>
      </c>
      <c r="E235" s="95">
        <v>612</v>
      </c>
      <c r="F235" s="95">
        <v>6689625</v>
      </c>
      <c r="G235" s="95">
        <v>13549494</v>
      </c>
      <c r="H235" s="95">
        <v>20239119</v>
      </c>
      <c r="I235" s="91" t="s">
        <v>485</v>
      </c>
      <c r="J235" s="91" t="s">
        <v>89</v>
      </c>
      <c r="K235" s="94">
        <v>311027</v>
      </c>
      <c r="L235" s="91" t="s">
        <v>621</v>
      </c>
      <c r="M235" s="2"/>
      <c r="N235" s="2"/>
      <c r="O235" s="4"/>
    </row>
    <row r="236" spans="1:15" x14ac:dyDescent="0.2">
      <c r="A236" s="91" t="s">
        <v>207</v>
      </c>
      <c r="B236" s="91" t="s">
        <v>880</v>
      </c>
      <c r="C236" s="95">
        <v>227</v>
      </c>
      <c r="D236" s="95">
        <v>640</v>
      </c>
      <c r="E236" s="95">
        <v>867</v>
      </c>
      <c r="F236" s="95">
        <v>9898774</v>
      </c>
      <c r="G236" s="95">
        <v>34777424</v>
      </c>
      <c r="H236" s="95">
        <v>44676198</v>
      </c>
      <c r="I236" s="91" t="s">
        <v>585</v>
      </c>
      <c r="J236" s="91" t="s">
        <v>89</v>
      </c>
      <c r="K236" s="94">
        <v>312850</v>
      </c>
      <c r="L236" s="91" t="s">
        <v>853</v>
      </c>
      <c r="M236" s="2"/>
      <c r="N236" s="2"/>
      <c r="O236" s="4"/>
    </row>
    <row r="237" spans="1:15" x14ac:dyDescent="0.2">
      <c r="A237" s="91" t="s">
        <v>202</v>
      </c>
      <c r="B237" s="91" t="s">
        <v>1066</v>
      </c>
      <c r="C237" s="95">
        <v>48486</v>
      </c>
      <c r="D237" s="95">
        <v>44664</v>
      </c>
      <c r="E237" s="95">
        <v>93150</v>
      </c>
      <c r="F237" s="95">
        <v>1666352463</v>
      </c>
      <c r="G237" s="95">
        <v>1842222153</v>
      </c>
      <c r="H237" s="95">
        <v>3508574616</v>
      </c>
      <c r="I237" s="91" t="s">
        <v>485</v>
      </c>
      <c r="J237" s="91" t="s">
        <v>89</v>
      </c>
      <c r="K237" s="94">
        <v>313155</v>
      </c>
      <c r="L237" s="91" t="s">
        <v>594</v>
      </c>
      <c r="M237" s="2"/>
      <c r="N237" s="2"/>
      <c r="O237" s="4"/>
    </row>
    <row r="238" spans="1:15" x14ac:dyDescent="0.2">
      <c r="A238" s="91" t="s">
        <v>207</v>
      </c>
      <c r="B238" s="91" t="s">
        <v>208</v>
      </c>
      <c r="C238" s="95">
        <v>23178</v>
      </c>
      <c r="D238" s="95">
        <v>29105</v>
      </c>
      <c r="E238" s="95">
        <v>52283</v>
      </c>
      <c r="F238" s="95">
        <v>1097055987</v>
      </c>
      <c r="G238" s="95">
        <v>1637465181</v>
      </c>
      <c r="H238" s="95">
        <v>2734521168</v>
      </c>
      <c r="I238" s="91" t="s">
        <v>585</v>
      </c>
      <c r="J238" s="91" t="s">
        <v>89</v>
      </c>
      <c r="K238" s="94">
        <v>313742</v>
      </c>
      <c r="L238" s="91" t="s">
        <v>1035</v>
      </c>
      <c r="M238" s="2"/>
      <c r="N238" s="2"/>
      <c r="O238" s="4"/>
    </row>
    <row r="239" spans="1:15" x14ac:dyDescent="0.2">
      <c r="A239" s="91" t="s">
        <v>254</v>
      </c>
      <c r="B239" s="91" t="s">
        <v>827</v>
      </c>
      <c r="C239" s="95">
        <v>3390</v>
      </c>
      <c r="D239" s="95">
        <v>2447</v>
      </c>
      <c r="E239" s="95">
        <v>5837</v>
      </c>
      <c r="F239" s="95">
        <v>338876581</v>
      </c>
      <c r="G239" s="95">
        <v>279442430</v>
      </c>
      <c r="H239" s="95">
        <v>618319012</v>
      </c>
      <c r="I239" s="91" t="s">
        <v>485</v>
      </c>
      <c r="J239" s="91" t="s">
        <v>92</v>
      </c>
      <c r="K239" s="94">
        <v>314682</v>
      </c>
      <c r="L239" s="91" t="s">
        <v>826</v>
      </c>
      <c r="M239" s="2"/>
      <c r="N239" s="2"/>
      <c r="O239" s="4"/>
    </row>
    <row r="240" spans="1:15" x14ac:dyDescent="0.2">
      <c r="A240" s="91" t="s">
        <v>72</v>
      </c>
      <c r="B240" s="91" t="s">
        <v>779</v>
      </c>
      <c r="C240" s="95">
        <v>117</v>
      </c>
      <c r="D240" s="95">
        <v>257</v>
      </c>
      <c r="E240" s="95">
        <v>374</v>
      </c>
      <c r="F240" s="95">
        <v>3490645</v>
      </c>
      <c r="G240" s="95">
        <v>11074098</v>
      </c>
      <c r="H240" s="95">
        <v>14564743</v>
      </c>
      <c r="I240" s="91" t="s">
        <v>585</v>
      </c>
      <c r="J240" s="91" t="s">
        <v>89</v>
      </c>
      <c r="K240" s="94">
        <v>316513</v>
      </c>
      <c r="L240" s="91" t="s">
        <v>528</v>
      </c>
      <c r="M240" s="2"/>
      <c r="N240" s="2"/>
      <c r="O240" s="4"/>
    </row>
    <row r="241" spans="1:15" x14ac:dyDescent="0.2">
      <c r="A241" s="91" t="s">
        <v>478</v>
      </c>
      <c r="B241" s="91" t="s">
        <v>10</v>
      </c>
      <c r="C241" s="95">
        <v>319</v>
      </c>
      <c r="D241" s="95">
        <v>338</v>
      </c>
      <c r="E241" s="95">
        <v>657</v>
      </c>
      <c r="F241" s="95">
        <v>7515418</v>
      </c>
      <c r="G241" s="95">
        <v>10047545</v>
      </c>
      <c r="H241" s="95">
        <v>17562963</v>
      </c>
      <c r="I241" s="91" t="s">
        <v>485</v>
      </c>
      <c r="J241" s="91" t="s">
        <v>90</v>
      </c>
      <c r="K241" s="94">
        <v>316752</v>
      </c>
      <c r="L241" s="91" t="s">
        <v>320</v>
      </c>
      <c r="M241" s="2"/>
      <c r="N241" s="2"/>
      <c r="O241" s="4"/>
    </row>
    <row r="242" spans="1:15" x14ac:dyDescent="0.2">
      <c r="A242" s="91" t="s">
        <v>38</v>
      </c>
      <c r="B242" s="91" t="s">
        <v>670</v>
      </c>
      <c r="C242" s="95">
        <v>456</v>
      </c>
      <c r="D242" s="95">
        <v>428</v>
      </c>
      <c r="E242" s="95">
        <v>884</v>
      </c>
      <c r="F242" s="95">
        <v>10767382</v>
      </c>
      <c r="G242" s="95">
        <v>12426345</v>
      </c>
      <c r="H242" s="95">
        <v>23193727</v>
      </c>
      <c r="I242" s="91" t="s">
        <v>485</v>
      </c>
      <c r="J242" s="91" t="s">
        <v>89</v>
      </c>
      <c r="K242" s="94">
        <v>317404</v>
      </c>
      <c r="L242" s="91" t="s">
        <v>268</v>
      </c>
      <c r="M242" s="2"/>
      <c r="N242" s="2"/>
      <c r="O242" s="4"/>
    </row>
    <row r="243" spans="1:15" x14ac:dyDescent="0.2">
      <c r="A243" s="91" t="s">
        <v>121</v>
      </c>
      <c r="B243" s="91" t="s">
        <v>626</v>
      </c>
      <c r="C243" s="95">
        <v>141</v>
      </c>
      <c r="D243" s="95">
        <v>204</v>
      </c>
      <c r="E243" s="95">
        <v>345</v>
      </c>
      <c r="F243" s="95">
        <v>3309518</v>
      </c>
      <c r="G243" s="95">
        <v>5870429</v>
      </c>
      <c r="H243" s="95">
        <v>9179947</v>
      </c>
      <c r="I243" s="91" t="s">
        <v>485</v>
      </c>
      <c r="J243" s="91" t="s">
        <v>89</v>
      </c>
      <c r="K243" s="94">
        <v>317990</v>
      </c>
      <c r="L243" s="91" t="s">
        <v>268</v>
      </c>
      <c r="M243" s="2"/>
      <c r="N243" s="2"/>
      <c r="O243" s="4"/>
    </row>
    <row r="244" spans="1:15" x14ac:dyDescent="0.2">
      <c r="A244" s="91" t="s">
        <v>180</v>
      </c>
      <c r="B244" s="91" t="s">
        <v>395</v>
      </c>
      <c r="C244" s="95">
        <v>213</v>
      </c>
      <c r="D244" s="95">
        <v>302</v>
      </c>
      <c r="E244" s="95">
        <v>515</v>
      </c>
      <c r="F244" s="95">
        <v>5150583</v>
      </c>
      <c r="G244" s="95">
        <v>10880254</v>
      </c>
      <c r="H244" s="95">
        <v>16030837</v>
      </c>
      <c r="I244" s="91" t="s">
        <v>485</v>
      </c>
      <c r="J244" s="91" t="s">
        <v>89</v>
      </c>
      <c r="K244" s="94">
        <v>318469</v>
      </c>
      <c r="L244" s="91" t="s">
        <v>393</v>
      </c>
      <c r="M244" s="2"/>
      <c r="N244" s="2"/>
      <c r="O244" s="4"/>
    </row>
    <row r="245" spans="1:15" x14ac:dyDescent="0.2">
      <c r="A245" s="91" t="s">
        <v>72</v>
      </c>
      <c r="B245" s="91" t="s">
        <v>381</v>
      </c>
      <c r="C245" s="95">
        <v>9601</v>
      </c>
      <c r="D245" s="95">
        <v>11651</v>
      </c>
      <c r="E245" s="95">
        <v>21252</v>
      </c>
      <c r="F245" s="95">
        <v>243937035</v>
      </c>
      <c r="G245" s="95">
        <v>377365292</v>
      </c>
      <c r="H245" s="95">
        <v>621302327</v>
      </c>
      <c r="I245" s="91" t="s">
        <v>585</v>
      </c>
      <c r="J245" s="91" t="s">
        <v>89</v>
      </c>
      <c r="K245" s="94">
        <v>319236</v>
      </c>
      <c r="L245" s="91" t="s">
        <v>133</v>
      </c>
      <c r="M245" s="2"/>
      <c r="N245" s="2"/>
      <c r="O245" s="4"/>
    </row>
    <row r="246" spans="1:15" x14ac:dyDescent="0.2">
      <c r="A246" s="91" t="s">
        <v>207</v>
      </c>
      <c r="B246" s="91" t="s">
        <v>712</v>
      </c>
      <c r="C246" s="95">
        <v>951</v>
      </c>
      <c r="D246" s="95">
        <v>1475</v>
      </c>
      <c r="E246" s="95">
        <v>2426</v>
      </c>
      <c r="F246" s="95">
        <v>35825147</v>
      </c>
      <c r="G246" s="95">
        <v>64736940</v>
      </c>
      <c r="H246" s="95">
        <v>100562087</v>
      </c>
      <c r="I246" s="91" t="s">
        <v>585</v>
      </c>
      <c r="J246" s="91" t="s">
        <v>89</v>
      </c>
      <c r="K246" s="94">
        <v>320176</v>
      </c>
      <c r="L246" s="91" t="s">
        <v>649</v>
      </c>
      <c r="M246" s="2"/>
      <c r="N246" s="2"/>
      <c r="O246" s="4"/>
    </row>
    <row r="247" spans="1:15" x14ac:dyDescent="0.2">
      <c r="A247" s="91" t="s">
        <v>109</v>
      </c>
      <c r="B247" s="91" t="s">
        <v>322</v>
      </c>
      <c r="C247" s="95">
        <v>1857</v>
      </c>
      <c r="D247" s="95">
        <v>2389</v>
      </c>
      <c r="E247" s="95">
        <v>4246</v>
      </c>
      <c r="F247" s="95">
        <v>52880276</v>
      </c>
      <c r="G247" s="95">
        <v>85290091</v>
      </c>
      <c r="H247" s="95">
        <v>138170367</v>
      </c>
      <c r="I247" s="91" t="s">
        <v>485</v>
      </c>
      <c r="J247" s="91" t="s">
        <v>89</v>
      </c>
      <c r="K247" s="94">
        <v>320358</v>
      </c>
      <c r="L247" s="91" t="s">
        <v>46</v>
      </c>
      <c r="M247" s="2"/>
      <c r="N247" s="2"/>
      <c r="O247" s="4"/>
    </row>
    <row r="248" spans="1:15" x14ac:dyDescent="0.2">
      <c r="A248" s="91" t="s">
        <v>353</v>
      </c>
      <c r="B248" s="91" t="s">
        <v>781</v>
      </c>
      <c r="C248" s="95">
        <v>359</v>
      </c>
      <c r="D248" s="95">
        <v>437</v>
      </c>
      <c r="E248" s="95">
        <v>796</v>
      </c>
      <c r="F248" s="95">
        <v>22437229</v>
      </c>
      <c r="G248" s="95">
        <v>34347351</v>
      </c>
      <c r="H248" s="95">
        <v>56784581</v>
      </c>
      <c r="I248" s="91" t="s">
        <v>585</v>
      </c>
      <c r="J248" s="91" t="s">
        <v>92</v>
      </c>
      <c r="K248" s="94">
        <v>320762</v>
      </c>
      <c r="L248" s="91" t="s">
        <v>133</v>
      </c>
      <c r="M248" s="2"/>
      <c r="N248" s="2"/>
      <c r="O248" s="4"/>
    </row>
    <row r="249" spans="1:15" x14ac:dyDescent="0.2">
      <c r="A249" s="91" t="s">
        <v>227</v>
      </c>
      <c r="B249" s="91" t="s">
        <v>996</v>
      </c>
      <c r="C249" s="95">
        <v>9296</v>
      </c>
      <c r="D249" s="95">
        <v>7237</v>
      </c>
      <c r="E249" s="95">
        <v>16533</v>
      </c>
      <c r="F249" s="95">
        <v>1021839633</v>
      </c>
      <c r="G249" s="95">
        <v>893122732</v>
      </c>
      <c r="H249" s="95">
        <v>1914962365</v>
      </c>
      <c r="I249" s="91" t="s">
        <v>585</v>
      </c>
      <c r="J249" s="91" t="s">
        <v>91</v>
      </c>
      <c r="K249" s="94">
        <v>322008</v>
      </c>
      <c r="L249" s="91" t="s">
        <v>853</v>
      </c>
      <c r="M249" s="2"/>
      <c r="N249" s="2"/>
      <c r="O249" s="4"/>
    </row>
    <row r="250" spans="1:15" x14ac:dyDescent="0.2">
      <c r="A250" s="91" t="s">
        <v>478</v>
      </c>
      <c r="B250" s="91" t="s">
        <v>894</v>
      </c>
      <c r="C250" s="95">
        <v>24</v>
      </c>
      <c r="D250" s="95">
        <v>41</v>
      </c>
      <c r="E250" s="95">
        <v>65</v>
      </c>
      <c r="F250" s="95">
        <v>703892</v>
      </c>
      <c r="G250" s="95">
        <v>1326505</v>
      </c>
      <c r="H250" s="95">
        <v>2030397</v>
      </c>
      <c r="I250" s="91" t="s">
        <v>485</v>
      </c>
      <c r="J250" s="91" t="s">
        <v>90</v>
      </c>
      <c r="K250" s="94">
        <v>323832</v>
      </c>
      <c r="L250" s="91" t="s">
        <v>93</v>
      </c>
      <c r="M250" s="2"/>
      <c r="N250" s="2"/>
      <c r="O250" s="4"/>
    </row>
    <row r="251" spans="1:15" x14ac:dyDescent="0.2">
      <c r="A251" s="91" t="s">
        <v>227</v>
      </c>
      <c r="B251" s="91" t="s">
        <v>460</v>
      </c>
      <c r="C251" s="95">
        <v>16</v>
      </c>
      <c r="D251" s="95">
        <v>9</v>
      </c>
      <c r="E251" s="95">
        <v>25</v>
      </c>
      <c r="F251" s="95">
        <v>358230</v>
      </c>
      <c r="G251" s="95">
        <v>256942</v>
      </c>
      <c r="H251" s="95">
        <v>615172</v>
      </c>
      <c r="I251" s="91" t="s">
        <v>485</v>
      </c>
      <c r="J251" s="91" t="s">
        <v>91</v>
      </c>
      <c r="K251" s="94">
        <v>323899</v>
      </c>
      <c r="L251" s="91" t="s">
        <v>46</v>
      </c>
      <c r="M251" s="2"/>
      <c r="N251" s="2"/>
      <c r="O251" s="4"/>
    </row>
    <row r="252" spans="1:15" x14ac:dyDescent="0.2">
      <c r="A252" s="91" t="s">
        <v>180</v>
      </c>
      <c r="B252" s="91" t="s">
        <v>183</v>
      </c>
      <c r="C252" s="95">
        <v>340</v>
      </c>
      <c r="D252" s="95">
        <v>436</v>
      </c>
      <c r="E252" s="95">
        <v>776</v>
      </c>
      <c r="F252" s="95">
        <v>10503139</v>
      </c>
      <c r="G252" s="95">
        <v>15557104</v>
      </c>
      <c r="H252" s="95">
        <v>26060243</v>
      </c>
      <c r="I252" s="91" t="s">
        <v>485</v>
      </c>
      <c r="J252" s="91" t="s">
        <v>89</v>
      </c>
      <c r="K252" s="94">
        <v>324665</v>
      </c>
      <c r="L252" s="91" t="s">
        <v>334</v>
      </c>
      <c r="M252" s="2"/>
      <c r="N252" s="2"/>
      <c r="O252" s="4"/>
    </row>
    <row r="253" spans="1:15" x14ac:dyDescent="0.2">
      <c r="A253" s="91" t="s">
        <v>478</v>
      </c>
      <c r="B253" s="91" t="s">
        <v>882</v>
      </c>
      <c r="C253" s="95">
        <v>3471</v>
      </c>
      <c r="D253" s="95">
        <v>3185</v>
      </c>
      <c r="E253" s="95">
        <v>6656</v>
      </c>
      <c r="F253" s="95">
        <v>90427046</v>
      </c>
      <c r="G253" s="95">
        <v>98208499</v>
      </c>
      <c r="H253" s="95">
        <v>188635546</v>
      </c>
      <c r="I253" s="91" t="s">
        <v>585</v>
      </c>
      <c r="J253" s="91" t="s">
        <v>90</v>
      </c>
      <c r="K253" s="94">
        <v>325902</v>
      </c>
      <c r="L253" s="91" t="s">
        <v>649</v>
      </c>
      <c r="M253" s="2"/>
      <c r="N253" s="2"/>
      <c r="O253" s="4"/>
    </row>
    <row r="254" spans="1:15" x14ac:dyDescent="0.2">
      <c r="A254" s="91" t="s">
        <v>515</v>
      </c>
      <c r="B254" s="91" t="s">
        <v>990</v>
      </c>
      <c r="C254" s="95">
        <v>1598</v>
      </c>
      <c r="D254" s="95">
        <v>2068</v>
      </c>
      <c r="E254" s="95">
        <v>3666</v>
      </c>
      <c r="F254" s="95">
        <v>38308392</v>
      </c>
      <c r="G254" s="95">
        <v>62025290</v>
      </c>
      <c r="H254" s="95">
        <v>100333682</v>
      </c>
      <c r="I254" s="91" t="s">
        <v>585</v>
      </c>
      <c r="J254" s="91" t="s">
        <v>89</v>
      </c>
      <c r="K254" s="94">
        <v>328021</v>
      </c>
      <c r="L254" s="91" t="s">
        <v>940</v>
      </c>
      <c r="M254" s="2"/>
      <c r="N254" s="2"/>
      <c r="O254" s="4"/>
    </row>
    <row r="255" spans="1:15" x14ac:dyDescent="0.2">
      <c r="A255" s="91" t="s">
        <v>121</v>
      </c>
      <c r="B255" s="91" t="s">
        <v>888</v>
      </c>
      <c r="C255" s="95">
        <v>0</v>
      </c>
      <c r="D255" s="95">
        <v>1</v>
      </c>
      <c r="E255" s="95">
        <v>1</v>
      </c>
      <c r="F255" s="95">
        <v>0</v>
      </c>
      <c r="G255" s="95">
        <v>31795</v>
      </c>
      <c r="H255" s="95">
        <v>31795</v>
      </c>
      <c r="I255" s="91" t="s">
        <v>485</v>
      </c>
      <c r="J255" s="91" t="s">
        <v>89</v>
      </c>
      <c r="K255" s="94">
        <v>329854</v>
      </c>
      <c r="L255" s="91" t="s">
        <v>271</v>
      </c>
      <c r="M255" s="2"/>
      <c r="N255" s="2"/>
      <c r="O255" s="4"/>
    </row>
    <row r="256" spans="1:15" x14ac:dyDescent="0.2">
      <c r="A256" s="91" t="s">
        <v>412</v>
      </c>
      <c r="B256" s="91" t="s">
        <v>413</v>
      </c>
      <c r="C256" s="95">
        <v>800</v>
      </c>
      <c r="D256" s="95">
        <v>747</v>
      </c>
      <c r="E256" s="95">
        <v>1547</v>
      </c>
      <c r="F256" s="95">
        <v>22866818</v>
      </c>
      <c r="G256" s="95">
        <v>28659998</v>
      </c>
      <c r="H256" s="95">
        <v>51526815</v>
      </c>
      <c r="I256" s="91" t="s">
        <v>585</v>
      </c>
      <c r="J256" s="91" t="s">
        <v>90</v>
      </c>
      <c r="K256" s="94">
        <v>330746</v>
      </c>
      <c r="L256" s="91" t="s">
        <v>528</v>
      </c>
      <c r="M256" s="2"/>
      <c r="N256" s="2"/>
      <c r="O256" s="4"/>
    </row>
    <row r="257" spans="1:15" x14ac:dyDescent="0.2">
      <c r="A257" s="91" t="s">
        <v>478</v>
      </c>
      <c r="B257" s="91" t="s">
        <v>836</v>
      </c>
      <c r="C257" s="95">
        <v>283</v>
      </c>
      <c r="D257" s="95">
        <v>408</v>
      </c>
      <c r="E257" s="95">
        <v>691</v>
      </c>
      <c r="F257" s="95">
        <v>13935224</v>
      </c>
      <c r="G257" s="95">
        <v>25261871</v>
      </c>
      <c r="H257" s="95">
        <v>39197095</v>
      </c>
      <c r="I257" s="91" t="s">
        <v>585</v>
      </c>
      <c r="J257" s="91" t="s">
        <v>90</v>
      </c>
      <c r="K257" s="94">
        <v>331686</v>
      </c>
      <c r="L257" s="91" t="s">
        <v>622</v>
      </c>
      <c r="M257" s="2"/>
      <c r="N257" s="2"/>
      <c r="O257" s="4"/>
    </row>
    <row r="258" spans="1:15" x14ac:dyDescent="0.2">
      <c r="A258" s="91" t="s">
        <v>368</v>
      </c>
      <c r="B258" s="91" t="s">
        <v>376</v>
      </c>
      <c r="C258" s="95">
        <v>3204</v>
      </c>
      <c r="D258" s="95">
        <v>2246</v>
      </c>
      <c r="E258" s="95">
        <v>5450</v>
      </c>
      <c r="F258" s="95">
        <v>70552232</v>
      </c>
      <c r="G258" s="95">
        <v>64858330</v>
      </c>
      <c r="H258" s="95">
        <v>135410562</v>
      </c>
      <c r="I258" s="91" t="s">
        <v>585</v>
      </c>
      <c r="J258" s="91" t="s">
        <v>90</v>
      </c>
      <c r="K258" s="94">
        <v>331983</v>
      </c>
      <c r="L258" s="91" t="s">
        <v>524</v>
      </c>
      <c r="M258" s="2"/>
      <c r="N258" s="2"/>
      <c r="O258" s="4"/>
    </row>
    <row r="259" spans="1:15" x14ac:dyDescent="0.2">
      <c r="A259" s="91" t="s">
        <v>227</v>
      </c>
      <c r="B259" s="91" t="s">
        <v>1022</v>
      </c>
      <c r="C259" s="95">
        <v>1768</v>
      </c>
      <c r="D259" s="95">
        <v>1989</v>
      </c>
      <c r="E259" s="95">
        <v>3757</v>
      </c>
      <c r="F259" s="95">
        <v>213219027</v>
      </c>
      <c r="G259" s="95">
        <v>283735334</v>
      </c>
      <c r="H259" s="95">
        <v>496954361</v>
      </c>
      <c r="I259" s="91" t="s">
        <v>585</v>
      </c>
      <c r="J259" s="91" t="s">
        <v>91</v>
      </c>
      <c r="K259" s="94">
        <v>333518</v>
      </c>
      <c r="L259" s="91" t="s">
        <v>987</v>
      </c>
      <c r="M259" s="2"/>
      <c r="N259" s="2"/>
      <c r="O259" s="4"/>
    </row>
    <row r="260" spans="1:15" x14ac:dyDescent="0.2">
      <c r="A260" s="91" t="s">
        <v>180</v>
      </c>
      <c r="B260" s="91" t="s">
        <v>890</v>
      </c>
      <c r="C260" s="95">
        <v>411</v>
      </c>
      <c r="D260" s="95">
        <v>641</v>
      </c>
      <c r="E260" s="95">
        <v>1052</v>
      </c>
      <c r="F260" s="95">
        <v>10636167</v>
      </c>
      <c r="G260" s="95">
        <v>22321986</v>
      </c>
      <c r="H260" s="95">
        <v>32958153</v>
      </c>
      <c r="I260" s="91" t="s">
        <v>485</v>
      </c>
      <c r="J260" s="91" t="s">
        <v>89</v>
      </c>
      <c r="K260" s="94">
        <v>333633</v>
      </c>
      <c r="L260" s="91" t="s">
        <v>610</v>
      </c>
      <c r="M260" s="2"/>
      <c r="N260" s="2"/>
      <c r="O260" s="4"/>
    </row>
    <row r="261" spans="1:15" x14ac:dyDescent="0.2">
      <c r="A261" s="91" t="s">
        <v>180</v>
      </c>
      <c r="B261" s="91" t="s">
        <v>182</v>
      </c>
      <c r="C261" s="95">
        <v>4008</v>
      </c>
      <c r="D261" s="95">
        <v>6913</v>
      </c>
      <c r="E261" s="95">
        <v>10921</v>
      </c>
      <c r="F261" s="95">
        <v>121707812</v>
      </c>
      <c r="G261" s="95">
        <v>294454601</v>
      </c>
      <c r="H261" s="95">
        <v>416162413</v>
      </c>
      <c r="I261" s="91" t="s">
        <v>585</v>
      </c>
      <c r="J261" s="91" t="s">
        <v>89</v>
      </c>
      <c r="K261" s="94">
        <v>333690</v>
      </c>
      <c r="L261" s="91" t="s">
        <v>943</v>
      </c>
      <c r="M261" s="2"/>
      <c r="N261" s="2"/>
      <c r="O261" s="4"/>
    </row>
    <row r="262" spans="1:15" x14ac:dyDescent="0.2">
      <c r="A262" s="91" t="s">
        <v>275</v>
      </c>
      <c r="B262" s="91" t="s">
        <v>99</v>
      </c>
      <c r="C262" s="95">
        <v>18395</v>
      </c>
      <c r="D262" s="95">
        <v>26726</v>
      </c>
      <c r="E262" s="95">
        <v>45121</v>
      </c>
      <c r="F262" s="95">
        <v>610973281</v>
      </c>
      <c r="G262" s="95">
        <v>1121454698</v>
      </c>
      <c r="H262" s="95">
        <v>1732427979</v>
      </c>
      <c r="I262" s="91" t="s">
        <v>485</v>
      </c>
      <c r="J262" s="91" t="s">
        <v>89</v>
      </c>
      <c r="K262" s="94">
        <v>334409</v>
      </c>
      <c r="L262" s="91" t="s">
        <v>264</v>
      </c>
      <c r="M262" s="2"/>
      <c r="N262" s="2"/>
      <c r="O262" s="4"/>
    </row>
    <row r="263" spans="1:15" x14ac:dyDescent="0.2">
      <c r="A263" s="91" t="s">
        <v>478</v>
      </c>
      <c r="B263" s="91" t="s">
        <v>172</v>
      </c>
      <c r="C263" s="95">
        <v>515</v>
      </c>
      <c r="D263" s="95">
        <v>578</v>
      </c>
      <c r="E263" s="95">
        <v>1093</v>
      </c>
      <c r="F263" s="95">
        <v>15307586</v>
      </c>
      <c r="G263" s="95">
        <v>21988665</v>
      </c>
      <c r="H263" s="95">
        <v>37296251</v>
      </c>
      <c r="I263" s="91" t="s">
        <v>485</v>
      </c>
      <c r="J263" s="91" t="s">
        <v>90</v>
      </c>
      <c r="K263" s="94">
        <v>335463</v>
      </c>
      <c r="L263" s="91" t="s">
        <v>271</v>
      </c>
      <c r="M263" s="2"/>
      <c r="N263" s="2"/>
      <c r="O263" s="4"/>
    </row>
    <row r="264" spans="1:15" x14ac:dyDescent="0.2">
      <c r="A264" s="91" t="s">
        <v>478</v>
      </c>
      <c r="B264" s="91" t="s">
        <v>647</v>
      </c>
      <c r="C264" s="95">
        <v>272</v>
      </c>
      <c r="D264" s="95">
        <v>374</v>
      </c>
      <c r="E264" s="95">
        <v>646</v>
      </c>
      <c r="F264" s="95">
        <v>6375849</v>
      </c>
      <c r="G264" s="95">
        <v>10808990</v>
      </c>
      <c r="H264" s="95">
        <v>17184839</v>
      </c>
      <c r="I264" s="91" t="s">
        <v>485</v>
      </c>
      <c r="J264" s="91" t="s">
        <v>90</v>
      </c>
      <c r="K264" s="94">
        <v>336115</v>
      </c>
      <c r="L264" s="91" t="s">
        <v>584</v>
      </c>
      <c r="M264" s="2"/>
      <c r="N264" s="2"/>
      <c r="O264" s="4"/>
    </row>
    <row r="265" spans="1:15" x14ac:dyDescent="0.2">
      <c r="A265" s="91" t="s">
        <v>38</v>
      </c>
      <c r="B265" s="91" t="s">
        <v>47</v>
      </c>
      <c r="C265" s="95">
        <v>6115</v>
      </c>
      <c r="D265" s="95">
        <v>7388</v>
      </c>
      <c r="E265" s="95">
        <v>13503</v>
      </c>
      <c r="F265" s="95">
        <v>184111567</v>
      </c>
      <c r="G265" s="95">
        <v>263043406</v>
      </c>
      <c r="H265" s="95">
        <v>447154973</v>
      </c>
      <c r="I265" s="91" t="s">
        <v>485</v>
      </c>
      <c r="J265" s="91" t="s">
        <v>89</v>
      </c>
      <c r="K265" s="94">
        <v>336826</v>
      </c>
      <c r="L265" s="91" t="s">
        <v>46</v>
      </c>
      <c r="M265" s="2"/>
      <c r="N265" s="2"/>
      <c r="O265" s="4"/>
    </row>
    <row r="266" spans="1:15" x14ac:dyDescent="0.2">
      <c r="A266" s="91" t="s">
        <v>207</v>
      </c>
      <c r="B266" s="91" t="s">
        <v>425</v>
      </c>
      <c r="C266" s="95">
        <v>5321</v>
      </c>
      <c r="D266" s="95">
        <v>7985</v>
      </c>
      <c r="E266" s="95">
        <v>13306</v>
      </c>
      <c r="F266" s="95">
        <v>115983162</v>
      </c>
      <c r="G266" s="95">
        <v>256770002</v>
      </c>
      <c r="H266" s="95">
        <v>372753164</v>
      </c>
      <c r="I266" s="91" t="s">
        <v>485</v>
      </c>
      <c r="J266" s="91" t="s">
        <v>89</v>
      </c>
      <c r="K266" s="94">
        <v>338590</v>
      </c>
      <c r="L266" s="91" t="s">
        <v>591</v>
      </c>
      <c r="M266" s="2"/>
      <c r="N266" s="2"/>
      <c r="O266" s="4"/>
    </row>
    <row r="267" spans="1:15" x14ac:dyDescent="0.2">
      <c r="A267" s="91" t="s">
        <v>109</v>
      </c>
      <c r="B267" s="91" t="s">
        <v>724</v>
      </c>
      <c r="C267" s="95">
        <v>1276</v>
      </c>
      <c r="D267" s="95">
        <v>2162</v>
      </c>
      <c r="E267" s="95">
        <v>3438</v>
      </c>
      <c r="F267" s="95">
        <v>238932056</v>
      </c>
      <c r="G267" s="95">
        <v>448126916</v>
      </c>
      <c r="H267" s="95">
        <v>687058972</v>
      </c>
      <c r="I267" s="91" t="s">
        <v>585</v>
      </c>
      <c r="J267" s="91" t="s">
        <v>89</v>
      </c>
      <c r="K267" s="94">
        <v>339002</v>
      </c>
      <c r="L267" s="91" t="s">
        <v>1088</v>
      </c>
      <c r="M267" s="2"/>
      <c r="N267" s="2"/>
      <c r="O267" s="4"/>
    </row>
    <row r="268" spans="1:15" x14ac:dyDescent="0.2">
      <c r="A268" s="91" t="s">
        <v>515</v>
      </c>
      <c r="B268" s="91" t="s">
        <v>281</v>
      </c>
      <c r="C268" s="95">
        <v>2002</v>
      </c>
      <c r="D268" s="95">
        <v>2815</v>
      </c>
      <c r="E268" s="95">
        <v>4817</v>
      </c>
      <c r="F268" s="95">
        <v>85583015</v>
      </c>
      <c r="G268" s="95">
        <v>139594799</v>
      </c>
      <c r="H268" s="95">
        <v>225177814</v>
      </c>
      <c r="I268" s="91" t="s">
        <v>585</v>
      </c>
      <c r="J268" s="91" t="s">
        <v>89</v>
      </c>
      <c r="K268" s="94">
        <v>339184</v>
      </c>
      <c r="L268" s="91" t="s">
        <v>472</v>
      </c>
      <c r="M268" s="2"/>
      <c r="N268" s="2"/>
      <c r="O268" s="4"/>
    </row>
    <row r="269" spans="1:15" x14ac:dyDescent="0.2">
      <c r="A269" s="91" t="s">
        <v>109</v>
      </c>
      <c r="B269" s="91" t="s">
        <v>1109</v>
      </c>
      <c r="C269" s="95">
        <v>5</v>
      </c>
      <c r="D269" s="95">
        <v>25</v>
      </c>
      <c r="E269" s="95">
        <v>30</v>
      </c>
      <c r="F269" s="95">
        <v>434843</v>
      </c>
      <c r="G269" s="95">
        <v>1451298</v>
      </c>
      <c r="H269" s="95">
        <v>1886141</v>
      </c>
      <c r="I269" s="91" t="s">
        <v>585</v>
      </c>
      <c r="J269" s="91" t="s">
        <v>89</v>
      </c>
      <c r="K269" s="94">
        <v>341362</v>
      </c>
      <c r="L269" s="91" t="s">
        <v>1110</v>
      </c>
      <c r="M269" s="2"/>
      <c r="N269" s="2"/>
      <c r="O269" s="4"/>
    </row>
    <row r="270" spans="1:15" x14ac:dyDescent="0.2">
      <c r="A270" s="91" t="s">
        <v>515</v>
      </c>
      <c r="B270" s="91" t="s">
        <v>517</v>
      </c>
      <c r="C270" s="95">
        <v>3956</v>
      </c>
      <c r="D270" s="95">
        <v>3480</v>
      </c>
      <c r="E270" s="95">
        <v>7436</v>
      </c>
      <c r="F270" s="95">
        <v>157937393</v>
      </c>
      <c r="G270" s="95">
        <v>163071447</v>
      </c>
      <c r="H270" s="95">
        <v>321008839</v>
      </c>
      <c r="I270" s="91" t="s">
        <v>585</v>
      </c>
      <c r="J270" s="91" t="s">
        <v>89</v>
      </c>
      <c r="K270" s="94">
        <v>344739</v>
      </c>
      <c r="L270" s="91" t="s">
        <v>516</v>
      </c>
      <c r="M270" s="2"/>
      <c r="N270" s="2"/>
      <c r="O270" s="4"/>
    </row>
    <row r="271" spans="1:15" x14ac:dyDescent="0.2">
      <c r="A271" s="91" t="s">
        <v>478</v>
      </c>
      <c r="B271" s="91" t="s">
        <v>872</v>
      </c>
      <c r="C271" s="95">
        <v>195</v>
      </c>
      <c r="D271" s="95">
        <v>316</v>
      </c>
      <c r="E271" s="95">
        <v>511</v>
      </c>
      <c r="F271" s="95">
        <v>9741698</v>
      </c>
      <c r="G271" s="95">
        <v>20443765</v>
      </c>
      <c r="H271" s="95">
        <v>30185464</v>
      </c>
      <c r="I271" s="91" t="s">
        <v>485</v>
      </c>
      <c r="J271" s="91" t="s">
        <v>90</v>
      </c>
      <c r="K271" s="94">
        <v>348680</v>
      </c>
      <c r="L271" s="91" t="s">
        <v>42</v>
      </c>
      <c r="M271" s="2"/>
      <c r="N271" s="2"/>
      <c r="O271" s="4"/>
    </row>
    <row r="272" spans="1:15" x14ac:dyDescent="0.2">
      <c r="A272" s="91" t="s">
        <v>275</v>
      </c>
      <c r="B272" s="91" t="s">
        <v>382</v>
      </c>
      <c r="C272" s="95">
        <v>9691</v>
      </c>
      <c r="D272" s="95">
        <v>12777</v>
      </c>
      <c r="E272" s="95">
        <v>22468</v>
      </c>
      <c r="F272" s="95">
        <v>251133412</v>
      </c>
      <c r="G272" s="95">
        <v>453764696</v>
      </c>
      <c r="H272" s="95">
        <v>704898108</v>
      </c>
      <c r="I272" s="91" t="s">
        <v>585</v>
      </c>
      <c r="J272" s="91" t="s">
        <v>89</v>
      </c>
      <c r="K272" s="94">
        <v>348862</v>
      </c>
      <c r="L272" s="91" t="s">
        <v>133</v>
      </c>
      <c r="M272" s="2"/>
      <c r="N272" s="2"/>
      <c r="O272" s="4"/>
    </row>
    <row r="273" spans="1:15" x14ac:dyDescent="0.2">
      <c r="A273" s="91" t="s">
        <v>580</v>
      </c>
      <c r="B273" s="91" t="s">
        <v>1065</v>
      </c>
      <c r="C273" s="95">
        <v>5612</v>
      </c>
      <c r="D273" s="95">
        <v>5565</v>
      </c>
      <c r="E273" s="95">
        <v>11177</v>
      </c>
      <c r="F273" s="95">
        <v>164364818</v>
      </c>
      <c r="G273" s="95">
        <v>193445561</v>
      </c>
      <c r="H273" s="95">
        <v>357810378</v>
      </c>
      <c r="I273" s="91" t="s">
        <v>485</v>
      </c>
      <c r="J273" s="91" t="s">
        <v>89</v>
      </c>
      <c r="K273" s="94">
        <v>348987</v>
      </c>
      <c r="L273" s="91" t="s">
        <v>594</v>
      </c>
      <c r="M273" s="2"/>
      <c r="N273" s="2"/>
      <c r="O273" s="4"/>
    </row>
    <row r="274" spans="1:15" x14ac:dyDescent="0.2">
      <c r="A274" s="91" t="s">
        <v>258</v>
      </c>
      <c r="B274" s="91" t="s">
        <v>828</v>
      </c>
      <c r="C274" s="95">
        <v>4296</v>
      </c>
      <c r="D274" s="95">
        <v>3798</v>
      </c>
      <c r="E274" s="95">
        <v>8094</v>
      </c>
      <c r="F274" s="95">
        <v>441676936</v>
      </c>
      <c r="G274" s="95">
        <v>432181302</v>
      </c>
      <c r="H274" s="95">
        <v>873858238</v>
      </c>
      <c r="I274" s="91" t="s">
        <v>485</v>
      </c>
      <c r="J274" s="91" t="s">
        <v>92</v>
      </c>
      <c r="K274" s="94">
        <v>350512</v>
      </c>
      <c r="L274" s="91" t="s">
        <v>826</v>
      </c>
      <c r="M274" s="2"/>
      <c r="N274" s="2"/>
      <c r="O274" s="4"/>
    </row>
    <row r="275" spans="1:15" x14ac:dyDescent="0.2">
      <c r="A275" s="91" t="s">
        <v>109</v>
      </c>
      <c r="B275" s="91" t="s">
        <v>794</v>
      </c>
      <c r="C275" s="95">
        <v>733</v>
      </c>
      <c r="D275" s="95">
        <v>805</v>
      </c>
      <c r="E275" s="95">
        <v>1538</v>
      </c>
      <c r="F275" s="95">
        <v>22594187</v>
      </c>
      <c r="G275" s="95">
        <v>27444558</v>
      </c>
      <c r="H275" s="95">
        <v>50038745</v>
      </c>
      <c r="I275" s="91" t="s">
        <v>485</v>
      </c>
      <c r="J275" s="91" t="s">
        <v>89</v>
      </c>
      <c r="K275" s="94">
        <v>352468</v>
      </c>
      <c r="L275" s="91" t="s">
        <v>1090</v>
      </c>
      <c r="M275" s="2"/>
      <c r="N275" s="2"/>
      <c r="O275" s="4"/>
    </row>
    <row r="276" spans="1:15" x14ac:dyDescent="0.2">
      <c r="A276" s="91" t="s">
        <v>478</v>
      </c>
      <c r="B276" s="91" t="s">
        <v>138</v>
      </c>
      <c r="C276" s="95">
        <v>19</v>
      </c>
      <c r="D276" s="95">
        <v>29</v>
      </c>
      <c r="E276" s="95">
        <v>48</v>
      </c>
      <c r="F276" s="95">
        <v>321221</v>
      </c>
      <c r="G276" s="95">
        <v>854731</v>
      </c>
      <c r="H276" s="95">
        <v>1175952</v>
      </c>
      <c r="I276" s="91" t="s">
        <v>485</v>
      </c>
      <c r="J276" s="91" t="s">
        <v>90</v>
      </c>
      <c r="K276" s="94">
        <v>352583</v>
      </c>
      <c r="L276" s="91" t="s">
        <v>320</v>
      </c>
      <c r="M276" s="2"/>
      <c r="N276" s="2"/>
      <c r="O276" s="4"/>
    </row>
    <row r="277" spans="1:15" x14ac:dyDescent="0.2">
      <c r="A277" s="91" t="s">
        <v>207</v>
      </c>
      <c r="B277" s="91" t="s">
        <v>21</v>
      </c>
      <c r="C277" s="95">
        <v>529</v>
      </c>
      <c r="D277" s="95">
        <v>697</v>
      </c>
      <c r="E277" s="95">
        <v>1226</v>
      </c>
      <c r="F277" s="95">
        <v>13980411</v>
      </c>
      <c r="G277" s="95">
        <v>23179911</v>
      </c>
      <c r="H277" s="95">
        <v>37160322</v>
      </c>
      <c r="I277" s="91" t="s">
        <v>485</v>
      </c>
      <c r="J277" s="91" t="s">
        <v>89</v>
      </c>
      <c r="K277" s="94">
        <v>353235</v>
      </c>
      <c r="L277" s="91" t="s">
        <v>268</v>
      </c>
      <c r="M277" s="2"/>
      <c r="N277" s="2"/>
      <c r="O277" s="4"/>
    </row>
    <row r="278" spans="1:15" x14ac:dyDescent="0.2">
      <c r="A278" s="91" t="s">
        <v>157</v>
      </c>
      <c r="B278" s="91" t="s">
        <v>1073</v>
      </c>
      <c r="C278" s="95">
        <v>269</v>
      </c>
      <c r="D278" s="95">
        <v>455</v>
      </c>
      <c r="E278" s="95">
        <v>724</v>
      </c>
      <c r="F278" s="95">
        <v>5725991</v>
      </c>
      <c r="G278" s="95">
        <v>12518773</v>
      </c>
      <c r="H278" s="95">
        <v>18244763</v>
      </c>
      <c r="I278" s="91" t="s">
        <v>485</v>
      </c>
      <c r="J278" s="91" t="s">
        <v>89</v>
      </c>
      <c r="K278" s="94">
        <v>353821</v>
      </c>
      <c r="L278" s="91" t="s">
        <v>268</v>
      </c>
      <c r="M278" s="2"/>
      <c r="N278" s="2"/>
      <c r="O278" s="4"/>
    </row>
    <row r="279" spans="1:15" x14ac:dyDescent="0.2">
      <c r="A279" s="91" t="s">
        <v>180</v>
      </c>
      <c r="B279" s="91" t="s">
        <v>658</v>
      </c>
      <c r="C279" s="95">
        <v>1322</v>
      </c>
      <c r="D279" s="95">
        <v>2331</v>
      </c>
      <c r="E279" s="95">
        <v>3653</v>
      </c>
      <c r="F279" s="95">
        <v>41713029</v>
      </c>
      <c r="G279" s="95">
        <v>102530518</v>
      </c>
      <c r="H279" s="95">
        <v>144243547</v>
      </c>
      <c r="I279" s="91" t="s">
        <v>485</v>
      </c>
      <c r="J279" s="91" t="s">
        <v>89</v>
      </c>
      <c r="K279" s="94">
        <v>354233</v>
      </c>
      <c r="L279" s="91" t="s">
        <v>521</v>
      </c>
      <c r="M279" s="2"/>
      <c r="N279" s="2"/>
      <c r="O279" s="4"/>
    </row>
    <row r="280" spans="1:15" x14ac:dyDescent="0.2">
      <c r="A280" s="91" t="s">
        <v>580</v>
      </c>
      <c r="B280" s="91" t="s">
        <v>396</v>
      </c>
      <c r="C280" s="95">
        <v>348</v>
      </c>
      <c r="D280" s="95">
        <v>403</v>
      </c>
      <c r="E280" s="95">
        <v>751</v>
      </c>
      <c r="F280" s="95">
        <v>8951205</v>
      </c>
      <c r="G280" s="95">
        <v>12536525</v>
      </c>
      <c r="H280" s="95">
        <v>21487729</v>
      </c>
      <c r="I280" s="91" t="s">
        <v>485</v>
      </c>
      <c r="J280" s="91" t="s">
        <v>89</v>
      </c>
      <c r="K280" s="94">
        <v>354290</v>
      </c>
      <c r="L280" s="91" t="s">
        <v>393</v>
      </c>
      <c r="M280" s="2"/>
      <c r="N280" s="2"/>
      <c r="O280" s="4"/>
    </row>
    <row r="281" spans="1:15" x14ac:dyDescent="0.2">
      <c r="A281" s="91" t="s">
        <v>227</v>
      </c>
      <c r="B281" s="91" t="s">
        <v>719</v>
      </c>
      <c r="C281" s="95">
        <v>31693</v>
      </c>
      <c r="D281" s="95">
        <v>34888</v>
      </c>
      <c r="E281" s="95">
        <v>66581</v>
      </c>
      <c r="F281" s="95">
        <v>1527186456</v>
      </c>
      <c r="G281" s="95">
        <v>2011101695</v>
      </c>
      <c r="H281" s="95">
        <v>3538288152</v>
      </c>
      <c r="I281" s="91" t="s">
        <v>485</v>
      </c>
      <c r="J281" s="91" t="s">
        <v>91</v>
      </c>
      <c r="K281" s="94">
        <v>356006</v>
      </c>
      <c r="L281" s="91" t="s">
        <v>720</v>
      </c>
      <c r="M281" s="2"/>
      <c r="N281" s="2"/>
      <c r="O281" s="4"/>
    </row>
    <row r="282" spans="1:15" x14ac:dyDescent="0.2">
      <c r="A282" s="91" t="s">
        <v>65</v>
      </c>
      <c r="B282" s="91" t="s">
        <v>667</v>
      </c>
      <c r="C282" s="95">
        <v>292</v>
      </c>
      <c r="D282" s="95">
        <v>358</v>
      </c>
      <c r="E282" s="95">
        <v>650</v>
      </c>
      <c r="F282" s="95">
        <v>9158164</v>
      </c>
      <c r="G282" s="95">
        <v>13900941</v>
      </c>
      <c r="H282" s="95">
        <v>23059105</v>
      </c>
      <c r="I282" s="91" t="s">
        <v>485</v>
      </c>
      <c r="J282" s="91" t="s">
        <v>89</v>
      </c>
      <c r="K282" s="94">
        <v>356063</v>
      </c>
      <c r="L282" s="91" t="s">
        <v>36</v>
      </c>
      <c r="M282" s="2"/>
      <c r="N282" s="2"/>
      <c r="O282" s="4"/>
    </row>
    <row r="283" spans="1:15" x14ac:dyDescent="0.2">
      <c r="A283" s="91" t="s">
        <v>109</v>
      </c>
      <c r="B283" s="91" t="s">
        <v>775</v>
      </c>
      <c r="C283" s="95">
        <v>777</v>
      </c>
      <c r="D283" s="95">
        <v>415</v>
      </c>
      <c r="E283" s="95">
        <v>1192</v>
      </c>
      <c r="F283" s="95">
        <v>110202979</v>
      </c>
      <c r="G283" s="95">
        <v>65627574</v>
      </c>
      <c r="H283" s="95">
        <v>175830553</v>
      </c>
      <c r="I283" s="91" t="s">
        <v>585</v>
      </c>
      <c r="J283" s="91" t="s">
        <v>89</v>
      </c>
      <c r="K283" s="94">
        <v>356592</v>
      </c>
      <c r="L283" s="91" t="s">
        <v>685</v>
      </c>
      <c r="M283" s="2"/>
      <c r="N283" s="2"/>
      <c r="O283" s="4"/>
    </row>
    <row r="284" spans="1:15" x14ac:dyDescent="0.2">
      <c r="A284" s="91" t="s">
        <v>565</v>
      </c>
      <c r="B284" s="91" t="s">
        <v>289</v>
      </c>
      <c r="C284" s="95">
        <v>12287</v>
      </c>
      <c r="D284" s="95">
        <v>14335</v>
      </c>
      <c r="E284" s="95">
        <v>26622</v>
      </c>
      <c r="F284" s="95">
        <v>501612803</v>
      </c>
      <c r="G284" s="95">
        <v>713597108</v>
      </c>
      <c r="H284" s="95">
        <v>1215209911</v>
      </c>
      <c r="I284" s="91" t="s">
        <v>585</v>
      </c>
      <c r="J284" s="91" t="s">
        <v>89</v>
      </c>
      <c r="K284" s="94">
        <v>357483</v>
      </c>
      <c r="L284" s="91" t="s">
        <v>657</v>
      </c>
      <c r="M284" s="2"/>
      <c r="N284" s="2"/>
      <c r="O284" s="4"/>
    </row>
    <row r="285" spans="1:15" x14ac:dyDescent="0.2">
      <c r="A285" s="91" t="s">
        <v>98</v>
      </c>
      <c r="B285" s="91" t="s">
        <v>859</v>
      </c>
      <c r="C285" s="95">
        <v>163</v>
      </c>
      <c r="D285" s="95">
        <v>207</v>
      </c>
      <c r="E285" s="95">
        <v>370</v>
      </c>
      <c r="F285" s="95">
        <v>6487218</v>
      </c>
      <c r="G285" s="95">
        <v>8769995</v>
      </c>
      <c r="H285" s="95">
        <v>15257213</v>
      </c>
      <c r="I285" s="91" t="s">
        <v>585</v>
      </c>
      <c r="J285" s="91" t="s">
        <v>89</v>
      </c>
      <c r="K285" s="94">
        <v>357830</v>
      </c>
      <c r="L285" s="91" t="s">
        <v>987</v>
      </c>
      <c r="M285" s="2"/>
      <c r="N285" s="2"/>
      <c r="O285" s="4"/>
    </row>
    <row r="286" spans="1:15" x14ac:dyDescent="0.2">
      <c r="A286" s="91" t="s">
        <v>258</v>
      </c>
      <c r="B286" s="91" t="s">
        <v>839</v>
      </c>
      <c r="C286" s="95">
        <v>37680</v>
      </c>
      <c r="D286" s="95">
        <v>29736</v>
      </c>
      <c r="E286" s="95">
        <v>67416</v>
      </c>
      <c r="F286" s="95">
        <v>3922972750</v>
      </c>
      <c r="G286" s="95">
        <v>3658796137</v>
      </c>
      <c r="H286" s="95">
        <v>7581768887</v>
      </c>
      <c r="I286" s="91" t="s">
        <v>585</v>
      </c>
      <c r="J286" s="91" t="s">
        <v>92</v>
      </c>
      <c r="K286" s="94">
        <v>359315</v>
      </c>
      <c r="L286" s="91" t="s">
        <v>1084</v>
      </c>
      <c r="M286" s="2"/>
      <c r="N286" s="2"/>
      <c r="O286" s="4"/>
    </row>
    <row r="287" spans="1:15" x14ac:dyDescent="0.2">
      <c r="A287" s="91" t="s">
        <v>72</v>
      </c>
      <c r="B287" s="91" t="s">
        <v>924</v>
      </c>
      <c r="C287" s="95">
        <v>6</v>
      </c>
      <c r="D287" s="95">
        <v>18</v>
      </c>
      <c r="E287" s="95">
        <v>24</v>
      </c>
      <c r="F287" s="95">
        <v>203931</v>
      </c>
      <c r="G287" s="95">
        <v>551646</v>
      </c>
      <c r="H287" s="95">
        <v>755578</v>
      </c>
      <c r="I287" s="91" t="s">
        <v>485</v>
      </c>
      <c r="J287" s="91" t="s">
        <v>89</v>
      </c>
      <c r="K287" s="94">
        <v>359604</v>
      </c>
      <c r="L287" s="91" t="s">
        <v>1096</v>
      </c>
      <c r="M287" s="2"/>
      <c r="N287" s="2"/>
      <c r="O287" s="4"/>
    </row>
    <row r="288" spans="1:15" x14ac:dyDescent="0.2">
      <c r="A288" s="91" t="s">
        <v>72</v>
      </c>
      <c r="B288" s="91" t="s">
        <v>916</v>
      </c>
      <c r="C288" s="95">
        <v>65</v>
      </c>
      <c r="D288" s="95">
        <v>98</v>
      </c>
      <c r="E288" s="95">
        <v>163</v>
      </c>
      <c r="F288" s="95">
        <v>1932987</v>
      </c>
      <c r="G288" s="95">
        <v>4142131</v>
      </c>
      <c r="H288" s="95">
        <v>6075118</v>
      </c>
      <c r="I288" s="91" t="s">
        <v>485</v>
      </c>
      <c r="J288" s="91" t="s">
        <v>89</v>
      </c>
      <c r="K288" s="94">
        <v>360495</v>
      </c>
      <c r="L288" s="91" t="s">
        <v>334</v>
      </c>
      <c r="M288" s="2"/>
      <c r="N288" s="2"/>
      <c r="O288" s="4"/>
    </row>
    <row r="289" spans="1:15" x14ac:dyDescent="0.2">
      <c r="A289" s="91" t="s">
        <v>368</v>
      </c>
      <c r="B289" s="91" t="s">
        <v>22</v>
      </c>
      <c r="C289" s="95">
        <v>1796</v>
      </c>
      <c r="D289" s="95">
        <v>1527</v>
      </c>
      <c r="E289" s="95">
        <v>3323</v>
      </c>
      <c r="F289" s="95">
        <v>43253398</v>
      </c>
      <c r="G289" s="95">
        <v>53347461</v>
      </c>
      <c r="H289" s="95">
        <v>96600858</v>
      </c>
      <c r="I289" s="91" t="s">
        <v>585</v>
      </c>
      <c r="J289" s="91" t="s">
        <v>90</v>
      </c>
      <c r="K289" s="94">
        <v>361733</v>
      </c>
      <c r="L289" s="91" t="s">
        <v>649</v>
      </c>
      <c r="M289" s="2"/>
      <c r="N289" s="2"/>
      <c r="O289" s="4"/>
    </row>
    <row r="290" spans="1:15" x14ac:dyDescent="0.2">
      <c r="A290" s="91" t="s">
        <v>38</v>
      </c>
      <c r="B290" s="91" t="s">
        <v>989</v>
      </c>
      <c r="C290" s="95">
        <v>8061</v>
      </c>
      <c r="D290" s="95">
        <v>10104</v>
      </c>
      <c r="E290" s="95">
        <v>18165</v>
      </c>
      <c r="F290" s="95">
        <v>187356263</v>
      </c>
      <c r="G290" s="95">
        <v>298529010</v>
      </c>
      <c r="H290" s="95">
        <v>485885273</v>
      </c>
      <c r="I290" s="91" t="s">
        <v>585</v>
      </c>
      <c r="J290" s="91" t="s">
        <v>89</v>
      </c>
      <c r="K290" s="94">
        <v>362020</v>
      </c>
      <c r="L290" s="91" t="s">
        <v>521</v>
      </c>
      <c r="M290" s="2"/>
      <c r="N290" s="2"/>
      <c r="O290" s="4"/>
    </row>
    <row r="291" spans="1:15" x14ac:dyDescent="0.2">
      <c r="A291" s="91" t="s">
        <v>98</v>
      </c>
      <c r="B291" s="91" t="s">
        <v>711</v>
      </c>
      <c r="C291" s="95">
        <v>7698</v>
      </c>
      <c r="D291" s="95">
        <v>10143</v>
      </c>
      <c r="E291" s="95">
        <v>17841</v>
      </c>
      <c r="F291" s="95">
        <v>209899770</v>
      </c>
      <c r="G291" s="95">
        <v>345561634</v>
      </c>
      <c r="H291" s="95">
        <v>555461404</v>
      </c>
      <c r="I291" s="91" t="s">
        <v>485</v>
      </c>
      <c r="J291" s="91" t="s">
        <v>89</v>
      </c>
      <c r="K291" s="94">
        <v>362327</v>
      </c>
      <c r="L291" s="91" t="s">
        <v>697</v>
      </c>
      <c r="M291" s="2"/>
      <c r="N291" s="2"/>
      <c r="O291" s="4"/>
    </row>
    <row r="292" spans="1:15" x14ac:dyDescent="0.2">
      <c r="A292" s="91" t="s">
        <v>279</v>
      </c>
      <c r="B292" s="91" t="s">
        <v>952</v>
      </c>
      <c r="C292" s="95">
        <v>32342</v>
      </c>
      <c r="D292" s="95">
        <v>41716</v>
      </c>
      <c r="E292" s="95">
        <v>74058</v>
      </c>
      <c r="F292" s="95">
        <v>1128136622</v>
      </c>
      <c r="G292" s="95">
        <v>1914731906</v>
      </c>
      <c r="H292" s="95">
        <v>3042868528</v>
      </c>
      <c r="I292" s="91" t="s">
        <v>485</v>
      </c>
      <c r="J292" s="91" t="s">
        <v>89</v>
      </c>
      <c r="K292" s="94">
        <v>364158</v>
      </c>
      <c r="L292" s="91" t="s">
        <v>61</v>
      </c>
      <c r="M292" s="2"/>
      <c r="N292" s="2"/>
      <c r="O292" s="4"/>
    </row>
    <row r="293" spans="1:15" x14ac:dyDescent="0.2">
      <c r="A293" s="91" t="s">
        <v>478</v>
      </c>
      <c r="B293" s="91" t="s">
        <v>297</v>
      </c>
      <c r="C293" s="95">
        <v>11</v>
      </c>
      <c r="D293" s="95">
        <v>50</v>
      </c>
      <c r="E293" s="95">
        <v>61</v>
      </c>
      <c r="F293" s="95">
        <v>343429</v>
      </c>
      <c r="G293" s="95">
        <v>2171463</v>
      </c>
      <c r="H293" s="95">
        <v>2514892</v>
      </c>
      <c r="I293" s="91" t="s">
        <v>485</v>
      </c>
      <c r="J293" s="91" t="s">
        <v>90</v>
      </c>
      <c r="K293" s="94">
        <v>365684</v>
      </c>
      <c r="L293" s="91" t="s">
        <v>271</v>
      </c>
      <c r="M293" s="2"/>
      <c r="N293" s="2"/>
      <c r="O293" s="4"/>
    </row>
    <row r="294" spans="1:15" x14ac:dyDescent="0.2">
      <c r="A294" s="91" t="s">
        <v>170</v>
      </c>
      <c r="B294" s="91" t="s">
        <v>174</v>
      </c>
      <c r="C294" s="95">
        <v>85</v>
      </c>
      <c r="D294" s="95">
        <v>119</v>
      </c>
      <c r="E294" s="95">
        <v>204</v>
      </c>
      <c r="F294" s="95">
        <v>1760223</v>
      </c>
      <c r="G294" s="95">
        <v>2978275</v>
      </c>
      <c r="H294" s="95">
        <v>4738498</v>
      </c>
      <c r="I294" s="91" t="s">
        <v>485</v>
      </c>
      <c r="J294" s="91" t="s">
        <v>89</v>
      </c>
      <c r="K294" s="94">
        <v>365981</v>
      </c>
      <c r="L294" s="91" t="s">
        <v>590</v>
      </c>
      <c r="M294" s="2"/>
      <c r="N294" s="2"/>
      <c r="O294" s="4"/>
    </row>
    <row r="295" spans="1:15" x14ac:dyDescent="0.2">
      <c r="A295" s="91" t="s">
        <v>121</v>
      </c>
      <c r="B295" s="91" t="s">
        <v>854</v>
      </c>
      <c r="C295" s="95">
        <v>21</v>
      </c>
      <c r="D295" s="95">
        <v>50</v>
      </c>
      <c r="E295" s="95">
        <v>71</v>
      </c>
      <c r="F295" s="95">
        <v>2600989</v>
      </c>
      <c r="G295" s="95">
        <v>6520709</v>
      </c>
      <c r="H295" s="95">
        <v>9121699</v>
      </c>
      <c r="I295" s="91" t="s">
        <v>585</v>
      </c>
      <c r="J295" s="91" t="s">
        <v>89</v>
      </c>
      <c r="K295" s="94">
        <v>367516</v>
      </c>
      <c r="L295" s="91" t="s">
        <v>518</v>
      </c>
      <c r="M295" s="2"/>
      <c r="N295" s="2"/>
      <c r="O295" s="4"/>
    </row>
    <row r="296" spans="1:15" x14ac:dyDescent="0.2">
      <c r="A296" s="91" t="s">
        <v>170</v>
      </c>
      <c r="B296" s="91" t="s">
        <v>123</v>
      </c>
      <c r="C296" s="95">
        <v>6</v>
      </c>
      <c r="D296" s="95">
        <v>13</v>
      </c>
      <c r="E296" s="95">
        <v>19</v>
      </c>
      <c r="F296" s="95">
        <v>158247</v>
      </c>
      <c r="G296" s="95">
        <v>515045</v>
      </c>
      <c r="H296" s="95">
        <v>673292</v>
      </c>
      <c r="I296" s="91" t="s">
        <v>485</v>
      </c>
      <c r="J296" s="91" t="s">
        <v>89</v>
      </c>
      <c r="K296" s="94">
        <v>367631</v>
      </c>
      <c r="L296" s="91" t="s">
        <v>597</v>
      </c>
      <c r="M296" s="2"/>
      <c r="N296" s="2"/>
      <c r="O296" s="4"/>
    </row>
    <row r="297" spans="1:15" x14ac:dyDescent="0.2">
      <c r="A297" s="91" t="s">
        <v>38</v>
      </c>
      <c r="B297" s="91" t="s">
        <v>51</v>
      </c>
      <c r="C297" s="95">
        <v>103</v>
      </c>
      <c r="D297" s="95">
        <v>184</v>
      </c>
      <c r="E297" s="95">
        <v>287</v>
      </c>
      <c r="F297" s="95">
        <v>2751496</v>
      </c>
      <c r="G297" s="95">
        <v>6149140</v>
      </c>
      <c r="H297" s="95">
        <v>8900636</v>
      </c>
      <c r="I297" s="91" t="s">
        <v>485</v>
      </c>
      <c r="J297" s="91" t="s">
        <v>89</v>
      </c>
      <c r="K297" s="94">
        <v>367698</v>
      </c>
      <c r="L297" s="91" t="s">
        <v>584</v>
      </c>
      <c r="M297" s="2"/>
      <c r="N297" s="2"/>
      <c r="O297" s="4"/>
    </row>
    <row r="298" spans="1:15" x14ac:dyDescent="0.2">
      <c r="A298" s="91" t="s">
        <v>219</v>
      </c>
      <c r="B298" s="91" t="s">
        <v>1129</v>
      </c>
      <c r="C298" s="95">
        <v>5537</v>
      </c>
      <c r="D298" s="95">
        <v>5373</v>
      </c>
      <c r="E298" s="95">
        <v>10910</v>
      </c>
      <c r="F298" s="95">
        <v>199087692</v>
      </c>
      <c r="G298" s="95">
        <v>240314660</v>
      </c>
      <c r="H298" s="95">
        <v>439402352</v>
      </c>
      <c r="I298" s="91" t="s">
        <v>585</v>
      </c>
      <c r="J298" s="91" t="s">
        <v>91</v>
      </c>
      <c r="K298" s="94">
        <v>367813</v>
      </c>
      <c r="L298" s="91" t="s">
        <v>524</v>
      </c>
      <c r="M298" s="2"/>
      <c r="N298" s="2"/>
      <c r="O298" s="4"/>
    </row>
    <row r="299" spans="1:15" x14ac:dyDescent="0.2">
      <c r="A299" s="91" t="s">
        <v>157</v>
      </c>
      <c r="B299" s="91" t="s">
        <v>156</v>
      </c>
      <c r="C299" s="95">
        <v>511</v>
      </c>
      <c r="D299" s="95">
        <v>703</v>
      </c>
      <c r="E299" s="95">
        <v>1214</v>
      </c>
      <c r="F299" s="95">
        <v>11766804</v>
      </c>
      <c r="G299" s="95">
        <v>19107453</v>
      </c>
      <c r="H299" s="95">
        <v>30874257</v>
      </c>
      <c r="I299" s="91" t="s">
        <v>485</v>
      </c>
      <c r="J299" s="91" t="s">
        <v>89</v>
      </c>
      <c r="K299" s="94">
        <v>368407</v>
      </c>
      <c r="L299" s="91" t="s">
        <v>320</v>
      </c>
      <c r="M299" s="2"/>
      <c r="N299" s="2"/>
      <c r="O299" s="4"/>
    </row>
    <row r="300" spans="1:15" x14ac:dyDescent="0.2">
      <c r="A300" s="91" t="s">
        <v>277</v>
      </c>
      <c r="B300" s="91" t="s">
        <v>163</v>
      </c>
      <c r="C300" s="95">
        <v>224</v>
      </c>
      <c r="D300" s="95">
        <v>287</v>
      </c>
      <c r="E300" s="95">
        <v>511</v>
      </c>
      <c r="F300" s="95">
        <v>4758674</v>
      </c>
      <c r="G300" s="95">
        <v>8627133</v>
      </c>
      <c r="H300" s="95">
        <v>13385807</v>
      </c>
      <c r="I300" s="91" t="s">
        <v>485</v>
      </c>
      <c r="J300" s="91" t="s">
        <v>89</v>
      </c>
      <c r="K300" s="94">
        <v>369462</v>
      </c>
      <c r="L300" s="91" t="s">
        <v>610</v>
      </c>
      <c r="M300" s="2"/>
      <c r="N300" s="2"/>
      <c r="O300" s="4"/>
    </row>
    <row r="301" spans="1:15" x14ac:dyDescent="0.2">
      <c r="A301" s="91" t="s">
        <v>478</v>
      </c>
      <c r="B301" s="91" t="s">
        <v>480</v>
      </c>
      <c r="C301" s="95">
        <v>536</v>
      </c>
      <c r="D301" s="95">
        <v>474</v>
      </c>
      <c r="E301" s="95">
        <v>1010</v>
      </c>
      <c r="F301" s="95">
        <v>12458659</v>
      </c>
      <c r="G301" s="95">
        <v>12449005</v>
      </c>
      <c r="H301" s="95">
        <v>24907664</v>
      </c>
      <c r="I301" s="91" t="s">
        <v>485</v>
      </c>
      <c r="J301" s="91" t="s">
        <v>90</v>
      </c>
      <c r="K301" s="94">
        <v>370239</v>
      </c>
      <c r="L301" s="91" t="s">
        <v>264</v>
      </c>
      <c r="M301" s="2"/>
      <c r="N301" s="2"/>
      <c r="O301" s="4"/>
    </row>
    <row r="302" spans="1:15" x14ac:dyDescent="0.2">
      <c r="A302" s="91" t="s">
        <v>38</v>
      </c>
      <c r="B302" s="91" t="s">
        <v>173</v>
      </c>
      <c r="C302" s="95">
        <v>118</v>
      </c>
      <c r="D302" s="95">
        <v>193</v>
      </c>
      <c r="E302" s="95">
        <v>311</v>
      </c>
      <c r="F302" s="95">
        <v>4243303</v>
      </c>
      <c r="G302" s="95">
        <v>6746674</v>
      </c>
      <c r="H302" s="95">
        <v>10989977</v>
      </c>
      <c r="I302" s="91" t="s">
        <v>485</v>
      </c>
      <c r="J302" s="91" t="s">
        <v>89</v>
      </c>
      <c r="K302" s="94">
        <v>371294</v>
      </c>
      <c r="L302" s="91" t="s">
        <v>271</v>
      </c>
      <c r="M302" s="2"/>
      <c r="N302" s="2"/>
      <c r="O302" s="4"/>
    </row>
    <row r="303" spans="1:15" x14ac:dyDescent="0.2">
      <c r="A303" s="91" t="s">
        <v>275</v>
      </c>
      <c r="B303" s="91" t="s">
        <v>912</v>
      </c>
      <c r="C303" s="95">
        <v>228</v>
      </c>
      <c r="D303" s="95">
        <v>334</v>
      </c>
      <c r="E303" s="95">
        <v>562</v>
      </c>
      <c r="F303" s="95">
        <v>12295616</v>
      </c>
      <c r="G303" s="95">
        <v>19255761</v>
      </c>
      <c r="H303" s="95">
        <v>31551378</v>
      </c>
      <c r="I303" s="91" t="s">
        <v>485</v>
      </c>
      <c r="J303" s="91" t="s">
        <v>89</v>
      </c>
      <c r="K303" s="94">
        <v>374181</v>
      </c>
      <c r="L303" s="91" t="s">
        <v>697</v>
      </c>
      <c r="M303" s="2"/>
      <c r="N303" s="2"/>
      <c r="O303" s="4"/>
    </row>
    <row r="304" spans="1:15" x14ac:dyDescent="0.2">
      <c r="A304" s="91" t="s">
        <v>202</v>
      </c>
      <c r="B304" s="91" t="s">
        <v>426</v>
      </c>
      <c r="C304" s="95">
        <v>1330</v>
      </c>
      <c r="D304" s="95">
        <v>1869</v>
      </c>
      <c r="E304" s="95">
        <v>3199</v>
      </c>
      <c r="F304" s="95">
        <v>51984691</v>
      </c>
      <c r="G304" s="95">
        <v>88855089</v>
      </c>
      <c r="H304" s="95">
        <v>140839780</v>
      </c>
      <c r="I304" s="91" t="s">
        <v>485</v>
      </c>
      <c r="J304" s="91" t="s">
        <v>89</v>
      </c>
      <c r="K304" s="94">
        <v>374421</v>
      </c>
      <c r="L304" s="91" t="s">
        <v>591</v>
      </c>
      <c r="M304" s="2"/>
      <c r="N304" s="2"/>
      <c r="O304" s="4"/>
    </row>
    <row r="305" spans="1:15" x14ac:dyDescent="0.2">
      <c r="A305" s="91" t="s">
        <v>109</v>
      </c>
      <c r="B305" s="91" t="s">
        <v>723</v>
      </c>
      <c r="C305" s="95">
        <v>1553</v>
      </c>
      <c r="D305" s="95">
        <v>3341</v>
      </c>
      <c r="E305" s="95">
        <v>4894</v>
      </c>
      <c r="F305" s="95">
        <v>263522899</v>
      </c>
      <c r="G305" s="95">
        <v>635023811</v>
      </c>
      <c r="H305" s="95">
        <v>898546710</v>
      </c>
      <c r="I305" s="91" t="s">
        <v>585</v>
      </c>
      <c r="J305" s="91" t="s">
        <v>89</v>
      </c>
      <c r="K305" s="94">
        <v>374835</v>
      </c>
      <c r="L305" s="91" t="s">
        <v>1088</v>
      </c>
      <c r="M305" s="2"/>
      <c r="N305" s="2"/>
      <c r="O305" s="4"/>
    </row>
    <row r="306" spans="1:15" x14ac:dyDescent="0.2">
      <c r="A306" s="91" t="s">
        <v>157</v>
      </c>
      <c r="B306" s="91" t="s">
        <v>31</v>
      </c>
      <c r="C306" s="95">
        <v>1614</v>
      </c>
      <c r="D306" s="95">
        <v>2651</v>
      </c>
      <c r="E306" s="95">
        <v>4265</v>
      </c>
      <c r="F306" s="95">
        <v>43430954</v>
      </c>
      <c r="G306" s="95">
        <v>89271502</v>
      </c>
      <c r="H306" s="95">
        <v>132702455</v>
      </c>
      <c r="I306" s="91" t="s">
        <v>485</v>
      </c>
      <c r="J306" s="91" t="s">
        <v>89</v>
      </c>
      <c r="K306" s="94">
        <v>376319</v>
      </c>
      <c r="L306" s="91" t="s">
        <v>324</v>
      </c>
      <c r="M306" s="2"/>
      <c r="N306" s="2"/>
      <c r="O306" s="4"/>
    </row>
    <row r="307" spans="1:15" x14ac:dyDescent="0.2">
      <c r="A307" s="91" t="s">
        <v>121</v>
      </c>
      <c r="B307" s="91" t="s">
        <v>1095</v>
      </c>
      <c r="C307" s="95">
        <v>53</v>
      </c>
      <c r="D307" s="95">
        <v>115</v>
      </c>
      <c r="E307" s="95">
        <v>168</v>
      </c>
      <c r="F307" s="95">
        <v>1800921</v>
      </c>
      <c r="G307" s="95">
        <v>5957342</v>
      </c>
      <c r="H307" s="95">
        <v>7758262</v>
      </c>
      <c r="I307" s="91" t="s">
        <v>485</v>
      </c>
      <c r="J307" s="91" t="s">
        <v>89</v>
      </c>
      <c r="K307" s="94">
        <v>377192</v>
      </c>
      <c r="L307" s="91" t="s">
        <v>334</v>
      </c>
      <c r="M307" s="2"/>
      <c r="N307" s="2"/>
      <c r="O307" s="4"/>
    </row>
    <row r="308" spans="1:15" x14ac:dyDescent="0.2">
      <c r="A308" s="91" t="s">
        <v>170</v>
      </c>
      <c r="B308" s="91" t="s">
        <v>895</v>
      </c>
      <c r="C308" s="95">
        <v>299</v>
      </c>
      <c r="D308" s="95">
        <v>465</v>
      </c>
      <c r="E308" s="95">
        <v>764</v>
      </c>
      <c r="F308" s="95">
        <v>5762495</v>
      </c>
      <c r="G308" s="95">
        <v>14270360</v>
      </c>
      <c r="H308" s="95">
        <v>20032855</v>
      </c>
      <c r="I308" s="91" t="s">
        <v>585</v>
      </c>
      <c r="J308" s="91" t="s">
        <v>89</v>
      </c>
      <c r="K308" s="94">
        <v>377432</v>
      </c>
      <c r="L308" s="91" t="s">
        <v>616</v>
      </c>
      <c r="M308" s="2"/>
      <c r="N308" s="2"/>
      <c r="O308" s="4"/>
    </row>
    <row r="309" spans="1:15" x14ac:dyDescent="0.2">
      <c r="A309" s="91" t="s">
        <v>98</v>
      </c>
      <c r="B309" s="91" t="s">
        <v>1037</v>
      </c>
      <c r="C309" s="95">
        <v>83</v>
      </c>
      <c r="D309" s="95">
        <v>155</v>
      </c>
      <c r="E309" s="95">
        <v>238</v>
      </c>
      <c r="F309" s="95">
        <v>2603582</v>
      </c>
      <c r="G309" s="95">
        <v>6731549</v>
      </c>
      <c r="H309" s="95">
        <v>9335131</v>
      </c>
      <c r="I309" s="91" t="s">
        <v>485</v>
      </c>
      <c r="J309" s="91" t="s">
        <v>89</v>
      </c>
      <c r="K309" s="94">
        <v>379024</v>
      </c>
      <c r="L309" s="91" t="s">
        <v>594</v>
      </c>
      <c r="M309" s="2"/>
      <c r="N309" s="2"/>
      <c r="O309" s="4"/>
    </row>
    <row r="310" spans="1:15" x14ac:dyDescent="0.2">
      <c r="A310" s="91" t="s">
        <v>72</v>
      </c>
      <c r="B310" s="91" t="s">
        <v>280</v>
      </c>
      <c r="C310" s="95">
        <v>1721</v>
      </c>
      <c r="D310" s="95">
        <v>2046</v>
      </c>
      <c r="E310" s="95">
        <v>3767</v>
      </c>
      <c r="F310" s="95">
        <v>47277833</v>
      </c>
      <c r="G310" s="95">
        <v>68836258</v>
      </c>
      <c r="H310" s="95">
        <v>116114091</v>
      </c>
      <c r="I310" s="91" t="s">
        <v>485</v>
      </c>
      <c r="J310" s="91" t="s">
        <v>89</v>
      </c>
      <c r="K310" s="94">
        <v>384107</v>
      </c>
      <c r="L310" s="91" t="s">
        <v>606</v>
      </c>
      <c r="M310" s="2"/>
      <c r="N310" s="2"/>
      <c r="O310" s="4"/>
    </row>
    <row r="311" spans="1:15" x14ac:dyDescent="0.2">
      <c r="A311" s="91" t="s">
        <v>38</v>
      </c>
      <c r="B311" s="91" t="s">
        <v>875</v>
      </c>
      <c r="C311" s="95">
        <v>61</v>
      </c>
      <c r="D311" s="95">
        <v>117</v>
      </c>
      <c r="E311" s="95">
        <v>178</v>
      </c>
      <c r="F311" s="95">
        <v>2073247</v>
      </c>
      <c r="G311" s="95">
        <v>5275385</v>
      </c>
      <c r="H311" s="95">
        <v>7348632</v>
      </c>
      <c r="I311" s="91" t="s">
        <v>485</v>
      </c>
      <c r="J311" s="91" t="s">
        <v>89</v>
      </c>
      <c r="K311" s="94">
        <v>384511</v>
      </c>
      <c r="L311" s="91" t="s">
        <v>61</v>
      </c>
      <c r="M311" s="2"/>
      <c r="N311" s="2"/>
      <c r="O311" s="4"/>
    </row>
    <row r="312" spans="1:15" x14ac:dyDescent="0.2">
      <c r="A312" s="91" t="s">
        <v>412</v>
      </c>
      <c r="B312" s="91" t="s">
        <v>449</v>
      </c>
      <c r="C312" s="95">
        <v>545</v>
      </c>
      <c r="D312" s="95">
        <v>778</v>
      </c>
      <c r="E312" s="95">
        <v>1323</v>
      </c>
      <c r="F312" s="95">
        <v>24605021</v>
      </c>
      <c r="G312" s="95">
        <v>39845925</v>
      </c>
      <c r="H312" s="95">
        <v>64450946</v>
      </c>
      <c r="I312" s="91" t="s">
        <v>585</v>
      </c>
      <c r="J312" s="91" t="s">
        <v>90</v>
      </c>
      <c r="K312" s="94">
        <v>384750</v>
      </c>
      <c r="L312" s="91" t="s">
        <v>518</v>
      </c>
      <c r="M312" s="2"/>
      <c r="N312" s="2"/>
      <c r="O312" s="4"/>
    </row>
    <row r="313" spans="1:15" x14ac:dyDescent="0.2">
      <c r="A313" s="91" t="s">
        <v>109</v>
      </c>
      <c r="B313" s="91" t="s">
        <v>1060</v>
      </c>
      <c r="C313" s="95">
        <v>33532</v>
      </c>
      <c r="D313" s="95">
        <v>30969</v>
      </c>
      <c r="E313" s="95">
        <v>64501</v>
      </c>
      <c r="F313" s="95">
        <v>1148115766</v>
      </c>
      <c r="G313" s="95">
        <v>1228222756</v>
      </c>
      <c r="H313" s="95">
        <v>2376338523</v>
      </c>
      <c r="I313" s="91" t="s">
        <v>485</v>
      </c>
      <c r="J313" s="91" t="s">
        <v>89</v>
      </c>
      <c r="K313" s="94">
        <v>384818</v>
      </c>
      <c r="L313" s="91" t="s">
        <v>594</v>
      </c>
      <c r="M313" s="2"/>
      <c r="N313" s="2"/>
      <c r="O313" s="4"/>
    </row>
    <row r="314" spans="1:15" x14ac:dyDescent="0.2">
      <c r="A314" s="91" t="s">
        <v>98</v>
      </c>
      <c r="B314" s="91" t="s">
        <v>108</v>
      </c>
      <c r="C314" s="95">
        <v>1081</v>
      </c>
      <c r="D314" s="95">
        <v>1384</v>
      </c>
      <c r="E314" s="95">
        <v>2465</v>
      </c>
      <c r="F314" s="95">
        <v>28952549</v>
      </c>
      <c r="G314" s="95">
        <v>45464625</v>
      </c>
      <c r="H314" s="95">
        <v>74417174</v>
      </c>
      <c r="I314" s="91" t="s">
        <v>585</v>
      </c>
      <c r="J314" s="91" t="s">
        <v>89</v>
      </c>
      <c r="K314" s="94">
        <v>385401</v>
      </c>
      <c r="L314" s="91" t="s">
        <v>1035</v>
      </c>
      <c r="M314" s="2"/>
      <c r="N314" s="2"/>
      <c r="O314" s="4"/>
    </row>
    <row r="315" spans="1:15" x14ac:dyDescent="0.2">
      <c r="A315" s="91" t="s">
        <v>580</v>
      </c>
      <c r="B315" s="91" t="s">
        <v>801</v>
      </c>
      <c r="C315" s="95">
        <v>1683</v>
      </c>
      <c r="D315" s="95">
        <v>2056</v>
      </c>
      <c r="E315" s="95">
        <v>3739</v>
      </c>
      <c r="F315" s="95">
        <v>68399960</v>
      </c>
      <c r="G315" s="95">
        <v>94801897</v>
      </c>
      <c r="H315" s="95">
        <v>163201857</v>
      </c>
      <c r="I315" s="91" t="s">
        <v>485</v>
      </c>
      <c r="J315" s="91" t="s">
        <v>89</v>
      </c>
      <c r="K315" s="94">
        <v>388298</v>
      </c>
      <c r="L315" s="91" t="s">
        <v>1090</v>
      </c>
      <c r="M315" s="2"/>
      <c r="N315" s="2"/>
      <c r="O315" s="4"/>
    </row>
    <row r="316" spans="1:15" x14ac:dyDescent="0.2">
      <c r="A316" s="91" t="s">
        <v>98</v>
      </c>
      <c r="B316" s="91" t="s">
        <v>582</v>
      </c>
      <c r="C316" s="95">
        <v>133</v>
      </c>
      <c r="D316" s="95">
        <v>206</v>
      </c>
      <c r="E316" s="95">
        <v>339</v>
      </c>
      <c r="F316" s="95">
        <v>2947579</v>
      </c>
      <c r="G316" s="95">
        <v>6372299</v>
      </c>
      <c r="H316" s="95">
        <v>9319878</v>
      </c>
      <c r="I316" s="91" t="s">
        <v>485</v>
      </c>
      <c r="J316" s="91" t="s">
        <v>89</v>
      </c>
      <c r="K316" s="94">
        <v>389650</v>
      </c>
      <c r="L316" s="91" t="s">
        <v>268</v>
      </c>
      <c r="M316" s="2"/>
      <c r="N316" s="2"/>
      <c r="O316" s="4"/>
    </row>
    <row r="317" spans="1:15" x14ac:dyDescent="0.2">
      <c r="A317" s="91" t="s">
        <v>276</v>
      </c>
      <c r="B317" s="91" t="s">
        <v>664</v>
      </c>
      <c r="C317" s="95">
        <v>1290</v>
      </c>
      <c r="D317" s="95">
        <v>1912</v>
      </c>
      <c r="E317" s="95">
        <v>3202</v>
      </c>
      <c r="F317" s="95">
        <v>26697205</v>
      </c>
      <c r="G317" s="95">
        <v>57390022</v>
      </c>
      <c r="H317" s="95">
        <v>84087227</v>
      </c>
      <c r="I317" s="91" t="s">
        <v>485</v>
      </c>
      <c r="J317" s="91" t="s">
        <v>89</v>
      </c>
      <c r="K317" s="94">
        <v>390062</v>
      </c>
      <c r="L317" s="91" t="s">
        <v>521</v>
      </c>
      <c r="M317" s="2"/>
      <c r="N317" s="2"/>
      <c r="O317" s="4"/>
    </row>
    <row r="318" spans="1:15" x14ac:dyDescent="0.2">
      <c r="A318" s="91" t="s">
        <v>580</v>
      </c>
      <c r="B318" s="91" t="s">
        <v>34</v>
      </c>
      <c r="C318" s="95">
        <v>342</v>
      </c>
      <c r="D318" s="95">
        <v>475</v>
      </c>
      <c r="E318" s="95">
        <v>817</v>
      </c>
      <c r="F318" s="95">
        <v>12841280</v>
      </c>
      <c r="G318" s="95">
        <v>22213208</v>
      </c>
      <c r="H318" s="95">
        <v>35054488</v>
      </c>
      <c r="I318" s="91" t="s">
        <v>485</v>
      </c>
      <c r="J318" s="91" t="s">
        <v>89</v>
      </c>
      <c r="K318" s="94">
        <v>390187</v>
      </c>
      <c r="L318" s="91" t="s">
        <v>334</v>
      </c>
      <c r="M318" s="2"/>
      <c r="N318" s="2"/>
      <c r="O318" s="4"/>
    </row>
    <row r="319" spans="1:15" x14ac:dyDescent="0.2">
      <c r="A319" s="91" t="s">
        <v>469</v>
      </c>
      <c r="B319" s="91" t="s">
        <v>470</v>
      </c>
      <c r="C319" s="95">
        <v>496</v>
      </c>
      <c r="D319" s="95">
        <v>599</v>
      </c>
      <c r="E319" s="95">
        <v>1095</v>
      </c>
      <c r="F319" s="95">
        <v>16020242</v>
      </c>
      <c r="G319" s="95">
        <v>24065852</v>
      </c>
      <c r="H319" s="95">
        <v>40086094</v>
      </c>
      <c r="I319" s="91" t="s">
        <v>485</v>
      </c>
      <c r="J319" s="91" t="s">
        <v>90</v>
      </c>
      <c r="K319" s="94">
        <v>390898</v>
      </c>
      <c r="L319" s="91" t="s">
        <v>596</v>
      </c>
      <c r="M319" s="2"/>
      <c r="N319" s="2"/>
      <c r="O319" s="4"/>
    </row>
    <row r="320" spans="1:15" x14ac:dyDescent="0.2">
      <c r="A320" s="91" t="s">
        <v>254</v>
      </c>
      <c r="B320" s="91" t="s">
        <v>255</v>
      </c>
      <c r="C320" s="95">
        <v>41396</v>
      </c>
      <c r="D320" s="95">
        <v>38116</v>
      </c>
      <c r="E320" s="95">
        <v>79512</v>
      </c>
      <c r="F320" s="95">
        <v>1364050494</v>
      </c>
      <c r="G320" s="95">
        <v>1582402839</v>
      </c>
      <c r="H320" s="95">
        <v>2946453333</v>
      </c>
      <c r="I320" s="91" t="s">
        <v>585</v>
      </c>
      <c r="J320" s="91" t="s">
        <v>92</v>
      </c>
      <c r="K320" s="94">
        <v>391482</v>
      </c>
      <c r="L320" s="91" t="s">
        <v>622</v>
      </c>
      <c r="M320" s="2"/>
      <c r="N320" s="2"/>
      <c r="O320" s="4"/>
    </row>
    <row r="321" spans="1:15" x14ac:dyDescent="0.2">
      <c r="A321" s="91" t="s">
        <v>121</v>
      </c>
      <c r="B321" s="91" t="s">
        <v>722</v>
      </c>
      <c r="C321" s="95">
        <v>31582</v>
      </c>
      <c r="D321" s="95">
        <v>34729</v>
      </c>
      <c r="E321" s="95">
        <v>66311</v>
      </c>
      <c r="F321" s="95">
        <v>1511065881</v>
      </c>
      <c r="G321" s="95">
        <v>2079170069</v>
      </c>
      <c r="H321" s="95">
        <v>3590235950</v>
      </c>
      <c r="I321" s="91" t="s">
        <v>485</v>
      </c>
      <c r="J321" s="91" t="s">
        <v>89</v>
      </c>
      <c r="K321" s="94">
        <v>391839</v>
      </c>
      <c r="L321" s="91" t="s">
        <v>720</v>
      </c>
      <c r="M321" s="2"/>
      <c r="N321" s="2"/>
      <c r="O321" s="4"/>
    </row>
    <row r="322" spans="1:15" x14ac:dyDescent="0.2">
      <c r="A322" s="91" t="s">
        <v>275</v>
      </c>
      <c r="B322" s="91" t="s">
        <v>660</v>
      </c>
      <c r="C322" s="95">
        <v>381</v>
      </c>
      <c r="D322" s="95">
        <v>751</v>
      </c>
      <c r="E322" s="95">
        <v>1132</v>
      </c>
      <c r="F322" s="95">
        <v>11528273</v>
      </c>
      <c r="G322" s="95">
        <v>26752570</v>
      </c>
      <c r="H322" s="95">
        <v>38280843</v>
      </c>
      <c r="I322" s="91" t="s">
        <v>485</v>
      </c>
      <c r="J322" s="91" t="s">
        <v>89</v>
      </c>
      <c r="K322" s="94">
        <v>391896</v>
      </c>
      <c r="L322" s="91" t="s">
        <v>591</v>
      </c>
      <c r="M322" s="2"/>
      <c r="N322" s="2"/>
      <c r="O322" s="4"/>
    </row>
    <row r="323" spans="1:15" x14ac:dyDescent="0.2">
      <c r="A323" s="91" t="s">
        <v>109</v>
      </c>
      <c r="B323" s="91" t="s">
        <v>774</v>
      </c>
      <c r="C323" s="95">
        <v>3997</v>
      </c>
      <c r="D323" s="95">
        <v>5643</v>
      </c>
      <c r="E323" s="95">
        <v>9640</v>
      </c>
      <c r="F323" s="95">
        <v>602929958</v>
      </c>
      <c r="G323" s="95">
        <v>1042198352</v>
      </c>
      <c r="H323" s="95">
        <v>1645128310</v>
      </c>
      <c r="I323" s="91" t="s">
        <v>585</v>
      </c>
      <c r="J323" s="91" t="s">
        <v>89</v>
      </c>
      <c r="K323" s="94">
        <v>392423</v>
      </c>
      <c r="L323" s="91" t="s">
        <v>685</v>
      </c>
      <c r="M323" s="2"/>
      <c r="N323" s="2"/>
      <c r="O323" s="4"/>
    </row>
    <row r="324" spans="1:15" x14ac:dyDescent="0.2">
      <c r="A324" s="91" t="s">
        <v>515</v>
      </c>
      <c r="B324" s="91" t="s">
        <v>287</v>
      </c>
      <c r="C324" s="95">
        <v>12055</v>
      </c>
      <c r="D324" s="95">
        <v>14544</v>
      </c>
      <c r="E324" s="95">
        <v>26599</v>
      </c>
      <c r="F324" s="95">
        <v>463030865</v>
      </c>
      <c r="G324" s="95">
        <v>676403690</v>
      </c>
      <c r="H324" s="95">
        <v>1139434555</v>
      </c>
      <c r="I324" s="91" t="s">
        <v>585</v>
      </c>
      <c r="J324" s="91" t="s">
        <v>89</v>
      </c>
      <c r="K324" s="94">
        <v>393314</v>
      </c>
      <c r="L324" s="91" t="s">
        <v>657</v>
      </c>
      <c r="M324" s="2"/>
      <c r="N324" s="2"/>
      <c r="O324" s="4"/>
    </row>
    <row r="325" spans="1:15" x14ac:dyDescent="0.2">
      <c r="A325" s="91" t="s">
        <v>180</v>
      </c>
      <c r="B325" s="91" t="s">
        <v>929</v>
      </c>
      <c r="C325" s="95">
        <v>1707</v>
      </c>
      <c r="D325" s="95">
        <v>2661</v>
      </c>
      <c r="E325" s="95">
        <v>4368</v>
      </c>
      <c r="F325" s="95">
        <v>36649069</v>
      </c>
      <c r="G325" s="95">
        <v>76916873</v>
      </c>
      <c r="H325" s="95">
        <v>113565943</v>
      </c>
      <c r="I325" s="91" t="s">
        <v>485</v>
      </c>
      <c r="J325" s="91" t="s">
        <v>89</v>
      </c>
      <c r="K325" s="94">
        <v>395434</v>
      </c>
      <c r="L325" s="91" t="s">
        <v>1096</v>
      </c>
      <c r="M325" s="2"/>
      <c r="N325" s="2"/>
      <c r="O325" s="4"/>
    </row>
    <row r="326" spans="1:15" x14ac:dyDescent="0.2">
      <c r="A326" s="91" t="s">
        <v>202</v>
      </c>
      <c r="B326" s="91" t="s">
        <v>1038</v>
      </c>
      <c r="C326" s="95">
        <v>1721</v>
      </c>
      <c r="D326" s="95">
        <v>2173</v>
      </c>
      <c r="E326" s="95">
        <v>3894</v>
      </c>
      <c r="F326" s="95">
        <v>57359373</v>
      </c>
      <c r="G326" s="95">
        <v>98191569</v>
      </c>
      <c r="H326" s="95">
        <v>155550942</v>
      </c>
      <c r="I326" s="91" t="s">
        <v>585</v>
      </c>
      <c r="J326" s="91" t="s">
        <v>89</v>
      </c>
      <c r="K326" s="94">
        <v>396028</v>
      </c>
      <c r="L326" s="91" t="s">
        <v>332</v>
      </c>
      <c r="M326" s="2"/>
      <c r="N326" s="2"/>
      <c r="O326" s="4"/>
    </row>
    <row r="327" spans="1:15" x14ac:dyDescent="0.2">
      <c r="A327" s="91" t="s">
        <v>276</v>
      </c>
      <c r="B327" s="91" t="s">
        <v>160</v>
      </c>
      <c r="C327" s="95">
        <v>1968</v>
      </c>
      <c r="D327" s="95">
        <v>2858</v>
      </c>
      <c r="E327" s="95">
        <v>4826</v>
      </c>
      <c r="F327" s="95">
        <v>38430902</v>
      </c>
      <c r="G327" s="95">
        <v>66765738</v>
      </c>
      <c r="H327" s="95">
        <v>105196639</v>
      </c>
      <c r="I327" s="91" t="s">
        <v>485</v>
      </c>
      <c r="J327" s="91" t="s">
        <v>89</v>
      </c>
      <c r="K327" s="94">
        <v>396325</v>
      </c>
      <c r="L327" s="91" t="s">
        <v>334</v>
      </c>
      <c r="M327" s="2"/>
      <c r="N327" s="2"/>
      <c r="O327" s="4"/>
    </row>
    <row r="328" spans="1:15" x14ac:dyDescent="0.2">
      <c r="A328" s="91" t="s">
        <v>109</v>
      </c>
      <c r="B328" s="91" t="s">
        <v>119</v>
      </c>
      <c r="C328" s="95">
        <v>11749</v>
      </c>
      <c r="D328" s="95">
        <v>6423</v>
      </c>
      <c r="E328" s="95">
        <v>18172</v>
      </c>
      <c r="F328" s="95">
        <v>624958307</v>
      </c>
      <c r="G328" s="95">
        <v>425909563</v>
      </c>
      <c r="H328" s="95">
        <v>1050867871</v>
      </c>
      <c r="I328" s="91" t="s">
        <v>585</v>
      </c>
      <c r="J328" s="91" t="s">
        <v>89</v>
      </c>
      <c r="K328" s="94">
        <v>399394</v>
      </c>
      <c r="L328" s="91" t="s">
        <v>133</v>
      </c>
      <c r="M328" s="2"/>
      <c r="N328" s="2"/>
      <c r="O328" s="4"/>
    </row>
    <row r="329" spans="1:15" x14ac:dyDescent="0.2">
      <c r="A329" s="91" t="s">
        <v>197</v>
      </c>
      <c r="B329" s="91" t="s">
        <v>131</v>
      </c>
      <c r="C329" s="95">
        <v>5142</v>
      </c>
      <c r="D329" s="95">
        <v>6238</v>
      </c>
      <c r="E329" s="95">
        <v>11380</v>
      </c>
      <c r="F329" s="95">
        <v>125590627</v>
      </c>
      <c r="G329" s="95">
        <v>189638431</v>
      </c>
      <c r="H329" s="95">
        <v>315229057</v>
      </c>
      <c r="I329" s="91" t="s">
        <v>585</v>
      </c>
      <c r="J329" s="91" t="s">
        <v>89</v>
      </c>
      <c r="K329" s="94">
        <v>399865</v>
      </c>
      <c r="L329" s="91" t="s">
        <v>521</v>
      </c>
      <c r="M329" s="2"/>
      <c r="N329" s="2"/>
      <c r="O329" s="4"/>
    </row>
    <row r="330" spans="1:15" x14ac:dyDescent="0.2">
      <c r="A330" s="91" t="s">
        <v>121</v>
      </c>
      <c r="B330" s="91" t="s">
        <v>887</v>
      </c>
      <c r="C330" s="95">
        <v>3</v>
      </c>
      <c r="D330" s="95">
        <v>2</v>
      </c>
      <c r="E330" s="95">
        <v>5</v>
      </c>
      <c r="F330" s="95">
        <v>111397</v>
      </c>
      <c r="G330" s="95">
        <v>91621</v>
      </c>
      <c r="H330" s="95">
        <v>203018</v>
      </c>
      <c r="I330" s="91" t="s">
        <v>485</v>
      </c>
      <c r="J330" s="91" t="s">
        <v>89</v>
      </c>
      <c r="K330" s="94">
        <v>401513</v>
      </c>
      <c r="L330" s="91" t="s">
        <v>271</v>
      </c>
      <c r="M330" s="2"/>
      <c r="N330" s="2"/>
      <c r="O330" s="4"/>
    </row>
    <row r="331" spans="1:15" x14ac:dyDescent="0.2">
      <c r="A331" s="91" t="s">
        <v>197</v>
      </c>
      <c r="B331" s="91" t="s">
        <v>896</v>
      </c>
      <c r="C331" s="95">
        <v>472</v>
      </c>
      <c r="D331" s="95">
        <v>700</v>
      </c>
      <c r="E331" s="95">
        <v>1172</v>
      </c>
      <c r="F331" s="95">
        <v>11368663</v>
      </c>
      <c r="G331" s="95">
        <v>20823462</v>
      </c>
      <c r="H331" s="95">
        <v>32192124</v>
      </c>
      <c r="I331" s="91" t="s">
        <v>485</v>
      </c>
      <c r="J331" s="91" t="s">
        <v>89</v>
      </c>
      <c r="K331" s="94">
        <v>401695</v>
      </c>
      <c r="L331" s="91" t="s">
        <v>93</v>
      </c>
      <c r="M331" s="2"/>
      <c r="N331" s="2"/>
      <c r="O331" s="4"/>
    </row>
    <row r="332" spans="1:15" x14ac:dyDescent="0.2">
      <c r="A332" s="91" t="s">
        <v>98</v>
      </c>
      <c r="B332" s="91" t="s">
        <v>104</v>
      </c>
      <c r="C332" s="95">
        <v>848</v>
      </c>
      <c r="D332" s="95">
        <v>1269</v>
      </c>
      <c r="E332" s="95">
        <v>2117</v>
      </c>
      <c r="F332" s="95">
        <v>27563817</v>
      </c>
      <c r="G332" s="95">
        <v>50049442</v>
      </c>
      <c r="H332" s="95">
        <v>77613260</v>
      </c>
      <c r="I332" s="91" t="s">
        <v>485</v>
      </c>
      <c r="J332" s="91" t="s">
        <v>89</v>
      </c>
      <c r="K332" s="94">
        <v>401810</v>
      </c>
      <c r="L332" s="91" t="s">
        <v>590</v>
      </c>
      <c r="M332" s="2"/>
      <c r="N332" s="2"/>
      <c r="O332" s="4"/>
    </row>
    <row r="333" spans="1:15" x14ac:dyDescent="0.2">
      <c r="A333" s="91" t="s">
        <v>219</v>
      </c>
      <c r="B333" s="91" t="s">
        <v>1127</v>
      </c>
      <c r="C333" s="95">
        <v>3625</v>
      </c>
      <c r="D333" s="95">
        <v>2421</v>
      </c>
      <c r="E333" s="95">
        <v>6046</v>
      </c>
      <c r="F333" s="95">
        <v>94663322</v>
      </c>
      <c r="G333" s="95">
        <v>76330217</v>
      </c>
      <c r="H333" s="95">
        <v>170993538</v>
      </c>
      <c r="I333" s="91" t="s">
        <v>585</v>
      </c>
      <c r="J333" s="91" t="s">
        <v>91</v>
      </c>
      <c r="K333" s="94">
        <v>403642</v>
      </c>
      <c r="L333" s="91" t="s">
        <v>524</v>
      </c>
      <c r="M333" s="2"/>
      <c r="N333" s="2"/>
      <c r="O333" s="4"/>
    </row>
    <row r="334" spans="1:15" x14ac:dyDescent="0.2">
      <c r="A334" s="91" t="s">
        <v>121</v>
      </c>
      <c r="B334" s="91" t="s">
        <v>18</v>
      </c>
      <c r="C334" s="95">
        <v>141</v>
      </c>
      <c r="D334" s="95">
        <v>174</v>
      </c>
      <c r="E334" s="95">
        <v>315</v>
      </c>
      <c r="F334" s="95">
        <v>3242565</v>
      </c>
      <c r="G334" s="95">
        <v>4682586</v>
      </c>
      <c r="H334" s="95">
        <v>7925151</v>
      </c>
      <c r="I334" s="91" t="s">
        <v>485</v>
      </c>
      <c r="J334" s="91" t="s">
        <v>89</v>
      </c>
      <c r="K334" s="94">
        <v>404236</v>
      </c>
      <c r="L334" s="91" t="s">
        <v>320</v>
      </c>
      <c r="M334" s="2"/>
      <c r="N334" s="2"/>
      <c r="O334" s="4"/>
    </row>
    <row r="335" spans="1:15" x14ac:dyDescent="0.2">
      <c r="A335" s="91" t="s">
        <v>109</v>
      </c>
      <c r="B335" s="91" t="s">
        <v>164</v>
      </c>
      <c r="C335" s="95">
        <v>18</v>
      </c>
      <c r="D335" s="95">
        <v>30</v>
      </c>
      <c r="E335" s="95">
        <v>48</v>
      </c>
      <c r="F335" s="95">
        <v>700790</v>
      </c>
      <c r="G335" s="95">
        <v>1152958</v>
      </c>
      <c r="H335" s="95">
        <v>1853749</v>
      </c>
      <c r="I335" s="91" t="s">
        <v>485</v>
      </c>
      <c r="J335" s="91" t="s">
        <v>89</v>
      </c>
      <c r="K335" s="94">
        <v>405290</v>
      </c>
      <c r="L335" s="91" t="s">
        <v>610</v>
      </c>
      <c r="M335" s="2"/>
      <c r="N335" s="2"/>
      <c r="O335" s="4"/>
    </row>
    <row r="336" spans="1:15" x14ac:dyDescent="0.2">
      <c r="A336" s="91" t="s">
        <v>109</v>
      </c>
      <c r="B336" s="91" t="s">
        <v>831</v>
      </c>
      <c r="C336" s="95">
        <v>832</v>
      </c>
      <c r="D336" s="95">
        <v>1055</v>
      </c>
      <c r="E336" s="95">
        <v>1887</v>
      </c>
      <c r="F336" s="95">
        <v>28548487</v>
      </c>
      <c r="G336" s="95">
        <v>42648294</v>
      </c>
      <c r="H336" s="95">
        <v>71196781</v>
      </c>
      <c r="I336" s="91" t="s">
        <v>585</v>
      </c>
      <c r="J336" s="91" t="s">
        <v>89</v>
      </c>
      <c r="K336" s="94">
        <v>407064</v>
      </c>
      <c r="L336" s="91" t="s">
        <v>622</v>
      </c>
      <c r="M336" s="2"/>
      <c r="N336" s="2"/>
      <c r="O336" s="4"/>
    </row>
    <row r="337" spans="1:15" x14ac:dyDescent="0.2">
      <c r="A337" s="91" t="s">
        <v>72</v>
      </c>
      <c r="B337" s="91" t="s">
        <v>1092</v>
      </c>
      <c r="C337" s="95">
        <v>11510</v>
      </c>
      <c r="D337" s="95">
        <v>10923</v>
      </c>
      <c r="E337" s="95">
        <v>22433</v>
      </c>
      <c r="F337" s="95">
        <v>229022377</v>
      </c>
      <c r="G337" s="95">
        <v>280823303</v>
      </c>
      <c r="H337" s="95">
        <v>509845679</v>
      </c>
      <c r="I337" s="91" t="s">
        <v>485</v>
      </c>
      <c r="J337" s="91" t="s">
        <v>89</v>
      </c>
      <c r="K337" s="94">
        <v>407775</v>
      </c>
      <c r="L337" s="91" t="s">
        <v>584</v>
      </c>
      <c r="M337" s="2"/>
      <c r="N337" s="2"/>
      <c r="O337" s="4"/>
    </row>
    <row r="338" spans="1:15" x14ac:dyDescent="0.2">
      <c r="A338" s="91" t="s">
        <v>227</v>
      </c>
      <c r="B338" s="91" t="s">
        <v>252</v>
      </c>
      <c r="C338" s="95">
        <v>2020</v>
      </c>
      <c r="D338" s="95">
        <v>1848</v>
      </c>
      <c r="E338" s="95">
        <v>3868</v>
      </c>
      <c r="F338" s="95">
        <v>51632188</v>
      </c>
      <c r="G338" s="95">
        <v>55792333</v>
      </c>
      <c r="H338" s="95">
        <v>107424521</v>
      </c>
      <c r="I338" s="91" t="s">
        <v>485</v>
      </c>
      <c r="J338" s="91" t="s">
        <v>91</v>
      </c>
      <c r="K338" s="94">
        <v>408484</v>
      </c>
      <c r="L338" s="91" t="s">
        <v>46</v>
      </c>
      <c r="M338" s="2"/>
      <c r="N338" s="2"/>
      <c r="O338" s="4"/>
    </row>
    <row r="339" spans="1:15" x14ac:dyDescent="0.2">
      <c r="A339" s="91" t="s">
        <v>478</v>
      </c>
      <c r="B339" s="91" t="s">
        <v>568</v>
      </c>
      <c r="C339" s="95">
        <v>664</v>
      </c>
      <c r="D339" s="95">
        <v>887</v>
      </c>
      <c r="E339" s="95">
        <v>1551</v>
      </c>
      <c r="F339" s="95">
        <v>25640986</v>
      </c>
      <c r="G339" s="95">
        <v>42693667</v>
      </c>
      <c r="H339" s="95">
        <v>68334654</v>
      </c>
      <c r="I339" s="91" t="s">
        <v>485</v>
      </c>
      <c r="J339" s="91" t="s">
        <v>90</v>
      </c>
      <c r="K339" s="94">
        <v>408898</v>
      </c>
      <c r="L339" s="91" t="s">
        <v>534</v>
      </c>
      <c r="M339" s="2"/>
      <c r="N339" s="2"/>
      <c r="O339" s="4"/>
    </row>
    <row r="340" spans="1:15" x14ac:dyDescent="0.2">
      <c r="A340" s="91" t="s">
        <v>207</v>
      </c>
      <c r="B340" s="91" t="s">
        <v>427</v>
      </c>
      <c r="C340" s="95">
        <v>136</v>
      </c>
      <c r="D340" s="95">
        <v>243</v>
      </c>
      <c r="E340" s="95">
        <v>379</v>
      </c>
      <c r="F340" s="95">
        <v>3383487</v>
      </c>
      <c r="G340" s="95">
        <v>8286708</v>
      </c>
      <c r="H340" s="95">
        <v>11670194</v>
      </c>
      <c r="I340" s="91" t="s">
        <v>485</v>
      </c>
      <c r="J340" s="91" t="s">
        <v>89</v>
      </c>
      <c r="K340" s="94">
        <v>410258</v>
      </c>
      <c r="L340" s="91" t="s">
        <v>591</v>
      </c>
      <c r="M340" s="2"/>
      <c r="N340" s="2"/>
      <c r="O340" s="4"/>
    </row>
    <row r="341" spans="1:15" x14ac:dyDescent="0.2">
      <c r="A341" s="91" t="s">
        <v>121</v>
      </c>
      <c r="B341" s="91" t="s">
        <v>1094</v>
      </c>
      <c r="C341" s="95">
        <v>26</v>
      </c>
      <c r="D341" s="95">
        <v>81</v>
      </c>
      <c r="E341" s="95">
        <v>107</v>
      </c>
      <c r="F341" s="95">
        <v>602843</v>
      </c>
      <c r="G341" s="95">
        <v>2944352</v>
      </c>
      <c r="H341" s="95">
        <v>3547196</v>
      </c>
      <c r="I341" s="91" t="s">
        <v>485</v>
      </c>
      <c r="J341" s="91" t="s">
        <v>89</v>
      </c>
      <c r="K341" s="94">
        <v>413021</v>
      </c>
      <c r="L341" s="91" t="s">
        <v>334</v>
      </c>
      <c r="M341" s="2"/>
      <c r="N341" s="2"/>
      <c r="O341" s="4"/>
    </row>
    <row r="342" spans="1:15" x14ac:dyDescent="0.2">
      <c r="A342" s="91" t="s">
        <v>412</v>
      </c>
      <c r="B342" s="91" t="s">
        <v>416</v>
      </c>
      <c r="C342" s="95">
        <v>2336</v>
      </c>
      <c r="D342" s="95">
        <v>1504</v>
      </c>
      <c r="E342" s="95">
        <v>3840</v>
      </c>
      <c r="F342" s="95">
        <v>94563779</v>
      </c>
      <c r="G342" s="95">
        <v>70001390</v>
      </c>
      <c r="H342" s="95">
        <v>164565170</v>
      </c>
      <c r="I342" s="91" t="s">
        <v>585</v>
      </c>
      <c r="J342" s="91" t="s">
        <v>90</v>
      </c>
      <c r="K342" s="94">
        <v>413260</v>
      </c>
      <c r="L342" s="91" t="s">
        <v>616</v>
      </c>
      <c r="M342" s="2"/>
      <c r="N342" s="2"/>
      <c r="O342" s="4"/>
    </row>
    <row r="343" spans="1:15" x14ac:dyDescent="0.2">
      <c r="A343" s="91" t="s">
        <v>559</v>
      </c>
      <c r="B343" s="91" t="s">
        <v>705</v>
      </c>
      <c r="C343" s="95">
        <v>2611</v>
      </c>
      <c r="D343" s="95">
        <v>3751</v>
      </c>
      <c r="E343" s="95">
        <v>6362</v>
      </c>
      <c r="F343" s="95">
        <v>105003817</v>
      </c>
      <c r="G343" s="95">
        <v>178086332</v>
      </c>
      <c r="H343" s="95">
        <v>283090149</v>
      </c>
      <c r="I343" s="91" t="s">
        <v>585</v>
      </c>
      <c r="J343" s="91" t="s">
        <v>89</v>
      </c>
      <c r="K343" s="94">
        <v>416867</v>
      </c>
      <c r="L343" s="91" t="s">
        <v>871</v>
      </c>
      <c r="M343" s="2"/>
      <c r="N343" s="2"/>
      <c r="O343" s="4"/>
    </row>
    <row r="344" spans="1:15" x14ac:dyDescent="0.2">
      <c r="A344" s="91" t="s">
        <v>202</v>
      </c>
      <c r="B344" s="91" t="s">
        <v>204</v>
      </c>
      <c r="C344" s="95">
        <v>5145</v>
      </c>
      <c r="D344" s="95">
        <v>6381</v>
      </c>
      <c r="E344" s="95">
        <v>11526</v>
      </c>
      <c r="F344" s="95">
        <v>190363247</v>
      </c>
      <c r="G344" s="95">
        <v>284953227</v>
      </c>
      <c r="H344" s="95">
        <v>475316474</v>
      </c>
      <c r="I344" s="91" t="s">
        <v>485</v>
      </c>
      <c r="J344" s="91" t="s">
        <v>89</v>
      </c>
      <c r="K344" s="94">
        <v>416982</v>
      </c>
      <c r="L344" s="91" t="s">
        <v>71</v>
      </c>
      <c r="M344" s="2"/>
      <c r="N344" s="2"/>
      <c r="O344" s="4"/>
    </row>
    <row r="345" spans="1:15" x14ac:dyDescent="0.2">
      <c r="A345" s="91" t="s">
        <v>368</v>
      </c>
      <c r="B345" s="91" t="s">
        <v>311</v>
      </c>
      <c r="C345" s="95">
        <v>2014</v>
      </c>
      <c r="D345" s="95">
        <v>1919</v>
      </c>
      <c r="E345" s="95">
        <v>3933</v>
      </c>
      <c r="F345" s="95">
        <v>88069886</v>
      </c>
      <c r="G345" s="95">
        <v>107881346</v>
      </c>
      <c r="H345" s="95">
        <v>195951232</v>
      </c>
      <c r="I345" s="91" t="s">
        <v>585</v>
      </c>
      <c r="J345" s="91" t="s">
        <v>90</v>
      </c>
      <c r="K345" s="94">
        <v>418699</v>
      </c>
      <c r="L345" s="91" t="s">
        <v>27</v>
      </c>
      <c r="M345" s="2"/>
      <c r="N345" s="2"/>
      <c r="O345" s="4"/>
    </row>
    <row r="346" spans="1:15" x14ac:dyDescent="0.2">
      <c r="A346" s="91" t="s">
        <v>121</v>
      </c>
      <c r="B346" s="91" t="s">
        <v>1024</v>
      </c>
      <c r="C346" s="95">
        <v>58</v>
      </c>
      <c r="D346" s="95">
        <v>116</v>
      </c>
      <c r="E346" s="95">
        <v>174</v>
      </c>
      <c r="F346" s="95">
        <v>1266385</v>
      </c>
      <c r="G346" s="95">
        <v>3015969</v>
      </c>
      <c r="H346" s="95">
        <v>4282354</v>
      </c>
      <c r="I346" s="91" t="s">
        <v>485</v>
      </c>
      <c r="J346" s="91" t="s">
        <v>89</v>
      </c>
      <c r="K346" s="94">
        <v>419101</v>
      </c>
      <c r="L346" s="91" t="s">
        <v>1093</v>
      </c>
      <c r="M346" s="2"/>
      <c r="N346" s="2"/>
      <c r="O346" s="4"/>
    </row>
    <row r="347" spans="1:15" x14ac:dyDescent="0.2">
      <c r="A347" s="91" t="s">
        <v>559</v>
      </c>
      <c r="B347" s="91" t="s">
        <v>809</v>
      </c>
      <c r="C347" s="95">
        <v>915</v>
      </c>
      <c r="D347" s="95">
        <v>1342</v>
      </c>
      <c r="E347" s="95">
        <v>2257</v>
      </c>
      <c r="F347" s="95">
        <v>35346819</v>
      </c>
      <c r="G347" s="95">
        <v>61538918</v>
      </c>
      <c r="H347" s="95">
        <v>96885737</v>
      </c>
      <c r="I347" s="91" t="s">
        <v>485</v>
      </c>
      <c r="J347" s="91" t="s">
        <v>89</v>
      </c>
      <c r="K347" s="94">
        <v>420463</v>
      </c>
      <c r="L347" s="91" t="s">
        <v>596</v>
      </c>
      <c r="M347" s="2"/>
      <c r="N347" s="2"/>
      <c r="O347" s="4"/>
    </row>
    <row r="348" spans="1:15" x14ac:dyDescent="0.2">
      <c r="A348" s="91" t="s">
        <v>368</v>
      </c>
      <c r="B348" s="91" t="s">
        <v>897</v>
      </c>
      <c r="C348" s="95">
        <v>8029</v>
      </c>
      <c r="D348" s="95">
        <v>7478</v>
      </c>
      <c r="E348" s="95">
        <v>15507</v>
      </c>
      <c r="F348" s="95">
        <v>233135436</v>
      </c>
      <c r="G348" s="95">
        <v>281710544</v>
      </c>
      <c r="H348" s="95">
        <v>514845979</v>
      </c>
      <c r="I348" s="91" t="s">
        <v>585</v>
      </c>
      <c r="J348" s="91" t="s">
        <v>90</v>
      </c>
      <c r="K348" s="94">
        <v>420646</v>
      </c>
      <c r="L348" s="91" t="s">
        <v>1035</v>
      </c>
      <c r="M348" s="2"/>
      <c r="N348" s="2"/>
      <c r="O348" s="4"/>
    </row>
    <row r="349" spans="1:15" x14ac:dyDescent="0.2">
      <c r="A349" s="91" t="s">
        <v>478</v>
      </c>
      <c r="B349" s="91" t="s">
        <v>972</v>
      </c>
      <c r="C349" s="95">
        <v>2</v>
      </c>
      <c r="D349" s="95">
        <v>8</v>
      </c>
      <c r="E349" s="95">
        <v>10</v>
      </c>
      <c r="F349" s="95">
        <v>54832</v>
      </c>
      <c r="G349" s="95">
        <v>278752</v>
      </c>
      <c r="H349" s="95">
        <v>333584</v>
      </c>
      <c r="I349" s="91" t="s">
        <v>485</v>
      </c>
      <c r="J349" s="91" t="s">
        <v>90</v>
      </c>
      <c r="K349" s="94">
        <v>420935</v>
      </c>
      <c r="L349" s="91" t="s">
        <v>58</v>
      </c>
      <c r="M349" s="2"/>
      <c r="N349" s="2"/>
      <c r="O349" s="4"/>
    </row>
    <row r="350" spans="1:15" x14ac:dyDescent="0.2">
      <c r="A350" s="91" t="s">
        <v>275</v>
      </c>
      <c r="B350" s="91" t="s">
        <v>652</v>
      </c>
      <c r="C350" s="95">
        <v>1230</v>
      </c>
      <c r="D350" s="95">
        <v>2227</v>
      </c>
      <c r="E350" s="95">
        <v>3457</v>
      </c>
      <c r="F350" s="95">
        <v>36895504</v>
      </c>
      <c r="G350" s="95">
        <v>86508880</v>
      </c>
      <c r="H350" s="95">
        <v>123404384</v>
      </c>
      <c r="I350" s="91" t="s">
        <v>485</v>
      </c>
      <c r="J350" s="91" t="s">
        <v>89</v>
      </c>
      <c r="K350" s="94">
        <v>425892</v>
      </c>
      <c r="L350" s="91" t="s">
        <v>521</v>
      </c>
      <c r="M350" s="2"/>
      <c r="N350" s="2"/>
      <c r="O350" s="4"/>
    </row>
    <row r="351" spans="1:15" x14ac:dyDescent="0.2">
      <c r="A351" s="91" t="s">
        <v>469</v>
      </c>
      <c r="B351" s="91" t="s">
        <v>793</v>
      </c>
      <c r="C351" s="95">
        <v>735</v>
      </c>
      <c r="D351" s="95">
        <v>728</v>
      </c>
      <c r="E351" s="95">
        <v>1463</v>
      </c>
      <c r="F351" s="95">
        <v>18374892</v>
      </c>
      <c r="G351" s="95">
        <v>21169128</v>
      </c>
      <c r="H351" s="95">
        <v>39544020</v>
      </c>
      <c r="I351" s="91" t="s">
        <v>485</v>
      </c>
      <c r="J351" s="91" t="s">
        <v>90</v>
      </c>
      <c r="K351" s="94">
        <v>426726</v>
      </c>
      <c r="L351" s="91" t="s">
        <v>596</v>
      </c>
      <c r="M351" s="2"/>
      <c r="N351" s="2"/>
      <c r="O351" s="4"/>
    </row>
    <row r="352" spans="1:15" x14ac:dyDescent="0.2">
      <c r="A352" s="91" t="s">
        <v>258</v>
      </c>
      <c r="B352" s="91" t="s">
        <v>351</v>
      </c>
      <c r="C352" s="95">
        <v>46815</v>
      </c>
      <c r="D352" s="95">
        <v>41527</v>
      </c>
      <c r="E352" s="95">
        <v>88342</v>
      </c>
      <c r="F352" s="95">
        <v>3357984117</v>
      </c>
      <c r="G352" s="95">
        <v>3653929822</v>
      </c>
      <c r="H352" s="95">
        <v>7011913939</v>
      </c>
      <c r="I352" s="91" t="s">
        <v>585</v>
      </c>
      <c r="J352" s="91" t="s">
        <v>92</v>
      </c>
      <c r="K352" s="94">
        <v>427310</v>
      </c>
      <c r="L352" s="91" t="s">
        <v>622</v>
      </c>
      <c r="M352" s="2"/>
      <c r="N352" s="2"/>
      <c r="O352" s="4"/>
    </row>
    <row r="353" spans="1:15" x14ac:dyDescent="0.2">
      <c r="A353" s="91" t="s">
        <v>109</v>
      </c>
      <c r="B353" s="91" t="s">
        <v>776</v>
      </c>
      <c r="C353" s="95">
        <v>27574</v>
      </c>
      <c r="D353" s="95">
        <v>29546</v>
      </c>
      <c r="E353" s="95">
        <v>57120</v>
      </c>
      <c r="F353" s="95">
        <v>3986456098</v>
      </c>
      <c r="G353" s="95">
        <v>5235555568</v>
      </c>
      <c r="H353" s="95">
        <v>9222011666</v>
      </c>
      <c r="I353" s="91" t="s">
        <v>585</v>
      </c>
      <c r="J353" s="91" t="s">
        <v>89</v>
      </c>
      <c r="K353" s="94">
        <v>428250</v>
      </c>
      <c r="L353" s="91" t="s">
        <v>685</v>
      </c>
      <c r="M353" s="2"/>
      <c r="N353" s="2"/>
      <c r="O353" s="4"/>
    </row>
    <row r="354" spans="1:15" x14ac:dyDescent="0.2">
      <c r="A354" s="91" t="s">
        <v>254</v>
      </c>
      <c r="B354" s="91" t="s">
        <v>838</v>
      </c>
      <c r="C354" s="95">
        <v>37591</v>
      </c>
      <c r="D354" s="95">
        <v>27527</v>
      </c>
      <c r="E354" s="95">
        <v>65118</v>
      </c>
      <c r="F354" s="95">
        <v>4068202225</v>
      </c>
      <c r="G354" s="95">
        <v>3417403067</v>
      </c>
      <c r="H354" s="95">
        <v>7485605293</v>
      </c>
      <c r="I354" s="91" t="s">
        <v>585</v>
      </c>
      <c r="J354" s="91" t="s">
        <v>92</v>
      </c>
      <c r="K354" s="94">
        <v>430975</v>
      </c>
      <c r="L354" s="91" t="s">
        <v>1084</v>
      </c>
      <c r="M354" s="2"/>
      <c r="N354" s="2"/>
      <c r="O354" s="4"/>
    </row>
    <row r="355" spans="1:15" x14ac:dyDescent="0.2">
      <c r="A355" s="91" t="s">
        <v>98</v>
      </c>
      <c r="B355" s="91" t="s">
        <v>928</v>
      </c>
      <c r="C355" s="95">
        <v>16</v>
      </c>
      <c r="D355" s="95">
        <v>30</v>
      </c>
      <c r="E355" s="95">
        <v>46</v>
      </c>
      <c r="F355" s="95">
        <v>394549</v>
      </c>
      <c r="G355" s="95">
        <v>1300730</v>
      </c>
      <c r="H355" s="95">
        <v>1695279</v>
      </c>
      <c r="I355" s="91" t="s">
        <v>485</v>
      </c>
      <c r="J355" s="91" t="s">
        <v>89</v>
      </c>
      <c r="K355" s="94">
        <v>431262</v>
      </c>
      <c r="L355" s="91" t="s">
        <v>1096</v>
      </c>
      <c r="M355" s="2"/>
      <c r="N355" s="2"/>
      <c r="O355" s="4"/>
    </row>
    <row r="356" spans="1:15" x14ac:dyDescent="0.2">
      <c r="A356" s="91" t="s">
        <v>109</v>
      </c>
      <c r="B356" s="91" t="s">
        <v>570</v>
      </c>
      <c r="C356" s="95">
        <v>48</v>
      </c>
      <c r="D356" s="95">
        <v>63</v>
      </c>
      <c r="E356" s="95">
        <v>111</v>
      </c>
      <c r="F356" s="95">
        <v>1546209</v>
      </c>
      <c r="G356" s="95">
        <v>2282102</v>
      </c>
      <c r="H356" s="95">
        <v>3828311</v>
      </c>
      <c r="I356" s="91" t="s">
        <v>485</v>
      </c>
      <c r="J356" s="91" t="s">
        <v>89</v>
      </c>
      <c r="K356" s="94">
        <v>432096</v>
      </c>
      <c r="L356" s="91" t="s">
        <v>534</v>
      </c>
      <c r="M356" s="2"/>
      <c r="N356" s="2"/>
      <c r="O356" s="4"/>
    </row>
    <row r="357" spans="1:15" x14ac:dyDescent="0.2">
      <c r="A357" s="91" t="s">
        <v>207</v>
      </c>
      <c r="B357" s="91" t="s">
        <v>139</v>
      </c>
      <c r="C357" s="95">
        <v>85</v>
      </c>
      <c r="D357" s="95">
        <v>156</v>
      </c>
      <c r="E357" s="95">
        <v>241</v>
      </c>
      <c r="F357" s="95">
        <v>3040376</v>
      </c>
      <c r="G357" s="95">
        <v>6129213</v>
      </c>
      <c r="H357" s="95">
        <v>9169588</v>
      </c>
      <c r="I357" s="91" t="s">
        <v>485</v>
      </c>
      <c r="J357" s="91" t="s">
        <v>89</v>
      </c>
      <c r="K357" s="94">
        <v>432153</v>
      </c>
      <c r="L357" s="91" t="s">
        <v>334</v>
      </c>
      <c r="M357" s="2"/>
      <c r="N357" s="2"/>
      <c r="O357" s="4"/>
    </row>
    <row r="358" spans="1:15" x14ac:dyDescent="0.2">
      <c r="A358" s="91" t="s">
        <v>276</v>
      </c>
      <c r="B358" s="91" t="s">
        <v>77</v>
      </c>
      <c r="C358" s="95">
        <v>4948</v>
      </c>
      <c r="D358" s="95">
        <v>6561</v>
      </c>
      <c r="E358" s="95">
        <v>11509</v>
      </c>
      <c r="F358" s="95">
        <v>78127549</v>
      </c>
      <c r="G358" s="95">
        <v>141818773</v>
      </c>
      <c r="H358" s="95">
        <v>219946322</v>
      </c>
      <c r="I358" s="91" t="s">
        <v>485</v>
      </c>
      <c r="J358" s="91" t="s">
        <v>89</v>
      </c>
      <c r="K358" s="94">
        <v>433862</v>
      </c>
      <c r="L358" s="91" t="s">
        <v>1084</v>
      </c>
      <c r="M358" s="2"/>
      <c r="N358" s="2"/>
      <c r="O358" s="4"/>
    </row>
    <row r="359" spans="1:15" x14ac:dyDescent="0.2">
      <c r="A359" s="91" t="s">
        <v>197</v>
      </c>
      <c r="B359" s="91" t="s">
        <v>200</v>
      </c>
      <c r="C359" s="95">
        <v>13356</v>
      </c>
      <c r="D359" s="95">
        <v>13388</v>
      </c>
      <c r="E359" s="95">
        <v>26744</v>
      </c>
      <c r="F359" s="95">
        <v>397464169</v>
      </c>
      <c r="G359" s="95">
        <v>495675029</v>
      </c>
      <c r="H359" s="95">
        <v>893139198</v>
      </c>
      <c r="I359" s="91" t="s">
        <v>585</v>
      </c>
      <c r="J359" s="91" t="s">
        <v>89</v>
      </c>
      <c r="K359" s="94">
        <v>435222</v>
      </c>
      <c r="L359" s="91" t="s">
        <v>133</v>
      </c>
      <c r="M359" s="2"/>
      <c r="N359" s="2"/>
      <c r="O359" s="4"/>
    </row>
    <row r="360" spans="1:15" x14ac:dyDescent="0.2">
      <c r="A360" s="91" t="s">
        <v>207</v>
      </c>
      <c r="B360" s="91" t="s">
        <v>600</v>
      </c>
      <c r="C360" s="95">
        <v>69</v>
      </c>
      <c r="D360" s="95">
        <v>94</v>
      </c>
      <c r="E360" s="95">
        <v>163</v>
      </c>
      <c r="F360" s="95">
        <v>1308747</v>
      </c>
      <c r="G360" s="95">
        <v>2775753</v>
      </c>
      <c r="H360" s="95">
        <v>4084500</v>
      </c>
      <c r="I360" s="91" t="s">
        <v>485</v>
      </c>
      <c r="J360" s="91" t="s">
        <v>89</v>
      </c>
      <c r="K360" s="94">
        <v>439299</v>
      </c>
      <c r="L360" s="91" t="s">
        <v>597</v>
      </c>
      <c r="M360" s="2"/>
      <c r="N360" s="2"/>
      <c r="O360" s="4"/>
    </row>
    <row r="361" spans="1:15" x14ac:dyDescent="0.2">
      <c r="A361" s="91" t="s">
        <v>197</v>
      </c>
      <c r="B361" s="91" t="s">
        <v>198</v>
      </c>
      <c r="C361" s="95">
        <v>7766</v>
      </c>
      <c r="D361" s="95">
        <v>8878</v>
      </c>
      <c r="E361" s="95">
        <v>16644</v>
      </c>
      <c r="F361" s="95">
        <v>248204451</v>
      </c>
      <c r="G361" s="95">
        <v>346399342</v>
      </c>
      <c r="H361" s="95">
        <v>594603793</v>
      </c>
      <c r="I361" s="91" t="s">
        <v>585</v>
      </c>
      <c r="J361" s="91" t="s">
        <v>89</v>
      </c>
      <c r="K361" s="94">
        <v>439471</v>
      </c>
      <c r="L361" s="91" t="s">
        <v>524</v>
      </c>
      <c r="M361" s="2"/>
      <c r="N361" s="2"/>
      <c r="O361" s="4"/>
    </row>
    <row r="362" spans="1:15" x14ac:dyDescent="0.2">
      <c r="A362" s="91" t="s">
        <v>65</v>
      </c>
      <c r="B362" s="91" t="s">
        <v>151</v>
      </c>
      <c r="C362" s="95">
        <v>372</v>
      </c>
      <c r="D362" s="95">
        <v>463</v>
      </c>
      <c r="E362" s="95">
        <v>835</v>
      </c>
      <c r="F362" s="95">
        <v>11849750</v>
      </c>
      <c r="G362" s="95">
        <v>16908165</v>
      </c>
      <c r="H362" s="95">
        <v>28757916</v>
      </c>
      <c r="I362" s="91" t="s">
        <v>485</v>
      </c>
      <c r="J362" s="91" t="s">
        <v>89</v>
      </c>
      <c r="K362" s="94">
        <v>440065</v>
      </c>
      <c r="L362" s="91" t="s">
        <v>320</v>
      </c>
      <c r="M362" s="2"/>
      <c r="N362" s="2"/>
      <c r="O362" s="4"/>
    </row>
    <row r="363" spans="1:15" x14ac:dyDescent="0.2">
      <c r="A363" s="91" t="s">
        <v>157</v>
      </c>
      <c r="B363" s="91" t="s">
        <v>161</v>
      </c>
      <c r="C363" s="95">
        <v>7800</v>
      </c>
      <c r="D363" s="95">
        <v>8991</v>
      </c>
      <c r="E363" s="95">
        <v>16791</v>
      </c>
      <c r="F363" s="95">
        <v>154763868</v>
      </c>
      <c r="G363" s="95">
        <v>216711841</v>
      </c>
      <c r="H363" s="95">
        <v>371475708</v>
      </c>
      <c r="I363" s="91" t="s">
        <v>585</v>
      </c>
      <c r="J363" s="91" t="s">
        <v>89</v>
      </c>
      <c r="K363" s="94">
        <v>442483</v>
      </c>
      <c r="L363" s="91" t="s">
        <v>943</v>
      </c>
      <c r="M363" s="2"/>
      <c r="N363" s="2"/>
      <c r="O363" s="4"/>
    </row>
    <row r="364" spans="1:15" x14ac:dyDescent="0.2">
      <c r="A364" s="91" t="s">
        <v>368</v>
      </c>
      <c r="B364" s="91" t="s">
        <v>1048</v>
      </c>
      <c r="C364" s="95">
        <v>681</v>
      </c>
      <c r="D364" s="95">
        <v>814</v>
      </c>
      <c r="E364" s="95">
        <v>1495</v>
      </c>
      <c r="F364" s="95">
        <v>31910675</v>
      </c>
      <c r="G364" s="95">
        <v>51433721</v>
      </c>
      <c r="H364" s="95">
        <v>83344396</v>
      </c>
      <c r="I364" s="91" t="s">
        <v>585</v>
      </c>
      <c r="J364" s="91" t="s">
        <v>90</v>
      </c>
      <c r="K364" s="94">
        <v>442897</v>
      </c>
      <c r="L364" s="91" t="s">
        <v>622</v>
      </c>
      <c r="M364" s="2"/>
      <c r="N364" s="2"/>
      <c r="O364" s="4"/>
    </row>
    <row r="365" spans="1:15" x14ac:dyDescent="0.2">
      <c r="A365" s="91" t="s">
        <v>469</v>
      </c>
      <c r="B365" s="91" t="s">
        <v>643</v>
      </c>
      <c r="C365" s="95">
        <v>1077</v>
      </c>
      <c r="D365" s="95">
        <v>1098</v>
      </c>
      <c r="E365" s="95">
        <v>2175</v>
      </c>
      <c r="F365" s="95">
        <v>33750262</v>
      </c>
      <c r="G365" s="95">
        <v>41146359</v>
      </c>
      <c r="H365" s="95">
        <v>74896621</v>
      </c>
      <c r="I365" s="91" t="s">
        <v>485</v>
      </c>
      <c r="J365" s="91" t="s">
        <v>90</v>
      </c>
      <c r="K365" s="94">
        <v>443721</v>
      </c>
      <c r="L365" s="91" t="s">
        <v>71</v>
      </c>
      <c r="M365" s="2"/>
      <c r="N365" s="2"/>
      <c r="O365" s="4"/>
    </row>
    <row r="366" spans="1:15" x14ac:dyDescent="0.2">
      <c r="A366" s="91" t="s">
        <v>227</v>
      </c>
      <c r="B366" s="91" t="s">
        <v>253</v>
      </c>
      <c r="C366" s="95">
        <v>685</v>
      </c>
      <c r="D366" s="95">
        <v>502</v>
      </c>
      <c r="E366" s="95">
        <v>1187</v>
      </c>
      <c r="F366" s="95">
        <v>15224725</v>
      </c>
      <c r="G366" s="95">
        <v>13644308</v>
      </c>
      <c r="H366" s="95">
        <v>28869033</v>
      </c>
      <c r="I366" s="91" t="s">
        <v>485</v>
      </c>
      <c r="J366" s="91" t="s">
        <v>91</v>
      </c>
      <c r="K366" s="94">
        <v>444315</v>
      </c>
      <c r="L366" s="91" t="s">
        <v>46</v>
      </c>
      <c r="M366" s="2"/>
      <c r="N366" s="2"/>
      <c r="O366" s="4"/>
    </row>
    <row r="367" spans="1:15" x14ac:dyDescent="0.2">
      <c r="A367" s="91" t="s">
        <v>207</v>
      </c>
      <c r="B367" s="91" t="s">
        <v>898</v>
      </c>
      <c r="C367" s="95">
        <v>90</v>
      </c>
      <c r="D367" s="95">
        <v>179</v>
      </c>
      <c r="E367" s="95">
        <v>269</v>
      </c>
      <c r="F367" s="95">
        <v>2504042</v>
      </c>
      <c r="G367" s="95">
        <v>5470105</v>
      </c>
      <c r="H367" s="95">
        <v>7974147</v>
      </c>
      <c r="I367" s="91" t="s">
        <v>485</v>
      </c>
      <c r="J367" s="91" t="s">
        <v>89</v>
      </c>
      <c r="K367" s="94">
        <v>445841</v>
      </c>
      <c r="L367" s="91" t="s">
        <v>697</v>
      </c>
      <c r="M367" s="2"/>
      <c r="N367" s="2"/>
      <c r="O367" s="4"/>
    </row>
    <row r="368" spans="1:15" x14ac:dyDescent="0.2">
      <c r="A368" s="91" t="s">
        <v>197</v>
      </c>
      <c r="B368" s="91" t="s">
        <v>593</v>
      </c>
      <c r="C368" s="95">
        <v>92</v>
      </c>
      <c r="D368" s="95">
        <v>178</v>
      </c>
      <c r="E368" s="95">
        <v>270</v>
      </c>
      <c r="F368" s="95">
        <v>3099011</v>
      </c>
      <c r="G368" s="95">
        <v>5645402</v>
      </c>
      <c r="H368" s="95">
        <v>8744413</v>
      </c>
      <c r="I368" s="91" t="s">
        <v>485</v>
      </c>
      <c r="J368" s="91" t="s">
        <v>89</v>
      </c>
      <c r="K368" s="94">
        <v>446088</v>
      </c>
      <c r="L368" s="91" t="s">
        <v>591</v>
      </c>
      <c r="M368" s="2"/>
      <c r="N368" s="2"/>
      <c r="O368" s="4"/>
    </row>
    <row r="369" spans="1:15" x14ac:dyDescent="0.2">
      <c r="A369" s="91" t="s">
        <v>227</v>
      </c>
      <c r="B369" s="91" t="s">
        <v>770</v>
      </c>
      <c r="C369" s="95">
        <v>156</v>
      </c>
      <c r="D369" s="95">
        <v>140</v>
      </c>
      <c r="E369" s="95">
        <v>296</v>
      </c>
      <c r="F369" s="95">
        <v>14199462</v>
      </c>
      <c r="G369" s="95">
        <v>14547991</v>
      </c>
      <c r="H369" s="95">
        <v>28747452</v>
      </c>
      <c r="I369" s="91" t="s">
        <v>585</v>
      </c>
      <c r="J369" s="91" t="s">
        <v>91</v>
      </c>
      <c r="K369" s="94">
        <v>447086</v>
      </c>
      <c r="L369" s="91" t="s">
        <v>740</v>
      </c>
      <c r="M369" s="2"/>
      <c r="N369" s="2"/>
      <c r="O369" s="4"/>
    </row>
    <row r="370" spans="1:15" x14ac:dyDescent="0.2">
      <c r="A370" s="91" t="s">
        <v>157</v>
      </c>
      <c r="B370" s="91" t="s">
        <v>169</v>
      </c>
      <c r="C370" s="95">
        <v>2937</v>
      </c>
      <c r="D370" s="95">
        <v>3448</v>
      </c>
      <c r="E370" s="95">
        <v>6385</v>
      </c>
      <c r="F370" s="95">
        <v>58304814</v>
      </c>
      <c r="G370" s="95">
        <v>87973899</v>
      </c>
      <c r="H370" s="95">
        <v>146278713</v>
      </c>
      <c r="I370" s="91" t="s">
        <v>585</v>
      </c>
      <c r="J370" s="91" t="s">
        <v>89</v>
      </c>
      <c r="K370" s="94">
        <v>449090</v>
      </c>
      <c r="L370" s="91" t="s">
        <v>616</v>
      </c>
      <c r="M370" s="2"/>
      <c r="N370" s="2"/>
      <c r="O370" s="4"/>
    </row>
    <row r="371" spans="1:15" x14ac:dyDescent="0.2">
      <c r="A371" s="91" t="s">
        <v>515</v>
      </c>
      <c r="B371" s="91" t="s">
        <v>1020</v>
      </c>
      <c r="C371" s="95">
        <v>7314</v>
      </c>
      <c r="D371" s="95">
        <v>8820</v>
      </c>
      <c r="E371" s="95">
        <v>16134</v>
      </c>
      <c r="F371" s="95">
        <v>310910283</v>
      </c>
      <c r="G371" s="95">
        <v>463645756</v>
      </c>
      <c r="H371" s="95">
        <v>774556039</v>
      </c>
      <c r="I371" s="91" t="s">
        <v>485</v>
      </c>
      <c r="J371" s="91" t="s">
        <v>89</v>
      </c>
      <c r="K371" s="94">
        <v>450981</v>
      </c>
      <c r="L371" s="91" t="s">
        <v>1093</v>
      </c>
      <c r="M371" s="2"/>
      <c r="N371" s="2"/>
      <c r="O371" s="4"/>
    </row>
    <row r="372" spans="1:15" x14ac:dyDescent="0.2">
      <c r="A372" s="91" t="s">
        <v>227</v>
      </c>
      <c r="B372" s="91" t="s">
        <v>879</v>
      </c>
      <c r="C372" s="95">
        <v>1861</v>
      </c>
      <c r="D372" s="95">
        <v>1662</v>
      </c>
      <c r="E372" s="95">
        <v>3523</v>
      </c>
      <c r="F372" s="95">
        <v>184411072</v>
      </c>
      <c r="G372" s="95">
        <v>185963295</v>
      </c>
      <c r="H372" s="95">
        <v>370374367</v>
      </c>
      <c r="I372" s="91" t="s">
        <v>485</v>
      </c>
      <c r="J372" s="91" t="s">
        <v>91</v>
      </c>
      <c r="K372" s="94">
        <v>451393</v>
      </c>
      <c r="L372" s="91" t="s">
        <v>877</v>
      </c>
      <c r="M372" s="2"/>
      <c r="N372" s="2"/>
      <c r="O372" s="4"/>
    </row>
    <row r="373" spans="1:15" x14ac:dyDescent="0.2">
      <c r="A373" s="91" t="s">
        <v>65</v>
      </c>
      <c r="B373" s="91" t="s">
        <v>1097</v>
      </c>
      <c r="C373" s="95">
        <v>229</v>
      </c>
      <c r="D373" s="95">
        <v>255</v>
      </c>
      <c r="E373" s="95">
        <v>484</v>
      </c>
      <c r="F373" s="95">
        <v>7116444</v>
      </c>
      <c r="G373" s="95">
        <v>9315688</v>
      </c>
      <c r="H373" s="95">
        <v>16432132</v>
      </c>
      <c r="I373" s="91" t="s">
        <v>485</v>
      </c>
      <c r="J373" s="91" t="s">
        <v>89</v>
      </c>
      <c r="K373" s="94">
        <v>452755</v>
      </c>
      <c r="L373" s="91" t="s">
        <v>334</v>
      </c>
      <c r="M373" s="2"/>
      <c r="N373" s="2"/>
      <c r="O373" s="4"/>
    </row>
    <row r="374" spans="1:15" x14ac:dyDescent="0.2">
      <c r="A374" s="91" t="s">
        <v>478</v>
      </c>
      <c r="B374" s="91" t="s">
        <v>1115</v>
      </c>
      <c r="C374" s="95">
        <v>0</v>
      </c>
      <c r="D374" s="95">
        <v>2</v>
      </c>
      <c r="E374" s="95">
        <v>2</v>
      </c>
      <c r="F374" s="95">
        <v>0</v>
      </c>
      <c r="G374" s="95">
        <v>121135</v>
      </c>
      <c r="H374" s="95">
        <v>121135</v>
      </c>
      <c r="I374" s="91" t="s">
        <v>585</v>
      </c>
      <c r="J374" s="91" t="s">
        <v>90</v>
      </c>
      <c r="K374" s="94">
        <v>453100</v>
      </c>
      <c r="L374" s="91" t="s">
        <v>569</v>
      </c>
      <c r="M374" s="2"/>
      <c r="N374" s="2"/>
      <c r="O374" s="4"/>
    </row>
    <row r="375" spans="1:15" x14ac:dyDescent="0.2">
      <c r="A375" s="91" t="s">
        <v>207</v>
      </c>
      <c r="B375" s="91" t="s">
        <v>1026</v>
      </c>
      <c r="C375" s="95">
        <v>39</v>
      </c>
      <c r="D375" s="95">
        <v>57</v>
      </c>
      <c r="E375" s="95">
        <v>96</v>
      </c>
      <c r="F375" s="95">
        <v>972420</v>
      </c>
      <c r="G375" s="95">
        <v>2516354</v>
      </c>
      <c r="H375" s="95">
        <v>3488774</v>
      </c>
      <c r="I375" s="91" t="s">
        <v>485</v>
      </c>
      <c r="J375" s="91" t="s">
        <v>89</v>
      </c>
      <c r="K375" s="94">
        <v>454934</v>
      </c>
      <c r="L375" s="91" t="s">
        <v>1093</v>
      </c>
      <c r="M375" s="2"/>
      <c r="N375" s="2"/>
      <c r="O375" s="4"/>
    </row>
    <row r="376" spans="1:15" x14ac:dyDescent="0.2">
      <c r="A376" s="91" t="s">
        <v>207</v>
      </c>
      <c r="B376" s="91" t="s">
        <v>947</v>
      </c>
      <c r="C376" s="95">
        <v>156</v>
      </c>
      <c r="D376" s="95">
        <v>281</v>
      </c>
      <c r="E376" s="95">
        <v>437</v>
      </c>
      <c r="F376" s="95">
        <v>4398015</v>
      </c>
      <c r="G376" s="95">
        <v>9730999</v>
      </c>
      <c r="H376" s="95">
        <v>14129014</v>
      </c>
      <c r="I376" s="91" t="s">
        <v>585</v>
      </c>
      <c r="J376" s="91" t="s">
        <v>89</v>
      </c>
      <c r="K376" s="94">
        <v>456236</v>
      </c>
      <c r="L376" s="91" t="s">
        <v>853</v>
      </c>
      <c r="M376" s="2"/>
      <c r="N376" s="2"/>
      <c r="O376" s="4"/>
    </row>
    <row r="377" spans="1:15" x14ac:dyDescent="0.2">
      <c r="A377" s="91" t="s">
        <v>72</v>
      </c>
      <c r="B377" s="91" t="s">
        <v>899</v>
      </c>
      <c r="C377" s="95">
        <v>5401</v>
      </c>
      <c r="D377" s="95">
        <v>6738</v>
      </c>
      <c r="E377" s="95">
        <v>12139</v>
      </c>
      <c r="F377" s="95">
        <v>147164386</v>
      </c>
      <c r="G377" s="95">
        <v>229146403</v>
      </c>
      <c r="H377" s="95">
        <v>376310789</v>
      </c>
      <c r="I377" s="91" t="s">
        <v>585</v>
      </c>
      <c r="J377" s="91" t="s">
        <v>89</v>
      </c>
      <c r="K377" s="94">
        <v>456475</v>
      </c>
      <c r="L377" s="91" t="s">
        <v>1035</v>
      </c>
      <c r="M377" s="2"/>
      <c r="N377" s="2"/>
      <c r="O377" s="4"/>
    </row>
    <row r="378" spans="1:15" x14ac:dyDescent="0.2">
      <c r="A378" s="91" t="s">
        <v>478</v>
      </c>
      <c r="B378" s="91" t="s">
        <v>974</v>
      </c>
      <c r="C378" s="95">
        <v>1</v>
      </c>
      <c r="D378" s="95">
        <v>4</v>
      </c>
      <c r="E378" s="95">
        <v>5</v>
      </c>
      <c r="F378" s="95">
        <v>12407</v>
      </c>
      <c r="G378" s="95">
        <v>209379</v>
      </c>
      <c r="H378" s="95">
        <v>221786</v>
      </c>
      <c r="I378" s="91" t="s">
        <v>485</v>
      </c>
      <c r="J378" s="91" t="s">
        <v>90</v>
      </c>
      <c r="K378" s="94">
        <v>456764</v>
      </c>
      <c r="L378" s="91" t="s">
        <v>58</v>
      </c>
      <c r="M378" s="2"/>
      <c r="N378" s="2"/>
      <c r="O378" s="4"/>
    </row>
    <row r="379" spans="1:15" x14ac:dyDescent="0.2">
      <c r="A379" s="91" t="s">
        <v>121</v>
      </c>
      <c r="B379" s="91" t="s">
        <v>734</v>
      </c>
      <c r="C379" s="95">
        <v>205</v>
      </c>
      <c r="D379" s="95">
        <v>428</v>
      </c>
      <c r="E379" s="95">
        <v>633</v>
      </c>
      <c r="F379" s="95">
        <v>4898309</v>
      </c>
      <c r="G379" s="95">
        <v>11154037</v>
      </c>
      <c r="H379" s="95">
        <v>16052347</v>
      </c>
      <c r="I379" s="91" t="s">
        <v>585</v>
      </c>
      <c r="J379" s="91" t="s">
        <v>89</v>
      </c>
      <c r="K379" s="94">
        <v>459891</v>
      </c>
      <c r="L379" s="91" t="s">
        <v>622</v>
      </c>
      <c r="M379" s="2"/>
      <c r="N379" s="2"/>
      <c r="O379" s="4"/>
    </row>
    <row r="380" spans="1:15" x14ac:dyDescent="0.2">
      <c r="A380" s="91" t="s">
        <v>258</v>
      </c>
      <c r="B380" s="91" t="s">
        <v>361</v>
      </c>
      <c r="C380" s="95">
        <v>57570</v>
      </c>
      <c r="D380" s="95">
        <v>46119</v>
      </c>
      <c r="E380" s="95">
        <v>103689</v>
      </c>
      <c r="F380" s="95">
        <v>3853776424</v>
      </c>
      <c r="G380" s="95">
        <v>3768661427</v>
      </c>
      <c r="H380" s="95">
        <v>7622437851</v>
      </c>
      <c r="I380" s="91" t="s">
        <v>585</v>
      </c>
      <c r="J380" s="91" t="s">
        <v>92</v>
      </c>
      <c r="K380" s="94">
        <v>463141</v>
      </c>
      <c r="L380" s="91" t="s">
        <v>622</v>
      </c>
      <c r="M380" s="2"/>
      <c r="N380" s="2"/>
      <c r="O380" s="4"/>
    </row>
    <row r="381" spans="1:15" x14ac:dyDescent="0.2">
      <c r="A381" s="91" t="s">
        <v>227</v>
      </c>
      <c r="B381" s="91" t="s">
        <v>778</v>
      </c>
      <c r="C381" s="95">
        <v>9532</v>
      </c>
      <c r="D381" s="95">
        <v>8622</v>
      </c>
      <c r="E381" s="95">
        <v>18154</v>
      </c>
      <c r="F381" s="95">
        <v>1161316035</v>
      </c>
      <c r="G381" s="95">
        <v>1259577015</v>
      </c>
      <c r="H381" s="95">
        <v>2420893049</v>
      </c>
      <c r="I381" s="91" t="s">
        <v>585</v>
      </c>
      <c r="J381" s="91" t="s">
        <v>91</v>
      </c>
      <c r="K381" s="94">
        <v>464081</v>
      </c>
      <c r="L381" s="91" t="s">
        <v>685</v>
      </c>
      <c r="M381" s="2"/>
      <c r="N381" s="2"/>
      <c r="O381" s="4"/>
    </row>
    <row r="382" spans="1:15" x14ac:dyDescent="0.2">
      <c r="A382" s="91" t="s">
        <v>562</v>
      </c>
      <c r="B382" s="91" t="s">
        <v>767</v>
      </c>
      <c r="C382" s="95">
        <v>19793</v>
      </c>
      <c r="D382" s="95">
        <v>19692</v>
      </c>
      <c r="E382" s="95">
        <v>39485</v>
      </c>
      <c r="F382" s="95">
        <v>817884924</v>
      </c>
      <c r="G382" s="95">
        <v>1003955599</v>
      </c>
      <c r="H382" s="95">
        <v>1821840523</v>
      </c>
      <c r="I382" s="91" t="s">
        <v>585</v>
      </c>
      <c r="J382" s="91" t="s">
        <v>89</v>
      </c>
      <c r="K382" s="94">
        <v>465914</v>
      </c>
      <c r="L382" s="91" t="s">
        <v>521</v>
      </c>
      <c r="M382" s="2"/>
      <c r="N382" s="2"/>
      <c r="O382" s="4"/>
    </row>
    <row r="383" spans="1:15" x14ac:dyDescent="0.2">
      <c r="A383" s="91" t="s">
        <v>254</v>
      </c>
      <c r="B383" s="91" t="s">
        <v>837</v>
      </c>
      <c r="C383" s="95">
        <v>14410</v>
      </c>
      <c r="D383" s="95">
        <v>10480</v>
      </c>
      <c r="E383" s="95">
        <v>24890</v>
      </c>
      <c r="F383" s="95">
        <v>918962269</v>
      </c>
      <c r="G383" s="95">
        <v>758452178</v>
      </c>
      <c r="H383" s="95">
        <v>1677414447</v>
      </c>
      <c r="I383" s="91" t="s">
        <v>585</v>
      </c>
      <c r="J383" s="91" t="s">
        <v>92</v>
      </c>
      <c r="K383" s="94">
        <v>466805</v>
      </c>
      <c r="L383" s="91" t="s">
        <v>1084</v>
      </c>
      <c r="M383" s="2"/>
      <c r="N383" s="2"/>
      <c r="O383" s="4"/>
    </row>
    <row r="384" spans="1:15" x14ac:dyDescent="0.2">
      <c r="A384" s="91" t="s">
        <v>478</v>
      </c>
      <c r="B384" s="91" t="s">
        <v>921</v>
      </c>
      <c r="C384" s="95">
        <v>524</v>
      </c>
      <c r="D384" s="95">
        <v>956</v>
      </c>
      <c r="E384" s="95">
        <v>1480</v>
      </c>
      <c r="F384" s="95">
        <v>18304868</v>
      </c>
      <c r="G384" s="95">
        <v>43043864</v>
      </c>
      <c r="H384" s="95">
        <v>61348733</v>
      </c>
      <c r="I384" s="91" t="s">
        <v>485</v>
      </c>
      <c r="J384" s="91" t="s">
        <v>90</v>
      </c>
      <c r="K384" s="94">
        <v>467092</v>
      </c>
      <c r="L384" s="91" t="s">
        <v>1096</v>
      </c>
      <c r="M384" s="2"/>
      <c r="N384" s="2"/>
      <c r="O384" s="4"/>
    </row>
    <row r="385" spans="1:15" x14ac:dyDescent="0.2">
      <c r="A385" s="91" t="s">
        <v>180</v>
      </c>
      <c r="B385" s="91" t="s">
        <v>78</v>
      </c>
      <c r="C385" s="95">
        <v>6252</v>
      </c>
      <c r="D385" s="95">
        <v>8840</v>
      </c>
      <c r="E385" s="95">
        <v>15092</v>
      </c>
      <c r="F385" s="95">
        <v>170233476</v>
      </c>
      <c r="G385" s="95">
        <v>319033825</v>
      </c>
      <c r="H385" s="95">
        <v>489267301</v>
      </c>
      <c r="I385" s="91" t="s">
        <v>485</v>
      </c>
      <c r="J385" s="91" t="s">
        <v>89</v>
      </c>
      <c r="K385" s="94">
        <v>469692</v>
      </c>
      <c r="L385" s="91" t="s">
        <v>1084</v>
      </c>
      <c r="M385" s="2"/>
      <c r="N385" s="2"/>
      <c r="O385" s="4"/>
    </row>
    <row r="386" spans="1:15" x14ac:dyDescent="0.2">
      <c r="A386" s="91" t="s">
        <v>465</v>
      </c>
      <c r="B386" s="91" t="s">
        <v>468</v>
      </c>
      <c r="C386" s="95">
        <v>4970</v>
      </c>
      <c r="D386" s="95">
        <v>4732</v>
      </c>
      <c r="E386" s="95">
        <v>9702</v>
      </c>
      <c r="F386" s="95">
        <v>145551112</v>
      </c>
      <c r="G386" s="95">
        <v>169743094</v>
      </c>
      <c r="H386" s="95">
        <v>315294205</v>
      </c>
      <c r="I386" s="91" t="s">
        <v>585</v>
      </c>
      <c r="J386" s="91" t="s">
        <v>90</v>
      </c>
      <c r="K386" s="94">
        <v>469817</v>
      </c>
      <c r="L386" s="91" t="s">
        <v>524</v>
      </c>
      <c r="M386" s="2"/>
      <c r="N386" s="2"/>
      <c r="O386" s="4"/>
    </row>
    <row r="387" spans="1:15" x14ac:dyDescent="0.2">
      <c r="A387" s="91" t="s">
        <v>98</v>
      </c>
      <c r="B387" s="91" t="s">
        <v>105</v>
      </c>
      <c r="C387" s="95">
        <v>12320</v>
      </c>
      <c r="D387" s="95">
        <v>14806</v>
      </c>
      <c r="E387" s="95">
        <v>27126</v>
      </c>
      <c r="F387" s="95">
        <v>358746105</v>
      </c>
      <c r="G387" s="95">
        <v>550459374</v>
      </c>
      <c r="H387" s="95">
        <v>909205479</v>
      </c>
      <c r="I387" s="91" t="s">
        <v>585</v>
      </c>
      <c r="J387" s="91" t="s">
        <v>89</v>
      </c>
      <c r="K387" s="94">
        <v>471052</v>
      </c>
      <c r="L387" s="91" t="s">
        <v>133</v>
      </c>
      <c r="M387" s="2"/>
      <c r="N387" s="2"/>
      <c r="O387" s="4"/>
    </row>
    <row r="388" spans="1:15" x14ac:dyDescent="0.2">
      <c r="A388" s="91" t="s">
        <v>276</v>
      </c>
      <c r="B388" s="91" t="s">
        <v>1074</v>
      </c>
      <c r="C388" s="95">
        <v>671</v>
      </c>
      <c r="D388" s="95">
        <v>915</v>
      </c>
      <c r="E388" s="95">
        <v>1586</v>
      </c>
      <c r="F388" s="95">
        <v>9301257</v>
      </c>
      <c r="G388" s="95">
        <v>19051498</v>
      </c>
      <c r="H388" s="95">
        <v>28352755</v>
      </c>
      <c r="I388" s="91" t="s">
        <v>485</v>
      </c>
      <c r="J388" s="91" t="s">
        <v>89</v>
      </c>
      <c r="K388" s="94">
        <v>473231</v>
      </c>
      <c r="L388" s="91" t="s">
        <v>618</v>
      </c>
      <c r="M388" s="2"/>
      <c r="N388" s="2"/>
      <c r="O388" s="4"/>
    </row>
    <row r="389" spans="1:15" x14ac:dyDescent="0.2">
      <c r="A389" s="91" t="s">
        <v>38</v>
      </c>
      <c r="B389" s="91" t="s">
        <v>49</v>
      </c>
      <c r="C389" s="95">
        <v>107</v>
      </c>
      <c r="D389" s="95">
        <v>174</v>
      </c>
      <c r="E389" s="95">
        <v>281</v>
      </c>
      <c r="F389" s="95">
        <v>2697717</v>
      </c>
      <c r="G389" s="95">
        <v>5252880</v>
      </c>
      <c r="H389" s="95">
        <v>7950597</v>
      </c>
      <c r="I389" s="91" t="s">
        <v>485</v>
      </c>
      <c r="J389" s="91" t="s">
        <v>89</v>
      </c>
      <c r="K389" s="94">
        <v>473470</v>
      </c>
      <c r="L389" s="91" t="s">
        <v>590</v>
      </c>
      <c r="M389" s="2"/>
      <c r="N389" s="2"/>
      <c r="O389" s="4"/>
    </row>
    <row r="390" spans="1:15" x14ac:dyDescent="0.2">
      <c r="A390" s="91" t="s">
        <v>109</v>
      </c>
      <c r="B390" s="91" t="s">
        <v>120</v>
      </c>
      <c r="C390" s="95">
        <v>19585</v>
      </c>
      <c r="D390" s="95">
        <v>15800</v>
      </c>
      <c r="E390" s="95">
        <v>35385</v>
      </c>
      <c r="F390" s="95">
        <v>561080734</v>
      </c>
      <c r="G390" s="95">
        <v>521395003</v>
      </c>
      <c r="H390" s="95">
        <v>1082475737</v>
      </c>
      <c r="I390" s="91" t="s">
        <v>585</v>
      </c>
      <c r="J390" s="91" t="s">
        <v>89</v>
      </c>
      <c r="K390" s="94">
        <v>475301</v>
      </c>
      <c r="L390" s="91" t="s">
        <v>524</v>
      </c>
      <c r="M390" s="2"/>
      <c r="N390" s="2"/>
      <c r="O390" s="4"/>
    </row>
    <row r="391" spans="1:15" x14ac:dyDescent="0.2">
      <c r="A391" s="91" t="s">
        <v>38</v>
      </c>
      <c r="B391" s="91" t="s">
        <v>142</v>
      </c>
      <c r="C391" s="95">
        <v>293</v>
      </c>
      <c r="D391" s="95">
        <v>351</v>
      </c>
      <c r="E391" s="95">
        <v>644</v>
      </c>
      <c r="F391" s="95">
        <v>5195980</v>
      </c>
      <c r="G391" s="95">
        <v>8012003</v>
      </c>
      <c r="H391" s="95">
        <v>13207983</v>
      </c>
      <c r="I391" s="91" t="s">
        <v>485</v>
      </c>
      <c r="J391" s="91" t="s">
        <v>89</v>
      </c>
      <c r="K391" s="94">
        <v>475897</v>
      </c>
      <c r="L391" s="91" t="s">
        <v>320</v>
      </c>
      <c r="M391" s="2"/>
      <c r="N391" s="2"/>
      <c r="O391" s="4"/>
    </row>
    <row r="392" spans="1:15" x14ac:dyDescent="0.2">
      <c r="A392" s="91" t="s">
        <v>515</v>
      </c>
      <c r="B392" s="91" t="s">
        <v>848</v>
      </c>
      <c r="C392" s="95">
        <v>121</v>
      </c>
      <c r="D392" s="95">
        <v>244</v>
      </c>
      <c r="E392" s="95">
        <v>365</v>
      </c>
      <c r="F392" s="95">
        <v>4559595</v>
      </c>
      <c r="G392" s="95">
        <v>10388749</v>
      </c>
      <c r="H392" s="95">
        <v>14948344</v>
      </c>
      <c r="I392" s="91" t="s">
        <v>585</v>
      </c>
      <c r="J392" s="91" t="s">
        <v>89</v>
      </c>
      <c r="K392" s="94">
        <v>476895</v>
      </c>
      <c r="L392" s="91" t="s">
        <v>987</v>
      </c>
      <c r="M392" s="2"/>
      <c r="N392" s="2"/>
      <c r="O392" s="4"/>
    </row>
    <row r="393" spans="1:15" x14ac:dyDescent="0.2">
      <c r="A393" s="91" t="s">
        <v>98</v>
      </c>
      <c r="B393" s="91" t="s">
        <v>100</v>
      </c>
      <c r="C393" s="95">
        <v>827</v>
      </c>
      <c r="D393" s="95">
        <v>1124</v>
      </c>
      <c r="E393" s="95">
        <v>1951</v>
      </c>
      <c r="F393" s="95">
        <v>21296238</v>
      </c>
      <c r="G393" s="95">
        <v>37249002</v>
      </c>
      <c r="H393" s="95">
        <v>58545240</v>
      </c>
      <c r="I393" s="91" t="s">
        <v>485</v>
      </c>
      <c r="J393" s="91" t="s">
        <v>89</v>
      </c>
      <c r="K393" s="94">
        <v>477729</v>
      </c>
      <c r="L393" s="91" t="s">
        <v>264</v>
      </c>
      <c r="M393" s="2"/>
      <c r="N393" s="2"/>
      <c r="O393" s="4"/>
    </row>
    <row r="394" spans="1:15" x14ac:dyDescent="0.2">
      <c r="A394" s="91" t="s">
        <v>368</v>
      </c>
      <c r="B394" s="91" t="s">
        <v>411</v>
      </c>
      <c r="C394" s="95">
        <v>4021</v>
      </c>
      <c r="D394" s="95">
        <v>3837</v>
      </c>
      <c r="E394" s="95">
        <v>7858</v>
      </c>
      <c r="F394" s="95">
        <v>160134550</v>
      </c>
      <c r="G394" s="95">
        <v>195726453</v>
      </c>
      <c r="H394" s="95">
        <v>355861003</v>
      </c>
      <c r="I394" s="91" t="s">
        <v>585</v>
      </c>
      <c r="J394" s="91" t="s">
        <v>90</v>
      </c>
      <c r="K394" s="94">
        <v>478313</v>
      </c>
      <c r="L394" s="91" t="s">
        <v>542</v>
      </c>
      <c r="M394" s="2"/>
      <c r="N394" s="2"/>
      <c r="O394" s="4"/>
    </row>
    <row r="395" spans="1:15" x14ac:dyDescent="0.2">
      <c r="A395" s="91" t="s">
        <v>478</v>
      </c>
      <c r="B395" s="91" t="s">
        <v>727</v>
      </c>
      <c r="C395" s="95">
        <v>325</v>
      </c>
      <c r="D395" s="95">
        <v>420</v>
      </c>
      <c r="E395" s="95">
        <v>745</v>
      </c>
      <c r="F395" s="95">
        <v>8082260</v>
      </c>
      <c r="G395" s="95">
        <v>15520800</v>
      </c>
      <c r="H395" s="95">
        <v>23603060</v>
      </c>
      <c r="I395" s="91" t="s">
        <v>485</v>
      </c>
      <c r="J395" s="91" t="s">
        <v>90</v>
      </c>
      <c r="K395" s="94">
        <v>479436</v>
      </c>
      <c r="L395" s="91" t="s">
        <v>584</v>
      </c>
      <c r="M395" s="2"/>
      <c r="N395" s="2"/>
      <c r="O395" s="4"/>
    </row>
    <row r="396" spans="1:15" x14ac:dyDescent="0.2">
      <c r="A396" s="91" t="s">
        <v>109</v>
      </c>
      <c r="B396" s="91" t="s">
        <v>113</v>
      </c>
      <c r="C396" s="95">
        <v>6375</v>
      </c>
      <c r="D396" s="95">
        <v>6080</v>
      </c>
      <c r="E396" s="95">
        <v>12455</v>
      </c>
      <c r="F396" s="95">
        <v>218014104</v>
      </c>
      <c r="G396" s="95">
        <v>247548094</v>
      </c>
      <c r="H396" s="95">
        <v>465562198</v>
      </c>
      <c r="I396" s="91" t="s">
        <v>485</v>
      </c>
      <c r="J396" s="91" t="s">
        <v>89</v>
      </c>
      <c r="K396" s="94">
        <v>479550</v>
      </c>
      <c r="L396" s="91" t="s">
        <v>71</v>
      </c>
      <c r="M396" s="2"/>
      <c r="N396" s="2"/>
      <c r="O396" s="4"/>
    </row>
    <row r="397" spans="1:15" x14ac:dyDescent="0.2">
      <c r="A397" s="91" t="s">
        <v>67</v>
      </c>
      <c r="B397" s="91" t="s">
        <v>963</v>
      </c>
      <c r="C397" s="95">
        <v>186</v>
      </c>
      <c r="D397" s="95">
        <v>322</v>
      </c>
      <c r="E397" s="95">
        <v>508</v>
      </c>
      <c r="F397" s="95">
        <v>6566754</v>
      </c>
      <c r="G397" s="95">
        <v>13150640</v>
      </c>
      <c r="H397" s="95">
        <v>19717394</v>
      </c>
      <c r="I397" s="91" t="s">
        <v>585</v>
      </c>
      <c r="J397" s="91" t="s">
        <v>89</v>
      </c>
      <c r="K397" s="94">
        <v>479840</v>
      </c>
      <c r="L397" s="91" t="s">
        <v>1035</v>
      </c>
      <c r="M397" s="2"/>
      <c r="N397" s="2"/>
      <c r="O397" s="4"/>
    </row>
    <row r="398" spans="1:15" x14ac:dyDescent="0.2">
      <c r="A398" s="91" t="s">
        <v>227</v>
      </c>
      <c r="B398" s="91" t="s">
        <v>251</v>
      </c>
      <c r="C398" s="95">
        <v>615</v>
      </c>
      <c r="D398" s="95">
        <v>514</v>
      </c>
      <c r="E398" s="95">
        <v>1129</v>
      </c>
      <c r="F398" s="95">
        <v>12345687</v>
      </c>
      <c r="G398" s="95">
        <v>11853283</v>
      </c>
      <c r="H398" s="95">
        <v>24198970</v>
      </c>
      <c r="I398" s="91" t="s">
        <v>485</v>
      </c>
      <c r="J398" s="91" t="s">
        <v>91</v>
      </c>
      <c r="K398" s="94">
        <v>480145</v>
      </c>
      <c r="L398" s="91" t="s">
        <v>46</v>
      </c>
      <c r="M398" s="2"/>
      <c r="N398" s="2"/>
      <c r="O398" s="4"/>
    </row>
    <row r="399" spans="1:15" x14ac:dyDescent="0.2">
      <c r="A399" s="91" t="s">
        <v>180</v>
      </c>
      <c r="B399" s="91" t="s">
        <v>900</v>
      </c>
      <c r="C399" s="95">
        <v>1403</v>
      </c>
      <c r="D399" s="95">
        <v>2769</v>
      </c>
      <c r="E399" s="95">
        <v>4172</v>
      </c>
      <c r="F399" s="95">
        <v>71975899</v>
      </c>
      <c r="G399" s="95">
        <v>168174085</v>
      </c>
      <c r="H399" s="95">
        <v>240149985</v>
      </c>
      <c r="I399" s="91" t="s">
        <v>485</v>
      </c>
      <c r="J399" s="91" t="s">
        <v>89</v>
      </c>
      <c r="K399" s="94">
        <v>481671</v>
      </c>
      <c r="L399" s="91" t="s">
        <v>697</v>
      </c>
      <c r="M399" s="2"/>
      <c r="N399" s="2"/>
      <c r="O399" s="4"/>
    </row>
    <row r="400" spans="1:15" x14ac:dyDescent="0.2">
      <c r="A400" s="91" t="s">
        <v>207</v>
      </c>
      <c r="B400" s="91" t="s">
        <v>428</v>
      </c>
      <c r="C400" s="95">
        <v>2548</v>
      </c>
      <c r="D400" s="95">
        <v>3934</v>
      </c>
      <c r="E400" s="95">
        <v>6482</v>
      </c>
      <c r="F400" s="95">
        <v>42268232</v>
      </c>
      <c r="G400" s="95">
        <v>85982293</v>
      </c>
      <c r="H400" s="95">
        <v>128250525</v>
      </c>
      <c r="I400" s="91" t="s">
        <v>485</v>
      </c>
      <c r="J400" s="91" t="s">
        <v>89</v>
      </c>
      <c r="K400" s="94">
        <v>481911</v>
      </c>
      <c r="L400" s="91" t="s">
        <v>591</v>
      </c>
      <c r="M400" s="2"/>
      <c r="N400" s="2"/>
      <c r="O400" s="4"/>
    </row>
    <row r="401" spans="1:15" x14ac:dyDescent="0.2">
      <c r="A401" s="91" t="s">
        <v>109</v>
      </c>
      <c r="B401" s="91" t="s">
        <v>771</v>
      </c>
      <c r="C401" s="95">
        <v>219</v>
      </c>
      <c r="D401" s="95">
        <v>372</v>
      </c>
      <c r="E401" s="95">
        <v>591</v>
      </c>
      <c r="F401" s="95">
        <v>22016499</v>
      </c>
      <c r="G401" s="95">
        <v>39972291</v>
      </c>
      <c r="H401" s="95">
        <v>61988791</v>
      </c>
      <c r="I401" s="91" t="s">
        <v>585</v>
      </c>
      <c r="J401" s="91" t="s">
        <v>89</v>
      </c>
      <c r="K401" s="94">
        <v>482919</v>
      </c>
      <c r="L401" s="91" t="s">
        <v>740</v>
      </c>
      <c r="M401" s="2"/>
      <c r="N401" s="2"/>
      <c r="O401" s="4"/>
    </row>
    <row r="402" spans="1:15" x14ac:dyDescent="0.2">
      <c r="A402" s="91" t="s">
        <v>412</v>
      </c>
      <c r="B402" s="91" t="s">
        <v>419</v>
      </c>
      <c r="C402" s="95">
        <v>483</v>
      </c>
      <c r="D402" s="95">
        <v>541</v>
      </c>
      <c r="E402" s="95">
        <v>1024</v>
      </c>
      <c r="F402" s="95">
        <v>15662463</v>
      </c>
      <c r="G402" s="95">
        <v>22014001</v>
      </c>
      <c r="H402" s="95">
        <v>37676464</v>
      </c>
      <c r="I402" s="91" t="s">
        <v>585</v>
      </c>
      <c r="J402" s="91" t="s">
        <v>90</v>
      </c>
      <c r="K402" s="94">
        <v>483099</v>
      </c>
      <c r="L402" s="91" t="s">
        <v>544</v>
      </c>
      <c r="M402" s="2"/>
      <c r="N402" s="2"/>
      <c r="O402" s="4"/>
    </row>
    <row r="403" spans="1:15" x14ac:dyDescent="0.2">
      <c r="A403" s="91" t="s">
        <v>478</v>
      </c>
      <c r="B403" s="91" t="s">
        <v>29</v>
      </c>
      <c r="C403" s="95">
        <v>450</v>
      </c>
      <c r="D403" s="95">
        <v>479</v>
      </c>
      <c r="E403" s="95">
        <v>929</v>
      </c>
      <c r="F403" s="95">
        <v>8407389</v>
      </c>
      <c r="G403" s="95">
        <v>12647584</v>
      </c>
      <c r="H403" s="95">
        <v>21054972</v>
      </c>
      <c r="I403" s="91" t="s">
        <v>485</v>
      </c>
      <c r="J403" s="91" t="s">
        <v>90</v>
      </c>
      <c r="K403" s="94">
        <v>483800</v>
      </c>
      <c r="L403" s="91" t="s">
        <v>324</v>
      </c>
      <c r="M403" s="2"/>
      <c r="N403" s="2"/>
      <c r="O403" s="4"/>
    </row>
    <row r="404" spans="1:15" x14ac:dyDescent="0.2">
      <c r="A404" s="91" t="s">
        <v>580</v>
      </c>
      <c r="B404" s="91" t="s">
        <v>35</v>
      </c>
      <c r="C404" s="95">
        <v>2658</v>
      </c>
      <c r="D404" s="95">
        <v>2560</v>
      </c>
      <c r="E404" s="95">
        <v>5218</v>
      </c>
      <c r="F404" s="95">
        <v>93710736</v>
      </c>
      <c r="G404" s="95">
        <v>110878897</v>
      </c>
      <c r="H404" s="95">
        <v>204589633</v>
      </c>
      <c r="I404" s="91" t="s">
        <v>585</v>
      </c>
      <c r="J404" s="91" t="s">
        <v>89</v>
      </c>
      <c r="K404" s="94">
        <v>484923</v>
      </c>
      <c r="L404" s="91" t="s">
        <v>616</v>
      </c>
      <c r="M404" s="2"/>
      <c r="N404" s="2"/>
      <c r="O404" s="4"/>
    </row>
    <row r="405" spans="1:15" x14ac:dyDescent="0.2">
      <c r="A405" s="91" t="s">
        <v>580</v>
      </c>
      <c r="B405" s="91" t="s">
        <v>28</v>
      </c>
      <c r="C405" s="95">
        <v>1386</v>
      </c>
      <c r="D405" s="95">
        <v>1624</v>
      </c>
      <c r="E405" s="95">
        <v>3010</v>
      </c>
      <c r="F405" s="95">
        <v>56466141</v>
      </c>
      <c r="G405" s="95">
        <v>85837494</v>
      </c>
      <c r="H405" s="95">
        <v>142303634</v>
      </c>
      <c r="I405" s="91" t="s">
        <v>585</v>
      </c>
      <c r="J405" s="91" t="s">
        <v>89</v>
      </c>
      <c r="K405" s="94">
        <v>484980</v>
      </c>
      <c r="L405" s="91" t="s">
        <v>27</v>
      </c>
      <c r="M405" s="2"/>
      <c r="N405" s="2"/>
      <c r="O405" s="4"/>
    </row>
    <row r="406" spans="1:15" x14ac:dyDescent="0.2">
      <c r="A406" s="91" t="s">
        <v>109</v>
      </c>
      <c r="B406" s="91" t="s">
        <v>1118</v>
      </c>
      <c r="C406" s="95">
        <v>1591</v>
      </c>
      <c r="D406" s="95">
        <v>1361</v>
      </c>
      <c r="E406" s="95">
        <v>2952</v>
      </c>
      <c r="F406" s="95">
        <v>39517208</v>
      </c>
      <c r="G406" s="95">
        <v>41781728</v>
      </c>
      <c r="H406" s="95">
        <v>81298936</v>
      </c>
      <c r="I406" s="91" t="s">
        <v>485</v>
      </c>
      <c r="J406" s="91" t="s">
        <v>89</v>
      </c>
      <c r="K406" s="94">
        <v>488932</v>
      </c>
      <c r="L406" s="91" t="s">
        <v>61</v>
      </c>
      <c r="M406" s="2"/>
      <c r="N406" s="2"/>
      <c r="O406" s="4"/>
    </row>
    <row r="407" spans="1:15" x14ac:dyDescent="0.2">
      <c r="A407" s="91" t="s">
        <v>157</v>
      </c>
      <c r="B407" s="91" t="s">
        <v>758</v>
      </c>
      <c r="C407" s="95">
        <v>6</v>
      </c>
      <c r="D407" s="95">
        <v>10</v>
      </c>
      <c r="E407" s="95">
        <v>16</v>
      </c>
      <c r="F407" s="95">
        <v>91091</v>
      </c>
      <c r="G407" s="95">
        <v>132294</v>
      </c>
      <c r="H407" s="95">
        <v>223385</v>
      </c>
      <c r="I407" s="91" t="s">
        <v>485</v>
      </c>
      <c r="J407" s="91" t="s">
        <v>89</v>
      </c>
      <c r="K407" s="94">
        <v>490235</v>
      </c>
      <c r="L407" s="91" t="s">
        <v>348</v>
      </c>
      <c r="M407" s="2"/>
      <c r="N407" s="2"/>
      <c r="O407" s="4"/>
    </row>
    <row r="408" spans="1:15" x14ac:dyDescent="0.2">
      <c r="A408" s="91" t="s">
        <v>515</v>
      </c>
      <c r="B408" s="91" t="s">
        <v>55</v>
      </c>
      <c r="C408" s="95">
        <v>2288</v>
      </c>
      <c r="D408" s="95">
        <v>2858</v>
      </c>
      <c r="E408" s="95">
        <v>5146</v>
      </c>
      <c r="F408" s="95">
        <v>87261796</v>
      </c>
      <c r="G408" s="95">
        <v>133250747</v>
      </c>
      <c r="H408" s="95">
        <v>220512543</v>
      </c>
      <c r="I408" s="91" t="s">
        <v>585</v>
      </c>
      <c r="J408" s="91" t="s">
        <v>89</v>
      </c>
      <c r="K408" s="94">
        <v>490292</v>
      </c>
      <c r="L408" s="91" t="s">
        <v>542</v>
      </c>
      <c r="M408" s="2"/>
      <c r="N408" s="2"/>
      <c r="O408" s="4"/>
    </row>
    <row r="409" spans="1:15" x14ac:dyDescent="0.2">
      <c r="A409" s="91" t="s">
        <v>207</v>
      </c>
      <c r="B409" s="91" t="s">
        <v>1023</v>
      </c>
      <c r="C409" s="95">
        <v>56</v>
      </c>
      <c r="D409" s="95">
        <v>61</v>
      </c>
      <c r="E409" s="95">
        <v>117</v>
      </c>
      <c r="F409" s="95">
        <v>1779415</v>
      </c>
      <c r="G409" s="95">
        <v>2060867</v>
      </c>
      <c r="H409" s="95">
        <v>3840282</v>
      </c>
      <c r="I409" s="91" t="s">
        <v>485</v>
      </c>
      <c r="J409" s="91" t="s">
        <v>89</v>
      </c>
      <c r="K409" s="94">
        <v>490763</v>
      </c>
      <c r="L409" s="91" t="s">
        <v>1093</v>
      </c>
      <c r="M409" s="2"/>
      <c r="N409" s="2"/>
      <c r="O409" s="4"/>
    </row>
    <row r="410" spans="1:15" x14ac:dyDescent="0.2">
      <c r="A410" s="91" t="s">
        <v>38</v>
      </c>
      <c r="B410" s="91" t="s">
        <v>901</v>
      </c>
      <c r="C410" s="95">
        <v>16997</v>
      </c>
      <c r="D410" s="95">
        <v>17669</v>
      </c>
      <c r="E410" s="95">
        <v>34666</v>
      </c>
      <c r="F410" s="95">
        <v>456920440</v>
      </c>
      <c r="G410" s="95">
        <v>548684908</v>
      </c>
      <c r="H410" s="95">
        <v>1005605348</v>
      </c>
      <c r="I410" s="91" t="s">
        <v>585</v>
      </c>
      <c r="J410" s="91" t="s">
        <v>89</v>
      </c>
      <c r="K410" s="94">
        <v>492306</v>
      </c>
      <c r="L410" s="91" t="s">
        <v>1035</v>
      </c>
      <c r="M410" s="2"/>
      <c r="N410" s="2"/>
      <c r="O410" s="4"/>
    </row>
    <row r="411" spans="1:15" x14ac:dyDescent="0.2">
      <c r="A411" s="91" t="s">
        <v>478</v>
      </c>
      <c r="B411" s="91" t="s">
        <v>973</v>
      </c>
      <c r="C411" s="95">
        <v>23</v>
      </c>
      <c r="D411" s="95">
        <v>52</v>
      </c>
      <c r="E411" s="95">
        <v>75</v>
      </c>
      <c r="F411" s="95">
        <v>716253</v>
      </c>
      <c r="G411" s="95">
        <v>1480805</v>
      </c>
      <c r="H411" s="95">
        <v>2197058</v>
      </c>
      <c r="I411" s="91" t="s">
        <v>485</v>
      </c>
      <c r="J411" s="91" t="s">
        <v>90</v>
      </c>
      <c r="K411" s="94">
        <v>492595</v>
      </c>
      <c r="L411" s="91" t="s">
        <v>58</v>
      </c>
      <c r="M411" s="2"/>
      <c r="N411" s="2"/>
      <c r="O411" s="4"/>
    </row>
    <row r="412" spans="1:15" x14ac:dyDescent="0.2">
      <c r="A412" s="91" t="s">
        <v>98</v>
      </c>
      <c r="B412" s="91" t="s">
        <v>919</v>
      </c>
      <c r="C412" s="95">
        <v>4151</v>
      </c>
      <c r="D412" s="95">
        <v>4306</v>
      </c>
      <c r="E412" s="95">
        <v>8457</v>
      </c>
      <c r="F412" s="95">
        <v>95947881</v>
      </c>
      <c r="G412" s="95">
        <v>129342905</v>
      </c>
      <c r="H412" s="95">
        <v>225290786</v>
      </c>
      <c r="I412" s="91" t="s">
        <v>485</v>
      </c>
      <c r="J412" s="91" t="s">
        <v>89</v>
      </c>
      <c r="K412" s="94">
        <v>494427</v>
      </c>
      <c r="L412" s="91" t="s">
        <v>1084</v>
      </c>
      <c r="M412" s="2"/>
      <c r="N412" s="2"/>
      <c r="O412" s="4"/>
    </row>
    <row r="413" spans="1:15" x14ac:dyDescent="0.2">
      <c r="A413" s="91" t="s">
        <v>465</v>
      </c>
      <c r="B413" s="91" t="s">
        <v>319</v>
      </c>
      <c r="C413" s="95">
        <v>1487</v>
      </c>
      <c r="D413" s="95">
        <v>1590</v>
      </c>
      <c r="E413" s="95">
        <v>3077</v>
      </c>
      <c r="F413" s="95">
        <v>52242977</v>
      </c>
      <c r="G413" s="95">
        <v>66238552</v>
      </c>
      <c r="H413" s="95">
        <v>118481529</v>
      </c>
      <c r="I413" s="91" t="s">
        <v>485</v>
      </c>
      <c r="J413" s="91" t="s">
        <v>90</v>
      </c>
      <c r="K413" s="94">
        <v>496497</v>
      </c>
      <c r="L413" s="91" t="s">
        <v>618</v>
      </c>
      <c r="M413" s="2"/>
      <c r="N413" s="2"/>
      <c r="O413" s="4"/>
    </row>
    <row r="414" spans="1:15" x14ac:dyDescent="0.2">
      <c r="A414" s="91" t="s">
        <v>353</v>
      </c>
      <c r="B414" s="91" t="s">
        <v>357</v>
      </c>
      <c r="C414" s="95">
        <v>41896</v>
      </c>
      <c r="D414" s="95">
        <v>30458</v>
      </c>
      <c r="E414" s="95">
        <v>72354</v>
      </c>
      <c r="F414" s="95">
        <v>2436165870</v>
      </c>
      <c r="G414" s="95">
        <v>2105715882</v>
      </c>
      <c r="H414" s="95">
        <v>4541881752</v>
      </c>
      <c r="I414" s="91" t="s">
        <v>585</v>
      </c>
      <c r="J414" s="91" t="s">
        <v>92</v>
      </c>
      <c r="K414" s="94">
        <v>498972</v>
      </c>
      <c r="L414" s="91" t="s">
        <v>622</v>
      </c>
      <c r="M414" s="2"/>
      <c r="N414" s="2"/>
      <c r="O414" s="4"/>
    </row>
    <row r="415" spans="1:15" x14ac:dyDescent="0.2">
      <c r="A415" s="91" t="s">
        <v>227</v>
      </c>
      <c r="B415" s="91" t="s">
        <v>777</v>
      </c>
      <c r="C415" s="95">
        <v>2572</v>
      </c>
      <c r="D415" s="95">
        <v>2111</v>
      </c>
      <c r="E415" s="95">
        <v>4683</v>
      </c>
      <c r="F415" s="95">
        <v>283991846</v>
      </c>
      <c r="G415" s="95">
        <v>278130519</v>
      </c>
      <c r="H415" s="95">
        <v>562122366</v>
      </c>
      <c r="I415" s="91" t="s">
        <v>585</v>
      </c>
      <c r="J415" s="91" t="s">
        <v>91</v>
      </c>
      <c r="K415" s="94">
        <v>499913</v>
      </c>
      <c r="L415" s="91" t="s">
        <v>685</v>
      </c>
      <c r="M415" s="2"/>
      <c r="N415" s="2"/>
      <c r="O415" s="4"/>
    </row>
    <row r="416" spans="1:15" x14ac:dyDescent="0.2">
      <c r="A416" s="91" t="s">
        <v>121</v>
      </c>
      <c r="B416" s="91" t="s">
        <v>135</v>
      </c>
      <c r="C416" s="95">
        <v>35802</v>
      </c>
      <c r="D416" s="95">
        <v>45704</v>
      </c>
      <c r="E416" s="95">
        <v>81506</v>
      </c>
      <c r="F416" s="95">
        <v>1133944910</v>
      </c>
      <c r="G416" s="95">
        <v>1829504766</v>
      </c>
      <c r="H416" s="95">
        <v>2963449675</v>
      </c>
      <c r="I416" s="91" t="s">
        <v>485</v>
      </c>
      <c r="J416" s="91" t="s">
        <v>89</v>
      </c>
      <c r="K416" s="94">
        <v>501981</v>
      </c>
      <c r="L416" s="91" t="s">
        <v>621</v>
      </c>
      <c r="M416" s="2"/>
      <c r="N416" s="2"/>
      <c r="O416" s="4"/>
    </row>
    <row r="417" spans="1:15" x14ac:dyDescent="0.2">
      <c r="A417" s="91" t="s">
        <v>254</v>
      </c>
      <c r="B417" s="91" t="s">
        <v>842</v>
      </c>
      <c r="C417" s="95">
        <v>9781</v>
      </c>
      <c r="D417" s="95">
        <v>7047</v>
      </c>
      <c r="E417" s="95">
        <v>16828</v>
      </c>
      <c r="F417" s="95">
        <v>193944333</v>
      </c>
      <c r="G417" s="95">
        <v>170640992</v>
      </c>
      <c r="H417" s="95">
        <v>364585326</v>
      </c>
      <c r="I417" s="91" t="s">
        <v>585</v>
      </c>
      <c r="J417" s="91" t="s">
        <v>92</v>
      </c>
      <c r="K417" s="94">
        <v>502633</v>
      </c>
      <c r="L417" s="91" t="s">
        <v>1084</v>
      </c>
      <c r="M417" s="2"/>
      <c r="N417" s="2"/>
      <c r="O417" s="4"/>
    </row>
    <row r="418" spans="1:15" x14ac:dyDescent="0.2">
      <c r="A418" s="91" t="s">
        <v>207</v>
      </c>
      <c r="B418" s="91" t="s">
        <v>923</v>
      </c>
      <c r="C418" s="95">
        <v>26</v>
      </c>
      <c r="D418" s="95">
        <v>114</v>
      </c>
      <c r="E418" s="95">
        <v>140</v>
      </c>
      <c r="F418" s="95">
        <v>604957</v>
      </c>
      <c r="G418" s="95">
        <v>4097973</v>
      </c>
      <c r="H418" s="95">
        <v>4702930</v>
      </c>
      <c r="I418" s="91" t="s">
        <v>485</v>
      </c>
      <c r="J418" s="91" t="s">
        <v>89</v>
      </c>
      <c r="K418" s="94">
        <v>502922</v>
      </c>
      <c r="L418" s="91" t="s">
        <v>1096</v>
      </c>
      <c r="M418" s="2"/>
      <c r="N418" s="2"/>
      <c r="O418" s="4"/>
    </row>
    <row r="419" spans="1:15" x14ac:dyDescent="0.2">
      <c r="A419" s="91" t="s">
        <v>109</v>
      </c>
      <c r="B419" s="91" t="s">
        <v>703</v>
      </c>
      <c r="C419" s="95">
        <v>942</v>
      </c>
      <c r="D419" s="95">
        <v>1217</v>
      </c>
      <c r="E419" s="95">
        <v>2159</v>
      </c>
      <c r="F419" s="95">
        <v>22995497</v>
      </c>
      <c r="G419" s="95">
        <v>38365765</v>
      </c>
      <c r="H419" s="95">
        <v>61361262</v>
      </c>
      <c r="I419" s="91" t="s">
        <v>485</v>
      </c>
      <c r="J419" s="91" t="s">
        <v>89</v>
      </c>
      <c r="K419" s="94">
        <v>503573</v>
      </c>
      <c r="L419" s="91" t="s">
        <v>697</v>
      </c>
      <c r="M419" s="2"/>
      <c r="N419" s="2"/>
      <c r="O419" s="4"/>
    </row>
    <row r="420" spans="1:15" x14ac:dyDescent="0.2">
      <c r="A420" s="91" t="s">
        <v>180</v>
      </c>
      <c r="B420" s="91" t="s">
        <v>296</v>
      </c>
      <c r="C420" s="95">
        <v>7267</v>
      </c>
      <c r="D420" s="95">
        <v>11334</v>
      </c>
      <c r="E420" s="95">
        <v>18601</v>
      </c>
      <c r="F420" s="95">
        <v>252123652</v>
      </c>
      <c r="G420" s="95">
        <v>508901517</v>
      </c>
      <c r="H420" s="95">
        <v>761025169</v>
      </c>
      <c r="I420" s="91" t="s">
        <v>585</v>
      </c>
      <c r="J420" s="91" t="s">
        <v>89</v>
      </c>
      <c r="K420" s="94">
        <v>505586</v>
      </c>
      <c r="L420" s="91" t="s">
        <v>657</v>
      </c>
      <c r="M420" s="2"/>
      <c r="N420" s="2"/>
      <c r="O420" s="4"/>
    </row>
    <row r="421" spans="1:15" x14ac:dyDescent="0.2">
      <c r="A421" s="91" t="s">
        <v>170</v>
      </c>
      <c r="B421" s="91" t="s">
        <v>176</v>
      </c>
      <c r="C421" s="95">
        <v>2753</v>
      </c>
      <c r="D421" s="95">
        <v>3007</v>
      </c>
      <c r="E421" s="95">
        <v>5760</v>
      </c>
      <c r="F421" s="95">
        <v>46308910</v>
      </c>
      <c r="G421" s="95">
        <v>65691830</v>
      </c>
      <c r="H421" s="95">
        <v>112000740</v>
      </c>
      <c r="I421" s="91" t="s">
        <v>585</v>
      </c>
      <c r="J421" s="91" t="s">
        <v>89</v>
      </c>
      <c r="K421" s="94">
        <v>506881</v>
      </c>
      <c r="L421" s="91" t="s">
        <v>133</v>
      </c>
      <c r="M421" s="2"/>
      <c r="N421" s="2"/>
      <c r="O421" s="4"/>
    </row>
    <row r="422" spans="1:15" x14ac:dyDescent="0.2">
      <c r="A422" s="91" t="s">
        <v>478</v>
      </c>
      <c r="B422" s="91" t="s">
        <v>644</v>
      </c>
      <c r="C422" s="95">
        <v>61</v>
      </c>
      <c r="D422" s="95">
        <v>70</v>
      </c>
      <c r="E422" s="95">
        <v>131</v>
      </c>
      <c r="F422" s="95">
        <v>2196340</v>
      </c>
      <c r="G422" s="95">
        <v>2512576</v>
      </c>
      <c r="H422" s="95">
        <v>4708916</v>
      </c>
      <c r="I422" s="91" t="s">
        <v>485</v>
      </c>
      <c r="J422" s="91" t="s">
        <v>90</v>
      </c>
      <c r="K422" s="94">
        <v>507236</v>
      </c>
      <c r="L422" s="91" t="s">
        <v>645</v>
      </c>
      <c r="M422" s="2"/>
      <c r="N422" s="2"/>
      <c r="O422" s="4"/>
    </row>
    <row r="423" spans="1:15" x14ac:dyDescent="0.2">
      <c r="A423" s="91" t="s">
        <v>67</v>
      </c>
      <c r="B423" s="91" t="s">
        <v>949</v>
      </c>
      <c r="C423" s="95">
        <v>1068</v>
      </c>
      <c r="D423" s="95">
        <v>1321</v>
      </c>
      <c r="E423" s="95">
        <v>2389</v>
      </c>
      <c r="F423" s="95">
        <v>24483589</v>
      </c>
      <c r="G423" s="95">
        <v>35530203</v>
      </c>
      <c r="H423" s="95">
        <v>60013793</v>
      </c>
      <c r="I423" s="91" t="s">
        <v>485</v>
      </c>
      <c r="J423" s="91" t="s">
        <v>89</v>
      </c>
      <c r="K423" s="94">
        <v>507475</v>
      </c>
      <c r="L423" s="91" t="s">
        <v>61</v>
      </c>
      <c r="M423" s="2"/>
      <c r="N423" s="2"/>
      <c r="O423" s="4"/>
    </row>
    <row r="424" spans="1:15" x14ac:dyDescent="0.2">
      <c r="A424" s="91" t="s">
        <v>72</v>
      </c>
      <c r="B424" s="91" t="s">
        <v>84</v>
      </c>
      <c r="C424" s="95">
        <v>15229</v>
      </c>
      <c r="D424" s="95">
        <v>19479</v>
      </c>
      <c r="E424" s="95">
        <v>34708</v>
      </c>
      <c r="F424" s="95">
        <v>440852170</v>
      </c>
      <c r="G424" s="95">
        <v>663842559</v>
      </c>
      <c r="H424" s="95">
        <v>1104694730</v>
      </c>
      <c r="I424" s="91" t="s">
        <v>585</v>
      </c>
      <c r="J424" s="91" t="s">
        <v>89</v>
      </c>
      <c r="K424" s="94">
        <v>511139</v>
      </c>
      <c r="L424" s="91" t="s">
        <v>524</v>
      </c>
      <c r="M424" s="2"/>
      <c r="N424" s="2"/>
      <c r="O424" s="4"/>
    </row>
    <row r="425" spans="1:15" x14ac:dyDescent="0.2">
      <c r="A425" s="91" t="s">
        <v>478</v>
      </c>
      <c r="B425" s="91" t="s">
        <v>869</v>
      </c>
      <c r="C425" s="95">
        <v>643</v>
      </c>
      <c r="D425" s="95">
        <v>1187</v>
      </c>
      <c r="E425" s="95">
        <v>1830</v>
      </c>
      <c r="F425" s="95">
        <v>28338298</v>
      </c>
      <c r="G425" s="95">
        <v>52426446</v>
      </c>
      <c r="H425" s="95">
        <v>80764745</v>
      </c>
      <c r="I425" s="91" t="s">
        <v>585</v>
      </c>
      <c r="J425" s="91" t="s">
        <v>90</v>
      </c>
      <c r="K425" s="94">
        <v>515080</v>
      </c>
      <c r="L425" s="91" t="s">
        <v>868</v>
      </c>
      <c r="M425" s="2"/>
      <c r="N425" s="2"/>
      <c r="O425" s="4"/>
    </row>
    <row r="426" spans="1:15" x14ac:dyDescent="0.2">
      <c r="A426" s="91" t="s">
        <v>478</v>
      </c>
      <c r="B426" s="91" t="s">
        <v>333</v>
      </c>
      <c r="C426" s="95">
        <v>142</v>
      </c>
      <c r="D426" s="95">
        <v>174</v>
      </c>
      <c r="E426" s="95">
        <v>316</v>
      </c>
      <c r="F426" s="95">
        <v>5030496</v>
      </c>
      <c r="G426" s="95">
        <v>6994489</v>
      </c>
      <c r="H426" s="95">
        <v>12024985</v>
      </c>
      <c r="I426" s="91" t="s">
        <v>485</v>
      </c>
      <c r="J426" s="91" t="s">
        <v>90</v>
      </c>
      <c r="K426" s="94">
        <v>515148</v>
      </c>
      <c r="L426" s="91" t="s">
        <v>271</v>
      </c>
      <c r="M426" s="2"/>
      <c r="N426" s="2"/>
      <c r="O426" s="4"/>
    </row>
    <row r="427" spans="1:15" x14ac:dyDescent="0.2">
      <c r="A427" s="91" t="s">
        <v>180</v>
      </c>
      <c r="B427" s="91" t="s">
        <v>549</v>
      </c>
      <c r="C427" s="95">
        <v>53</v>
      </c>
      <c r="D427" s="95">
        <v>80</v>
      </c>
      <c r="E427" s="95">
        <v>133</v>
      </c>
      <c r="F427" s="95">
        <v>1349785</v>
      </c>
      <c r="G427" s="95">
        <v>3042248</v>
      </c>
      <c r="H427" s="95">
        <v>4392033</v>
      </c>
      <c r="I427" s="91" t="s">
        <v>485</v>
      </c>
      <c r="J427" s="91" t="s">
        <v>89</v>
      </c>
      <c r="K427" s="94">
        <v>515262</v>
      </c>
      <c r="L427" s="91" t="s">
        <v>584</v>
      </c>
      <c r="M427" s="2"/>
      <c r="N427" s="2"/>
      <c r="O427" s="4"/>
    </row>
    <row r="428" spans="1:15" x14ac:dyDescent="0.2">
      <c r="A428" s="91" t="s">
        <v>67</v>
      </c>
      <c r="B428" s="91" t="s">
        <v>581</v>
      </c>
      <c r="C428" s="95">
        <v>291</v>
      </c>
      <c r="D428" s="95">
        <v>298</v>
      </c>
      <c r="E428" s="95">
        <v>589</v>
      </c>
      <c r="F428" s="95">
        <v>7053085</v>
      </c>
      <c r="G428" s="95">
        <v>8979864</v>
      </c>
      <c r="H428" s="95">
        <v>16032949</v>
      </c>
      <c r="I428" s="91" t="s">
        <v>485</v>
      </c>
      <c r="J428" s="91" t="s">
        <v>89</v>
      </c>
      <c r="K428" s="94">
        <v>515387</v>
      </c>
      <c r="L428" s="91" t="s">
        <v>71</v>
      </c>
      <c r="M428" s="2"/>
      <c r="N428" s="2"/>
      <c r="O428" s="4"/>
    </row>
    <row r="429" spans="1:15" x14ac:dyDescent="0.2">
      <c r="A429" s="91" t="s">
        <v>559</v>
      </c>
      <c r="B429" s="91" t="s">
        <v>1059</v>
      </c>
      <c r="C429" s="95">
        <v>1004</v>
      </c>
      <c r="D429" s="95">
        <v>1532</v>
      </c>
      <c r="E429" s="95">
        <v>2536</v>
      </c>
      <c r="F429" s="95">
        <v>39299189</v>
      </c>
      <c r="G429" s="95">
        <v>72616045</v>
      </c>
      <c r="H429" s="95">
        <v>111915234</v>
      </c>
      <c r="I429" s="91" t="s">
        <v>585</v>
      </c>
      <c r="J429" s="91" t="s">
        <v>89</v>
      </c>
      <c r="K429" s="94">
        <v>515676</v>
      </c>
      <c r="L429" s="91" t="s">
        <v>1035</v>
      </c>
      <c r="M429" s="2"/>
      <c r="N429" s="2"/>
      <c r="O429" s="4"/>
    </row>
    <row r="430" spans="1:15" x14ac:dyDescent="0.2">
      <c r="A430" s="91" t="s">
        <v>478</v>
      </c>
      <c r="B430" s="91" t="s">
        <v>482</v>
      </c>
      <c r="C430" s="95">
        <v>709</v>
      </c>
      <c r="D430" s="95">
        <v>644</v>
      </c>
      <c r="E430" s="95">
        <v>1353</v>
      </c>
      <c r="F430" s="95">
        <v>16606119</v>
      </c>
      <c r="G430" s="95">
        <v>17046363</v>
      </c>
      <c r="H430" s="95">
        <v>33652483</v>
      </c>
      <c r="I430" s="91" t="s">
        <v>485</v>
      </c>
      <c r="J430" s="91" t="s">
        <v>90</v>
      </c>
      <c r="K430" s="94">
        <v>515973</v>
      </c>
      <c r="L430" s="91" t="s">
        <v>46</v>
      </c>
      <c r="M430" s="2"/>
      <c r="N430" s="2"/>
      <c r="O430" s="4"/>
    </row>
    <row r="431" spans="1:15" x14ac:dyDescent="0.2">
      <c r="A431" s="91" t="s">
        <v>276</v>
      </c>
      <c r="B431" s="91" t="s">
        <v>816</v>
      </c>
      <c r="C431" s="95">
        <v>21</v>
      </c>
      <c r="D431" s="95">
        <v>38</v>
      </c>
      <c r="E431" s="95">
        <v>59</v>
      </c>
      <c r="F431" s="95">
        <v>545358</v>
      </c>
      <c r="G431" s="95">
        <v>1337392</v>
      </c>
      <c r="H431" s="95">
        <v>1882750</v>
      </c>
      <c r="I431" s="91" t="s">
        <v>485</v>
      </c>
      <c r="J431" s="91" t="s">
        <v>89</v>
      </c>
      <c r="K431" s="94">
        <v>516914</v>
      </c>
      <c r="L431" s="91" t="s">
        <v>439</v>
      </c>
      <c r="M431" s="2"/>
      <c r="N431" s="2"/>
      <c r="O431" s="4"/>
    </row>
    <row r="432" spans="1:15" x14ac:dyDescent="0.2">
      <c r="A432" s="91" t="s">
        <v>202</v>
      </c>
      <c r="B432" s="91" t="s">
        <v>902</v>
      </c>
      <c r="C432" s="95">
        <v>180</v>
      </c>
      <c r="D432" s="95">
        <v>272</v>
      </c>
      <c r="E432" s="95">
        <v>452</v>
      </c>
      <c r="F432" s="95">
        <v>6237321</v>
      </c>
      <c r="G432" s="95">
        <v>12632775</v>
      </c>
      <c r="H432" s="95">
        <v>18870096</v>
      </c>
      <c r="I432" s="91" t="s">
        <v>485</v>
      </c>
      <c r="J432" s="91" t="s">
        <v>89</v>
      </c>
      <c r="K432" s="94">
        <v>517508</v>
      </c>
      <c r="L432" s="91" t="s">
        <v>708</v>
      </c>
      <c r="M432" s="2"/>
      <c r="N432" s="2"/>
      <c r="O432" s="4"/>
    </row>
    <row r="433" spans="1:15" x14ac:dyDescent="0.2">
      <c r="A433" s="91" t="s">
        <v>207</v>
      </c>
      <c r="B433" s="91" t="s">
        <v>429</v>
      </c>
      <c r="C433" s="95">
        <v>1358</v>
      </c>
      <c r="D433" s="95">
        <v>1883</v>
      </c>
      <c r="E433" s="95">
        <v>3241</v>
      </c>
      <c r="F433" s="95">
        <v>29636032</v>
      </c>
      <c r="G433" s="95">
        <v>53999106</v>
      </c>
      <c r="H433" s="95">
        <v>83635139</v>
      </c>
      <c r="I433" s="91" t="s">
        <v>485</v>
      </c>
      <c r="J433" s="91" t="s">
        <v>89</v>
      </c>
      <c r="K433" s="94">
        <v>517748</v>
      </c>
      <c r="L433" s="91" t="s">
        <v>591</v>
      </c>
      <c r="M433" s="2"/>
      <c r="N433" s="2"/>
      <c r="O433" s="4"/>
    </row>
    <row r="434" spans="1:15" x14ac:dyDescent="0.2">
      <c r="A434" s="91" t="s">
        <v>72</v>
      </c>
      <c r="B434" s="91" t="s">
        <v>641</v>
      </c>
      <c r="C434" s="95">
        <v>3308</v>
      </c>
      <c r="D434" s="95">
        <v>5125</v>
      </c>
      <c r="E434" s="95">
        <v>8433</v>
      </c>
      <c r="F434" s="95">
        <v>121891310</v>
      </c>
      <c r="G434" s="95">
        <v>242238697</v>
      </c>
      <c r="H434" s="95">
        <v>364130008</v>
      </c>
      <c r="I434" s="91" t="s">
        <v>585</v>
      </c>
      <c r="J434" s="91" t="s">
        <v>89</v>
      </c>
      <c r="K434" s="94">
        <v>520692</v>
      </c>
      <c r="L434" s="91" t="s">
        <v>633</v>
      </c>
      <c r="M434" s="2"/>
      <c r="N434" s="2"/>
      <c r="O434" s="4"/>
    </row>
    <row r="435" spans="1:15" x14ac:dyDescent="0.2">
      <c r="A435" s="91" t="s">
        <v>109</v>
      </c>
      <c r="B435" s="91" t="s">
        <v>290</v>
      </c>
      <c r="C435" s="95">
        <v>2487</v>
      </c>
      <c r="D435" s="95">
        <v>1876</v>
      </c>
      <c r="E435" s="95">
        <v>4363</v>
      </c>
      <c r="F435" s="95">
        <v>81134881</v>
      </c>
      <c r="G435" s="95">
        <v>75213238</v>
      </c>
      <c r="H435" s="95">
        <v>156348119</v>
      </c>
      <c r="I435" s="91" t="s">
        <v>585</v>
      </c>
      <c r="J435" s="91" t="s">
        <v>89</v>
      </c>
      <c r="K435" s="94">
        <v>520759</v>
      </c>
      <c r="L435" s="91" t="s">
        <v>616</v>
      </c>
      <c r="M435" s="2"/>
      <c r="N435" s="2"/>
      <c r="O435" s="4"/>
    </row>
    <row r="436" spans="1:15" x14ac:dyDescent="0.2">
      <c r="A436" s="91" t="s">
        <v>109</v>
      </c>
      <c r="B436" s="91" t="s">
        <v>1058</v>
      </c>
      <c r="C436" s="95">
        <v>1369</v>
      </c>
      <c r="D436" s="95">
        <v>1089</v>
      </c>
      <c r="E436" s="95">
        <v>2458</v>
      </c>
      <c r="F436" s="95">
        <v>38508360</v>
      </c>
      <c r="G436" s="95">
        <v>39272146</v>
      </c>
      <c r="H436" s="95">
        <v>77780506</v>
      </c>
      <c r="I436" s="91" t="s">
        <v>585</v>
      </c>
      <c r="J436" s="91" t="s">
        <v>89</v>
      </c>
      <c r="K436" s="94">
        <v>522581</v>
      </c>
      <c r="L436" s="91" t="s">
        <v>1035</v>
      </c>
      <c r="M436" s="2"/>
      <c r="N436" s="2"/>
      <c r="O436" s="4"/>
    </row>
    <row r="437" spans="1:15" x14ac:dyDescent="0.2">
      <c r="A437" s="91" t="s">
        <v>109</v>
      </c>
      <c r="B437" s="91" t="s">
        <v>571</v>
      </c>
      <c r="C437" s="95">
        <v>9</v>
      </c>
      <c r="D437" s="95">
        <v>13</v>
      </c>
      <c r="E437" s="95">
        <v>22</v>
      </c>
      <c r="F437" s="95">
        <v>287129</v>
      </c>
      <c r="G437" s="95">
        <v>584955</v>
      </c>
      <c r="H437" s="95">
        <v>872084</v>
      </c>
      <c r="I437" s="91" t="s">
        <v>485</v>
      </c>
      <c r="J437" s="91" t="s">
        <v>89</v>
      </c>
      <c r="K437" s="94">
        <v>523050</v>
      </c>
      <c r="L437" s="91" t="s">
        <v>93</v>
      </c>
      <c r="M437" s="2"/>
      <c r="N437" s="2"/>
      <c r="O437" s="4"/>
    </row>
    <row r="438" spans="1:15" x14ac:dyDescent="0.2">
      <c r="A438" s="91" t="s">
        <v>559</v>
      </c>
      <c r="B438" s="91" t="s">
        <v>862</v>
      </c>
      <c r="C438" s="95">
        <v>73</v>
      </c>
      <c r="D438" s="95">
        <v>136</v>
      </c>
      <c r="E438" s="95">
        <v>209</v>
      </c>
      <c r="F438" s="95">
        <v>3068641</v>
      </c>
      <c r="G438" s="95">
        <v>5583970</v>
      </c>
      <c r="H438" s="95">
        <v>8652610</v>
      </c>
      <c r="I438" s="91" t="s">
        <v>585</v>
      </c>
      <c r="J438" s="91" t="s">
        <v>89</v>
      </c>
      <c r="K438" s="94">
        <v>524231</v>
      </c>
      <c r="L438" s="91" t="s">
        <v>853</v>
      </c>
      <c r="M438" s="2"/>
      <c r="N438" s="2"/>
      <c r="O438" s="4"/>
    </row>
    <row r="439" spans="1:15" x14ac:dyDescent="0.2">
      <c r="A439" s="91" t="s">
        <v>515</v>
      </c>
      <c r="B439" s="91" t="s">
        <v>1075</v>
      </c>
      <c r="C439" s="95">
        <v>7954</v>
      </c>
      <c r="D439" s="95">
        <v>10736</v>
      </c>
      <c r="E439" s="95">
        <v>18690</v>
      </c>
      <c r="F439" s="95">
        <v>215281837</v>
      </c>
      <c r="G439" s="95">
        <v>342329393</v>
      </c>
      <c r="H439" s="95">
        <v>557611230</v>
      </c>
      <c r="I439" s="91" t="s">
        <v>485</v>
      </c>
      <c r="J439" s="91" t="s">
        <v>89</v>
      </c>
      <c r="K439" s="94">
        <v>524470</v>
      </c>
      <c r="L439" s="91" t="s">
        <v>336</v>
      </c>
      <c r="M439" s="2"/>
      <c r="N439" s="2"/>
      <c r="O439" s="4"/>
    </row>
    <row r="440" spans="1:15" x14ac:dyDescent="0.2">
      <c r="A440" s="91" t="s">
        <v>207</v>
      </c>
      <c r="B440" s="91" t="s">
        <v>1021</v>
      </c>
      <c r="C440" s="95">
        <v>10</v>
      </c>
      <c r="D440" s="95">
        <v>34</v>
      </c>
      <c r="E440" s="95">
        <v>44</v>
      </c>
      <c r="F440" s="95">
        <v>324954</v>
      </c>
      <c r="G440" s="95">
        <v>1137429</v>
      </c>
      <c r="H440" s="95">
        <v>1462384</v>
      </c>
      <c r="I440" s="91" t="s">
        <v>485</v>
      </c>
      <c r="J440" s="91" t="s">
        <v>89</v>
      </c>
      <c r="K440" s="94">
        <v>526590</v>
      </c>
      <c r="L440" s="91" t="s">
        <v>1093</v>
      </c>
      <c r="M440" s="2"/>
      <c r="N440" s="2"/>
      <c r="O440" s="4"/>
    </row>
    <row r="441" spans="1:15" x14ac:dyDescent="0.2">
      <c r="A441" s="91" t="s">
        <v>109</v>
      </c>
      <c r="B441" s="91" t="s">
        <v>111</v>
      </c>
      <c r="C441" s="95">
        <v>31</v>
      </c>
      <c r="D441" s="95">
        <v>22</v>
      </c>
      <c r="E441" s="95">
        <v>53</v>
      </c>
      <c r="F441" s="95">
        <v>614634</v>
      </c>
      <c r="G441" s="95">
        <v>537088</v>
      </c>
      <c r="H441" s="95">
        <v>1151722</v>
      </c>
      <c r="I441" s="91" t="s">
        <v>485</v>
      </c>
      <c r="J441" s="91" t="s">
        <v>89</v>
      </c>
      <c r="K441" s="94">
        <v>526897</v>
      </c>
      <c r="L441" s="91" t="s">
        <v>93</v>
      </c>
      <c r="M441" s="2"/>
      <c r="N441" s="2"/>
      <c r="O441" s="4"/>
    </row>
    <row r="442" spans="1:15" x14ac:dyDescent="0.2">
      <c r="A442" s="91" t="s">
        <v>515</v>
      </c>
      <c r="B442" s="91" t="s">
        <v>903</v>
      </c>
      <c r="C442" s="95">
        <v>15451</v>
      </c>
      <c r="D442" s="95">
        <v>16459</v>
      </c>
      <c r="E442" s="95">
        <v>31910</v>
      </c>
      <c r="F442" s="95">
        <v>598491585</v>
      </c>
      <c r="G442" s="95">
        <v>776359611</v>
      </c>
      <c r="H442" s="95">
        <v>1374851196</v>
      </c>
      <c r="I442" s="91" t="s">
        <v>585</v>
      </c>
      <c r="J442" s="91" t="s">
        <v>89</v>
      </c>
      <c r="K442" s="94">
        <v>528133</v>
      </c>
      <c r="L442" s="91" t="s">
        <v>1035</v>
      </c>
      <c r="M442" s="2"/>
      <c r="N442" s="2"/>
      <c r="O442" s="4"/>
    </row>
    <row r="443" spans="1:15" x14ac:dyDescent="0.2">
      <c r="A443" s="91" t="s">
        <v>478</v>
      </c>
      <c r="B443" s="91" t="s">
        <v>969</v>
      </c>
      <c r="C443" s="95">
        <v>1</v>
      </c>
      <c r="D443" s="95">
        <v>4</v>
      </c>
      <c r="E443" s="95">
        <v>5</v>
      </c>
      <c r="F443" s="95">
        <v>117428</v>
      </c>
      <c r="G443" s="95">
        <v>202723</v>
      </c>
      <c r="H443" s="95">
        <v>320151</v>
      </c>
      <c r="I443" s="91" t="s">
        <v>485</v>
      </c>
      <c r="J443" s="91" t="s">
        <v>90</v>
      </c>
      <c r="K443" s="94">
        <v>528422</v>
      </c>
      <c r="L443" s="91" t="s">
        <v>58</v>
      </c>
      <c r="M443" s="2"/>
      <c r="N443" s="2"/>
      <c r="O443" s="4"/>
    </row>
    <row r="444" spans="1:15" x14ac:dyDescent="0.2">
      <c r="A444" s="91" t="s">
        <v>59</v>
      </c>
      <c r="B444" s="91" t="s">
        <v>1120</v>
      </c>
      <c r="C444" s="95">
        <v>1</v>
      </c>
      <c r="D444" s="95">
        <v>0</v>
      </c>
      <c r="E444" s="95">
        <v>1</v>
      </c>
      <c r="F444" s="95">
        <v>4839</v>
      </c>
      <c r="G444" s="95">
        <v>0</v>
      </c>
      <c r="H444" s="95">
        <v>4839</v>
      </c>
      <c r="I444" s="91" t="s">
        <v>485</v>
      </c>
      <c r="J444" s="91" t="s">
        <v>89</v>
      </c>
      <c r="K444" s="94">
        <v>529016</v>
      </c>
      <c r="L444" s="91" t="s">
        <v>61</v>
      </c>
      <c r="M444" s="2"/>
      <c r="N444" s="2"/>
      <c r="O444" s="4"/>
    </row>
    <row r="445" spans="1:15" x14ac:dyDescent="0.2">
      <c r="A445" s="91" t="s">
        <v>109</v>
      </c>
      <c r="B445" s="91" t="s">
        <v>552</v>
      </c>
      <c r="C445" s="95">
        <v>792</v>
      </c>
      <c r="D445" s="95">
        <v>863</v>
      </c>
      <c r="E445" s="95">
        <v>1655</v>
      </c>
      <c r="F445" s="95">
        <v>19879467</v>
      </c>
      <c r="G445" s="95">
        <v>26170346</v>
      </c>
      <c r="H445" s="95">
        <v>46049813</v>
      </c>
      <c r="I445" s="91" t="s">
        <v>485</v>
      </c>
      <c r="J445" s="91" t="s">
        <v>89</v>
      </c>
      <c r="K445" s="94">
        <v>532325</v>
      </c>
      <c r="L445" s="91" t="s">
        <v>625</v>
      </c>
      <c r="M445" s="2"/>
      <c r="N445" s="2"/>
      <c r="O445" s="4"/>
    </row>
    <row r="446" spans="1:15" x14ac:dyDescent="0.2">
      <c r="A446" s="91" t="s">
        <v>121</v>
      </c>
      <c r="B446" s="91" t="s">
        <v>833</v>
      </c>
      <c r="C446" s="95">
        <v>0</v>
      </c>
      <c r="D446" s="95">
        <v>4</v>
      </c>
      <c r="E446" s="95">
        <v>4</v>
      </c>
      <c r="F446" s="95">
        <v>0</v>
      </c>
      <c r="G446" s="95">
        <v>96380</v>
      </c>
      <c r="H446" s="95">
        <v>96380</v>
      </c>
      <c r="I446" s="91" t="s">
        <v>485</v>
      </c>
      <c r="J446" s="91" t="s">
        <v>89</v>
      </c>
      <c r="K446" s="94">
        <v>533919</v>
      </c>
      <c r="L446" s="91" t="s">
        <v>12</v>
      </c>
      <c r="M446" s="2"/>
      <c r="N446" s="2"/>
      <c r="O446" s="4"/>
    </row>
    <row r="447" spans="1:15" x14ac:dyDescent="0.2">
      <c r="A447" s="91" t="s">
        <v>121</v>
      </c>
      <c r="B447" s="91" t="s">
        <v>620</v>
      </c>
      <c r="C447" s="95">
        <v>1550</v>
      </c>
      <c r="D447" s="95">
        <v>2887</v>
      </c>
      <c r="E447" s="95">
        <v>4437</v>
      </c>
      <c r="F447" s="95">
        <v>38861303</v>
      </c>
      <c r="G447" s="95">
        <v>98760898</v>
      </c>
      <c r="H447" s="95">
        <v>137622200</v>
      </c>
      <c r="I447" s="91" t="s">
        <v>585</v>
      </c>
      <c r="J447" s="91" t="s">
        <v>89</v>
      </c>
      <c r="K447" s="94">
        <v>534099</v>
      </c>
      <c r="L447" s="91" t="s">
        <v>27</v>
      </c>
      <c r="M447" s="2"/>
      <c r="N447" s="2"/>
      <c r="O447" s="4"/>
    </row>
    <row r="448" spans="1:15" x14ac:dyDescent="0.2">
      <c r="A448" s="91" t="s">
        <v>157</v>
      </c>
      <c r="B448" s="91" t="s">
        <v>866</v>
      </c>
      <c r="C448" s="95">
        <v>3122</v>
      </c>
      <c r="D448" s="95">
        <v>3784</v>
      </c>
      <c r="E448" s="95">
        <v>6906</v>
      </c>
      <c r="F448" s="95">
        <v>72097228</v>
      </c>
      <c r="G448" s="95">
        <v>104633411</v>
      </c>
      <c r="H448" s="95">
        <v>176730639</v>
      </c>
      <c r="I448" s="91" t="s">
        <v>585</v>
      </c>
      <c r="J448" s="91" t="s">
        <v>89</v>
      </c>
      <c r="K448" s="94">
        <v>534156</v>
      </c>
      <c r="L448" s="91" t="s">
        <v>853</v>
      </c>
      <c r="M448" s="2"/>
      <c r="N448" s="2"/>
      <c r="O448" s="4"/>
    </row>
    <row r="449" spans="1:15" x14ac:dyDescent="0.2">
      <c r="A449" s="91" t="s">
        <v>412</v>
      </c>
      <c r="B449" s="91" t="s">
        <v>418</v>
      </c>
      <c r="C449" s="95">
        <v>9278</v>
      </c>
      <c r="D449" s="95">
        <v>7704</v>
      </c>
      <c r="E449" s="95">
        <v>16982</v>
      </c>
      <c r="F449" s="95">
        <v>289127163</v>
      </c>
      <c r="G449" s="95">
        <v>311261745</v>
      </c>
      <c r="H449" s="95">
        <v>600388908</v>
      </c>
      <c r="I449" s="91" t="s">
        <v>585</v>
      </c>
      <c r="J449" s="91" t="s">
        <v>90</v>
      </c>
      <c r="K449" s="94">
        <v>534800</v>
      </c>
      <c r="L449" s="91" t="s">
        <v>622</v>
      </c>
      <c r="M449" s="2"/>
      <c r="N449" s="2"/>
      <c r="O449" s="4"/>
    </row>
    <row r="450" spans="1:15" x14ac:dyDescent="0.2">
      <c r="A450" s="91" t="s">
        <v>478</v>
      </c>
      <c r="B450" s="91" t="s">
        <v>246</v>
      </c>
      <c r="C450" s="95">
        <v>3693</v>
      </c>
      <c r="D450" s="95">
        <v>4983</v>
      </c>
      <c r="E450" s="95">
        <v>8676</v>
      </c>
      <c r="F450" s="95">
        <v>203208715</v>
      </c>
      <c r="G450" s="95">
        <v>329924530</v>
      </c>
      <c r="H450" s="95">
        <v>533133245</v>
      </c>
      <c r="I450" s="91" t="s">
        <v>485</v>
      </c>
      <c r="J450" s="91" t="s">
        <v>90</v>
      </c>
      <c r="K450" s="94">
        <v>537639</v>
      </c>
      <c r="L450" s="91" t="s">
        <v>657</v>
      </c>
      <c r="M450" s="2"/>
      <c r="N450" s="2"/>
      <c r="O450" s="4"/>
    </row>
    <row r="451" spans="1:15" x14ac:dyDescent="0.2">
      <c r="A451" s="91" t="s">
        <v>353</v>
      </c>
      <c r="B451" s="91" t="s">
        <v>617</v>
      </c>
      <c r="C451" s="95">
        <v>302</v>
      </c>
      <c r="D451" s="95">
        <v>295</v>
      </c>
      <c r="E451" s="95">
        <v>597</v>
      </c>
      <c r="F451" s="95">
        <v>11907093</v>
      </c>
      <c r="G451" s="95">
        <v>13153196</v>
      </c>
      <c r="H451" s="95">
        <v>25060289</v>
      </c>
      <c r="I451" s="91" t="s">
        <v>485</v>
      </c>
      <c r="J451" s="91" t="s">
        <v>92</v>
      </c>
      <c r="K451" s="94">
        <v>537696</v>
      </c>
      <c r="L451" s="91" t="s">
        <v>618</v>
      </c>
      <c r="M451" s="2"/>
      <c r="N451" s="2"/>
      <c r="O451" s="4"/>
    </row>
    <row r="452" spans="1:15" x14ac:dyDescent="0.2">
      <c r="A452" s="91" t="s">
        <v>38</v>
      </c>
      <c r="B452" s="91" t="s">
        <v>860</v>
      </c>
      <c r="C452" s="95">
        <v>20598</v>
      </c>
      <c r="D452" s="95">
        <v>26131</v>
      </c>
      <c r="E452" s="95">
        <v>46729</v>
      </c>
      <c r="F452" s="95">
        <v>599364169</v>
      </c>
      <c r="G452" s="95">
        <v>954175777</v>
      </c>
      <c r="H452" s="95">
        <v>1553539946</v>
      </c>
      <c r="I452" s="91" t="s">
        <v>585</v>
      </c>
      <c r="J452" s="91" t="s">
        <v>89</v>
      </c>
      <c r="K452" s="94">
        <v>538462</v>
      </c>
      <c r="L452" s="91" t="s">
        <v>633</v>
      </c>
      <c r="M452" s="2"/>
      <c r="N452" s="2"/>
      <c r="O452" s="4"/>
    </row>
    <row r="453" spans="1:15" x14ac:dyDescent="0.2">
      <c r="A453" s="91" t="s">
        <v>38</v>
      </c>
      <c r="B453" s="91" t="s">
        <v>926</v>
      </c>
      <c r="C453" s="95">
        <v>143</v>
      </c>
      <c r="D453" s="95">
        <v>279</v>
      </c>
      <c r="E453" s="95">
        <v>422</v>
      </c>
      <c r="F453" s="95">
        <v>4009959</v>
      </c>
      <c r="G453" s="95">
        <v>9322484</v>
      </c>
      <c r="H453" s="95">
        <v>13332443</v>
      </c>
      <c r="I453" s="91" t="s">
        <v>485</v>
      </c>
      <c r="J453" s="91" t="s">
        <v>89</v>
      </c>
      <c r="K453" s="94">
        <v>538751</v>
      </c>
      <c r="L453" s="91" t="s">
        <v>1096</v>
      </c>
      <c r="M453" s="2"/>
      <c r="N453" s="2"/>
      <c r="O453" s="4"/>
    </row>
    <row r="454" spans="1:15" x14ac:dyDescent="0.2">
      <c r="A454" s="91" t="s">
        <v>227</v>
      </c>
      <c r="B454" s="91" t="s">
        <v>666</v>
      </c>
      <c r="C454" s="95">
        <v>1063</v>
      </c>
      <c r="D454" s="95">
        <v>1085</v>
      </c>
      <c r="E454" s="95">
        <v>2148</v>
      </c>
      <c r="F454" s="95">
        <v>128018278</v>
      </c>
      <c r="G454" s="95">
        <v>152540489</v>
      </c>
      <c r="H454" s="95">
        <v>280558766</v>
      </c>
      <c r="I454" s="91" t="s">
        <v>485</v>
      </c>
      <c r="J454" s="91" t="s">
        <v>91</v>
      </c>
      <c r="K454" s="94">
        <v>539460</v>
      </c>
      <c r="L454" s="91" t="s">
        <v>299</v>
      </c>
      <c r="M454" s="2"/>
      <c r="N454" s="2"/>
      <c r="O454" s="4"/>
    </row>
    <row r="455" spans="1:15" x14ac:dyDescent="0.2">
      <c r="A455" s="91" t="s">
        <v>157</v>
      </c>
      <c r="B455" s="91" t="s">
        <v>535</v>
      </c>
      <c r="C455" s="95">
        <v>602</v>
      </c>
      <c r="D455" s="95">
        <v>803</v>
      </c>
      <c r="E455" s="95">
        <v>1405</v>
      </c>
      <c r="F455" s="95">
        <v>11914203</v>
      </c>
      <c r="G455" s="95">
        <v>19867890</v>
      </c>
      <c r="H455" s="95">
        <v>31782093</v>
      </c>
      <c r="I455" s="91" t="s">
        <v>485</v>
      </c>
      <c r="J455" s="91" t="s">
        <v>89</v>
      </c>
      <c r="K455" s="94">
        <v>539585</v>
      </c>
      <c r="L455" s="91" t="s">
        <v>534</v>
      </c>
      <c r="M455" s="2"/>
      <c r="N455" s="2"/>
      <c r="O455" s="4"/>
    </row>
    <row r="456" spans="1:15" x14ac:dyDescent="0.2">
      <c r="A456" s="91" t="s">
        <v>109</v>
      </c>
      <c r="B456" s="91" t="s">
        <v>314</v>
      </c>
      <c r="C456" s="95">
        <v>1772</v>
      </c>
      <c r="D456" s="95">
        <v>2838</v>
      </c>
      <c r="E456" s="95">
        <v>4610</v>
      </c>
      <c r="F456" s="95">
        <v>65785211</v>
      </c>
      <c r="G456" s="95">
        <v>125894813</v>
      </c>
      <c r="H456" s="95">
        <v>191680023</v>
      </c>
      <c r="I456" s="91" t="s">
        <v>585</v>
      </c>
      <c r="J456" s="91" t="s">
        <v>89</v>
      </c>
      <c r="K456" s="94">
        <v>541235</v>
      </c>
      <c r="L456" s="91" t="s">
        <v>526</v>
      </c>
      <c r="M456" s="2"/>
      <c r="N456" s="2"/>
      <c r="O456" s="4"/>
    </row>
    <row r="457" spans="1:15" x14ac:dyDescent="0.2">
      <c r="A457" s="91" t="s">
        <v>121</v>
      </c>
      <c r="B457" s="91" t="s">
        <v>661</v>
      </c>
      <c r="C457" s="95">
        <v>2322</v>
      </c>
      <c r="D457" s="95">
        <v>3985</v>
      </c>
      <c r="E457" s="95">
        <v>6307</v>
      </c>
      <c r="F457" s="95">
        <v>95953087</v>
      </c>
      <c r="G457" s="95">
        <v>206706460</v>
      </c>
      <c r="H457" s="95">
        <v>302659547</v>
      </c>
      <c r="I457" s="91" t="s">
        <v>485</v>
      </c>
      <c r="J457" s="91" t="s">
        <v>89</v>
      </c>
      <c r="K457" s="94">
        <v>541292</v>
      </c>
      <c r="L457" s="91" t="s">
        <v>662</v>
      </c>
      <c r="M457" s="2"/>
      <c r="N457" s="2"/>
      <c r="O457" s="4"/>
    </row>
    <row r="458" spans="1:15" x14ac:dyDescent="0.2">
      <c r="A458" s="91" t="s">
        <v>219</v>
      </c>
      <c r="B458" s="91" t="s">
        <v>224</v>
      </c>
      <c r="C458" s="95">
        <v>15978</v>
      </c>
      <c r="D458" s="95">
        <v>13038</v>
      </c>
      <c r="E458" s="95">
        <v>29016</v>
      </c>
      <c r="F458" s="95">
        <v>521444831</v>
      </c>
      <c r="G458" s="95">
        <v>495732209</v>
      </c>
      <c r="H458" s="95">
        <v>1017177040</v>
      </c>
      <c r="I458" s="91" t="s">
        <v>585</v>
      </c>
      <c r="J458" s="91" t="s">
        <v>91</v>
      </c>
      <c r="K458" s="94">
        <v>542712</v>
      </c>
      <c r="L458" s="91" t="s">
        <v>133</v>
      </c>
      <c r="M458" s="2"/>
      <c r="N458" s="2"/>
      <c r="O458" s="4"/>
    </row>
    <row r="459" spans="1:15" x14ac:dyDescent="0.2">
      <c r="A459" s="91" t="s">
        <v>207</v>
      </c>
      <c r="B459" s="91" t="s">
        <v>951</v>
      </c>
      <c r="C459" s="95">
        <v>457</v>
      </c>
      <c r="D459" s="95">
        <v>530</v>
      </c>
      <c r="E459" s="95">
        <v>987</v>
      </c>
      <c r="F459" s="95">
        <v>9311320</v>
      </c>
      <c r="G459" s="95">
        <v>13323240</v>
      </c>
      <c r="H459" s="95">
        <v>22634560</v>
      </c>
      <c r="I459" s="91" t="s">
        <v>485</v>
      </c>
      <c r="J459" s="91" t="s">
        <v>89</v>
      </c>
      <c r="K459" s="94">
        <v>543306</v>
      </c>
      <c r="L459" s="91" t="s">
        <v>61</v>
      </c>
      <c r="M459" s="2"/>
      <c r="N459" s="2"/>
      <c r="O459" s="4"/>
    </row>
    <row r="460" spans="1:15" x14ac:dyDescent="0.2">
      <c r="A460" s="91" t="s">
        <v>121</v>
      </c>
      <c r="B460" s="91" t="s">
        <v>1034</v>
      </c>
      <c r="C460" s="95">
        <v>11</v>
      </c>
      <c r="D460" s="95">
        <v>30</v>
      </c>
      <c r="E460" s="95">
        <v>41</v>
      </c>
      <c r="F460" s="95">
        <v>348669</v>
      </c>
      <c r="G460" s="95">
        <v>723606</v>
      </c>
      <c r="H460" s="95">
        <v>1072275</v>
      </c>
      <c r="I460" s="91" t="s">
        <v>585</v>
      </c>
      <c r="J460" s="91" t="s">
        <v>89</v>
      </c>
      <c r="K460" s="94">
        <v>543595</v>
      </c>
      <c r="L460" s="91" t="s">
        <v>518</v>
      </c>
      <c r="M460" s="2"/>
      <c r="N460" s="2"/>
      <c r="O460" s="4"/>
    </row>
    <row r="461" spans="1:15" x14ac:dyDescent="0.2">
      <c r="A461" s="91" t="s">
        <v>469</v>
      </c>
      <c r="B461" s="91" t="s">
        <v>589</v>
      </c>
      <c r="C461" s="95">
        <v>47</v>
      </c>
      <c r="D461" s="95">
        <v>77</v>
      </c>
      <c r="E461" s="95">
        <v>124</v>
      </c>
      <c r="F461" s="95">
        <v>1496599</v>
      </c>
      <c r="G461" s="95">
        <v>2241249</v>
      </c>
      <c r="H461" s="95">
        <v>3737848</v>
      </c>
      <c r="I461" s="91" t="s">
        <v>485</v>
      </c>
      <c r="J461" s="91" t="s">
        <v>90</v>
      </c>
      <c r="K461" s="94">
        <v>543892</v>
      </c>
      <c r="L461" s="91" t="s">
        <v>588</v>
      </c>
      <c r="M461" s="2"/>
      <c r="N461" s="2"/>
      <c r="O461" s="4"/>
    </row>
    <row r="462" spans="1:15" x14ac:dyDescent="0.2">
      <c r="A462" s="91" t="s">
        <v>109</v>
      </c>
      <c r="B462" s="91" t="s">
        <v>1000</v>
      </c>
      <c r="C462" s="95">
        <v>20</v>
      </c>
      <c r="D462" s="95">
        <v>35</v>
      </c>
      <c r="E462" s="95">
        <v>55</v>
      </c>
      <c r="F462" s="95">
        <v>699046</v>
      </c>
      <c r="G462" s="95">
        <v>1500410</v>
      </c>
      <c r="H462" s="95">
        <v>2199456</v>
      </c>
      <c r="I462" s="91" t="s">
        <v>585</v>
      </c>
      <c r="J462" s="91" t="s">
        <v>89</v>
      </c>
      <c r="K462" s="94">
        <v>545426</v>
      </c>
      <c r="L462" s="91" t="s">
        <v>524</v>
      </c>
      <c r="M462" s="2"/>
      <c r="N462" s="2"/>
      <c r="O462" s="4"/>
    </row>
    <row r="463" spans="1:15" x14ac:dyDescent="0.2">
      <c r="A463" s="91" t="s">
        <v>412</v>
      </c>
      <c r="B463" s="91" t="s">
        <v>566</v>
      </c>
      <c r="C463" s="95">
        <v>1748</v>
      </c>
      <c r="D463" s="95">
        <v>2370</v>
      </c>
      <c r="E463" s="95">
        <v>4118</v>
      </c>
      <c r="F463" s="95">
        <v>93735375</v>
      </c>
      <c r="G463" s="95">
        <v>148251287</v>
      </c>
      <c r="H463" s="95">
        <v>241986662</v>
      </c>
      <c r="I463" s="91" t="s">
        <v>585</v>
      </c>
      <c r="J463" s="91" t="s">
        <v>90</v>
      </c>
      <c r="K463" s="94">
        <v>545541</v>
      </c>
      <c r="L463" s="91" t="s">
        <v>615</v>
      </c>
      <c r="M463" s="2"/>
      <c r="N463" s="2"/>
      <c r="O463" s="4"/>
    </row>
    <row r="464" spans="1:15" x14ac:dyDescent="0.2">
      <c r="A464" s="91" t="s">
        <v>219</v>
      </c>
      <c r="B464" s="91" t="s">
        <v>1128</v>
      </c>
      <c r="C464" s="95">
        <v>7036</v>
      </c>
      <c r="D464" s="95">
        <v>5764</v>
      </c>
      <c r="E464" s="95">
        <v>12800</v>
      </c>
      <c r="F464" s="95">
        <v>221070855</v>
      </c>
      <c r="G464" s="95">
        <v>213370582</v>
      </c>
      <c r="H464" s="95">
        <v>434441437</v>
      </c>
      <c r="I464" s="91" t="s">
        <v>585</v>
      </c>
      <c r="J464" s="91" t="s">
        <v>91</v>
      </c>
      <c r="K464" s="94">
        <v>546960</v>
      </c>
      <c r="L464" s="91" t="s">
        <v>524</v>
      </c>
      <c r="M464" s="2"/>
      <c r="N464" s="2"/>
      <c r="O464" s="4"/>
    </row>
    <row r="465" spans="1:15" x14ac:dyDescent="0.2">
      <c r="A465" s="91" t="s">
        <v>109</v>
      </c>
      <c r="B465" s="91" t="s">
        <v>430</v>
      </c>
      <c r="C465" s="95">
        <v>184</v>
      </c>
      <c r="D465" s="95">
        <v>240</v>
      </c>
      <c r="E465" s="95">
        <v>424</v>
      </c>
      <c r="F465" s="95">
        <v>4109348</v>
      </c>
      <c r="G465" s="95">
        <v>6560928</v>
      </c>
      <c r="H465" s="95">
        <v>10670276</v>
      </c>
      <c r="I465" s="91" t="s">
        <v>485</v>
      </c>
      <c r="J465" s="91" t="s">
        <v>89</v>
      </c>
      <c r="K465" s="94">
        <v>549261</v>
      </c>
      <c r="L465" s="91" t="s">
        <v>591</v>
      </c>
      <c r="M465" s="2"/>
      <c r="N465" s="2"/>
      <c r="O465" s="4"/>
    </row>
    <row r="466" spans="1:15" x14ac:dyDescent="0.2">
      <c r="A466" s="91" t="s">
        <v>469</v>
      </c>
      <c r="B466" s="91" t="s">
        <v>799</v>
      </c>
      <c r="C466" s="95">
        <v>511</v>
      </c>
      <c r="D466" s="95">
        <v>787</v>
      </c>
      <c r="E466" s="95">
        <v>1298</v>
      </c>
      <c r="F466" s="95">
        <v>19541559</v>
      </c>
      <c r="G466" s="95">
        <v>35129118</v>
      </c>
      <c r="H466" s="95">
        <v>54670677</v>
      </c>
      <c r="I466" s="91" t="s">
        <v>485</v>
      </c>
      <c r="J466" s="91" t="s">
        <v>90</v>
      </c>
      <c r="K466" s="94">
        <v>549972</v>
      </c>
      <c r="L466" s="91" t="s">
        <v>596</v>
      </c>
      <c r="M466" s="2"/>
      <c r="N466" s="2"/>
      <c r="O466" s="4"/>
    </row>
    <row r="467" spans="1:15" x14ac:dyDescent="0.2">
      <c r="A467" s="91" t="s">
        <v>478</v>
      </c>
      <c r="B467" s="91" t="s">
        <v>867</v>
      </c>
      <c r="C467" s="95">
        <v>637</v>
      </c>
      <c r="D467" s="95">
        <v>1181</v>
      </c>
      <c r="E467" s="95">
        <v>1818</v>
      </c>
      <c r="F467" s="95">
        <v>28132177</v>
      </c>
      <c r="G467" s="95">
        <v>52694351</v>
      </c>
      <c r="H467" s="95">
        <v>80826529</v>
      </c>
      <c r="I467" s="91" t="s">
        <v>585</v>
      </c>
      <c r="J467" s="91" t="s">
        <v>90</v>
      </c>
      <c r="K467" s="94">
        <v>550913</v>
      </c>
      <c r="L467" s="91" t="s">
        <v>868</v>
      </c>
      <c r="M467" s="2"/>
      <c r="N467" s="2"/>
      <c r="O467" s="4"/>
    </row>
    <row r="468" spans="1:15" x14ac:dyDescent="0.2">
      <c r="A468" s="91" t="s">
        <v>478</v>
      </c>
      <c r="B468" s="91" t="s">
        <v>297</v>
      </c>
      <c r="C468" s="95">
        <v>41</v>
      </c>
      <c r="D468" s="95">
        <v>60</v>
      </c>
      <c r="E468" s="95">
        <v>101</v>
      </c>
      <c r="F468" s="95">
        <v>1270118</v>
      </c>
      <c r="G468" s="95">
        <v>1912088</v>
      </c>
      <c r="H468" s="95">
        <v>3182207</v>
      </c>
      <c r="I468" s="91" t="s">
        <v>485</v>
      </c>
      <c r="J468" s="91" t="s">
        <v>90</v>
      </c>
      <c r="K468" s="94">
        <v>550970</v>
      </c>
      <c r="L468" s="91" t="s">
        <v>271</v>
      </c>
      <c r="M468" s="2"/>
      <c r="N468" s="2"/>
      <c r="O468" s="4"/>
    </row>
    <row r="469" spans="1:15" x14ac:dyDescent="0.2">
      <c r="A469" s="91" t="s">
        <v>469</v>
      </c>
      <c r="B469" s="91" t="s">
        <v>1005</v>
      </c>
      <c r="C469" s="95">
        <v>80</v>
      </c>
      <c r="D469" s="95">
        <v>112</v>
      </c>
      <c r="E469" s="95">
        <v>192</v>
      </c>
      <c r="F469" s="95">
        <v>2426440</v>
      </c>
      <c r="G469" s="95">
        <v>5017278</v>
      </c>
      <c r="H469" s="95">
        <v>7443717</v>
      </c>
      <c r="I469" s="91" t="s">
        <v>485</v>
      </c>
      <c r="J469" s="91" t="s">
        <v>90</v>
      </c>
      <c r="K469" s="94">
        <v>551093</v>
      </c>
      <c r="L469" s="91" t="s">
        <v>584</v>
      </c>
      <c r="M469" s="2"/>
      <c r="N469" s="2"/>
      <c r="O469" s="4"/>
    </row>
    <row r="470" spans="1:15" x14ac:dyDescent="0.2">
      <c r="A470" s="91" t="s">
        <v>72</v>
      </c>
      <c r="B470" s="91" t="s">
        <v>962</v>
      </c>
      <c r="C470" s="95">
        <v>234</v>
      </c>
      <c r="D470" s="95">
        <v>470</v>
      </c>
      <c r="E470" s="95">
        <v>704</v>
      </c>
      <c r="F470" s="95">
        <v>7583118</v>
      </c>
      <c r="G470" s="95">
        <v>19886789</v>
      </c>
      <c r="H470" s="95">
        <v>27469906</v>
      </c>
      <c r="I470" s="91" t="s">
        <v>585</v>
      </c>
      <c r="J470" s="91" t="s">
        <v>89</v>
      </c>
      <c r="K470" s="94">
        <v>551507</v>
      </c>
      <c r="L470" s="91" t="s">
        <v>1035</v>
      </c>
      <c r="M470" s="2"/>
      <c r="N470" s="2"/>
      <c r="O470" s="4"/>
    </row>
    <row r="471" spans="1:15" x14ac:dyDescent="0.2">
      <c r="A471" s="91" t="s">
        <v>478</v>
      </c>
      <c r="B471" s="91" t="s">
        <v>484</v>
      </c>
      <c r="C471" s="95">
        <v>2217</v>
      </c>
      <c r="D471" s="95">
        <v>2344</v>
      </c>
      <c r="E471" s="95">
        <v>4561</v>
      </c>
      <c r="F471" s="95">
        <v>47005387</v>
      </c>
      <c r="G471" s="95">
        <v>64071624</v>
      </c>
      <c r="H471" s="95">
        <v>111077011</v>
      </c>
      <c r="I471" s="91" t="s">
        <v>485</v>
      </c>
      <c r="J471" s="91" t="s">
        <v>90</v>
      </c>
      <c r="K471" s="94">
        <v>551804</v>
      </c>
      <c r="L471" s="91" t="s">
        <v>46</v>
      </c>
      <c r="M471" s="2"/>
      <c r="N471" s="2"/>
      <c r="O471" s="4"/>
    </row>
    <row r="472" spans="1:15" x14ac:dyDescent="0.2">
      <c r="A472" s="91" t="s">
        <v>580</v>
      </c>
      <c r="B472" s="91" t="s">
        <v>612</v>
      </c>
      <c r="C472" s="95">
        <v>3004</v>
      </c>
      <c r="D472" s="95">
        <v>3082</v>
      </c>
      <c r="E472" s="95">
        <v>6086</v>
      </c>
      <c r="F472" s="95">
        <v>88303896</v>
      </c>
      <c r="G472" s="95">
        <v>111386371</v>
      </c>
      <c r="H472" s="95">
        <v>199690267</v>
      </c>
      <c r="I472" s="91" t="s">
        <v>585</v>
      </c>
      <c r="J472" s="91" t="s">
        <v>89</v>
      </c>
      <c r="K472" s="94">
        <v>552869</v>
      </c>
      <c r="L472" s="91" t="s">
        <v>1084</v>
      </c>
      <c r="M472" s="2"/>
      <c r="N472" s="2"/>
      <c r="O472" s="4"/>
    </row>
    <row r="473" spans="1:15" x14ac:dyDescent="0.2">
      <c r="A473" s="91" t="s">
        <v>157</v>
      </c>
      <c r="B473" s="91" t="s">
        <v>162</v>
      </c>
      <c r="C473" s="95">
        <v>6610</v>
      </c>
      <c r="D473" s="95">
        <v>7780</v>
      </c>
      <c r="E473" s="95">
        <v>14390</v>
      </c>
      <c r="F473" s="95">
        <v>172781831</v>
      </c>
      <c r="G473" s="95">
        <v>248739011</v>
      </c>
      <c r="H473" s="95">
        <v>421520842</v>
      </c>
      <c r="I473" s="91" t="s">
        <v>585</v>
      </c>
      <c r="J473" s="91" t="s">
        <v>89</v>
      </c>
      <c r="K473" s="94">
        <v>552984</v>
      </c>
      <c r="L473" s="91" t="s">
        <v>943</v>
      </c>
      <c r="M473" s="2"/>
      <c r="N473" s="2"/>
      <c r="O473" s="4"/>
    </row>
    <row r="474" spans="1:15" x14ac:dyDescent="0.2">
      <c r="A474" s="91" t="s">
        <v>72</v>
      </c>
      <c r="B474" s="91" t="s">
        <v>904</v>
      </c>
      <c r="C474" s="95">
        <v>15</v>
      </c>
      <c r="D474" s="95">
        <v>33</v>
      </c>
      <c r="E474" s="95">
        <v>48</v>
      </c>
      <c r="F474" s="95">
        <v>481120</v>
      </c>
      <c r="G474" s="95">
        <v>1206978</v>
      </c>
      <c r="H474" s="95">
        <v>1688098</v>
      </c>
      <c r="I474" s="91" t="s">
        <v>485</v>
      </c>
      <c r="J474" s="91" t="s">
        <v>89</v>
      </c>
      <c r="K474" s="94">
        <v>553339</v>
      </c>
      <c r="L474" s="91" t="s">
        <v>708</v>
      </c>
      <c r="M474" s="2"/>
      <c r="N474" s="2"/>
      <c r="O474" s="4"/>
    </row>
    <row r="475" spans="1:15" x14ac:dyDescent="0.2">
      <c r="A475" s="91" t="s">
        <v>207</v>
      </c>
      <c r="B475" s="91" t="s">
        <v>431</v>
      </c>
      <c r="C475" s="95">
        <v>1386</v>
      </c>
      <c r="D475" s="95">
        <v>2154</v>
      </c>
      <c r="E475" s="95">
        <v>3540</v>
      </c>
      <c r="F475" s="95">
        <v>28550078</v>
      </c>
      <c r="G475" s="95">
        <v>58067462</v>
      </c>
      <c r="H475" s="95">
        <v>86617540</v>
      </c>
      <c r="I475" s="91" t="s">
        <v>485</v>
      </c>
      <c r="J475" s="91" t="s">
        <v>89</v>
      </c>
      <c r="K475" s="94">
        <v>553578</v>
      </c>
      <c r="L475" s="91" t="s">
        <v>591</v>
      </c>
      <c r="M475" s="2"/>
      <c r="N475" s="2"/>
      <c r="O475" s="4"/>
    </row>
    <row r="476" spans="1:15" x14ac:dyDescent="0.2">
      <c r="A476" s="91" t="s">
        <v>227</v>
      </c>
      <c r="B476" s="91" t="s">
        <v>574</v>
      </c>
      <c r="C476" s="95">
        <v>188</v>
      </c>
      <c r="D476" s="95">
        <v>242</v>
      </c>
      <c r="E476" s="95">
        <v>430</v>
      </c>
      <c r="F476" s="95">
        <v>13035546</v>
      </c>
      <c r="G476" s="95">
        <v>18705439</v>
      </c>
      <c r="H476" s="95">
        <v>31740984</v>
      </c>
      <c r="I476" s="91" t="s">
        <v>585</v>
      </c>
      <c r="J476" s="91" t="s">
        <v>91</v>
      </c>
      <c r="K476" s="94">
        <v>554634</v>
      </c>
      <c r="L476" s="91" t="s">
        <v>569</v>
      </c>
      <c r="M476" s="2"/>
      <c r="N476" s="2"/>
      <c r="O476" s="4"/>
    </row>
    <row r="477" spans="1:15" x14ac:dyDescent="0.2">
      <c r="A477" s="91" t="s">
        <v>412</v>
      </c>
      <c r="B477" s="91" t="s">
        <v>23</v>
      </c>
      <c r="C477" s="95">
        <v>510</v>
      </c>
      <c r="D477" s="95">
        <v>530</v>
      </c>
      <c r="E477" s="95">
        <v>1040</v>
      </c>
      <c r="F477" s="95">
        <v>16092323</v>
      </c>
      <c r="G477" s="95">
        <v>19797314</v>
      </c>
      <c r="H477" s="95">
        <v>35889637</v>
      </c>
      <c r="I477" s="91" t="s">
        <v>585</v>
      </c>
      <c r="J477" s="91" t="s">
        <v>90</v>
      </c>
      <c r="K477" s="94">
        <v>554691</v>
      </c>
      <c r="L477" s="91" t="s">
        <v>649</v>
      </c>
      <c r="M477" s="2"/>
      <c r="N477" s="2"/>
      <c r="O477" s="4"/>
    </row>
    <row r="478" spans="1:15" x14ac:dyDescent="0.2">
      <c r="A478" s="91" t="s">
        <v>109</v>
      </c>
      <c r="B478" s="91" t="s">
        <v>451</v>
      </c>
      <c r="C478" s="95">
        <v>108</v>
      </c>
      <c r="D478" s="95">
        <v>97</v>
      </c>
      <c r="E478" s="95">
        <v>205</v>
      </c>
      <c r="F478" s="95">
        <v>3040461</v>
      </c>
      <c r="G478" s="95">
        <v>3023600</v>
      </c>
      <c r="H478" s="95">
        <v>6064061</v>
      </c>
      <c r="I478" s="91" t="s">
        <v>485</v>
      </c>
      <c r="J478" s="91" t="s">
        <v>89</v>
      </c>
      <c r="K478" s="94">
        <v>555466</v>
      </c>
      <c r="L478" s="91" t="s">
        <v>324</v>
      </c>
      <c r="M478" s="2"/>
      <c r="N478" s="2"/>
      <c r="O478" s="4"/>
    </row>
    <row r="479" spans="1:15" x14ac:dyDescent="0.2">
      <c r="A479" s="91" t="s">
        <v>65</v>
      </c>
      <c r="B479" s="91" t="s">
        <v>66</v>
      </c>
      <c r="C479" s="95">
        <v>3207</v>
      </c>
      <c r="D479" s="95">
        <v>4030</v>
      </c>
      <c r="E479" s="95">
        <v>7237</v>
      </c>
      <c r="F479" s="95">
        <v>117798728</v>
      </c>
      <c r="G479" s="95">
        <v>179114798</v>
      </c>
      <c r="H479" s="95">
        <v>296913526</v>
      </c>
      <c r="I479" s="91" t="s">
        <v>585</v>
      </c>
      <c r="J479" s="91" t="s">
        <v>89</v>
      </c>
      <c r="K479" s="94">
        <v>556589</v>
      </c>
      <c r="L479" s="91" t="s">
        <v>616</v>
      </c>
      <c r="M479" s="2"/>
      <c r="N479" s="2"/>
      <c r="O479" s="4"/>
    </row>
    <row r="480" spans="1:15" x14ac:dyDescent="0.2">
      <c r="A480" s="91" t="s">
        <v>227</v>
      </c>
      <c r="B480" s="91" t="s">
        <v>715</v>
      </c>
      <c r="C480" s="95">
        <v>2535</v>
      </c>
      <c r="D480" s="95">
        <v>2837</v>
      </c>
      <c r="E480" s="95">
        <v>5372</v>
      </c>
      <c r="F480" s="95">
        <v>353278891</v>
      </c>
      <c r="G480" s="95">
        <v>441610804</v>
      </c>
      <c r="H480" s="95">
        <v>794889695</v>
      </c>
      <c r="I480" s="91" t="s">
        <v>585</v>
      </c>
      <c r="J480" s="91" t="s">
        <v>91</v>
      </c>
      <c r="K480" s="94">
        <v>558239</v>
      </c>
      <c r="L480" s="91" t="s">
        <v>518</v>
      </c>
      <c r="M480" s="2"/>
      <c r="N480" s="2"/>
      <c r="O480" s="4"/>
    </row>
    <row r="481" spans="1:15" x14ac:dyDescent="0.2">
      <c r="A481" s="91" t="s">
        <v>207</v>
      </c>
      <c r="B481" s="91" t="s">
        <v>572</v>
      </c>
      <c r="C481" s="95">
        <v>21</v>
      </c>
      <c r="D481" s="95">
        <v>37</v>
      </c>
      <c r="E481" s="95">
        <v>58</v>
      </c>
      <c r="F481" s="95">
        <v>769489</v>
      </c>
      <c r="G481" s="95">
        <v>1567960</v>
      </c>
      <c r="H481" s="95">
        <v>2337449</v>
      </c>
      <c r="I481" s="91" t="s">
        <v>485</v>
      </c>
      <c r="J481" s="91" t="s">
        <v>89</v>
      </c>
      <c r="K481" s="94">
        <v>558882</v>
      </c>
      <c r="L481" s="91" t="s">
        <v>93</v>
      </c>
      <c r="M481" s="2"/>
      <c r="N481" s="2"/>
      <c r="O481" s="4"/>
    </row>
    <row r="482" spans="1:15" x14ac:dyDescent="0.2">
      <c r="A482" s="91" t="s">
        <v>478</v>
      </c>
      <c r="B482" s="91" t="s">
        <v>1107</v>
      </c>
      <c r="C482" s="95">
        <v>84</v>
      </c>
      <c r="D482" s="95">
        <v>279</v>
      </c>
      <c r="E482" s="95">
        <v>363</v>
      </c>
      <c r="F482" s="95">
        <v>3929448</v>
      </c>
      <c r="G482" s="95">
        <v>17717939</v>
      </c>
      <c r="H482" s="95">
        <v>21647387</v>
      </c>
      <c r="I482" s="91" t="s">
        <v>585</v>
      </c>
      <c r="J482" s="91" t="s">
        <v>90</v>
      </c>
      <c r="K482" s="94">
        <v>560599</v>
      </c>
      <c r="L482" s="91" t="s">
        <v>472</v>
      </c>
      <c r="M482" s="2"/>
      <c r="N482" s="2"/>
      <c r="O482" s="4"/>
    </row>
    <row r="483" spans="1:15" x14ac:dyDescent="0.2">
      <c r="A483" s="91" t="s">
        <v>109</v>
      </c>
      <c r="B483" s="91" t="s">
        <v>1025</v>
      </c>
      <c r="C483" s="95">
        <v>18</v>
      </c>
      <c r="D483" s="95">
        <v>29</v>
      </c>
      <c r="E483" s="95">
        <v>47</v>
      </c>
      <c r="F483" s="95">
        <v>676095</v>
      </c>
      <c r="G483" s="95">
        <v>1276412</v>
      </c>
      <c r="H483" s="95">
        <v>1952507</v>
      </c>
      <c r="I483" s="91" t="s">
        <v>485</v>
      </c>
      <c r="J483" s="91" t="s">
        <v>89</v>
      </c>
      <c r="K483" s="94">
        <v>562421</v>
      </c>
      <c r="L483" s="91" t="s">
        <v>1093</v>
      </c>
      <c r="M483" s="2"/>
      <c r="N483" s="2"/>
      <c r="O483" s="4"/>
    </row>
    <row r="484" spans="1:15" x14ac:dyDescent="0.2">
      <c r="A484" s="91" t="s">
        <v>180</v>
      </c>
      <c r="B484" s="91" t="s">
        <v>1019</v>
      </c>
      <c r="C484" s="95">
        <v>2646</v>
      </c>
      <c r="D484" s="95">
        <v>3066</v>
      </c>
      <c r="E484" s="95">
        <v>5712</v>
      </c>
      <c r="F484" s="95">
        <v>72573099</v>
      </c>
      <c r="G484" s="95">
        <v>98108147</v>
      </c>
      <c r="H484" s="95">
        <v>170681246</v>
      </c>
      <c r="I484" s="91" t="s">
        <v>485</v>
      </c>
      <c r="J484" s="91" t="s">
        <v>89</v>
      </c>
      <c r="K484" s="94">
        <v>562728</v>
      </c>
      <c r="L484" s="91" t="s">
        <v>1093</v>
      </c>
      <c r="M484" s="2"/>
      <c r="N484" s="2"/>
      <c r="O484" s="4"/>
    </row>
    <row r="485" spans="1:15" x14ac:dyDescent="0.2">
      <c r="A485" s="91" t="s">
        <v>72</v>
      </c>
      <c r="B485" s="91" t="s">
        <v>96</v>
      </c>
      <c r="C485" s="95">
        <v>1301</v>
      </c>
      <c r="D485" s="95">
        <v>1425</v>
      </c>
      <c r="E485" s="95">
        <v>2726</v>
      </c>
      <c r="F485" s="95">
        <v>33924693</v>
      </c>
      <c r="G485" s="95">
        <v>45646781</v>
      </c>
      <c r="H485" s="95">
        <v>79571474</v>
      </c>
      <c r="I485" s="91" t="s">
        <v>485</v>
      </c>
      <c r="J485" s="91" t="s">
        <v>89</v>
      </c>
      <c r="K485" s="94">
        <v>563254</v>
      </c>
      <c r="L485" s="91" t="s">
        <v>606</v>
      </c>
      <c r="M485" s="2"/>
      <c r="N485" s="2"/>
      <c r="O485" s="4"/>
    </row>
    <row r="486" spans="1:15" x14ac:dyDescent="0.2">
      <c r="A486" s="91" t="s">
        <v>109</v>
      </c>
      <c r="B486" s="91" t="s">
        <v>905</v>
      </c>
      <c r="C486" s="95">
        <v>10249</v>
      </c>
      <c r="D486" s="95">
        <v>10038</v>
      </c>
      <c r="E486" s="95">
        <v>20287</v>
      </c>
      <c r="F486" s="95">
        <v>292304175</v>
      </c>
      <c r="G486" s="95">
        <v>332110218</v>
      </c>
      <c r="H486" s="95">
        <v>624414393</v>
      </c>
      <c r="I486" s="91" t="s">
        <v>585</v>
      </c>
      <c r="J486" s="91" t="s">
        <v>89</v>
      </c>
      <c r="K486" s="94">
        <v>563965</v>
      </c>
      <c r="L486" s="91" t="s">
        <v>1035</v>
      </c>
      <c r="M486" s="2"/>
      <c r="N486" s="2"/>
      <c r="O486" s="4"/>
    </row>
    <row r="487" spans="1:15" x14ac:dyDescent="0.2">
      <c r="A487" s="91" t="s">
        <v>38</v>
      </c>
      <c r="B487" s="91" t="s">
        <v>1126</v>
      </c>
      <c r="C487" s="95">
        <v>11</v>
      </c>
      <c r="D487" s="95">
        <v>25</v>
      </c>
      <c r="E487" s="95">
        <v>36</v>
      </c>
      <c r="F487" s="95">
        <v>241993</v>
      </c>
      <c r="G487" s="95">
        <v>611813</v>
      </c>
      <c r="H487" s="95">
        <v>853806</v>
      </c>
      <c r="I487" s="91" t="s">
        <v>485</v>
      </c>
      <c r="J487" s="91" t="s">
        <v>89</v>
      </c>
      <c r="K487" s="94">
        <v>564849</v>
      </c>
      <c r="L487" s="91" t="s">
        <v>1084</v>
      </c>
      <c r="M487" s="2"/>
      <c r="N487" s="2"/>
      <c r="O487" s="4"/>
    </row>
    <row r="488" spans="1:15" x14ac:dyDescent="0.2">
      <c r="A488" s="91" t="s">
        <v>227</v>
      </c>
      <c r="B488" s="91" t="s">
        <v>881</v>
      </c>
      <c r="C488" s="95">
        <v>15</v>
      </c>
      <c r="D488" s="95">
        <v>19</v>
      </c>
      <c r="E488" s="95">
        <v>34</v>
      </c>
      <c r="F488" s="95">
        <v>939398</v>
      </c>
      <c r="G488" s="95">
        <v>1554619</v>
      </c>
      <c r="H488" s="95">
        <v>2494016</v>
      </c>
      <c r="I488" s="91" t="s">
        <v>585</v>
      </c>
      <c r="J488" s="91" t="s">
        <v>91</v>
      </c>
      <c r="K488" s="94">
        <v>567917</v>
      </c>
      <c r="L488" s="91" t="s">
        <v>616</v>
      </c>
      <c r="M488" s="2"/>
      <c r="N488" s="2"/>
      <c r="O488" s="4"/>
    </row>
    <row r="489" spans="1:15" x14ac:dyDescent="0.2">
      <c r="A489" s="91" t="s">
        <v>515</v>
      </c>
      <c r="B489" s="91" t="s">
        <v>861</v>
      </c>
      <c r="C489" s="95">
        <v>1850</v>
      </c>
      <c r="D489" s="95">
        <v>1967</v>
      </c>
      <c r="E489" s="95">
        <v>3817</v>
      </c>
      <c r="F489" s="95">
        <v>74756921</v>
      </c>
      <c r="G489" s="95">
        <v>95013852</v>
      </c>
      <c r="H489" s="95">
        <v>169770773</v>
      </c>
      <c r="I489" s="91" t="s">
        <v>585</v>
      </c>
      <c r="J489" s="91" t="s">
        <v>89</v>
      </c>
      <c r="K489" s="94">
        <v>569988</v>
      </c>
      <c r="L489" s="91" t="s">
        <v>853</v>
      </c>
      <c r="M489" s="2"/>
      <c r="N489" s="2"/>
      <c r="O489" s="4"/>
    </row>
    <row r="490" spans="1:15" x14ac:dyDescent="0.2">
      <c r="A490" s="91" t="s">
        <v>180</v>
      </c>
      <c r="B490" s="91" t="s">
        <v>813</v>
      </c>
      <c r="C490" s="95">
        <v>2233</v>
      </c>
      <c r="D490" s="95">
        <v>2772</v>
      </c>
      <c r="E490" s="95">
        <v>5005</v>
      </c>
      <c r="F490" s="95">
        <v>60298779</v>
      </c>
      <c r="G490" s="95">
        <v>87568506</v>
      </c>
      <c r="H490" s="95">
        <v>147867285</v>
      </c>
      <c r="I490" s="91" t="s">
        <v>485</v>
      </c>
      <c r="J490" s="91" t="s">
        <v>89</v>
      </c>
      <c r="K490" s="94">
        <v>570044</v>
      </c>
      <c r="L490" s="91" t="s">
        <v>596</v>
      </c>
      <c r="M490" s="2"/>
      <c r="N490" s="2"/>
      <c r="O490" s="4"/>
    </row>
    <row r="491" spans="1:15" x14ac:dyDescent="0.2">
      <c r="A491" s="91" t="s">
        <v>67</v>
      </c>
      <c r="B491" s="91" t="s">
        <v>70</v>
      </c>
      <c r="C491" s="95">
        <v>1218</v>
      </c>
      <c r="D491" s="95">
        <v>784</v>
      </c>
      <c r="E491" s="95">
        <v>2002</v>
      </c>
      <c r="F491" s="95">
        <v>31270494</v>
      </c>
      <c r="G491" s="95">
        <v>24476644</v>
      </c>
      <c r="H491" s="95">
        <v>55747139</v>
      </c>
      <c r="I491" s="91" t="s">
        <v>585</v>
      </c>
      <c r="J491" s="91" t="s">
        <v>89</v>
      </c>
      <c r="K491" s="94">
        <v>570630</v>
      </c>
      <c r="L491" s="91" t="s">
        <v>528</v>
      </c>
      <c r="M491" s="2"/>
      <c r="N491" s="2"/>
      <c r="O491" s="4"/>
    </row>
    <row r="492" spans="1:15" x14ac:dyDescent="0.2">
      <c r="A492" s="91" t="s">
        <v>38</v>
      </c>
      <c r="B492" s="91" t="s">
        <v>800</v>
      </c>
      <c r="C492" s="95">
        <v>1209</v>
      </c>
      <c r="D492" s="95">
        <v>1108</v>
      </c>
      <c r="E492" s="95">
        <v>2317</v>
      </c>
      <c r="F492" s="95">
        <v>29145372</v>
      </c>
      <c r="G492" s="95">
        <v>33629763</v>
      </c>
      <c r="H492" s="95">
        <v>62775135</v>
      </c>
      <c r="I492" s="91" t="s">
        <v>485</v>
      </c>
      <c r="J492" s="91" t="s">
        <v>89</v>
      </c>
      <c r="K492" s="94">
        <v>571695</v>
      </c>
      <c r="L492" s="91" t="s">
        <v>1090</v>
      </c>
      <c r="M492" s="2"/>
      <c r="N492" s="2"/>
      <c r="O492" s="4"/>
    </row>
    <row r="493" spans="1:15" x14ac:dyDescent="0.2">
      <c r="A493" s="91" t="s">
        <v>412</v>
      </c>
      <c r="B493" s="91" t="s">
        <v>634</v>
      </c>
      <c r="C493" s="95">
        <v>33093</v>
      </c>
      <c r="D493" s="95">
        <v>31948</v>
      </c>
      <c r="E493" s="95">
        <v>65041</v>
      </c>
      <c r="F493" s="95">
        <v>1423078380</v>
      </c>
      <c r="G493" s="95">
        <v>1725383002</v>
      </c>
      <c r="H493" s="95">
        <v>3148461381</v>
      </c>
      <c r="I493" s="91" t="s">
        <v>585</v>
      </c>
      <c r="J493" s="91" t="s">
        <v>90</v>
      </c>
      <c r="K493" s="94">
        <v>574293</v>
      </c>
      <c r="L493" s="91" t="s">
        <v>633</v>
      </c>
      <c r="M493" s="2"/>
      <c r="N493" s="2"/>
      <c r="O493" s="4"/>
    </row>
    <row r="494" spans="1:15" x14ac:dyDescent="0.2">
      <c r="A494" s="91" t="s">
        <v>478</v>
      </c>
      <c r="B494" s="91" t="s">
        <v>933</v>
      </c>
      <c r="C494" s="95">
        <v>802</v>
      </c>
      <c r="D494" s="95">
        <v>737</v>
      </c>
      <c r="E494" s="95">
        <v>1539</v>
      </c>
      <c r="F494" s="95">
        <v>18492942</v>
      </c>
      <c r="G494" s="95">
        <v>22414532</v>
      </c>
      <c r="H494" s="95">
        <v>40907474</v>
      </c>
      <c r="I494" s="91" t="s">
        <v>485</v>
      </c>
      <c r="J494" s="91" t="s">
        <v>90</v>
      </c>
      <c r="K494" s="94">
        <v>574582</v>
      </c>
      <c r="L494" s="91" t="s">
        <v>596</v>
      </c>
      <c r="M494" s="2"/>
      <c r="N494" s="2"/>
      <c r="O494" s="4"/>
    </row>
    <row r="495" spans="1:15" x14ac:dyDescent="0.2">
      <c r="A495" s="91" t="s">
        <v>38</v>
      </c>
      <c r="B495" s="91" t="s">
        <v>39</v>
      </c>
      <c r="C495" s="95">
        <v>4645</v>
      </c>
      <c r="D495" s="95">
        <v>4623</v>
      </c>
      <c r="E495" s="95">
        <v>9268</v>
      </c>
      <c r="F495" s="95">
        <v>114274747</v>
      </c>
      <c r="G495" s="95">
        <v>140417988</v>
      </c>
      <c r="H495" s="95">
        <v>254692735</v>
      </c>
      <c r="I495" s="91" t="s">
        <v>585</v>
      </c>
      <c r="J495" s="91" t="s">
        <v>89</v>
      </c>
      <c r="K495" s="94">
        <v>577304</v>
      </c>
      <c r="L495" s="91" t="s">
        <v>1084</v>
      </c>
      <c r="M495" s="2"/>
      <c r="N495" s="2"/>
      <c r="O495" s="4"/>
    </row>
    <row r="496" spans="1:15" x14ac:dyDescent="0.2">
      <c r="A496" s="91" t="s">
        <v>562</v>
      </c>
      <c r="B496" s="91" t="s">
        <v>563</v>
      </c>
      <c r="C496" s="95">
        <v>456</v>
      </c>
      <c r="D496" s="95">
        <v>480</v>
      </c>
      <c r="E496" s="95">
        <v>936</v>
      </c>
      <c r="F496" s="95">
        <v>15382202</v>
      </c>
      <c r="G496" s="95">
        <v>18804075</v>
      </c>
      <c r="H496" s="95">
        <v>34186277</v>
      </c>
      <c r="I496" s="91" t="s">
        <v>585</v>
      </c>
      <c r="J496" s="91" t="s">
        <v>89</v>
      </c>
      <c r="K496" s="94">
        <v>577833</v>
      </c>
      <c r="L496" s="91" t="s">
        <v>528</v>
      </c>
      <c r="M496" s="2"/>
      <c r="N496" s="2"/>
      <c r="O496" s="4"/>
    </row>
    <row r="497" spans="1:15" x14ac:dyDescent="0.2">
      <c r="A497" s="91" t="s">
        <v>412</v>
      </c>
      <c r="B497" s="91" t="s">
        <v>463</v>
      </c>
      <c r="C497" s="95">
        <v>13122</v>
      </c>
      <c r="D497" s="95">
        <v>10433</v>
      </c>
      <c r="E497" s="95">
        <v>23555</v>
      </c>
      <c r="F497" s="95">
        <v>368514241</v>
      </c>
      <c r="G497" s="95">
        <v>358268351</v>
      </c>
      <c r="H497" s="95">
        <v>726782592</v>
      </c>
      <c r="I497" s="91" t="s">
        <v>585</v>
      </c>
      <c r="J497" s="91" t="s">
        <v>90</v>
      </c>
      <c r="K497" s="94">
        <v>578542</v>
      </c>
      <c r="L497" s="91" t="s">
        <v>133</v>
      </c>
      <c r="M497" s="2"/>
      <c r="N497" s="2"/>
      <c r="O497" s="4"/>
    </row>
    <row r="498" spans="1:15" x14ac:dyDescent="0.2">
      <c r="A498" s="91" t="s">
        <v>202</v>
      </c>
      <c r="B498" s="91" t="s">
        <v>954</v>
      </c>
      <c r="C498" s="95">
        <v>2357</v>
      </c>
      <c r="D498" s="95">
        <v>2678</v>
      </c>
      <c r="E498" s="95">
        <v>5035</v>
      </c>
      <c r="F498" s="95">
        <v>76903023</v>
      </c>
      <c r="G498" s="95">
        <v>106329030</v>
      </c>
      <c r="H498" s="95">
        <v>183232052</v>
      </c>
      <c r="I498" s="91" t="s">
        <v>485</v>
      </c>
      <c r="J498" s="91" t="s">
        <v>89</v>
      </c>
      <c r="K498" s="94">
        <v>579136</v>
      </c>
      <c r="L498" s="91" t="s">
        <v>61</v>
      </c>
      <c r="M498" s="2"/>
      <c r="N498" s="2"/>
      <c r="O498" s="4"/>
    </row>
    <row r="499" spans="1:15" x14ac:dyDescent="0.2">
      <c r="A499" s="91" t="s">
        <v>275</v>
      </c>
      <c r="B499" s="91" t="s">
        <v>1033</v>
      </c>
      <c r="C499" s="95">
        <v>11</v>
      </c>
      <c r="D499" s="95">
        <v>48</v>
      </c>
      <c r="E499" s="95">
        <v>59</v>
      </c>
      <c r="F499" s="95">
        <v>273006</v>
      </c>
      <c r="G499" s="95">
        <v>1533179</v>
      </c>
      <c r="H499" s="95">
        <v>1806185</v>
      </c>
      <c r="I499" s="91" t="s">
        <v>585</v>
      </c>
      <c r="J499" s="91" t="s">
        <v>89</v>
      </c>
      <c r="K499" s="94">
        <v>579425</v>
      </c>
      <c r="L499" s="91" t="s">
        <v>518</v>
      </c>
      <c r="M499" s="2"/>
      <c r="N499" s="2"/>
      <c r="O499" s="4"/>
    </row>
    <row r="500" spans="1:15" x14ac:dyDescent="0.2">
      <c r="A500" s="91" t="s">
        <v>59</v>
      </c>
      <c r="B500" s="91" t="s">
        <v>193</v>
      </c>
      <c r="C500" s="95">
        <v>15</v>
      </c>
      <c r="D500" s="95">
        <v>19</v>
      </c>
      <c r="E500" s="95">
        <v>34</v>
      </c>
      <c r="F500" s="95">
        <v>474050</v>
      </c>
      <c r="G500" s="95">
        <v>534677</v>
      </c>
      <c r="H500" s="95">
        <v>1008728</v>
      </c>
      <c r="I500" s="91" t="s">
        <v>485</v>
      </c>
      <c r="J500" s="91" t="s">
        <v>89</v>
      </c>
      <c r="K500" s="94">
        <v>579722</v>
      </c>
      <c r="L500" s="91" t="s">
        <v>588</v>
      </c>
      <c r="M500" s="2"/>
      <c r="N500" s="2"/>
      <c r="O500" s="4"/>
    </row>
    <row r="501" spans="1:15" x14ac:dyDescent="0.2">
      <c r="A501" s="91" t="s">
        <v>109</v>
      </c>
      <c r="B501" s="91" t="s">
        <v>567</v>
      </c>
      <c r="C501" s="95">
        <v>11484</v>
      </c>
      <c r="D501" s="95">
        <v>15817</v>
      </c>
      <c r="E501" s="95">
        <v>27301</v>
      </c>
      <c r="F501" s="95">
        <v>720173395</v>
      </c>
      <c r="G501" s="95">
        <v>1088669284</v>
      </c>
      <c r="H501" s="95">
        <v>1808842679</v>
      </c>
      <c r="I501" s="91" t="s">
        <v>585</v>
      </c>
      <c r="J501" s="91" t="s">
        <v>89</v>
      </c>
      <c r="K501" s="94">
        <v>581371</v>
      </c>
      <c r="L501" s="91" t="s">
        <v>615</v>
      </c>
      <c r="M501" s="2"/>
      <c r="N501" s="2"/>
      <c r="O501" s="4"/>
    </row>
    <row r="502" spans="1:15" x14ac:dyDescent="0.2">
      <c r="A502" s="91" t="s">
        <v>170</v>
      </c>
      <c r="B502" s="91" t="s">
        <v>1103</v>
      </c>
      <c r="C502" s="95">
        <v>1681</v>
      </c>
      <c r="D502" s="95">
        <v>2203</v>
      </c>
      <c r="E502" s="95">
        <v>3884</v>
      </c>
      <c r="F502" s="95">
        <v>29415274</v>
      </c>
      <c r="G502" s="95">
        <v>47358438</v>
      </c>
      <c r="H502" s="95">
        <v>76773712</v>
      </c>
      <c r="I502" s="91" t="s">
        <v>585</v>
      </c>
      <c r="J502" s="91" t="s">
        <v>89</v>
      </c>
      <c r="K502" s="94">
        <v>582791</v>
      </c>
      <c r="L502" s="91" t="s">
        <v>524</v>
      </c>
      <c r="M502" s="2"/>
      <c r="N502" s="2"/>
      <c r="O502" s="4"/>
    </row>
    <row r="503" spans="1:15" x14ac:dyDescent="0.2">
      <c r="A503" s="91" t="s">
        <v>559</v>
      </c>
      <c r="B503" s="91" t="s">
        <v>886</v>
      </c>
      <c r="C503" s="95">
        <v>4131</v>
      </c>
      <c r="D503" s="95">
        <v>6047</v>
      </c>
      <c r="E503" s="95">
        <v>10178</v>
      </c>
      <c r="F503" s="95">
        <v>188627564</v>
      </c>
      <c r="G503" s="95">
        <v>322947477</v>
      </c>
      <c r="H503" s="95">
        <v>511575042</v>
      </c>
      <c r="I503" s="91" t="s">
        <v>585</v>
      </c>
      <c r="J503" s="91" t="s">
        <v>89</v>
      </c>
      <c r="K503" s="94">
        <v>584912</v>
      </c>
      <c r="L503" s="91" t="s">
        <v>657</v>
      </c>
      <c r="M503" s="2"/>
      <c r="N503" s="2"/>
      <c r="O503" s="4"/>
    </row>
    <row r="504" spans="1:15" x14ac:dyDescent="0.2">
      <c r="A504" s="91" t="s">
        <v>515</v>
      </c>
      <c r="B504" s="91" t="s">
        <v>302</v>
      </c>
      <c r="C504" s="95">
        <v>730</v>
      </c>
      <c r="D504" s="95">
        <v>679</v>
      </c>
      <c r="E504" s="95">
        <v>1409</v>
      </c>
      <c r="F504" s="95">
        <v>19110964</v>
      </c>
      <c r="G504" s="95">
        <v>24681203</v>
      </c>
      <c r="H504" s="95">
        <v>43792167</v>
      </c>
      <c r="I504" s="91" t="s">
        <v>585</v>
      </c>
      <c r="J504" s="91" t="s">
        <v>89</v>
      </c>
      <c r="K504" s="94">
        <v>584979</v>
      </c>
      <c r="L504" s="91" t="s">
        <v>303</v>
      </c>
      <c r="M504" s="2"/>
      <c r="N504" s="2"/>
      <c r="O504" s="4"/>
    </row>
    <row r="505" spans="1:15" x14ac:dyDescent="0.2">
      <c r="A505" s="91" t="s">
        <v>515</v>
      </c>
      <c r="B505" s="91" t="s">
        <v>796</v>
      </c>
      <c r="C505" s="95">
        <v>10668</v>
      </c>
      <c r="D505" s="95">
        <v>10662</v>
      </c>
      <c r="E505" s="95">
        <v>21330</v>
      </c>
      <c r="F505" s="95">
        <v>413939574</v>
      </c>
      <c r="G505" s="95">
        <v>526801713</v>
      </c>
      <c r="H505" s="95">
        <v>940741288</v>
      </c>
      <c r="I505" s="91" t="s">
        <v>485</v>
      </c>
      <c r="J505" s="91" t="s">
        <v>89</v>
      </c>
      <c r="K505" s="94">
        <v>585216</v>
      </c>
      <c r="L505" s="91" t="s">
        <v>299</v>
      </c>
      <c r="M505" s="2"/>
      <c r="N505" s="2"/>
      <c r="O505" s="4"/>
    </row>
    <row r="506" spans="1:15" x14ac:dyDescent="0.2">
      <c r="A506" s="91" t="s">
        <v>98</v>
      </c>
      <c r="B506" s="91" t="s">
        <v>704</v>
      </c>
      <c r="C506" s="95">
        <v>614</v>
      </c>
      <c r="D506" s="95">
        <v>888</v>
      </c>
      <c r="E506" s="95">
        <v>1502</v>
      </c>
      <c r="F506" s="95">
        <v>17940451</v>
      </c>
      <c r="G506" s="95">
        <v>31435217</v>
      </c>
      <c r="H506" s="95">
        <v>49375667</v>
      </c>
      <c r="I506" s="91" t="s">
        <v>485</v>
      </c>
      <c r="J506" s="91" t="s">
        <v>89</v>
      </c>
      <c r="K506" s="94">
        <v>586982</v>
      </c>
      <c r="L506" s="91" t="s">
        <v>697</v>
      </c>
      <c r="M506" s="2"/>
      <c r="N506" s="2"/>
      <c r="O506" s="4"/>
    </row>
    <row r="507" spans="1:15" x14ac:dyDescent="0.2">
      <c r="A507" s="91" t="s">
        <v>562</v>
      </c>
      <c r="B507" s="91" t="s">
        <v>965</v>
      </c>
      <c r="C507" s="95">
        <v>207</v>
      </c>
      <c r="D507" s="95">
        <v>322</v>
      </c>
      <c r="E507" s="95">
        <v>529</v>
      </c>
      <c r="F507" s="95">
        <v>7070238</v>
      </c>
      <c r="G507" s="95">
        <v>14264554</v>
      </c>
      <c r="H507" s="95">
        <v>21334792</v>
      </c>
      <c r="I507" s="91" t="s">
        <v>585</v>
      </c>
      <c r="J507" s="91" t="s">
        <v>89</v>
      </c>
      <c r="K507" s="94">
        <v>587337</v>
      </c>
      <c r="L507" s="91" t="s">
        <v>1035</v>
      </c>
      <c r="M507" s="2"/>
      <c r="N507" s="2"/>
      <c r="O507" s="4"/>
    </row>
    <row r="508" spans="1:15" x14ac:dyDescent="0.2">
      <c r="A508" s="91" t="s">
        <v>469</v>
      </c>
      <c r="B508" s="91" t="s">
        <v>477</v>
      </c>
      <c r="C508" s="95">
        <v>1130</v>
      </c>
      <c r="D508" s="95">
        <v>1174</v>
      </c>
      <c r="E508" s="95">
        <v>2304</v>
      </c>
      <c r="F508" s="95">
        <v>25208113</v>
      </c>
      <c r="G508" s="95">
        <v>31054936</v>
      </c>
      <c r="H508" s="95">
        <v>56263049</v>
      </c>
      <c r="I508" s="91" t="s">
        <v>485</v>
      </c>
      <c r="J508" s="91" t="s">
        <v>90</v>
      </c>
      <c r="K508" s="94">
        <v>587634</v>
      </c>
      <c r="L508" s="91" t="s">
        <v>46</v>
      </c>
      <c r="M508" s="2"/>
      <c r="N508" s="2"/>
      <c r="O508" s="4"/>
    </row>
    <row r="509" spans="1:15" x14ac:dyDescent="0.2">
      <c r="A509" s="91" t="s">
        <v>277</v>
      </c>
      <c r="B509" s="91" t="s">
        <v>432</v>
      </c>
      <c r="C509" s="95">
        <v>2776</v>
      </c>
      <c r="D509" s="95">
        <v>3711</v>
      </c>
      <c r="E509" s="95">
        <v>6487</v>
      </c>
      <c r="F509" s="95">
        <v>54436130</v>
      </c>
      <c r="G509" s="95">
        <v>94002622</v>
      </c>
      <c r="H509" s="95">
        <v>148438752</v>
      </c>
      <c r="I509" s="91" t="s">
        <v>585</v>
      </c>
      <c r="J509" s="91" t="s">
        <v>89</v>
      </c>
      <c r="K509" s="94">
        <v>588699</v>
      </c>
      <c r="L509" s="91" t="s">
        <v>1084</v>
      </c>
      <c r="M509" s="2"/>
      <c r="N509" s="2"/>
      <c r="O509" s="4"/>
    </row>
    <row r="510" spans="1:15" x14ac:dyDescent="0.2">
      <c r="A510" s="91" t="s">
        <v>157</v>
      </c>
      <c r="B510" s="91" t="s">
        <v>913</v>
      </c>
      <c r="C510" s="95">
        <v>7</v>
      </c>
      <c r="D510" s="95">
        <v>14</v>
      </c>
      <c r="E510" s="95">
        <v>21</v>
      </c>
      <c r="F510" s="95">
        <v>84665</v>
      </c>
      <c r="G510" s="95">
        <v>475699</v>
      </c>
      <c r="H510" s="95">
        <v>560364</v>
      </c>
      <c r="I510" s="91" t="s">
        <v>485</v>
      </c>
      <c r="J510" s="91" t="s">
        <v>89</v>
      </c>
      <c r="K510" s="94">
        <v>589168</v>
      </c>
      <c r="L510" s="91" t="s">
        <v>708</v>
      </c>
      <c r="M510" s="2"/>
      <c r="N510" s="2"/>
      <c r="O510" s="4"/>
    </row>
    <row r="511" spans="1:15" x14ac:dyDescent="0.2">
      <c r="A511" s="91" t="s">
        <v>227</v>
      </c>
      <c r="B511" s="91" t="s">
        <v>576</v>
      </c>
      <c r="C511" s="95">
        <v>587</v>
      </c>
      <c r="D511" s="95">
        <v>452</v>
      </c>
      <c r="E511" s="95">
        <v>1039</v>
      </c>
      <c r="F511" s="95">
        <v>48564421</v>
      </c>
      <c r="G511" s="95">
        <v>45781898</v>
      </c>
      <c r="H511" s="95">
        <v>94346318</v>
      </c>
      <c r="I511" s="91" t="s">
        <v>585</v>
      </c>
      <c r="J511" s="91" t="s">
        <v>91</v>
      </c>
      <c r="K511" s="94">
        <v>590463</v>
      </c>
      <c r="L511" s="91" t="s">
        <v>569</v>
      </c>
      <c r="M511" s="2"/>
      <c r="N511" s="2"/>
      <c r="O511" s="4"/>
    </row>
    <row r="512" spans="1:15" x14ac:dyDescent="0.2">
      <c r="A512" s="91" t="s">
        <v>218</v>
      </c>
      <c r="B512" s="91" t="s">
        <v>668</v>
      </c>
      <c r="C512" s="95">
        <v>533</v>
      </c>
      <c r="D512" s="95">
        <v>485</v>
      </c>
      <c r="E512" s="95">
        <v>1018</v>
      </c>
      <c r="F512" s="95">
        <v>19052638</v>
      </c>
      <c r="G512" s="95">
        <v>22693948</v>
      </c>
      <c r="H512" s="95">
        <v>41746586</v>
      </c>
      <c r="I512" s="91" t="s">
        <v>585</v>
      </c>
      <c r="J512" s="91" t="s">
        <v>91</v>
      </c>
      <c r="K512" s="94">
        <v>592295</v>
      </c>
      <c r="L512" s="91" t="s">
        <v>544</v>
      </c>
      <c r="M512" s="2"/>
      <c r="N512" s="2"/>
      <c r="O512" s="4"/>
    </row>
    <row r="513" spans="1:15" x14ac:dyDescent="0.2">
      <c r="A513" s="91" t="s">
        <v>109</v>
      </c>
      <c r="B513" s="91" t="s">
        <v>906</v>
      </c>
      <c r="C513" s="95">
        <v>15</v>
      </c>
      <c r="D513" s="95">
        <v>18</v>
      </c>
      <c r="E513" s="95">
        <v>33</v>
      </c>
      <c r="F513" s="95">
        <v>394227</v>
      </c>
      <c r="G513" s="95">
        <v>665542</v>
      </c>
      <c r="H513" s="95">
        <v>1059770</v>
      </c>
      <c r="I513" s="91" t="s">
        <v>485</v>
      </c>
      <c r="J513" s="91" t="s">
        <v>89</v>
      </c>
      <c r="K513" s="94">
        <v>594713</v>
      </c>
      <c r="L513" s="91" t="s">
        <v>93</v>
      </c>
      <c r="M513" s="2"/>
      <c r="N513" s="2"/>
      <c r="O513" s="4"/>
    </row>
    <row r="514" spans="1:15" x14ac:dyDescent="0.2">
      <c r="A514" s="91" t="s">
        <v>353</v>
      </c>
      <c r="B514" s="91" t="s">
        <v>1106</v>
      </c>
      <c r="C514" s="95">
        <v>138</v>
      </c>
      <c r="D514" s="95">
        <v>112</v>
      </c>
      <c r="E514" s="95">
        <v>250</v>
      </c>
      <c r="F514" s="95">
        <v>1564682</v>
      </c>
      <c r="G514" s="95">
        <v>1577910</v>
      </c>
      <c r="H514" s="95">
        <v>3142592</v>
      </c>
      <c r="I514" s="91" t="s">
        <v>585</v>
      </c>
      <c r="J514" s="91" t="s">
        <v>92</v>
      </c>
      <c r="K514" s="94">
        <v>596429</v>
      </c>
      <c r="L514" s="91" t="s">
        <v>1084</v>
      </c>
      <c r="M514" s="2"/>
      <c r="N514" s="2"/>
      <c r="O514" s="4"/>
    </row>
    <row r="515" spans="1:15" x14ac:dyDescent="0.2">
      <c r="A515" s="91" t="s">
        <v>580</v>
      </c>
      <c r="B515" s="91" t="s">
        <v>1018</v>
      </c>
      <c r="C515" s="95">
        <v>5509</v>
      </c>
      <c r="D515" s="95">
        <v>5785</v>
      </c>
      <c r="E515" s="95">
        <v>11294</v>
      </c>
      <c r="F515" s="95">
        <v>167704034</v>
      </c>
      <c r="G515" s="95">
        <v>210641269</v>
      </c>
      <c r="H515" s="95">
        <v>378345304</v>
      </c>
      <c r="I515" s="91" t="s">
        <v>485</v>
      </c>
      <c r="J515" s="91" t="s">
        <v>89</v>
      </c>
      <c r="K515" s="94">
        <v>598557</v>
      </c>
      <c r="L515" s="91" t="s">
        <v>1093</v>
      </c>
      <c r="M515" s="2"/>
      <c r="N515" s="2"/>
      <c r="O515" s="4"/>
    </row>
    <row r="516" spans="1:15" x14ac:dyDescent="0.2">
      <c r="A516" s="91" t="s">
        <v>219</v>
      </c>
      <c r="B516" s="91" t="s">
        <v>222</v>
      </c>
      <c r="C516" s="95">
        <v>9155</v>
      </c>
      <c r="D516" s="95">
        <v>7308</v>
      </c>
      <c r="E516" s="95">
        <v>16463</v>
      </c>
      <c r="F516" s="95">
        <v>236753367</v>
      </c>
      <c r="G516" s="95">
        <v>223745306</v>
      </c>
      <c r="H516" s="95">
        <v>460498673</v>
      </c>
      <c r="I516" s="91" t="s">
        <v>585</v>
      </c>
      <c r="J516" s="91" t="s">
        <v>91</v>
      </c>
      <c r="K516" s="94">
        <v>599795</v>
      </c>
      <c r="L516" s="91" t="s">
        <v>1035</v>
      </c>
      <c r="M516" s="2"/>
      <c r="N516" s="2"/>
      <c r="O516" s="4"/>
    </row>
    <row r="517" spans="1:15" x14ac:dyDescent="0.2">
      <c r="A517" s="91" t="s">
        <v>98</v>
      </c>
      <c r="B517" s="91" t="s">
        <v>318</v>
      </c>
      <c r="C517" s="95">
        <v>376</v>
      </c>
      <c r="D517" s="95">
        <v>511</v>
      </c>
      <c r="E517" s="95">
        <v>887</v>
      </c>
      <c r="F517" s="95">
        <v>9194972</v>
      </c>
      <c r="G517" s="95">
        <v>15220331</v>
      </c>
      <c r="H517" s="95">
        <v>24415303</v>
      </c>
      <c r="I517" s="91" t="s">
        <v>585</v>
      </c>
      <c r="J517" s="91" t="s">
        <v>89</v>
      </c>
      <c r="K517" s="94">
        <v>602094</v>
      </c>
      <c r="L517" s="91" t="s">
        <v>27</v>
      </c>
      <c r="M517" s="2"/>
      <c r="N517" s="2"/>
      <c r="O517" s="4"/>
    </row>
    <row r="518" spans="1:15" x14ac:dyDescent="0.2">
      <c r="A518" s="91" t="s">
        <v>170</v>
      </c>
      <c r="B518" s="91" t="s">
        <v>553</v>
      </c>
      <c r="C518" s="95">
        <v>365</v>
      </c>
      <c r="D518" s="95">
        <v>354</v>
      </c>
      <c r="E518" s="95">
        <v>719</v>
      </c>
      <c r="F518" s="95">
        <v>6108199</v>
      </c>
      <c r="G518" s="95">
        <v>8857022</v>
      </c>
      <c r="H518" s="95">
        <v>14965221</v>
      </c>
      <c r="I518" s="91" t="s">
        <v>485</v>
      </c>
      <c r="J518" s="91" t="s">
        <v>89</v>
      </c>
      <c r="K518" s="94">
        <v>603985</v>
      </c>
      <c r="L518" s="91" t="s">
        <v>625</v>
      </c>
      <c r="M518" s="2"/>
      <c r="N518" s="2"/>
      <c r="O518" s="4"/>
    </row>
    <row r="519" spans="1:15" x14ac:dyDescent="0.2">
      <c r="A519" s="91" t="s">
        <v>515</v>
      </c>
      <c r="B519" s="91" t="s">
        <v>1085</v>
      </c>
      <c r="C519" s="95">
        <v>1913</v>
      </c>
      <c r="D519" s="95">
        <v>1773</v>
      </c>
      <c r="E519" s="95">
        <v>3686</v>
      </c>
      <c r="F519" s="95">
        <v>42485692</v>
      </c>
      <c r="G519" s="95">
        <v>47403887</v>
      </c>
      <c r="H519" s="95">
        <v>89889580</v>
      </c>
      <c r="I519" s="91" t="s">
        <v>585</v>
      </c>
      <c r="J519" s="91" t="s">
        <v>89</v>
      </c>
      <c r="K519" s="94">
        <v>605634</v>
      </c>
      <c r="L519" s="91" t="s">
        <v>685</v>
      </c>
      <c r="M519" s="2"/>
      <c r="N519" s="2"/>
      <c r="O519" s="4"/>
    </row>
    <row r="520" spans="1:15" x14ac:dyDescent="0.2">
      <c r="A520" s="91" t="s">
        <v>478</v>
      </c>
      <c r="B520" s="91" t="s">
        <v>936</v>
      </c>
      <c r="C520" s="95">
        <v>604</v>
      </c>
      <c r="D520" s="95">
        <v>554</v>
      </c>
      <c r="E520" s="95">
        <v>1158</v>
      </c>
      <c r="F520" s="95">
        <v>10699501</v>
      </c>
      <c r="G520" s="95">
        <v>12439653</v>
      </c>
      <c r="H520" s="95">
        <v>23139154</v>
      </c>
      <c r="I520" s="91" t="s">
        <v>485</v>
      </c>
      <c r="J520" s="91" t="s">
        <v>90</v>
      </c>
      <c r="K520" s="94">
        <v>606160</v>
      </c>
      <c r="L520" s="91" t="s">
        <v>336</v>
      </c>
      <c r="M520" s="2"/>
      <c r="N520" s="2"/>
      <c r="O520" s="4"/>
    </row>
    <row r="521" spans="1:15" x14ac:dyDescent="0.2">
      <c r="A521" s="91" t="s">
        <v>170</v>
      </c>
      <c r="B521" s="91" t="s">
        <v>179</v>
      </c>
      <c r="C521" s="95">
        <v>462</v>
      </c>
      <c r="D521" s="95">
        <v>445</v>
      </c>
      <c r="E521" s="95">
        <v>907</v>
      </c>
      <c r="F521" s="95">
        <v>8286802</v>
      </c>
      <c r="G521" s="95">
        <v>10004859</v>
      </c>
      <c r="H521" s="95">
        <v>18291661</v>
      </c>
      <c r="I521" s="91" t="s">
        <v>585</v>
      </c>
      <c r="J521" s="91" t="s">
        <v>89</v>
      </c>
      <c r="K521" s="94">
        <v>606467</v>
      </c>
      <c r="L521" s="91" t="s">
        <v>528</v>
      </c>
      <c r="M521" s="2"/>
      <c r="N521" s="2"/>
      <c r="O521" s="4"/>
    </row>
    <row r="522" spans="1:15" x14ac:dyDescent="0.2">
      <c r="A522" s="91" t="s">
        <v>559</v>
      </c>
      <c r="B522" s="91" t="s">
        <v>1030</v>
      </c>
      <c r="C522" s="95">
        <v>5</v>
      </c>
      <c r="D522" s="95">
        <v>9</v>
      </c>
      <c r="E522" s="95">
        <v>14</v>
      </c>
      <c r="F522" s="95">
        <v>113049</v>
      </c>
      <c r="G522" s="95">
        <v>252844</v>
      </c>
      <c r="H522" s="95">
        <v>365893</v>
      </c>
      <c r="I522" s="91" t="s">
        <v>585</v>
      </c>
      <c r="J522" s="91" t="s">
        <v>89</v>
      </c>
      <c r="K522" s="94">
        <v>609297</v>
      </c>
      <c r="L522" s="91" t="s">
        <v>917</v>
      </c>
      <c r="M522" s="2"/>
      <c r="N522" s="2"/>
      <c r="O522" s="4"/>
    </row>
    <row r="523" spans="1:15" x14ac:dyDescent="0.2">
      <c r="A523" s="91" t="s">
        <v>219</v>
      </c>
      <c r="B523" s="91" t="s">
        <v>637</v>
      </c>
      <c r="C523" s="95">
        <v>66326</v>
      </c>
      <c r="D523" s="95">
        <v>60267</v>
      </c>
      <c r="E523" s="95">
        <v>126593</v>
      </c>
      <c r="F523" s="95">
        <v>3207788514</v>
      </c>
      <c r="G523" s="95">
        <v>3626019382</v>
      </c>
      <c r="H523" s="95">
        <v>6833807895</v>
      </c>
      <c r="I523" s="91" t="s">
        <v>585</v>
      </c>
      <c r="J523" s="91" t="s">
        <v>91</v>
      </c>
      <c r="K523" s="94">
        <v>610121</v>
      </c>
      <c r="L523" s="91" t="s">
        <v>633</v>
      </c>
      <c r="M523" s="2"/>
      <c r="N523" s="2"/>
      <c r="O523" s="4"/>
    </row>
    <row r="524" spans="1:15" x14ac:dyDescent="0.2">
      <c r="A524" s="91" t="s">
        <v>562</v>
      </c>
      <c r="B524" s="91" t="s">
        <v>937</v>
      </c>
      <c r="C524" s="95">
        <v>9584</v>
      </c>
      <c r="D524" s="95">
        <v>11007</v>
      </c>
      <c r="E524" s="95">
        <v>20591</v>
      </c>
      <c r="F524" s="95">
        <v>387180874</v>
      </c>
      <c r="G524" s="95">
        <v>541470582</v>
      </c>
      <c r="H524" s="95">
        <v>928651456</v>
      </c>
      <c r="I524" s="91" t="s">
        <v>485</v>
      </c>
      <c r="J524" s="91" t="s">
        <v>89</v>
      </c>
      <c r="K524" s="94">
        <v>610410</v>
      </c>
      <c r="L524" s="91" t="s">
        <v>596</v>
      </c>
      <c r="M524" s="2"/>
      <c r="N524" s="2"/>
      <c r="O524" s="4"/>
    </row>
    <row r="525" spans="1:15" x14ac:dyDescent="0.2">
      <c r="A525" s="91" t="s">
        <v>580</v>
      </c>
      <c r="B525" s="91" t="s">
        <v>782</v>
      </c>
      <c r="C525" s="95">
        <v>36</v>
      </c>
      <c r="D525" s="95">
        <v>57</v>
      </c>
      <c r="E525" s="95">
        <v>93</v>
      </c>
      <c r="F525" s="95">
        <v>1257693</v>
      </c>
      <c r="G525" s="95">
        <v>3237495</v>
      </c>
      <c r="H525" s="95">
        <v>4495187</v>
      </c>
      <c r="I525" s="91" t="s">
        <v>585</v>
      </c>
      <c r="J525" s="91" t="s">
        <v>89</v>
      </c>
      <c r="K525" s="94">
        <v>611657</v>
      </c>
      <c r="L525" s="91" t="s">
        <v>524</v>
      </c>
      <c r="M525" s="2"/>
      <c r="N525" s="2"/>
      <c r="O525" s="4"/>
    </row>
    <row r="526" spans="1:15" x14ac:dyDescent="0.2">
      <c r="A526" s="91" t="s">
        <v>368</v>
      </c>
      <c r="B526" s="91" t="s">
        <v>371</v>
      </c>
      <c r="C526" s="95">
        <v>4028</v>
      </c>
      <c r="D526" s="95">
        <v>3198</v>
      </c>
      <c r="E526" s="95">
        <v>7226</v>
      </c>
      <c r="F526" s="95">
        <v>167023928</v>
      </c>
      <c r="G526" s="95">
        <v>154623957</v>
      </c>
      <c r="H526" s="95">
        <v>321647884</v>
      </c>
      <c r="I526" s="91" t="s">
        <v>585</v>
      </c>
      <c r="J526" s="91" t="s">
        <v>90</v>
      </c>
      <c r="K526" s="94">
        <v>613133</v>
      </c>
      <c r="L526" s="91" t="s">
        <v>1084</v>
      </c>
      <c r="M526" s="2"/>
      <c r="N526" s="2"/>
      <c r="O526" s="4"/>
    </row>
    <row r="527" spans="1:15" x14ac:dyDescent="0.2">
      <c r="A527" s="91" t="s">
        <v>109</v>
      </c>
      <c r="B527" s="91" t="s">
        <v>7</v>
      </c>
      <c r="C527" s="95">
        <v>181</v>
      </c>
      <c r="D527" s="95">
        <v>174</v>
      </c>
      <c r="E527" s="95">
        <v>355</v>
      </c>
      <c r="F527" s="95">
        <v>6702520</v>
      </c>
      <c r="G527" s="95">
        <v>7017857</v>
      </c>
      <c r="H527" s="95">
        <v>13720377</v>
      </c>
      <c r="I527" s="91" t="s">
        <v>585</v>
      </c>
      <c r="J527" s="91" t="s">
        <v>89</v>
      </c>
      <c r="K527" s="94">
        <v>613729</v>
      </c>
      <c r="L527" s="91" t="s">
        <v>323</v>
      </c>
      <c r="M527" s="2"/>
      <c r="N527" s="2"/>
      <c r="O527" s="4"/>
    </row>
    <row r="528" spans="1:15" x14ac:dyDescent="0.2">
      <c r="A528" s="91" t="s">
        <v>368</v>
      </c>
      <c r="B528" s="91" t="s">
        <v>373</v>
      </c>
      <c r="C528" s="95">
        <v>13985</v>
      </c>
      <c r="D528" s="95">
        <v>11091</v>
      </c>
      <c r="E528" s="95">
        <v>25076</v>
      </c>
      <c r="F528" s="95">
        <v>414442774</v>
      </c>
      <c r="G528" s="95">
        <v>409826996</v>
      </c>
      <c r="H528" s="95">
        <v>824269771</v>
      </c>
      <c r="I528" s="91" t="s">
        <v>585</v>
      </c>
      <c r="J528" s="91" t="s">
        <v>90</v>
      </c>
      <c r="K528" s="94">
        <v>614370</v>
      </c>
      <c r="L528" s="91" t="s">
        <v>133</v>
      </c>
      <c r="M528" s="2"/>
      <c r="N528" s="2"/>
      <c r="O528" s="4"/>
    </row>
    <row r="529" spans="1:15" x14ac:dyDescent="0.2">
      <c r="A529" s="91" t="s">
        <v>197</v>
      </c>
      <c r="B529" s="91" t="s">
        <v>953</v>
      </c>
      <c r="C529" s="95">
        <v>2827</v>
      </c>
      <c r="D529" s="95">
        <v>4601</v>
      </c>
      <c r="E529" s="95">
        <v>7428</v>
      </c>
      <c r="F529" s="95">
        <v>71301289</v>
      </c>
      <c r="G529" s="95">
        <v>139936354</v>
      </c>
      <c r="H529" s="95">
        <v>211237643</v>
      </c>
      <c r="I529" s="91" t="s">
        <v>485</v>
      </c>
      <c r="J529" s="91" t="s">
        <v>89</v>
      </c>
      <c r="K529" s="94">
        <v>614966</v>
      </c>
      <c r="L529" s="91" t="s">
        <v>61</v>
      </c>
      <c r="M529" s="2"/>
      <c r="N529" s="2"/>
      <c r="O529" s="4"/>
    </row>
    <row r="530" spans="1:15" x14ac:dyDescent="0.2">
      <c r="A530" s="91" t="s">
        <v>227</v>
      </c>
      <c r="B530" s="91" t="s">
        <v>741</v>
      </c>
      <c r="C530" s="95">
        <v>2883</v>
      </c>
      <c r="D530" s="95">
        <v>2826</v>
      </c>
      <c r="E530" s="95">
        <v>5709</v>
      </c>
      <c r="F530" s="95">
        <v>329845102</v>
      </c>
      <c r="G530" s="95">
        <v>375027121</v>
      </c>
      <c r="H530" s="95">
        <v>704872222</v>
      </c>
      <c r="I530" s="91" t="s">
        <v>585</v>
      </c>
      <c r="J530" s="91" t="s">
        <v>91</v>
      </c>
      <c r="K530" s="94">
        <v>615310</v>
      </c>
      <c r="L530" s="91" t="s">
        <v>740</v>
      </c>
      <c r="M530" s="2"/>
      <c r="N530" s="2"/>
      <c r="O530" s="4"/>
    </row>
    <row r="531" spans="1:15" x14ac:dyDescent="0.2">
      <c r="A531" s="91" t="s">
        <v>72</v>
      </c>
      <c r="B531" s="91" t="s">
        <v>83</v>
      </c>
      <c r="C531" s="95">
        <v>255</v>
      </c>
      <c r="D531" s="95">
        <v>289</v>
      </c>
      <c r="E531" s="95">
        <v>544</v>
      </c>
      <c r="F531" s="95">
        <v>8307910</v>
      </c>
      <c r="G531" s="95">
        <v>11586092</v>
      </c>
      <c r="H531" s="95">
        <v>19894002</v>
      </c>
      <c r="I531" s="91" t="s">
        <v>485</v>
      </c>
      <c r="J531" s="91" t="s">
        <v>89</v>
      </c>
      <c r="K531" s="94">
        <v>616797</v>
      </c>
      <c r="L531" s="91" t="s">
        <v>590</v>
      </c>
      <c r="M531" s="2"/>
      <c r="N531" s="2"/>
      <c r="O531" s="4"/>
    </row>
    <row r="532" spans="1:15" x14ac:dyDescent="0.2">
      <c r="A532" s="91" t="s">
        <v>412</v>
      </c>
      <c r="B532" s="91" t="s">
        <v>635</v>
      </c>
      <c r="C532" s="95">
        <v>158</v>
      </c>
      <c r="D532" s="95">
        <v>238</v>
      </c>
      <c r="E532" s="95">
        <v>396</v>
      </c>
      <c r="F532" s="95">
        <v>5170120</v>
      </c>
      <c r="G532" s="95">
        <v>10382161</v>
      </c>
      <c r="H532" s="95">
        <v>15552281</v>
      </c>
      <c r="I532" s="91" t="s">
        <v>585</v>
      </c>
      <c r="J532" s="91" t="s">
        <v>90</v>
      </c>
      <c r="K532" s="94">
        <v>617209</v>
      </c>
      <c r="L532" s="91" t="s">
        <v>528</v>
      </c>
      <c r="M532" s="2"/>
      <c r="N532" s="2"/>
      <c r="O532" s="4"/>
    </row>
    <row r="533" spans="1:15" x14ac:dyDescent="0.2">
      <c r="A533" s="91" t="s">
        <v>98</v>
      </c>
      <c r="B533" s="91" t="s">
        <v>942</v>
      </c>
      <c r="C533" s="95">
        <v>4215</v>
      </c>
      <c r="D533" s="95">
        <v>5995</v>
      </c>
      <c r="E533" s="95">
        <v>10210</v>
      </c>
      <c r="F533" s="95">
        <v>102262490</v>
      </c>
      <c r="G533" s="95">
        <v>177292321</v>
      </c>
      <c r="H533" s="95">
        <v>279554812</v>
      </c>
      <c r="I533" s="91" t="s">
        <v>585</v>
      </c>
      <c r="J533" s="91" t="s">
        <v>89</v>
      </c>
      <c r="K533" s="94">
        <v>618629</v>
      </c>
      <c r="L533" s="91" t="s">
        <v>524</v>
      </c>
      <c r="M533" s="2"/>
      <c r="N533" s="2"/>
      <c r="O533" s="4"/>
    </row>
    <row r="534" spans="1:15" x14ac:dyDescent="0.2">
      <c r="A534" s="91" t="s">
        <v>275</v>
      </c>
      <c r="B534" s="91" t="s">
        <v>304</v>
      </c>
      <c r="C534" s="95">
        <v>674</v>
      </c>
      <c r="D534" s="95">
        <v>702</v>
      </c>
      <c r="E534" s="95">
        <v>1376</v>
      </c>
      <c r="F534" s="95">
        <v>9773958</v>
      </c>
      <c r="G534" s="95">
        <v>15888672</v>
      </c>
      <c r="H534" s="95">
        <v>25662630</v>
      </c>
      <c r="I534" s="91" t="s">
        <v>585</v>
      </c>
      <c r="J534" s="91" t="s">
        <v>89</v>
      </c>
      <c r="K534" s="94">
        <v>620807</v>
      </c>
      <c r="L534" s="91" t="s">
        <v>303</v>
      </c>
      <c r="M534" s="2"/>
      <c r="N534" s="2"/>
      <c r="O534" s="4"/>
    </row>
    <row r="535" spans="1:15" x14ac:dyDescent="0.2">
      <c r="A535" s="91" t="s">
        <v>469</v>
      </c>
      <c r="B535" s="91" t="s">
        <v>792</v>
      </c>
      <c r="C535" s="95">
        <v>222</v>
      </c>
      <c r="D535" s="95">
        <v>166</v>
      </c>
      <c r="E535" s="95">
        <v>388</v>
      </c>
      <c r="F535" s="95">
        <v>4648564</v>
      </c>
      <c r="G535" s="95">
        <v>4915053</v>
      </c>
      <c r="H535" s="95">
        <v>9563618</v>
      </c>
      <c r="I535" s="91" t="s">
        <v>485</v>
      </c>
      <c r="J535" s="91" t="s">
        <v>90</v>
      </c>
      <c r="K535" s="94">
        <v>621631</v>
      </c>
      <c r="L535" s="91" t="s">
        <v>596</v>
      </c>
      <c r="M535" s="2"/>
      <c r="N535" s="2"/>
      <c r="O535" s="4"/>
    </row>
    <row r="536" spans="1:15" x14ac:dyDescent="0.2">
      <c r="A536" s="91" t="s">
        <v>412</v>
      </c>
      <c r="B536" s="91" t="s">
        <v>961</v>
      </c>
      <c r="C536" s="95">
        <v>33</v>
      </c>
      <c r="D536" s="95">
        <v>36</v>
      </c>
      <c r="E536" s="95">
        <v>69</v>
      </c>
      <c r="F536" s="95">
        <v>1262492</v>
      </c>
      <c r="G536" s="95">
        <v>2697249</v>
      </c>
      <c r="H536" s="95">
        <v>3959741</v>
      </c>
      <c r="I536" s="91" t="s">
        <v>585</v>
      </c>
      <c r="J536" s="91" t="s">
        <v>90</v>
      </c>
      <c r="K536" s="94">
        <v>623165</v>
      </c>
      <c r="L536" s="91" t="s">
        <v>1035</v>
      </c>
      <c r="M536" s="2"/>
      <c r="N536" s="2"/>
      <c r="O536" s="4"/>
    </row>
    <row r="537" spans="1:15" x14ac:dyDescent="0.2">
      <c r="A537" s="91" t="s">
        <v>412</v>
      </c>
      <c r="B537" s="91" t="s">
        <v>907</v>
      </c>
      <c r="C537" s="95">
        <v>32</v>
      </c>
      <c r="D537" s="95">
        <v>36</v>
      </c>
      <c r="E537" s="95">
        <v>68</v>
      </c>
      <c r="F537" s="95">
        <v>934325</v>
      </c>
      <c r="G537" s="95">
        <v>997059</v>
      </c>
      <c r="H537" s="95">
        <v>1931385</v>
      </c>
      <c r="I537" s="91" t="s">
        <v>585</v>
      </c>
      <c r="J537" s="91" t="s">
        <v>90</v>
      </c>
      <c r="K537" s="94">
        <v>624999</v>
      </c>
      <c r="L537" s="91" t="s">
        <v>871</v>
      </c>
      <c r="M537" s="2"/>
      <c r="N537" s="2"/>
      <c r="O537" s="4"/>
    </row>
    <row r="538" spans="1:15" x14ac:dyDescent="0.2">
      <c r="A538" s="91" t="s">
        <v>278</v>
      </c>
      <c r="B538" s="91" t="s">
        <v>337</v>
      </c>
      <c r="C538" s="95">
        <v>642</v>
      </c>
      <c r="D538" s="95">
        <v>1085</v>
      </c>
      <c r="E538" s="95">
        <v>1727</v>
      </c>
      <c r="F538" s="95">
        <v>18521085</v>
      </c>
      <c r="G538" s="95">
        <v>44477805</v>
      </c>
      <c r="H538" s="95">
        <v>62998889</v>
      </c>
      <c r="I538" s="91" t="s">
        <v>485</v>
      </c>
      <c r="J538" s="91" t="s">
        <v>89</v>
      </c>
      <c r="K538" s="94">
        <v>625236</v>
      </c>
      <c r="L538" s="91" t="s">
        <v>591</v>
      </c>
      <c r="M538" s="2"/>
      <c r="N538" s="2"/>
      <c r="O538" s="4"/>
    </row>
    <row r="539" spans="1:15" x14ac:dyDescent="0.2">
      <c r="A539" s="91" t="s">
        <v>218</v>
      </c>
      <c r="B539" s="91" t="s">
        <v>404</v>
      </c>
      <c r="C539" s="95">
        <v>1051</v>
      </c>
      <c r="D539" s="95">
        <v>1048</v>
      </c>
      <c r="E539" s="95">
        <v>2099</v>
      </c>
      <c r="F539" s="95">
        <v>71606192</v>
      </c>
      <c r="G539" s="95">
        <v>84632722</v>
      </c>
      <c r="H539" s="95">
        <v>156238915</v>
      </c>
      <c r="I539" s="91" t="s">
        <v>585</v>
      </c>
      <c r="J539" s="91" t="s">
        <v>91</v>
      </c>
      <c r="K539" s="94">
        <v>626291</v>
      </c>
      <c r="L539" s="91" t="s">
        <v>569</v>
      </c>
      <c r="M539" s="2"/>
      <c r="N539" s="2"/>
      <c r="O539" s="4"/>
    </row>
    <row r="540" spans="1:15" x14ac:dyDescent="0.2">
      <c r="A540" s="91" t="s">
        <v>72</v>
      </c>
      <c r="B540" s="91" t="s">
        <v>184</v>
      </c>
      <c r="C540" s="95">
        <v>544</v>
      </c>
      <c r="D540" s="95">
        <v>782</v>
      </c>
      <c r="E540" s="95">
        <v>1326</v>
      </c>
      <c r="F540" s="95">
        <v>18529978</v>
      </c>
      <c r="G540" s="95">
        <v>33290317</v>
      </c>
      <c r="H540" s="95">
        <v>51820295</v>
      </c>
      <c r="I540" s="91" t="s">
        <v>485</v>
      </c>
      <c r="J540" s="91" t="s">
        <v>89</v>
      </c>
      <c r="K540" s="94">
        <v>626945</v>
      </c>
      <c r="L540" s="91" t="s">
        <v>61</v>
      </c>
      <c r="M540" s="2"/>
      <c r="N540" s="2"/>
      <c r="O540" s="4"/>
    </row>
    <row r="541" spans="1:15" x14ac:dyDescent="0.2">
      <c r="A541" s="91" t="s">
        <v>67</v>
      </c>
      <c r="B541" s="91" t="s">
        <v>269</v>
      </c>
      <c r="C541" s="95">
        <v>10769</v>
      </c>
      <c r="D541" s="95">
        <v>11158</v>
      </c>
      <c r="E541" s="95">
        <v>21927</v>
      </c>
      <c r="F541" s="95">
        <v>298362136</v>
      </c>
      <c r="G541" s="95">
        <v>377613051</v>
      </c>
      <c r="H541" s="95">
        <v>675975187</v>
      </c>
      <c r="I541" s="91" t="s">
        <v>585</v>
      </c>
      <c r="J541" s="91" t="s">
        <v>89</v>
      </c>
      <c r="K541" s="94">
        <v>629543</v>
      </c>
      <c r="L541" s="91" t="s">
        <v>521</v>
      </c>
      <c r="M541" s="2"/>
      <c r="N541" s="2"/>
      <c r="O541" s="4"/>
    </row>
    <row r="542" spans="1:15" x14ac:dyDescent="0.2">
      <c r="A542" s="91" t="s">
        <v>180</v>
      </c>
      <c r="B542" s="91" t="s">
        <v>1017</v>
      </c>
      <c r="C542" s="95">
        <v>2208</v>
      </c>
      <c r="D542" s="95">
        <v>2259</v>
      </c>
      <c r="E542" s="95">
        <v>4467</v>
      </c>
      <c r="F542" s="95">
        <v>74633098</v>
      </c>
      <c r="G542" s="95">
        <v>86882511</v>
      </c>
      <c r="H542" s="95">
        <v>161515609</v>
      </c>
      <c r="I542" s="91" t="s">
        <v>485</v>
      </c>
      <c r="J542" s="91" t="s">
        <v>89</v>
      </c>
      <c r="K542" s="94">
        <v>634386</v>
      </c>
      <c r="L542" s="91" t="s">
        <v>1093</v>
      </c>
      <c r="M542" s="2"/>
      <c r="N542" s="2"/>
      <c r="O542" s="4"/>
    </row>
    <row r="543" spans="1:15" x14ac:dyDescent="0.2">
      <c r="A543" s="91" t="s">
        <v>353</v>
      </c>
      <c r="B543" s="91" t="s">
        <v>363</v>
      </c>
      <c r="C543" s="95">
        <v>6238</v>
      </c>
      <c r="D543" s="95">
        <v>5141</v>
      </c>
      <c r="E543" s="95">
        <v>11379</v>
      </c>
      <c r="F543" s="95">
        <v>366061454</v>
      </c>
      <c r="G543" s="95">
        <v>378464058</v>
      </c>
      <c r="H543" s="95">
        <v>744525513</v>
      </c>
      <c r="I543" s="91" t="s">
        <v>585</v>
      </c>
      <c r="J543" s="91" t="s">
        <v>92</v>
      </c>
      <c r="K543" s="94">
        <v>635623</v>
      </c>
      <c r="L543" s="91" t="s">
        <v>1035</v>
      </c>
      <c r="M543" s="2"/>
      <c r="N543" s="2"/>
      <c r="O543" s="4"/>
    </row>
    <row r="544" spans="1:15" x14ac:dyDescent="0.2">
      <c r="A544" s="91" t="s">
        <v>227</v>
      </c>
      <c r="B544" s="91" t="s">
        <v>1125</v>
      </c>
      <c r="C544" s="95">
        <v>48</v>
      </c>
      <c r="D544" s="95">
        <v>102</v>
      </c>
      <c r="E544" s="95">
        <v>150</v>
      </c>
      <c r="F544" s="95">
        <v>4504768</v>
      </c>
      <c r="G544" s="95">
        <v>11072688</v>
      </c>
      <c r="H544" s="95">
        <v>15577457</v>
      </c>
      <c r="I544" s="91" t="s">
        <v>485</v>
      </c>
      <c r="J544" s="91" t="s">
        <v>91</v>
      </c>
      <c r="K544" s="94">
        <v>636506</v>
      </c>
      <c r="L544" s="91" t="s">
        <v>1123</v>
      </c>
      <c r="M544" s="2"/>
      <c r="N544" s="2"/>
      <c r="O544" s="4"/>
    </row>
    <row r="545" spans="1:15" x14ac:dyDescent="0.2">
      <c r="A545" s="91" t="s">
        <v>227</v>
      </c>
      <c r="B545" s="91" t="s">
        <v>286</v>
      </c>
      <c r="C545" s="95">
        <v>1513</v>
      </c>
      <c r="D545" s="95">
        <v>1350</v>
      </c>
      <c r="E545" s="95">
        <v>2863</v>
      </c>
      <c r="F545" s="95">
        <v>39368230</v>
      </c>
      <c r="G545" s="95">
        <v>45365231</v>
      </c>
      <c r="H545" s="95">
        <v>84733461</v>
      </c>
      <c r="I545" s="91" t="s">
        <v>485</v>
      </c>
      <c r="J545" s="91" t="s">
        <v>91</v>
      </c>
      <c r="K545" s="94">
        <v>639633</v>
      </c>
      <c r="L545" s="91" t="s">
        <v>618</v>
      </c>
      <c r="M545" s="2"/>
      <c r="N545" s="2"/>
      <c r="O545" s="4"/>
    </row>
    <row r="546" spans="1:15" x14ac:dyDescent="0.2">
      <c r="A546" s="91" t="s">
        <v>98</v>
      </c>
      <c r="B546" s="91" t="s">
        <v>970</v>
      </c>
      <c r="C546" s="95">
        <v>9</v>
      </c>
      <c r="D546" s="95">
        <v>25</v>
      </c>
      <c r="E546" s="95">
        <v>34</v>
      </c>
      <c r="F546" s="95">
        <v>312984</v>
      </c>
      <c r="G546" s="95">
        <v>1083799</v>
      </c>
      <c r="H546" s="95">
        <v>1396784</v>
      </c>
      <c r="I546" s="91" t="s">
        <v>585</v>
      </c>
      <c r="J546" s="91" t="s">
        <v>89</v>
      </c>
      <c r="K546" s="94">
        <v>640169</v>
      </c>
      <c r="L546" s="91" t="s">
        <v>717</v>
      </c>
      <c r="M546" s="2"/>
      <c r="N546" s="2"/>
      <c r="O546" s="4"/>
    </row>
    <row r="547" spans="1:15" x14ac:dyDescent="0.2">
      <c r="A547" s="91" t="s">
        <v>565</v>
      </c>
      <c r="B547" s="91" t="s">
        <v>1002</v>
      </c>
      <c r="C547" s="95">
        <v>12929</v>
      </c>
      <c r="D547" s="95">
        <v>10227</v>
      </c>
      <c r="E547" s="95">
        <v>23156</v>
      </c>
      <c r="F547" s="95">
        <v>449415196</v>
      </c>
      <c r="G547" s="95">
        <v>410684274</v>
      </c>
      <c r="H547" s="95">
        <v>860099470</v>
      </c>
      <c r="I547" s="91" t="s">
        <v>585</v>
      </c>
      <c r="J547" s="91" t="s">
        <v>89</v>
      </c>
      <c r="K547" s="94">
        <v>641704</v>
      </c>
      <c r="L547" s="91" t="s">
        <v>133</v>
      </c>
      <c r="M547" s="2"/>
      <c r="N547" s="2"/>
      <c r="O547" s="4"/>
    </row>
    <row r="548" spans="1:15" x14ac:dyDescent="0.2">
      <c r="A548" s="91" t="s">
        <v>275</v>
      </c>
      <c r="B548" s="91" t="s">
        <v>946</v>
      </c>
      <c r="C548" s="95">
        <v>5114</v>
      </c>
      <c r="D548" s="95">
        <v>8245</v>
      </c>
      <c r="E548" s="95">
        <v>13359</v>
      </c>
      <c r="F548" s="95">
        <v>157127618</v>
      </c>
      <c r="G548" s="95">
        <v>324203488</v>
      </c>
      <c r="H548" s="95">
        <v>481331106</v>
      </c>
      <c r="I548" s="91" t="s">
        <v>485</v>
      </c>
      <c r="J548" s="91" t="s">
        <v>89</v>
      </c>
      <c r="K548" s="94">
        <v>641993</v>
      </c>
      <c r="L548" s="91" t="s">
        <v>336</v>
      </c>
      <c r="M548" s="2"/>
      <c r="N548" s="2"/>
      <c r="O548" s="4"/>
    </row>
    <row r="549" spans="1:15" x14ac:dyDescent="0.2">
      <c r="A549" s="91" t="s">
        <v>98</v>
      </c>
      <c r="B549" s="91" t="s">
        <v>101</v>
      </c>
      <c r="C549" s="95">
        <v>2628</v>
      </c>
      <c r="D549" s="95">
        <v>2359</v>
      </c>
      <c r="E549" s="95">
        <v>4987</v>
      </c>
      <c r="F549" s="95">
        <v>82385874</v>
      </c>
      <c r="G549" s="95">
        <v>85701415</v>
      </c>
      <c r="H549" s="95">
        <v>168087289</v>
      </c>
      <c r="I549" s="91" t="s">
        <v>585</v>
      </c>
      <c r="J549" s="91" t="s">
        <v>89</v>
      </c>
      <c r="K549" s="94">
        <v>642298</v>
      </c>
      <c r="L549" s="91" t="s">
        <v>528</v>
      </c>
      <c r="M549" s="2"/>
      <c r="N549" s="2"/>
      <c r="O549" s="4"/>
    </row>
    <row r="550" spans="1:15" x14ac:dyDescent="0.2">
      <c r="A550" s="91" t="s">
        <v>202</v>
      </c>
      <c r="B550" s="91" t="s">
        <v>132</v>
      </c>
      <c r="C550" s="95">
        <v>2644</v>
      </c>
      <c r="D550" s="95">
        <v>3480</v>
      </c>
      <c r="E550" s="95">
        <v>6124</v>
      </c>
      <c r="F550" s="95">
        <v>107123844</v>
      </c>
      <c r="G550" s="95">
        <v>172858886</v>
      </c>
      <c r="H550" s="95">
        <v>279982730</v>
      </c>
      <c r="I550" s="91" t="s">
        <v>585</v>
      </c>
      <c r="J550" s="91" t="s">
        <v>89</v>
      </c>
      <c r="K550" s="94">
        <v>644005</v>
      </c>
      <c r="L550" s="91" t="s">
        <v>521</v>
      </c>
      <c r="M550" s="2"/>
      <c r="N550" s="2"/>
      <c r="O550" s="4"/>
    </row>
    <row r="551" spans="1:15" x14ac:dyDescent="0.2">
      <c r="A551" s="91" t="s">
        <v>478</v>
      </c>
      <c r="B551" s="91" t="s">
        <v>834</v>
      </c>
      <c r="C551" s="95">
        <v>4</v>
      </c>
      <c r="D551" s="95">
        <v>9</v>
      </c>
      <c r="E551" s="95">
        <v>13</v>
      </c>
      <c r="F551" s="95">
        <v>134000</v>
      </c>
      <c r="G551" s="95">
        <v>270494</v>
      </c>
      <c r="H551" s="95">
        <v>404495</v>
      </c>
      <c r="I551" s="91" t="s">
        <v>485</v>
      </c>
      <c r="J551" s="91" t="s">
        <v>90</v>
      </c>
      <c r="K551" s="94">
        <v>645655</v>
      </c>
      <c r="L551" s="91" t="s">
        <v>12</v>
      </c>
      <c r="M551" s="2"/>
      <c r="N551" s="2"/>
      <c r="O551" s="4"/>
    </row>
    <row r="552" spans="1:15" x14ac:dyDescent="0.2">
      <c r="A552" s="91" t="s">
        <v>565</v>
      </c>
      <c r="B552" s="91" t="s">
        <v>638</v>
      </c>
      <c r="C552" s="95">
        <v>111294</v>
      </c>
      <c r="D552" s="95">
        <v>114546</v>
      </c>
      <c r="E552" s="95">
        <v>225840</v>
      </c>
      <c r="F552" s="95">
        <v>5313245868</v>
      </c>
      <c r="G552" s="95">
        <v>6961500968</v>
      </c>
      <c r="H552" s="95">
        <v>12274746836</v>
      </c>
      <c r="I552" s="91" t="s">
        <v>585</v>
      </c>
      <c r="J552" s="91" t="s">
        <v>89</v>
      </c>
      <c r="K552" s="94">
        <v>645952</v>
      </c>
      <c r="L552" s="91" t="s">
        <v>633</v>
      </c>
      <c r="M552" s="2"/>
      <c r="N552" s="2"/>
      <c r="O552" s="4"/>
    </row>
    <row r="553" spans="1:15" x14ac:dyDescent="0.2">
      <c r="A553" s="91" t="s">
        <v>515</v>
      </c>
      <c r="B553" s="91" t="s">
        <v>941</v>
      </c>
      <c r="C553" s="95">
        <v>75</v>
      </c>
      <c r="D553" s="95">
        <v>147</v>
      </c>
      <c r="E553" s="95">
        <v>222</v>
      </c>
      <c r="F553" s="95">
        <v>3049022</v>
      </c>
      <c r="G553" s="95">
        <v>7752982</v>
      </c>
      <c r="H553" s="95">
        <v>10802004</v>
      </c>
      <c r="I553" s="91" t="s">
        <v>485</v>
      </c>
      <c r="J553" s="91" t="s">
        <v>89</v>
      </c>
      <c r="K553" s="94">
        <v>646240</v>
      </c>
      <c r="L553" s="91" t="s">
        <v>596</v>
      </c>
      <c r="M553" s="2"/>
      <c r="N553" s="2"/>
      <c r="O553" s="4"/>
    </row>
    <row r="554" spans="1:15" x14ac:dyDescent="0.2">
      <c r="A554" s="91" t="s">
        <v>515</v>
      </c>
      <c r="B554" s="91" t="s">
        <v>789</v>
      </c>
      <c r="C554" s="95">
        <v>700</v>
      </c>
      <c r="D554" s="95">
        <v>1076</v>
      </c>
      <c r="E554" s="95">
        <v>1776</v>
      </c>
      <c r="F554" s="95">
        <v>26800276</v>
      </c>
      <c r="G554" s="95">
        <v>48107496</v>
      </c>
      <c r="H554" s="95">
        <v>74907772</v>
      </c>
      <c r="I554" s="91" t="s">
        <v>585</v>
      </c>
      <c r="J554" s="91" t="s">
        <v>89</v>
      </c>
      <c r="K554" s="94">
        <v>647487</v>
      </c>
      <c r="L554" s="91" t="s">
        <v>649</v>
      </c>
      <c r="M554" s="2"/>
      <c r="N554" s="2"/>
      <c r="O554" s="4"/>
    </row>
    <row r="555" spans="1:15" x14ac:dyDescent="0.2">
      <c r="A555" s="91" t="s">
        <v>227</v>
      </c>
      <c r="B555" s="91" t="s">
        <v>710</v>
      </c>
      <c r="C555" s="95">
        <v>70</v>
      </c>
      <c r="D555" s="95">
        <v>54</v>
      </c>
      <c r="E555" s="95">
        <v>124</v>
      </c>
      <c r="F555" s="95">
        <v>1495033</v>
      </c>
      <c r="G555" s="95">
        <v>1204010</v>
      </c>
      <c r="H555" s="95">
        <v>2699043</v>
      </c>
      <c r="I555" s="91" t="s">
        <v>485</v>
      </c>
      <c r="J555" s="91" t="s">
        <v>91</v>
      </c>
      <c r="K555" s="94">
        <v>647669</v>
      </c>
      <c r="L555" s="91" t="s">
        <v>46</v>
      </c>
      <c r="M555" s="2"/>
      <c r="N555" s="2"/>
      <c r="O555" s="4"/>
    </row>
    <row r="556" spans="1:15" x14ac:dyDescent="0.2">
      <c r="A556" s="91" t="s">
        <v>412</v>
      </c>
      <c r="B556" s="91" t="s">
        <v>464</v>
      </c>
      <c r="C556" s="95">
        <v>5413</v>
      </c>
      <c r="D556" s="95">
        <v>4520</v>
      </c>
      <c r="E556" s="95">
        <v>9933</v>
      </c>
      <c r="F556" s="95">
        <v>190141527</v>
      </c>
      <c r="G556" s="95">
        <v>182777979</v>
      </c>
      <c r="H556" s="95">
        <v>372919506</v>
      </c>
      <c r="I556" s="91" t="s">
        <v>585</v>
      </c>
      <c r="J556" s="91" t="s">
        <v>90</v>
      </c>
      <c r="K556" s="94">
        <v>648964</v>
      </c>
      <c r="L556" s="91" t="s">
        <v>1084</v>
      </c>
      <c r="M556" s="2"/>
      <c r="N556" s="2"/>
      <c r="O556" s="4"/>
    </row>
    <row r="557" spans="1:15" x14ac:dyDescent="0.2">
      <c r="A557" s="91" t="s">
        <v>276</v>
      </c>
      <c r="B557" s="91" t="s">
        <v>863</v>
      </c>
      <c r="C557" s="95">
        <v>584</v>
      </c>
      <c r="D557" s="95">
        <v>913</v>
      </c>
      <c r="E557" s="95">
        <v>1497</v>
      </c>
      <c r="F557" s="95">
        <v>10373735</v>
      </c>
      <c r="G557" s="95">
        <v>21345239</v>
      </c>
      <c r="H557" s="95">
        <v>31718974</v>
      </c>
      <c r="I557" s="91" t="s">
        <v>585</v>
      </c>
      <c r="J557" s="91" t="s">
        <v>89</v>
      </c>
      <c r="K557" s="94">
        <v>649491</v>
      </c>
      <c r="L557" s="91" t="s">
        <v>853</v>
      </c>
      <c r="M557" s="2"/>
      <c r="N557" s="2"/>
      <c r="O557" s="4"/>
    </row>
    <row r="558" spans="1:15" x14ac:dyDescent="0.2">
      <c r="A558" s="91" t="s">
        <v>72</v>
      </c>
      <c r="B558" s="91" t="s">
        <v>97</v>
      </c>
      <c r="C558" s="95">
        <v>15572</v>
      </c>
      <c r="D558" s="95">
        <v>17493</v>
      </c>
      <c r="E558" s="95">
        <v>33065</v>
      </c>
      <c r="F558" s="95">
        <v>472411815</v>
      </c>
      <c r="G558" s="95">
        <v>651588111</v>
      </c>
      <c r="H558" s="95">
        <v>1123999926</v>
      </c>
      <c r="I558" s="91" t="s">
        <v>585</v>
      </c>
      <c r="J558" s="91" t="s">
        <v>89</v>
      </c>
      <c r="K558" s="94">
        <v>650200</v>
      </c>
      <c r="L558" s="91" t="s">
        <v>133</v>
      </c>
      <c r="M558" s="2"/>
      <c r="N558" s="2"/>
      <c r="O558" s="4"/>
    </row>
    <row r="559" spans="1:15" x14ac:dyDescent="0.2">
      <c r="A559" s="91" t="s">
        <v>227</v>
      </c>
      <c r="B559" s="91" t="s">
        <v>743</v>
      </c>
      <c r="C559" s="95">
        <v>3403</v>
      </c>
      <c r="D559" s="95">
        <v>4211</v>
      </c>
      <c r="E559" s="95">
        <v>7614</v>
      </c>
      <c r="F559" s="95">
        <v>404414981</v>
      </c>
      <c r="G559" s="95">
        <v>581988373</v>
      </c>
      <c r="H559" s="95">
        <v>986403354</v>
      </c>
      <c r="I559" s="91" t="s">
        <v>585</v>
      </c>
      <c r="J559" s="91" t="s">
        <v>91</v>
      </c>
      <c r="K559" s="94">
        <v>651141</v>
      </c>
      <c r="L559" s="91" t="s">
        <v>569</v>
      </c>
      <c r="M559" s="2"/>
      <c r="N559" s="2"/>
      <c r="O559" s="4"/>
    </row>
    <row r="560" spans="1:15" x14ac:dyDescent="0.2">
      <c r="A560" s="91" t="s">
        <v>170</v>
      </c>
      <c r="B560" s="91" t="s">
        <v>171</v>
      </c>
      <c r="C560" s="95">
        <v>512</v>
      </c>
      <c r="D560" s="95">
        <v>706</v>
      </c>
      <c r="E560" s="95">
        <v>1218</v>
      </c>
      <c r="F560" s="95">
        <v>11884292</v>
      </c>
      <c r="G560" s="95">
        <v>21274487</v>
      </c>
      <c r="H560" s="95">
        <v>33158779</v>
      </c>
      <c r="I560" s="91" t="s">
        <v>485</v>
      </c>
      <c r="J560" s="91" t="s">
        <v>89</v>
      </c>
      <c r="K560" s="94">
        <v>652628</v>
      </c>
      <c r="L560" s="91" t="s">
        <v>590</v>
      </c>
      <c r="M560" s="2"/>
      <c r="N560" s="2"/>
      <c r="O560" s="4"/>
    </row>
    <row r="561" spans="1:15" x14ac:dyDescent="0.2">
      <c r="A561" s="91" t="s">
        <v>275</v>
      </c>
      <c r="B561" s="91" t="s">
        <v>79</v>
      </c>
      <c r="C561" s="95">
        <v>3619</v>
      </c>
      <c r="D561" s="95">
        <v>4916</v>
      </c>
      <c r="E561" s="95">
        <v>8535</v>
      </c>
      <c r="F561" s="95">
        <v>69793585</v>
      </c>
      <c r="G561" s="95">
        <v>129849242</v>
      </c>
      <c r="H561" s="95">
        <v>199642827</v>
      </c>
      <c r="I561" s="91" t="s">
        <v>485</v>
      </c>
      <c r="J561" s="91" t="s">
        <v>89</v>
      </c>
      <c r="K561" s="94">
        <v>653097</v>
      </c>
      <c r="L561" s="91" t="s">
        <v>1084</v>
      </c>
      <c r="M561" s="2"/>
      <c r="N561" s="2"/>
      <c r="O561" s="4"/>
    </row>
    <row r="562" spans="1:15" x14ac:dyDescent="0.2">
      <c r="A562" s="91" t="s">
        <v>67</v>
      </c>
      <c r="B562" s="91" t="s">
        <v>915</v>
      </c>
      <c r="C562" s="95">
        <v>3381</v>
      </c>
      <c r="D562" s="95">
        <v>3870</v>
      </c>
      <c r="E562" s="95">
        <v>7251</v>
      </c>
      <c r="F562" s="95">
        <v>93511803</v>
      </c>
      <c r="G562" s="95">
        <v>126408672</v>
      </c>
      <c r="H562" s="95">
        <v>219920475</v>
      </c>
      <c r="I562" s="91" t="s">
        <v>585</v>
      </c>
      <c r="J562" s="91" t="s">
        <v>89</v>
      </c>
      <c r="K562" s="94">
        <v>654459</v>
      </c>
      <c r="L562" s="91" t="s">
        <v>524</v>
      </c>
      <c r="M562" s="2"/>
      <c r="N562" s="2"/>
      <c r="O562" s="4"/>
    </row>
    <row r="563" spans="1:15" x14ac:dyDescent="0.2">
      <c r="A563" s="91" t="s">
        <v>559</v>
      </c>
      <c r="B563" s="91" t="s">
        <v>305</v>
      </c>
      <c r="C563" s="95">
        <v>2079</v>
      </c>
      <c r="D563" s="95">
        <v>3165</v>
      </c>
      <c r="E563" s="95">
        <v>5244</v>
      </c>
      <c r="F563" s="95">
        <v>73807028</v>
      </c>
      <c r="G563" s="95">
        <v>149236731</v>
      </c>
      <c r="H563" s="95">
        <v>223043758</v>
      </c>
      <c r="I563" s="91" t="s">
        <v>585</v>
      </c>
      <c r="J563" s="91" t="s">
        <v>89</v>
      </c>
      <c r="K563" s="94">
        <v>656637</v>
      </c>
      <c r="L563" s="91" t="s">
        <v>303</v>
      </c>
      <c r="M563" s="2"/>
      <c r="N563" s="2"/>
      <c r="O563" s="4"/>
    </row>
    <row r="564" spans="1:15" x14ac:dyDescent="0.2">
      <c r="A564" s="91" t="s">
        <v>227</v>
      </c>
      <c r="B564" s="91" t="s">
        <v>239</v>
      </c>
      <c r="C564" s="95">
        <v>296</v>
      </c>
      <c r="D564" s="95">
        <v>286</v>
      </c>
      <c r="E564" s="95">
        <v>582</v>
      </c>
      <c r="F564" s="95">
        <v>6773026</v>
      </c>
      <c r="G564" s="95">
        <v>7942293</v>
      </c>
      <c r="H564" s="95">
        <v>14715319</v>
      </c>
      <c r="I564" s="91" t="s">
        <v>485</v>
      </c>
      <c r="J564" s="91" t="s">
        <v>91</v>
      </c>
      <c r="K564" s="94">
        <v>657460</v>
      </c>
      <c r="L564" s="91" t="s">
        <v>596</v>
      </c>
      <c r="M564" s="2"/>
      <c r="N564" s="2"/>
      <c r="O564" s="4"/>
    </row>
    <row r="565" spans="1:15" x14ac:dyDescent="0.2">
      <c r="A565" s="91" t="s">
        <v>109</v>
      </c>
      <c r="B565" s="91" t="s">
        <v>964</v>
      </c>
      <c r="C565" s="95">
        <v>98</v>
      </c>
      <c r="D565" s="95">
        <v>177</v>
      </c>
      <c r="E565" s="95">
        <v>275</v>
      </c>
      <c r="F565" s="95">
        <v>3308860</v>
      </c>
      <c r="G565" s="95">
        <v>6826857</v>
      </c>
      <c r="H565" s="95">
        <v>10135718</v>
      </c>
      <c r="I565" s="91" t="s">
        <v>585</v>
      </c>
      <c r="J565" s="91" t="s">
        <v>89</v>
      </c>
      <c r="K565" s="94">
        <v>658997</v>
      </c>
      <c r="L565" s="91" t="s">
        <v>1035</v>
      </c>
      <c r="M565" s="2"/>
      <c r="N565" s="2"/>
      <c r="O565" s="4"/>
    </row>
    <row r="566" spans="1:15" x14ac:dyDescent="0.2">
      <c r="A566" s="91" t="s">
        <v>275</v>
      </c>
      <c r="B566" s="91" t="s">
        <v>238</v>
      </c>
      <c r="C566" s="95">
        <v>74</v>
      </c>
      <c r="D566" s="95">
        <v>165</v>
      </c>
      <c r="E566" s="95">
        <v>239</v>
      </c>
      <c r="F566" s="95">
        <v>1822016</v>
      </c>
      <c r="G566" s="95">
        <v>6257725</v>
      </c>
      <c r="H566" s="95">
        <v>8079741</v>
      </c>
      <c r="I566" s="91" t="s">
        <v>585</v>
      </c>
      <c r="J566" s="91" t="s">
        <v>89</v>
      </c>
      <c r="K566" s="94">
        <v>660290</v>
      </c>
      <c r="L566" s="91" t="s">
        <v>27</v>
      </c>
      <c r="M566" s="2"/>
      <c r="N566" s="2"/>
      <c r="O566" s="4"/>
    </row>
    <row r="567" spans="1:15" x14ac:dyDescent="0.2">
      <c r="A567" s="91" t="s">
        <v>368</v>
      </c>
      <c r="B567" s="91" t="s">
        <v>1055</v>
      </c>
      <c r="C567" s="95">
        <v>38</v>
      </c>
      <c r="D567" s="95">
        <v>50</v>
      </c>
      <c r="E567" s="95">
        <v>88</v>
      </c>
      <c r="F567" s="95">
        <v>2101352</v>
      </c>
      <c r="G567" s="95">
        <v>2907003</v>
      </c>
      <c r="H567" s="95">
        <v>5008354</v>
      </c>
      <c r="I567" s="91" t="s">
        <v>585</v>
      </c>
      <c r="J567" s="91" t="s">
        <v>90</v>
      </c>
      <c r="K567" s="94">
        <v>660829</v>
      </c>
      <c r="L567" s="91" t="s">
        <v>871</v>
      </c>
      <c r="M567" s="2"/>
      <c r="N567" s="2"/>
      <c r="O567" s="4"/>
    </row>
    <row r="568" spans="1:15" x14ac:dyDescent="0.2">
      <c r="A568" s="91" t="s">
        <v>277</v>
      </c>
      <c r="B568" s="91" t="s">
        <v>433</v>
      </c>
      <c r="C568" s="95">
        <v>3322</v>
      </c>
      <c r="D568" s="95">
        <v>4486</v>
      </c>
      <c r="E568" s="95">
        <v>7808</v>
      </c>
      <c r="F568" s="95">
        <v>81470941</v>
      </c>
      <c r="G568" s="95">
        <v>139566088</v>
      </c>
      <c r="H568" s="95">
        <v>221037030</v>
      </c>
      <c r="I568" s="91" t="s">
        <v>485</v>
      </c>
      <c r="J568" s="91" t="s">
        <v>89</v>
      </c>
      <c r="K568" s="94">
        <v>661066</v>
      </c>
      <c r="L568" s="91" t="s">
        <v>591</v>
      </c>
      <c r="M568" s="2"/>
      <c r="N568" s="2"/>
      <c r="O568" s="4"/>
    </row>
    <row r="569" spans="1:15" x14ac:dyDescent="0.2">
      <c r="A569" s="91" t="s">
        <v>469</v>
      </c>
      <c r="B569" s="91" t="s">
        <v>797</v>
      </c>
      <c r="C569" s="95">
        <v>50</v>
      </c>
      <c r="D569" s="95">
        <v>91</v>
      </c>
      <c r="E569" s="95">
        <v>141</v>
      </c>
      <c r="F569" s="95">
        <v>1696184</v>
      </c>
      <c r="G569" s="95">
        <v>3715841</v>
      </c>
      <c r="H569" s="95">
        <v>5412025</v>
      </c>
      <c r="I569" s="91" t="s">
        <v>485</v>
      </c>
      <c r="J569" s="91" t="s">
        <v>90</v>
      </c>
      <c r="K569" s="94">
        <v>664482</v>
      </c>
      <c r="L569" s="91" t="s">
        <v>596</v>
      </c>
      <c r="M569" s="2"/>
      <c r="N569" s="2"/>
      <c r="O569" s="4"/>
    </row>
    <row r="570" spans="1:15" x14ac:dyDescent="0.2">
      <c r="A570" s="91" t="s">
        <v>207</v>
      </c>
      <c r="B570" s="91" t="s">
        <v>213</v>
      </c>
      <c r="C570" s="95">
        <v>191</v>
      </c>
      <c r="D570" s="95">
        <v>217</v>
      </c>
      <c r="E570" s="95">
        <v>408</v>
      </c>
      <c r="F570" s="95">
        <v>5539888</v>
      </c>
      <c r="G570" s="95">
        <v>7402310</v>
      </c>
      <c r="H570" s="95">
        <v>12942198</v>
      </c>
      <c r="I570" s="91" t="s">
        <v>485</v>
      </c>
      <c r="J570" s="91" t="s">
        <v>89</v>
      </c>
      <c r="K570" s="94">
        <v>665315</v>
      </c>
      <c r="L570" s="91" t="s">
        <v>755</v>
      </c>
      <c r="M570" s="2"/>
      <c r="N570" s="2"/>
      <c r="O570" s="4"/>
    </row>
    <row r="571" spans="1:15" x14ac:dyDescent="0.2">
      <c r="A571" s="91" t="s">
        <v>219</v>
      </c>
      <c r="B571" s="91" t="s">
        <v>274</v>
      </c>
      <c r="C571" s="95">
        <v>9735</v>
      </c>
      <c r="D571" s="95">
        <v>8618</v>
      </c>
      <c r="E571" s="95">
        <v>18353</v>
      </c>
      <c r="F571" s="95">
        <v>291344574</v>
      </c>
      <c r="G571" s="95">
        <v>304288820</v>
      </c>
      <c r="H571" s="95">
        <v>595633394</v>
      </c>
      <c r="I571" s="91" t="s">
        <v>585</v>
      </c>
      <c r="J571" s="91" t="s">
        <v>91</v>
      </c>
      <c r="K571" s="94">
        <v>665372</v>
      </c>
      <c r="L571" s="91" t="s">
        <v>521</v>
      </c>
      <c r="M571" s="2"/>
      <c r="N571" s="2"/>
      <c r="O571" s="4"/>
    </row>
    <row r="572" spans="1:15" x14ac:dyDescent="0.2">
      <c r="A572" s="91" t="s">
        <v>157</v>
      </c>
      <c r="B572" s="91" t="s">
        <v>784</v>
      </c>
      <c r="C572" s="95">
        <v>12</v>
      </c>
      <c r="D572" s="95">
        <v>28</v>
      </c>
      <c r="E572" s="95">
        <v>40</v>
      </c>
      <c r="F572" s="95">
        <v>397538</v>
      </c>
      <c r="G572" s="95">
        <v>986689</v>
      </c>
      <c r="H572" s="95">
        <v>1384227</v>
      </c>
      <c r="I572" s="91" t="s">
        <v>485</v>
      </c>
      <c r="J572" s="91" t="s">
        <v>89</v>
      </c>
      <c r="K572" s="94">
        <v>666313</v>
      </c>
      <c r="L572" s="91" t="s">
        <v>785</v>
      </c>
      <c r="M572" s="2"/>
      <c r="N572" s="2"/>
      <c r="O572" s="4"/>
    </row>
    <row r="573" spans="1:15" x14ac:dyDescent="0.2">
      <c r="A573" s="91" t="s">
        <v>275</v>
      </c>
      <c r="B573" s="91" t="s">
        <v>573</v>
      </c>
      <c r="C573" s="95">
        <v>77</v>
      </c>
      <c r="D573" s="95">
        <v>167</v>
      </c>
      <c r="E573" s="95">
        <v>244</v>
      </c>
      <c r="F573" s="95">
        <v>2764594</v>
      </c>
      <c r="G573" s="95">
        <v>7087222</v>
      </c>
      <c r="H573" s="95">
        <v>9851816</v>
      </c>
      <c r="I573" s="91" t="s">
        <v>485</v>
      </c>
      <c r="J573" s="91" t="s">
        <v>89</v>
      </c>
      <c r="K573" s="94">
        <v>666370</v>
      </c>
      <c r="L573" s="91" t="s">
        <v>93</v>
      </c>
      <c r="M573" s="2"/>
      <c r="N573" s="2"/>
      <c r="O573" s="4"/>
    </row>
    <row r="574" spans="1:15" x14ac:dyDescent="0.2">
      <c r="A574" s="91" t="s">
        <v>38</v>
      </c>
      <c r="B574" s="91" t="s">
        <v>607</v>
      </c>
      <c r="C574" s="95">
        <v>7056</v>
      </c>
      <c r="D574" s="95">
        <v>7097</v>
      </c>
      <c r="E574" s="95">
        <v>14153</v>
      </c>
      <c r="F574" s="95">
        <v>145492835</v>
      </c>
      <c r="G574" s="95">
        <v>189584409</v>
      </c>
      <c r="H574" s="95">
        <v>335077244</v>
      </c>
      <c r="I574" s="91" t="s">
        <v>485</v>
      </c>
      <c r="J574" s="91" t="s">
        <v>89</v>
      </c>
      <c r="K574" s="94">
        <v>666495</v>
      </c>
      <c r="L574" s="91" t="s">
        <v>606</v>
      </c>
      <c r="M574" s="2"/>
      <c r="N574" s="2"/>
      <c r="O574" s="4"/>
    </row>
    <row r="575" spans="1:15" x14ac:dyDescent="0.2">
      <c r="A575" s="91" t="s">
        <v>465</v>
      </c>
      <c r="B575" s="91" t="s">
        <v>383</v>
      </c>
      <c r="C575" s="95">
        <v>6047</v>
      </c>
      <c r="D575" s="95">
        <v>5465</v>
      </c>
      <c r="E575" s="95">
        <v>11512</v>
      </c>
      <c r="F575" s="95">
        <v>197437834</v>
      </c>
      <c r="G575" s="95">
        <v>235246408</v>
      </c>
      <c r="H575" s="95">
        <v>432684242</v>
      </c>
      <c r="I575" s="91" t="s">
        <v>585</v>
      </c>
      <c r="J575" s="91" t="s">
        <v>90</v>
      </c>
      <c r="K575" s="94">
        <v>666552</v>
      </c>
      <c r="L575" s="91" t="s">
        <v>133</v>
      </c>
      <c r="M575" s="2"/>
      <c r="N575" s="2"/>
      <c r="O575" s="4"/>
    </row>
    <row r="576" spans="1:15" x14ac:dyDescent="0.2">
      <c r="A576" s="91" t="s">
        <v>580</v>
      </c>
      <c r="B576" s="91" t="s">
        <v>852</v>
      </c>
      <c r="C576" s="95">
        <v>2249</v>
      </c>
      <c r="D576" s="95">
        <v>3048</v>
      </c>
      <c r="E576" s="95">
        <v>5297</v>
      </c>
      <c r="F576" s="95">
        <v>48039741</v>
      </c>
      <c r="G576" s="95">
        <v>83457226</v>
      </c>
      <c r="H576" s="95">
        <v>131496967</v>
      </c>
      <c r="I576" s="91" t="s">
        <v>485</v>
      </c>
      <c r="J576" s="91" t="s">
        <v>89</v>
      </c>
      <c r="K576" s="94">
        <v>668269</v>
      </c>
      <c r="L576" s="91" t="s">
        <v>596</v>
      </c>
      <c r="M576" s="2"/>
      <c r="N576" s="2"/>
      <c r="O576" s="4"/>
    </row>
    <row r="577" spans="1:15" x14ac:dyDescent="0.2">
      <c r="A577" s="91" t="s">
        <v>121</v>
      </c>
      <c r="B577" s="91" t="s">
        <v>605</v>
      </c>
      <c r="C577" s="95">
        <v>900</v>
      </c>
      <c r="D577" s="95">
        <v>1222</v>
      </c>
      <c r="E577" s="95">
        <v>2122</v>
      </c>
      <c r="F577" s="95">
        <v>20758261</v>
      </c>
      <c r="G577" s="95">
        <v>34632134</v>
      </c>
      <c r="H577" s="95">
        <v>55390395</v>
      </c>
      <c r="I577" s="91" t="s">
        <v>485</v>
      </c>
      <c r="J577" s="91" t="s">
        <v>89</v>
      </c>
      <c r="K577" s="94">
        <v>670091</v>
      </c>
      <c r="L577" s="91" t="s">
        <v>334</v>
      </c>
      <c r="M577" s="2"/>
      <c r="N577" s="2"/>
      <c r="O577" s="4"/>
    </row>
    <row r="578" spans="1:15" x14ac:dyDescent="0.2">
      <c r="A578" s="91" t="s">
        <v>353</v>
      </c>
      <c r="B578" s="91" t="s">
        <v>366</v>
      </c>
      <c r="C578" s="95">
        <v>7591</v>
      </c>
      <c r="D578" s="95">
        <v>5955</v>
      </c>
      <c r="E578" s="95">
        <v>13546</v>
      </c>
      <c r="F578" s="95">
        <v>497583136</v>
      </c>
      <c r="G578" s="95">
        <v>488241112</v>
      </c>
      <c r="H578" s="95">
        <v>985824248</v>
      </c>
      <c r="I578" s="91" t="s">
        <v>585</v>
      </c>
      <c r="J578" s="91" t="s">
        <v>92</v>
      </c>
      <c r="K578" s="94">
        <v>671453</v>
      </c>
      <c r="L578" s="91" t="s">
        <v>1035</v>
      </c>
      <c r="M578" s="2"/>
      <c r="N578" s="2"/>
      <c r="O578" s="4"/>
    </row>
    <row r="579" spans="1:15" x14ac:dyDescent="0.2">
      <c r="A579" s="91" t="s">
        <v>276</v>
      </c>
      <c r="B579" s="91" t="s">
        <v>26</v>
      </c>
      <c r="C579" s="95">
        <v>2481</v>
      </c>
      <c r="D579" s="95">
        <v>3799</v>
      </c>
      <c r="E579" s="95">
        <v>6280</v>
      </c>
      <c r="F579" s="95">
        <v>57026720</v>
      </c>
      <c r="G579" s="95">
        <v>110689515</v>
      </c>
      <c r="H579" s="95">
        <v>167716235</v>
      </c>
      <c r="I579" s="91" t="s">
        <v>585</v>
      </c>
      <c r="J579" s="91" t="s">
        <v>89</v>
      </c>
      <c r="K579" s="94">
        <v>671982</v>
      </c>
      <c r="L579" s="91" t="s">
        <v>649</v>
      </c>
      <c r="M579" s="2"/>
      <c r="N579" s="2"/>
      <c r="O579" s="4"/>
    </row>
    <row r="580" spans="1:15" x14ac:dyDescent="0.2">
      <c r="A580" s="91" t="s">
        <v>275</v>
      </c>
      <c r="B580" s="91" t="s">
        <v>1082</v>
      </c>
      <c r="C580" s="95">
        <v>447</v>
      </c>
      <c r="D580" s="95">
        <v>780</v>
      </c>
      <c r="E580" s="95">
        <v>1227</v>
      </c>
      <c r="F580" s="95">
        <v>12631614</v>
      </c>
      <c r="G580" s="95">
        <v>29430862</v>
      </c>
      <c r="H580" s="95">
        <v>42062475</v>
      </c>
      <c r="I580" s="91" t="s">
        <v>485</v>
      </c>
      <c r="J580" s="91" t="s">
        <v>89</v>
      </c>
      <c r="K580" s="94">
        <v>673699</v>
      </c>
      <c r="L580" s="91" t="s">
        <v>943</v>
      </c>
      <c r="M580" s="2"/>
      <c r="N580" s="2"/>
      <c r="O580" s="4"/>
    </row>
    <row r="581" spans="1:15" x14ac:dyDescent="0.2">
      <c r="A581" s="91" t="s">
        <v>227</v>
      </c>
      <c r="B581" s="91" t="s">
        <v>982</v>
      </c>
      <c r="C581" s="95">
        <v>45</v>
      </c>
      <c r="D581" s="95">
        <v>91</v>
      </c>
      <c r="E581" s="95">
        <v>136</v>
      </c>
      <c r="F581" s="95">
        <v>3666770</v>
      </c>
      <c r="G581" s="95">
        <v>8252548</v>
      </c>
      <c r="H581" s="95">
        <v>11919318</v>
      </c>
      <c r="I581" s="91" t="s">
        <v>585</v>
      </c>
      <c r="J581" s="91" t="s">
        <v>91</v>
      </c>
      <c r="K581" s="94">
        <v>675991</v>
      </c>
      <c r="L581" s="91" t="s">
        <v>303</v>
      </c>
      <c r="M581" s="2"/>
      <c r="N581" s="2"/>
      <c r="O581" s="4"/>
    </row>
    <row r="582" spans="1:15" x14ac:dyDescent="0.2">
      <c r="A582" s="91" t="s">
        <v>412</v>
      </c>
      <c r="B582" s="91" t="s">
        <v>384</v>
      </c>
      <c r="C582" s="95">
        <v>31020</v>
      </c>
      <c r="D582" s="95">
        <v>22380</v>
      </c>
      <c r="E582" s="95">
        <v>53400</v>
      </c>
      <c r="F582" s="95">
        <v>989208360</v>
      </c>
      <c r="G582" s="95">
        <v>856690903</v>
      </c>
      <c r="H582" s="95">
        <v>1845899263</v>
      </c>
      <c r="I582" s="91" t="s">
        <v>585</v>
      </c>
      <c r="J582" s="91" t="s">
        <v>90</v>
      </c>
      <c r="K582" s="94">
        <v>677534</v>
      </c>
      <c r="L582" s="91" t="s">
        <v>133</v>
      </c>
      <c r="M582" s="2"/>
      <c r="N582" s="2"/>
      <c r="O582" s="4"/>
    </row>
    <row r="583" spans="1:15" x14ac:dyDescent="0.2">
      <c r="A583" s="91" t="s">
        <v>218</v>
      </c>
      <c r="B583" s="91" t="s">
        <v>944</v>
      </c>
      <c r="C583" s="95">
        <v>2300</v>
      </c>
      <c r="D583" s="95">
        <v>3177</v>
      </c>
      <c r="E583" s="95">
        <v>5477</v>
      </c>
      <c r="F583" s="95">
        <v>68665972</v>
      </c>
      <c r="G583" s="95">
        <v>115892020</v>
      </c>
      <c r="H583" s="95">
        <v>184557992</v>
      </c>
      <c r="I583" s="91" t="s">
        <v>485</v>
      </c>
      <c r="J583" s="91" t="s">
        <v>91</v>
      </c>
      <c r="K583" s="94">
        <v>677823</v>
      </c>
      <c r="L583" s="91" t="s">
        <v>336</v>
      </c>
      <c r="M583" s="2"/>
      <c r="N583" s="2"/>
      <c r="O583" s="4"/>
    </row>
    <row r="584" spans="1:15" x14ac:dyDescent="0.2">
      <c r="A584" s="91" t="s">
        <v>72</v>
      </c>
      <c r="B584" s="91" t="s">
        <v>74</v>
      </c>
      <c r="C584" s="95">
        <v>940</v>
      </c>
      <c r="D584" s="95">
        <v>844</v>
      </c>
      <c r="E584" s="95">
        <v>1784</v>
      </c>
      <c r="F584" s="95">
        <v>31725243</v>
      </c>
      <c r="G584" s="95">
        <v>34990237</v>
      </c>
      <c r="H584" s="95">
        <v>66715480</v>
      </c>
      <c r="I584" s="91" t="s">
        <v>585</v>
      </c>
      <c r="J584" s="91" t="s">
        <v>89</v>
      </c>
      <c r="K584" s="94">
        <v>678128</v>
      </c>
      <c r="L584" s="91" t="s">
        <v>528</v>
      </c>
      <c r="M584" s="2"/>
      <c r="N584" s="2"/>
      <c r="O584" s="4"/>
    </row>
    <row r="585" spans="1:15" x14ac:dyDescent="0.2">
      <c r="A585" s="91" t="s">
        <v>277</v>
      </c>
      <c r="B585" s="91" t="s">
        <v>266</v>
      </c>
      <c r="C585" s="95">
        <v>8431</v>
      </c>
      <c r="D585" s="95">
        <v>11677</v>
      </c>
      <c r="E585" s="95">
        <v>20108</v>
      </c>
      <c r="F585" s="95">
        <v>229111573</v>
      </c>
      <c r="G585" s="95">
        <v>390321209</v>
      </c>
      <c r="H585" s="95">
        <v>619432781</v>
      </c>
      <c r="I585" s="91" t="s">
        <v>585</v>
      </c>
      <c r="J585" s="91" t="s">
        <v>89</v>
      </c>
      <c r="K585" s="94">
        <v>679837</v>
      </c>
      <c r="L585" s="91" t="s">
        <v>521</v>
      </c>
      <c r="M585" s="2"/>
      <c r="N585" s="2"/>
      <c r="O585" s="4"/>
    </row>
    <row r="586" spans="1:15" x14ac:dyDescent="0.2">
      <c r="A586" s="91" t="s">
        <v>38</v>
      </c>
      <c r="B586" s="91" t="s">
        <v>835</v>
      </c>
      <c r="C586" s="95">
        <v>21</v>
      </c>
      <c r="D586" s="95">
        <v>50</v>
      </c>
      <c r="E586" s="95">
        <v>71</v>
      </c>
      <c r="F586" s="95">
        <v>949750</v>
      </c>
      <c r="G586" s="95">
        <v>2271396</v>
      </c>
      <c r="H586" s="95">
        <v>3221145</v>
      </c>
      <c r="I586" s="91" t="s">
        <v>485</v>
      </c>
      <c r="J586" s="91" t="s">
        <v>89</v>
      </c>
      <c r="K586" s="94">
        <v>681486</v>
      </c>
      <c r="L586" s="91" t="s">
        <v>12</v>
      </c>
      <c r="M586" s="2"/>
      <c r="N586" s="2"/>
      <c r="O586" s="4"/>
    </row>
    <row r="587" spans="1:15" x14ac:dyDescent="0.2">
      <c r="A587" s="91" t="s">
        <v>121</v>
      </c>
      <c r="B587" s="91" t="s">
        <v>440</v>
      </c>
      <c r="C587" s="95">
        <v>38</v>
      </c>
      <c r="D587" s="95">
        <v>74</v>
      </c>
      <c r="E587" s="95">
        <v>112</v>
      </c>
      <c r="F587" s="95">
        <v>1089063</v>
      </c>
      <c r="G587" s="95">
        <v>2287213</v>
      </c>
      <c r="H587" s="95">
        <v>3376276</v>
      </c>
      <c r="I587" s="91" t="s">
        <v>485</v>
      </c>
      <c r="J587" s="91" t="s">
        <v>89</v>
      </c>
      <c r="K587" s="94">
        <v>681544</v>
      </c>
      <c r="L587" s="91" t="s">
        <v>439</v>
      </c>
      <c r="M587" s="2"/>
      <c r="N587" s="2"/>
      <c r="O587" s="4"/>
    </row>
    <row r="588" spans="1:15" x14ac:dyDescent="0.2">
      <c r="A588" s="91" t="s">
        <v>515</v>
      </c>
      <c r="B588" s="91" t="s">
        <v>639</v>
      </c>
      <c r="C588" s="95">
        <v>123350</v>
      </c>
      <c r="D588" s="95">
        <v>131374</v>
      </c>
      <c r="E588" s="95">
        <v>254724</v>
      </c>
      <c r="F588" s="95">
        <v>6687546396</v>
      </c>
      <c r="G588" s="95">
        <v>8934872225</v>
      </c>
      <c r="H588" s="95">
        <v>15622418621</v>
      </c>
      <c r="I588" s="91" t="s">
        <v>585</v>
      </c>
      <c r="J588" s="91" t="s">
        <v>89</v>
      </c>
      <c r="K588" s="94">
        <v>681783</v>
      </c>
      <c r="L588" s="91" t="s">
        <v>633</v>
      </c>
      <c r="M588" s="2"/>
      <c r="N588" s="2"/>
      <c r="O588" s="4"/>
    </row>
    <row r="589" spans="1:15" x14ac:dyDescent="0.2">
      <c r="A589" s="91" t="s">
        <v>38</v>
      </c>
      <c r="B589" s="91" t="s">
        <v>922</v>
      </c>
      <c r="C589" s="95">
        <v>148</v>
      </c>
      <c r="D589" s="95">
        <v>385</v>
      </c>
      <c r="E589" s="95">
        <v>533</v>
      </c>
      <c r="F589" s="95">
        <v>4111698</v>
      </c>
      <c r="G589" s="95">
        <v>14349918</v>
      </c>
      <c r="H589" s="95">
        <v>18461616</v>
      </c>
      <c r="I589" s="91" t="s">
        <v>485</v>
      </c>
      <c r="J589" s="91" t="s">
        <v>89</v>
      </c>
      <c r="K589" s="94">
        <v>682070</v>
      </c>
      <c r="L589" s="91" t="s">
        <v>1096</v>
      </c>
      <c r="M589" s="2"/>
      <c r="N589" s="2"/>
      <c r="O589" s="4"/>
    </row>
    <row r="590" spans="1:15" x14ac:dyDescent="0.2">
      <c r="A590" s="91" t="s">
        <v>412</v>
      </c>
      <c r="B590" s="91" t="s">
        <v>80</v>
      </c>
      <c r="C590" s="95">
        <v>2514</v>
      </c>
      <c r="D590" s="95">
        <v>2284</v>
      </c>
      <c r="E590" s="95">
        <v>4798</v>
      </c>
      <c r="F590" s="95">
        <v>86579690</v>
      </c>
      <c r="G590" s="95">
        <v>92341333</v>
      </c>
      <c r="H590" s="95">
        <v>178921023</v>
      </c>
      <c r="I590" s="91" t="s">
        <v>485</v>
      </c>
      <c r="J590" s="91" t="s">
        <v>90</v>
      </c>
      <c r="K590" s="94">
        <v>682377</v>
      </c>
      <c r="L590" s="91" t="s">
        <v>521</v>
      </c>
      <c r="M590" s="2"/>
      <c r="N590" s="2"/>
      <c r="O590" s="4"/>
    </row>
    <row r="591" spans="1:15" x14ac:dyDescent="0.2">
      <c r="A591" s="91" t="s">
        <v>562</v>
      </c>
      <c r="B591" s="91" t="s">
        <v>780</v>
      </c>
      <c r="C591" s="95">
        <v>508</v>
      </c>
      <c r="D591" s="95">
        <v>1000</v>
      </c>
      <c r="E591" s="95">
        <v>1508</v>
      </c>
      <c r="F591" s="95">
        <v>19792564</v>
      </c>
      <c r="G591" s="95">
        <v>43800501</v>
      </c>
      <c r="H591" s="95">
        <v>63593065</v>
      </c>
      <c r="I591" s="91" t="s">
        <v>585</v>
      </c>
      <c r="J591" s="91" t="s">
        <v>89</v>
      </c>
      <c r="K591" s="94">
        <v>683318</v>
      </c>
      <c r="L591" s="91" t="s">
        <v>528</v>
      </c>
      <c r="M591" s="2"/>
      <c r="N591" s="2"/>
      <c r="O591" s="4"/>
    </row>
    <row r="592" spans="1:15" x14ac:dyDescent="0.2">
      <c r="A592" s="91" t="s">
        <v>38</v>
      </c>
      <c r="B592" s="91" t="s">
        <v>44</v>
      </c>
      <c r="C592" s="95">
        <v>20235</v>
      </c>
      <c r="D592" s="95">
        <v>18050</v>
      </c>
      <c r="E592" s="95">
        <v>38285</v>
      </c>
      <c r="F592" s="95">
        <v>524207044</v>
      </c>
      <c r="G592" s="95">
        <v>564316926</v>
      </c>
      <c r="H592" s="95">
        <v>1088523970</v>
      </c>
      <c r="I592" s="91" t="s">
        <v>585</v>
      </c>
      <c r="J592" s="91" t="s">
        <v>89</v>
      </c>
      <c r="K592" s="94">
        <v>686030</v>
      </c>
      <c r="L592" s="91" t="s">
        <v>133</v>
      </c>
      <c r="M592" s="2"/>
      <c r="N592" s="2"/>
      <c r="O592" s="4"/>
    </row>
    <row r="593" spans="1:15" x14ac:dyDescent="0.2">
      <c r="A593" s="91" t="s">
        <v>72</v>
      </c>
      <c r="B593" s="91" t="s">
        <v>106</v>
      </c>
      <c r="C593" s="95">
        <v>240</v>
      </c>
      <c r="D593" s="95">
        <v>312</v>
      </c>
      <c r="E593" s="95">
        <v>552</v>
      </c>
      <c r="F593" s="95">
        <v>6417909</v>
      </c>
      <c r="G593" s="95">
        <v>11188124</v>
      </c>
      <c r="H593" s="95">
        <v>17606033</v>
      </c>
      <c r="I593" s="91" t="s">
        <v>485</v>
      </c>
      <c r="J593" s="91" t="s">
        <v>89</v>
      </c>
      <c r="K593" s="94">
        <v>686626</v>
      </c>
      <c r="L593" s="91" t="s">
        <v>61</v>
      </c>
      <c r="M593" s="2"/>
      <c r="N593" s="2"/>
      <c r="O593" s="4"/>
    </row>
    <row r="594" spans="1:15" x14ac:dyDescent="0.2">
      <c r="A594" s="91" t="s">
        <v>227</v>
      </c>
      <c r="B594" s="91" t="s">
        <v>744</v>
      </c>
      <c r="C594" s="95">
        <v>738</v>
      </c>
      <c r="D594" s="95">
        <v>1501</v>
      </c>
      <c r="E594" s="95">
        <v>2239</v>
      </c>
      <c r="F594" s="95">
        <v>44992277</v>
      </c>
      <c r="G594" s="95">
        <v>112436071</v>
      </c>
      <c r="H594" s="95">
        <v>157428348</v>
      </c>
      <c r="I594" s="91" t="s">
        <v>585</v>
      </c>
      <c r="J594" s="91" t="s">
        <v>91</v>
      </c>
      <c r="K594" s="94">
        <v>686972</v>
      </c>
      <c r="L594" s="91" t="s">
        <v>569</v>
      </c>
      <c r="M594" s="2"/>
      <c r="N594" s="2"/>
      <c r="O594" s="4"/>
    </row>
    <row r="595" spans="1:15" x14ac:dyDescent="0.2">
      <c r="A595" s="91" t="s">
        <v>202</v>
      </c>
      <c r="B595" s="91" t="s">
        <v>146</v>
      </c>
      <c r="C595" s="95">
        <v>532</v>
      </c>
      <c r="D595" s="95">
        <v>698</v>
      </c>
      <c r="E595" s="95">
        <v>1230</v>
      </c>
      <c r="F595" s="95">
        <v>15768876</v>
      </c>
      <c r="G595" s="95">
        <v>25598654</v>
      </c>
      <c r="H595" s="95">
        <v>41367530</v>
      </c>
      <c r="I595" s="91" t="s">
        <v>485</v>
      </c>
      <c r="J595" s="91" t="s">
        <v>89</v>
      </c>
      <c r="K595" s="94">
        <v>688986</v>
      </c>
      <c r="L595" s="91" t="s">
        <v>320</v>
      </c>
      <c r="M595" s="2"/>
      <c r="N595" s="2"/>
      <c r="O595" s="4"/>
    </row>
    <row r="596" spans="1:15" x14ac:dyDescent="0.2">
      <c r="A596" s="91" t="s">
        <v>515</v>
      </c>
      <c r="B596" s="91" t="s">
        <v>525</v>
      </c>
      <c r="C596" s="95">
        <v>6745</v>
      </c>
      <c r="D596" s="95">
        <v>7329</v>
      </c>
      <c r="E596" s="95">
        <v>14074</v>
      </c>
      <c r="F596" s="95">
        <v>275484439</v>
      </c>
      <c r="G596" s="95">
        <v>361742980</v>
      </c>
      <c r="H596" s="95">
        <v>637227419</v>
      </c>
      <c r="I596" s="91" t="s">
        <v>585</v>
      </c>
      <c r="J596" s="91" t="s">
        <v>89</v>
      </c>
      <c r="K596" s="94">
        <v>690289</v>
      </c>
      <c r="L596" s="91" t="s">
        <v>524</v>
      </c>
      <c r="M596" s="2"/>
      <c r="N596" s="2"/>
      <c r="O596" s="4"/>
    </row>
    <row r="597" spans="1:15" x14ac:dyDescent="0.2">
      <c r="A597" s="91" t="s">
        <v>478</v>
      </c>
      <c r="B597" s="91" t="s">
        <v>648</v>
      </c>
      <c r="C597" s="95">
        <v>341</v>
      </c>
      <c r="D597" s="95">
        <v>480</v>
      </c>
      <c r="E597" s="95">
        <v>821</v>
      </c>
      <c r="F597" s="95">
        <v>12478243</v>
      </c>
      <c r="G597" s="95">
        <v>20127084</v>
      </c>
      <c r="H597" s="95">
        <v>32605327</v>
      </c>
      <c r="I597" s="91" t="s">
        <v>485</v>
      </c>
      <c r="J597" s="91" t="s">
        <v>90</v>
      </c>
      <c r="K597" s="94">
        <v>690636</v>
      </c>
      <c r="L597" s="91" t="s">
        <v>271</v>
      </c>
      <c r="M597" s="2"/>
      <c r="N597" s="2"/>
      <c r="O597" s="4"/>
    </row>
    <row r="598" spans="1:15" x14ac:dyDescent="0.2">
      <c r="A598" s="91" t="s">
        <v>109</v>
      </c>
      <c r="B598" s="91" t="s">
        <v>155</v>
      </c>
      <c r="C598" s="95">
        <v>9</v>
      </c>
      <c r="D598" s="95">
        <v>20</v>
      </c>
      <c r="E598" s="95">
        <v>29</v>
      </c>
      <c r="F598" s="95">
        <v>419625</v>
      </c>
      <c r="G598" s="95">
        <v>663360</v>
      </c>
      <c r="H598" s="95">
        <v>1082984</v>
      </c>
      <c r="I598" s="91" t="s">
        <v>485</v>
      </c>
      <c r="J598" s="91" t="s">
        <v>89</v>
      </c>
      <c r="K598" s="94">
        <v>690693</v>
      </c>
      <c r="L598" s="91" t="s">
        <v>320</v>
      </c>
      <c r="M598" s="2"/>
      <c r="N598" s="2"/>
      <c r="O598" s="4"/>
    </row>
    <row r="599" spans="1:15" x14ac:dyDescent="0.2">
      <c r="A599" s="91" t="s">
        <v>227</v>
      </c>
      <c r="B599" s="91" t="s">
        <v>742</v>
      </c>
      <c r="C599" s="95">
        <v>477</v>
      </c>
      <c r="D599" s="95">
        <v>966</v>
      </c>
      <c r="E599" s="95">
        <v>1443</v>
      </c>
      <c r="F599" s="95">
        <v>49503251</v>
      </c>
      <c r="G599" s="95">
        <v>123442961</v>
      </c>
      <c r="H599" s="95">
        <v>172946211</v>
      </c>
      <c r="I599" s="91" t="s">
        <v>585</v>
      </c>
      <c r="J599" s="91" t="s">
        <v>91</v>
      </c>
      <c r="K599" s="94">
        <v>691220</v>
      </c>
      <c r="L599" s="91" t="s">
        <v>740</v>
      </c>
      <c r="M599" s="2"/>
      <c r="N599" s="2"/>
      <c r="O599" s="4"/>
    </row>
    <row r="600" spans="1:15" x14ac:dyDescent="0.2">
      <c r="A600" s="91" t="s">
        <v>559</v>
      </c>
      <c r="B600" s="91" t="s">
        <v>706</v>
      </c>
      <c r="C600" s="95">
        <v>3747</v>
      </c>
      <c r="D600" s="95">
        <v>4155</v>
      </c>
      <c r="E600" s="95">
        <v>7902</v>
      </c>
      <c r="F600" s="95">
        <v>164204776</v>
      </c>
      <c r="G600" s="95">
        <v>218812737</v>
      </c>
      <c r="H600" s="95">
        <v>383017513</v>
      </c>
      <c r="I600" s="91" t="s">
        <v>585</v>
      </c>
      <c r="J600" s="91" t="s">
        <v>89</v>
      </c>
      <c r="K600" s="94">
        <v>694539</v>
      </c>
      <c r="L600" s="91" t="s">
        <v>871</v>
      </c>
      <c r="M600" s="2"/>
      <c r="N600" s="2"/>
      <c r="O600" s="4"/>
    </row>
    <row r="601" spans="1:15" x14ac:dyDescent="0.2">
      <c r="A601" s="91" t="s">
        <v>227</v>
      </c>
      <c r="B601" s="91" t="s">
        <v>977</v>
      </c>
      <c r="C601" s="95">
        <v>23</v>
      </c>
      <c r="D601" s="95">
        <v>34</v>
      </c>
      <c r="E601" s="95">
        <v>57</v>
      </c>
      <c r="F601" s="95">
        <v>868634</v>
      </c>
      <c r="G601" s="95">
        <v>1419758</v>
      </c>
      <c r="H601" s="95">
        <v>2288392</v>
      </c>
      <c r="I601" s="91" t="s">
        <v>485</v>
      </c>
      <c r="J601" s="91" t="s">
        <v>91</v>
      </c>
      <c r="K601" s="94">
        <v>694828</v>
      </c>
      <c r="L601" s="91" t="s">
        <v>299</v>
      </c>
      <c r="M601" s="2"/>
      <c r="N601" s="2"/>
      <c r="O601" s="4"/>
    </row>
    <row r="602" spans="1:15" x14ac:dyDescent="0.2">
      <c r="A602" s="91" t="s">
        <v>565</v>
      </c>
      <c r="B602" s="91" t="s">
        <v>908</v>
      </c>
      <c r="C602" s="95">
        <v>128</v>
      </c>
      <c r="D602" s="95">
        <v>120</v>
      </c>
      <c r="E602" s="95">
        <v>248</v>
      </c>
      <c r="F602" s="95">
        <v>14161407</v>
      </c>
      <c r="G602" s="95">
        <v>14224796</v>
      </c>
      <c r="H602" s="95">
        <v>28386203</v>
      </c>
      <c r="I602" s="91" t="s">
        <v>585</v>
      </c>
      <c r="J602" s="91" t="s">
        <v>89</v>
      </c>
      <c r="K602" s="94">
        <v>696658</v>
      </c>
      <c r="L602" s="91" t="s">
        <v>323</v>
      </c>
      <c r="M602" s="2"/>
      <c r="N602" s="2"/>
      <c r="O602" s="4"/>
    </row>
    <row r="603" spans="1:15" x14ac:dyDescent="0.2">
      <c r="A603" s="91" t="s">
        <v>38</v>
      </c>
      <c r="B603" s="91" t="s">
        <v>434</v>
      </c>
      <c r="C603" s="95">
        <v>176</v>
      </c>
      <c r="D603" s="95">
        <v>268</v>
      </c>
      <c r="E603" s="95">
        <v>444</v>
      </c>
      <c r="F603" s="95">
        <v>6158096</v>
      </c>
      <c r="G603" s="95">
        <v>10880643</v>
      </c>
      <c r="H603" s="95">
        <v>17038739</v>
      </c>
      <c r="I603" s="91" t="s">
        <v>485</v>
      </c>
      <c r="J603" s="91" t="s">
        <v>89</v>
      </c>
      <c r="K603" s="94">
        <v>696898</v>
      </c>
      <c r="L603" s="91" t="s">
        <v>591</v>
      </c>
      <c r="M603" s="2"/>
      <c r="N603" s="2"/>
      <c r="O603" s="4"/>
    </row>
    <row r="604" spans="1:15" x14ac:dyDescent="0.2">
      <c r="A604" s="91" t="s">
        <v>469</v>
      </c>
      <c r="B604" s="91" t="s">
        <v>798</v>
      </c>
      <c r="C604" s="95">
        <v>16082</v>
      </c>
      <c r="D604" s="95">
        <v>17549</v>
      </c>
      <c r="E604" s="95">
        <v>33631</v>
      </c>
      <c r="F604" s="95">
        <v>323352856</v>
      </c>
      <c r="G604" s="95">
        <v>449099968</v>
      </c>
      <c r="H604" s="95">
        <v>772452824</v>
      </c>
      <c r="I604" s="91" t="s">
        <v>485</v>
      </c>
      <c r="J604" s="91" t="s">
        <v>90</v>
      </c>
      <c r="K604" s="94">
        <v>700310</v>
      </c>
      <c r="L604" s="91" t="s">
        <v>596</v>
      </c>
      <c r="M604" s="2"/>
      <c r="N604" s="2"/>
      <c r="O604" s="4"/>
    </row>
    <row r="605" spans="1:15" x14ac:dyDescent="0.2">
      <c r="A605" s="91" t="s">
        <v>180</v>
      </c>
      <c r="B605" s="91" t="s">
        <v>716</v>
      </c>
      <c r="C605" s="95">
        <v>2902</v>
      </c>
      <c r="D605" s="95">
        <v>4289</v>
      </c>
      <c r="E605" s="95">
        <v>7191</v>
      </c>
      <c r="F605" s="95">
        <v>91846382</v>
      </c>
      <c r="G605" s="95">
        <v>182330051</v>
      </c>
      <c r="H605" s="95">
        <v>274176434</v>
      </c>
      <c r="I605" s="91" t="s">
        <v>585</v>
      </c>
      <c r="J605" s="91" t="s">
        <v>89</v>
      </c>
      <c r="K605" s="94">
        <v>705806</v>
      </c>
      <c r="L605" s="91" t="s">
        <v>717</v>
      </c>
      <c r="M605" s="2"/>
      <c r="N605" s="2"/>
      <c r="O605" s="4"/>
    </row>
    <row r="606" spans="1:15" x14ac:dyDescent="0.2">
      <c r="A606" s="91" t="s">
        <v>258</v>
      </c>
      <c r="B606" s="91" t="s">
        <v>367</v>
      </c>
      <c r="C606" s="95">
        <v>9362</v>
      </c>
      <c r="D606" s="95">
        <v>7958</v>
      </c>
      <c r="E606" s="95">
        <v>17320</v>
      </c>
      <c r="F606" s="95">
        <v>667051217</v>
      </c>
      <c r="G606" s="95">
        <v>712734321</v>
      </c>
      <c r="H606" s="95">
        <v>1379785539</v>
      </c>
      <c r="I606" s="91" t="s">
        <v>585</v>
      </c>
      <c r="J606" s="91" t="s">
        <v>92</v>
      </c>
      <c r="K606" s="94">
        <v>707281</v>
      </c>
      <c r="L606" s="91" t="s">
        <v>1035</v>
      </c>
      <c r="M606" s="2"/>
      <c r="N606" s="2"/>
      <c r="O606" s="4"/>
    </row>
    <row r="607" spans="1:15" x14ac:dyDescent="0.2">
      <c r="A607" s="91" t="s">
        <v>38</v>
      </c>
      <c r="B607" s="91" t="s">
        <v>1117</v>
      </c>
      <c r="C607" s="95">
        <v>780</v>
      </c>
      <c r="D607" s="95">
        <v>800</v>
      </c>
      <c r="E607" s="95">
        <v>1580</v>
      </c>
      <c r="F607" s="95">
        <v>15590008</v>
      </c>
      <c r="G607" s="95">
        <v>19118085</v>
      </c>
      <c r="H607" s="95">
        <v>34708093</v>
      </c>
      <c r="I607" s="91" t="s">
        <v>485</v>
      </c>
      <c r="J607" s="91" t="s">
        <v>89</v>
      </c>
      <c r="K607" s="94">
        <v>707638</v>
      </c>
      <c r="L607" s="91" t="s">
        <v>636</v>
      </c>
      <c r="M607" s="2"/>
      <c r="N607" s="2"/>
      <c r="O607" s="4"/>
    </row>
    <row r="608" spans="1:15" x14ac:dyDescent="0.2">
      <c r="A608" s="91" t="s">
        <v>227</v>
      </c>
      <c r="B608" s="91" t="s">
        <v>980</v>
      </c>
      <c r="C608" s="95">
        <v>9</v>
      </c>
      <c r="D608" s="95">
        <v>11</v>
      </c>
      <c r="E608" s="95">
        <v>20</v>
      </c>
      <c r="F608" s="95">
        <v>1040588</v>
      </c>
      <c r="G608" s="95">
        <v>904997</v>
      </c>
      <c r="H608" s="95">
        <v>1945585</v>
      </c>
      <c r="I608" s="91" t="s">
        <v>585</v>
      </c>
      <c r="J608" s="91" t="s">
        <v>91</v>
      </c>
      <c r="K608" s="94">
        <v>711820</v>
      </c>
      <c r="L608" s="91" t="s">
        <v>303</v>
      </c>
      <c r="M608" s="2"/>
      <c r="N608" s="2"/>
      <c r="O608" s="4"/>
    </row>
    <row r="609" spans="1:15" x14ac:dyDescent="0.2">
      <c r="A609" s="91" t="s">
        <v>157</v>
      </c>
      <c r="B609" s="91" t="s">
        <v>130</v>
      </c>
      <c r="C609" s="95">
        <v>1707</v>
      </c>
      <c r="D609" s="95">
        <v>2319</v>
      </c>
      <c r="E609" s="95">
        <v>4026</v>
      </c>
      <c r="F609" s="95">
        <v>35080267</v>
      </c>
      <c r="G609" s="95">
        <v>61169768</v>
      </c>
      <c r="H609" s="95">
        <v>96250034</v>
      </c>
      <c r="I609" s="91" t="s">
        <v>585</v>
      </c>
      <c r="J609" s="91" t="s">
        <v>89</v>
      </c>
      <c r="K609" s="94">
        <v>715664</v>
      </c>
      <c r="L609" s="91" t="s">
        <v>521</v>
      </c>
      <c r="M609" s="2"/>
      <c r="N609" s="2"/>
      <c r="O609" s="4"/>
    </row>
    <row r="610" spans="1:15" x14ac:dyDescent="0.2">
      <c r="A610" s="91" t="s">
        <v>227</v>
      </c>
      <c r="B610" s="91" t="s">
        <v>832</v>
      </c>
      <c r="C610" s="95">
        <v>6</v>
      </c>
      <c r="D610" s="95">
        <v>22</v>
      </c>
      <c r="E610" s="95">
        <v>28</v>
      </c>
      <c r="F610" s="95">
        <v>192195</v>
      </c>
      <c r="G610" s="95">
        <v>921206</v>
      </c>
      <c r="H610" s="95">
        <v>1113400</v>
      </c>
      <c r="I610" s="91" t="s">
        <v>485</v>
      </c>
      <c r="J610" s="91" t="s">
        <v>91</v>
      </c>
      <c r="K610" s="94">
        <v>717314</v>
      </c>
      <c r="L610" s="91" t="s">
        <v>12</v>
      </c>
      <c r="M610" s="2"/>
      <c r="N610" s="2"/>
      <c r="O610" s="4"/>
    </row>
    <row r="611" spans="1:15" x14ac:dyDescent="0.2">
      <c r="A611" s="91" t="s">
        <v>157</v>
      </c>
      <c r="B611" s="91" t="s">
        <v>1042</v>
      </c>
      <c r="C611" s="95">
        <v>11</v>
      </c>
      <c r="D611" s="95">
        <v>31</v>
      </c>
      <c r="E611" s="95">
        <v>42</v>
      </c>
      <c r="F611" s="95">
        <v>236807</v>
      </c>
      <c r="G611" s="95">
        <v>805387</v>
      </c>
      <c r="H611" s="95">
        <v>1042194</v>
      </c>
      <c r="I611" s="91" t="s">
        <v>485</v>
      </c>
      <c r="J611" s="91" t="s">
        <v>89</v>
      </c>
      <c r="K611" s="94">
        <v>717371</v>
      </c>
      <c r="L611" s="91" t="s">
        <v>439</v>
      </c>
      <c r="M611" s="2"/>
      <c r="N611" s="2"/>
      <c r="O611" s="4"/>
    </row>
    <row r="612" spans="1:15" x14ac:dyDescent="0.2">
      <c r="A612" s="91" t="s">
        <v>109</v>
      </c>
      <c r="B612" s="91" t="s">
        <v>118</v>
      </c>
      <c r="C612" s="95">
        <v>2097</v>
      </c>
      <c r="D612" s="95">
        <v>3326</v>
      </c>
      <c r="E612" s="95">
        <v>5423</v>
      </c>
      <c r="F612" s="95">
        <v>55006848</v>
      </c>
      <c r="G612" s="95">
        <v>107226475</v>
      </c>
      <c r="H612" s="95">
        <v>162233323</v>
      </c>
      <c r="I612" s="91" t="s">
        <v>485</v>
      </c>
      <c r="J612" s="91" t="s">
        <v>89</v>
      </c>
      <c r="K612" s="94">
        <v>717496</v>
      </c>
      <c r="L612" s="91" t="s">
        <v>606</v>
      </c>
      <c r="M612" s="2"/>
      <c r="N612" s="2"/>
      <c r="O612" s="4"/>
    </row>
    <row r="613" spans="1:15" x14ac:dyDescent="0.2">
      <c r="A613" s="91" t="s">
        <v>368</v>
      </c>
      <c r="B613" s="91" t="s">
        <v>385</v>
      </c>
      <c r="C613" s="95">
        <v>14972</v>
      </c>
      <c r="D613" s="95">
        <v>11026</v>
      </c>
      <c r="E613" s="95">
        <v>25998</v>
      </c>
      <c r="F613" s="95">
        <v>476806955</v>
      </c>
      <c r="G613" s="95">
        <v>426676366</v>
      </c>
      <c r="H613" s="95">
        <v>903483321</v>
      </c>
      <c r="I613" s="91" t="s">
        <v>585</v>
      </c>
      <c r="J613" s="91" t="s">
        <v>90</v>
      </c>
      <c r="K613" s="94">
        <v>717611</v>
      </c>
      <c r="L613" s="91" t="s">
        <v>133</v>
      </c>
      <c r="M613" s="2"/>
      <c r="N613" s="2"/>
      <c r="O613" s="4"/>
    </row>
    <row r="614" spans="1:15" x14ac:dyDescent="0.2">
      <c r="A614" s="91" t="s">
        <v>478</v>
      </c>
      <c r="B614" s="91" t="s">
        <v>920</v>
      </c>
      <c r="C614" s="95">
        <v>22</v>
      </c>
      <c r="D614" s="95">
        <v>30</v>
      </c>
      <c r="E614" s="95">
        <v>52</v>
      </c>
      <c r="F614" s="95">
        <v>658899</v>
      </c>
      <c r="G614" s="95">
        <v>1265025</v>
      </c>
      <c r="H614" s="95">
        <v>1923924</v>
      </c>
      <c r="I614" s="91" t="s">
        <v>485</v>
      </c>
      <c r="J614" s="91" t="s">
        <v>90</v>
      </c>
      <c r="K614" s="94">
        <v>717900</v>
      </c>
      <c r="L614" s="91" t="s">
        <v>1096</v>
      </c>
      <c r="M614" s="2"/>
      <c r="N614" s="2"/>
      <c r="O614" s="4"/>
    </row>
    <row r="615" spans="1:15" x14ac:dyDescent="0.2">
      <c r="A615" s="91" t="s">
        <v>368</v>
      </c>
      <c r="B615" s="91" t="s">
        <v>81</v>
      </c>
      <c r="C615" s="95">
        <v>3755</v>
      </c>
      <c r="D615" s="95">
        <v>2989</v>
      </c>
      <c r="E615" s="95">
        <v>6744</v>
      </c>
      <c r="F615" s="95">
        <v>140143715</v>
      </c>
      <c r="G615" s="95">
        <v>146790692</v>
      </c>
      <c r="H615" s="95">
        <v>286934407</v>
      </c>
      <c r="I615" s="91" t="s">
        <v>485</v>
      </c>
      <c r="J615" s="91" t="s">
        <v>90</v>
      </c>
      <c r="K615" s="94">
        <v>718205</v>
      </c>
      <c r="L615" s="91" t="s">
        <v>521</v>
      </c>
      <c r="M615" s="2"/>
      <c r="N615" s="2"/>
      <c r="O615" s="4"/>
    </row>
    <row r="616" spans="1:15" x14ac:dyDescent="0.2">
      <c r="A616" s="91" t="s">
        <v>559</v>
      </c>
      <c r="B616" s="91" t="s">
        <v>1063</v>
      </c>
      <c r="C616" s="95">
        <v>440</v>
      </c>
      <c r="D616" s="95">
        <v>763</v>
      </c>
      <c r="E616" s="95">
        <v>1203</v>
      </c>
      <c r="F616" s="95">
        <v>16241119</v>
      </c>
      <c r="G616" s="95">
        <v>36383439</v>
      </c>
      <c r="H616" s="95">
        <v>52624558</v>
      </c>
      <c r="I616" s="91" t="s">
        <v>485</v>
      </c>
      <c r="J616" s="91" t="s">
        <v>89</v>
      </c>
      <c r="K616" s="94">
        <v>721035</v>
      </c>
      <c r="L616" s="91" t="s">
        <v>594</v>
      </c>
      <c r="M616" s="2"/>
      <c r="N616" s="2"/>
      <c r="O616" s="4"/>
    </row>
    <row r="617" spans="1:15" x14ac:dyDescent="0.2">
      <c r="A617" s="91" t="s">
        <v>478</v>
      </c>
      <c r="B617" s="91" t="s">
        <v>728</v>
      </c>
      <c r="C617" s="95">
        <v>1471</v>
      </c>
      <c r="D617" s="95">
        <v>2067</v>
      </c>
      <c r="E617" s="95">
        <v>3538</v>
      </c>
      <c r="F617" s="95">
        <v>43133826</v>
      </c>
      <c r="G617" s="95">
        <v>74315058</v>
      </c>
      <c r="H617" s="95">
        <v>117448884</v>
      </c>
      <c r="I617" s="91" t="s">
        <v>485</v>
      </c>
      <c r="J617" s="91" t="s">
        <v>90</v>
      </c>
      <c r="K617" s="94">
        <v>721746</v>
      </c>
      <c r="L617" s="91" t="s">
        <v>584</v>
      </c>
      <c r="M617" s="2"/>
      <c r="N617" s="2"/>
      <c r="O617" s="4"/>
    </row>
    <row r="618" spans="1:15" x14ac:dyDescent="0.2">
      <c r="A618" s="91" t="s">
        <v>515</v>
      </c>
      <c r="B618" s="91" t="s">
        <v>557</v>
      </c>
      <c r="C618" s="95">
        <v>23300</v>
      </c>
      <c r="D618" s="95">
        <v>22668</v>
      </c>
      <c r="E618" s="95">
        <v>45968</v>
      </c>
      <c r="F618" s="95">
        <v>959226191</v>
      </c>
      <c r="G618" s="95">
        <v>1142208288</v>
      </c>
      <c r="H618" s="95">
        <v>2101434479</v>
      </c>
      <c r="I618" s="91" t="s">
        <v>585</v>
      </c>
      <c r="J618" s="91" t="s">
        <v>89</v>
      </c>
      <c r="K618" s="94">
        <v>721860</v>
      </c>
      <c r="L618" s="91" t="s">
        <v>133</v>
      </c>
      <c r="M618" s="2"/>
      <c r="N618" s="2"/>
      <c r="O618" s="4"/>
    </row>
    <row r="619" spans="1:15" x14ac:dyDescent="0.2">
      <c r="A619" s="91" t="s">
        <v>227</v>
      </c>
      <c r="B619" s="91" t="s">
        <v>241</v>
      </c>
      <c r="C619" s="95">
        <v>805</v>
      </c>
      <c r="D619" s="95">
        <v>783</v>
      </c>
      <c r="E619" s="95">
        <v>1588</v>
      </c>
      <c r="F619" s="95">
        <v>17563608</v>
      </c>
      <c r="G619" s="95">
        <v>20845823</v>
      </c>
      <c r="H619" s="95">
        <v>38409431</v>
      </c>
      <c r="I619" s="91" t="s">
        <v>485</v>
      </c>
      <c r="J619" s="91" t="s">
        <v>91</v>
      </c>
      <c r="K619" s="94">
        <v>722454</v>
      </c>
      <c r="L619" s="91" t="s">
        <v>61</v>
      </c>
      <c r="M619" s="2"/>
      <c r="N619" s="2"/>
      <c r="O619" s="4"/>
    </row>
    <row r="620" spans="1:15" x14ac:dyDescent="0.2">
      <c r="A620" s="91" t="s">
        <v>180</v>
      </c>
      <c r="B620" s="91" t="s">
        <v>107</v>
      </c>
      <c r="C620" s="95">
        <v>5568</v>
      </c>
      <c r="D620" s="95">
        <v>7949</v>
      </c>
      <c r="E620" s="95">
        <v>13517</v>
      </c>
      <c r="F620" s="95">
        <v>151835130</v>
      </c>
      <c r="G620" s="95">
        <v>286946963</v>
      </c>
      <c r="H620" s="95">
        <v>438782093</v>
      </c>
      <c r="I620" s="91" t="s">
        <v>585</v>
      </c>
      <c r="J620" s="91" t="s">
        <v>89</v>
      </c>
      <c r="K620" s="94">
        <v>722983</v>
      </c>
      <c r="L620" s="91" t="s">
        <v>27</v>
      </c>
      <c r="M620" s="2"/>
      <c r="N620" s="2"/>
      <c r="O620" s="4"/>
    </row>
    <row r="621" spans="1:15" x14ac:dyDescent="0.2">
      <c r="A621" s="91" t="s">
        <v>38</v>
      </c>
      <c r="B621" s="91" t="s">
        <v>315</v>
      </c>
      <c r="C621" s="95">
        <v>14</v>
      </c>
      <c r="D621" s="95">
        <v>25</v>
      </c>
      <c r="E621" s="95">
        <v>39</v>
      </c>
      <c r="F621" s="95">
        <v>290274</v>
      </c>
      <c r="G621" s="95">
        <v>881823</v>
      </c>
      <c r="H621" s="95">
        <v>1172097</v>
      </c>
      <c r="I621" s="91" t="s">
        <v>485</v>
      </c>
      <c r="J621" s="91" t="s">
        <v>89</v>
      </c>
      <c r="K621" s="94">
        <v>724633</v>
      </c>
      <c r="L621" s="91" t="s">
        <v>36</v>
      </c>
      <c r="M621" s="2"/>
      <c r="N621" s="2"/>
      <c r="O621" s="4"/>
    </row>
    <row r="622" spans="1:15" x14ac:dyDescent="0.2">
      <c r="A622" s="91" t="s">
        <v>207</v>
      </c>
      <c r="B622" s="91" t="s">
        <v>656</v>
      </c>
      <c r="C622" s="95">
        <v>281</v>
      </c>
      <c r="D622" s="95">
        <v>572</v>
      </c>
      <c r="E622" s="95">
        <v>853</v>
      </c>
      <c r="F622" s="95">
        <v>9390504</v>
      </c>
      <c r="G622" s="95">
        <v>23469616</v>
      </c>
      <c r="H622" s="95">
        <v>32860120</v>
      </c>
      <c r="I622" s="91" t="s">
        <v>485</v>
      </c>
      <c r="J622" s="91" t="s">
        <v>89</v>
      </c>
      <c r="K622" s="94">
        <v>724690</v>
      </c>
      <c r="L622" s="91" t="s">
        <v>270</v>
      </c>
      <c r="M622" s="2"/>
      <c r="N622" s="2"/>
      <c r="O622" s="4"/>
    </row>
    <row r="623" spans="1:15" x14ac:dyDescent="0.2">
      <c r="A623" s="91" t="s">
        <v>412</v>
      </c>
      <c r="B623" s="91" t="s">
        <v>417</v>
      </c>
      <c r="C623" s="95">
        <v>6667</v>
      </c>
      <c r="D623" s="95">
        <v>5959</v>
      </c>
      <c r="E623" s="95">
        <v>12626</v>
      </c>
      <c r="F623" s="95">
        <v>192991881</v>
      </c>
      <c r="G623" s="95">
        <v>207391875</v>
      </c>
      <c r="H623" s="95">
        <v>400383756</v>
      </c>
      <c r="I623" s="91" t="s">
        <v>585</v>
      </c>
      <c r="J623" s="91" t="s">
        <v>90</v>
      </c>
      <c r="K623" s="94">
        <v>726117</v>
      </c>
      <c r="L623" s="91" t="s">
        <v>524</v>
      </c>
      <c r="M623" s="2"/>
      <c r="N623" s="2"/>
      <c r="O623" s="4"/>
    </row>
    <row r="624" spans="1:15" x14ac:dyDescent="0.2">
      <c r="A624" s="91" t="s">
        <v>227</v>
      </c>
      <c r="B624" s="91" t="s">
        <v>739</v>
      </c>
      <c r="C624" s="95">
        <v>2423</v>
      </c>
      <c r="D624" s="95">
        <v>3325</v>
      </c>
      <c r="E624" s="95">
        <v>5748</v>
      </c>
      <c r="F624" s="95">
        <v>310429314</v>
      </c>
      <c r="G624" s="95">
        <v>502752909</v>
      </c>
      <c r="H624" s="95">
        <v>813182223</v>
      </c>
      <c r="I624" s="91" t="s">
        <v>585</v>
      </c>
      <c r="J624" s="91" t="s">
        <v>91</v>
      </c>
      <c r="K624" s="94">
        <v>727057</v>
      </c>
      <c r="L624" s="91" t="s">
        <v>740</v>
      </c>
      <c r="M624" s="2"/>
      <c r="N624" s="2"/>
      <c r="O624" s="4"/>
    </row>
    <row r="625" spans="1:15" x14ac:dyDescent="0.2">
      <c r="A625" s="91" t="s">
        <v>109</v>
      </c>
      <c r="B625" s="91" t="s">
        <v>1004</v>
      </c>
      <c r="C625" s="95">
        <v>3336</v>
      </c>
      <c r="D625" s="95">
        <v>3594</v>
      </c>
      <c r="E625" s="95">
        <v>6930</v>
      </c>
      <c r="F625" s="95">
        <v>69047990</v>
      </c>
      <c r="G625" s="95">
        <v>82750305</v>
      </c>
      <c r="H625" s="95">
        <v>151798295</v>
      </c>
      <c r="I625" s="91" t="s">
        <v>485</v>
      </c>
      <c r="J625" s="91" t="s">
        <v>89</v>
      </c>
      <c r="K625" s="94">
        <v>728824</v>
      </c>
      <c r="L625" s="91" t="s">
        <v>636</v>
      </c>
      <c r="M625" s="2"/>
      <c r="N625" s="2"/>
      <c r="O625" s="4"/>
    </row>
    <row r="626" spans="1:15" x14ac:dyDescent="0.2">
      <c r="A626" s="91" t="s">
        <v>515</v>
      </c>
      <c r="B626" s="91" t="s">
        <v>700</v>
      </c>
      <c r="C626" s="95">
        <v>8057</v>
      </c>
      <c r="D626" s="95">
        <v>8385</v>
      </c>
      <c r="E626" s="95">
        <v>16442</v>
      </c>
      <c r="F626" s="95">
        <v>305392690</v>
      </c>
      <c r="G626" s="95">
        <v>369292971</v>
      </c>
      <c r="H626" s="95">
        <v>674685662</v>
      </c>
      <c r="I626" s="91" t="s">
        <v>585</v>
      </c>
      <c r="J626" s="91" t="s">
        <v>89</v>
      </c>
      <c r="K626" s="94">
        <v>730366</v>
      </c>
      <c r="L626" s="91" t="s">
        <v>871</v>
      </c>
      <c r="M626" s="2"/>
      <c r="N626" s="2"/>
      <c r="O626" s="4"/>
    </row>
    <row r="627" spans="1:15" x14ac:dyDescent="0.2">
      <c r="A627" s="91" t="s">
        <v>478</v>
      </c>
      <c r="B627" s="91" t="s">
        <v>909</v>
      </c>
      <c r="C627" s="95">
        <v>16</v>
      </c>
      <c r="D627" s="95">
        <v>29</v>
      </c>
      <c r="E627" s="95">
        <v>45</v>
      </c>
      <c r="F627" s="95">
        <v>998022</v>
      </c>
      <c r="G627" s="95">
        <v>1454254</v>
      </c>
      <c r="H627" s="95">
        <v>2452276</v>
      </c>
      <c r="I627" s="91" t="s">
        <v>585</v>
      </c>
      <c r="J627" s="91" t="s">
        <v>90</v>
      </c>
      <c r="K627" s="94">
        <v>732487</v>
      </c>
      <c r="L627" s="91" t="s">
        <v>323</v>
      </c>
      <c r="M627" s="2"/>
      <c r="N627" s="2"/>
      <c r="O627" s="4"/>
    </row>
    <row r="628" spans="1:15" x14ac:dyDescent="0.2">
      <c r="A628" s="91" t="s">
        <v>38</v>
      </c>
      <c r="B628" s="91" t="s">
        <v>435</v>
      </c>
      <c r="C628" s="95">
        <v>239</v>
      </c>
      <c r="D628" s="95">
        <v>348</v>
      </c>
      <c r="E628" s="95">
        <v>587</v>
      </c>
      <c r="F628" s="95">
        <v>6591396</v>
      </c>
      <c r="G628" s="95">
        <v>12513762</v>
      </c>
      <c r="H628" s="95">
        <v>19105158</v>
      </c>
      <c r="I628" s="91" t="s">
        <v>485</v>
      </c>
      <c r="J628" s="91" t="s">
        <v>89</v>
      </c>
      <c r="K628" s="94">
        <v>732727</v>
      </c>
      <c r="L628" s="91" t="s">
        <v>591</v>
      </c>
      <c r="M628" s="2"/>
      <c r="N628" s="2"/>
      <c r="O628" s="4"/>
    </row>
    <row r="629" spans="1:15" x14ac:dyDescent="0.2">
      <c r="A629" s="91" t="s">
        <v>478</v>
      </c>
      <c r="B629" s="91" t="s">
        <v>845</v>
      </c>
      <c r="C629" s="95">
        <v>13</v>
      </c>
      <c r="D629" s="95">
        <v>53</v>
      </c>
      <c r="E629" s="95">
        <v>66</v>
      </c>
      <c r="F629" s="95">
        <v>539517</v>
      </c>
      <c r="G629" s="95">
        <v>2898987</v>
      </c>
      <c r="H629" s="95">
        <v>3438504</v>
      </c>
      <c r="I629" s="91" t="s">
        <v>485</v>
      </c>
      <c r="J629" s="91" t="s">
        <v>90</v>
      </c>
      <c r="K629" s="94">
        <v>734319</v>
      </c>
      <c r="L629" s="91" t="s">
        <v>393</v>
      </c>
      <c r="M629" s="2"/>
      <c r="N629" s="2"/>
      <c r="O629" s="4"/>
    </row>
    <row r="630" spans="1:15" x14ac:dyDescent="0.2">
      <c r="A630" s="91" t="s">
        <v>207</v>
      </c>
      <c r="B630" s="91" t="s">
        <v>190</v>
      </c>
      <c r="C630" s="95">
        <v>874</v>
      </c>
      <c r="D630" s="95">
        <v>1280</v>
      </c>
      <c r="E630" s="95">
        <v>2154</v>
      </c>
      <c r="F630" s="95">
        <v>13161532</v>
      </c>
      <c r="G630" s="95">
        <v>22790904</v>
      </c>
      <c r="H630" s="95">
        <v>35952436</v>
      </c>
      <c r="I630" s="91" t="s">
        <v>485</v>
      </c>
      <c r="J630" s="91" t="s">
        <v>89</v>
      </c>
      <c r="K630" s="94">
        <v>734434</v>
      </c>
      <c r="L630" s="91" t="s">
        <v>61</v>
      </c>
      <c r="M630" s="2"/>
      <c r="N630" s="2"/>
      <c r="O630" s="4"/>
    </row>
    <row r="631" spans="1:15" x14ac:dyDescent="0.2">
      <c r="A631" s="91" t="s">
        <v>562</v>
      </c>
      <c r="B631" s="91" t="s">
        <v>587</v>
      </c>
      <c r="C631" s="95">
        <v>25857</v>
      </c>
      <c r="D631" s="95">
        <v>44630</v>
      </c>
      <c r="E631" s="95">
        <v>70487</v>
      </c>
      <c r="F631" s="95">
        <v>1267512352</v>
      </c>
      <c r="G631" s="95">
        <v>2600288425</v>
      </c>
      <c r="H631" s="95">
        <v>3867800777</v>
      </c>
      <c r="I631" s="91" t="s">
        <v>585</v>
      </c>
      <c r="J631" s="91" t="s">
        <v>89</v>
      </c>
      <c r="K631" s="94">
        <v>734491</v>
      </c>
      <c r="L631" s="91" t="s">
        <v>165</v>
      </c>
      <c r="M631" s="2"/>
      <c r="N631" s="2"/>
      <c r="O631" s="4"/>
    </row>
    <row r="632" spans="1:15" x14ac:dyDescent="0.2">
      <c r="A632" s="91" t="s">
        <v>412</v>
      </c>
      <c r="B632" s="91" t="s">
        <v>698</v>
      </c>
      <c r="C632" s="95">
        <v>575</v>
      </c>
      <c r="D632" s="95">
        <v>527</v>
      </c>
      <c r="E632" s="95">
        <v>1102</v>
      </c>
      <c r="F632" s="95">
        <v>14839886</v>
      </c>
      <c r="G632" s="95">
        <v>17104536</v>
      </c>
      <c r="H632" s="95">
        <v>31944422</v>
      </c>
      <c r="I632" s="91" t="s">
        <v>485</v>
      </c>
      <c r="J632" s="91" t="s">
        <v>90</v>
      </c>
      <c r="K632" s="94">
        <v>734558</v>
      </c>
      <c r="L632" s="91" t="s">
        <v>697</v>
      </c>
      <c r="M632" s="2"/>
      <c r="N632" s="2"/>
      <c r="O632" s="4"/>
    </row>
    <row r="633" spans="1:15" x14ac:dyDescent="0.2">
      <c r="A633" s="91" t="s">
        <v>515</v>
      </c>
      <c r="B633" s="91" t="s">
        <v>595</v>
      </c>
      <c r="C633" s="95">
        <v>733</v>
      </c>
      <c r="D633" s="95">
        <v>741</v>
      </c>
      <c r="E633" s="95">
        <v>1474</v>
      </c>
      <c r="F633" s="95">
        <v>20748157</v>
      </c>
      <c r="G633" s="95">
        <v>25530184</v>
      </c>
      <c r="H633" s="95">
        <v>46278341</v>
      </c>
      <c r="I633" s="91" t="s">
        <v>585</v>
      </c>
      <c r="J633" s="91" t="s">
        <v>89</v>
      </c>
      <c r="K633" s="94">
        <v>739458</v>
      </c>
      <c r="L633" s="91" t="s">
        <v>518</v>
      </c>
      <c r="M633" s="2"/>
      <c r="N633" s="2"/>
      <c r="O633" s="4"/>
    </row>
    <row r="634" spans="1:15" x14ac:dyDescent="0.2">
      <c r="A634" s="91" t="s">
        <v>276</v>
      </c>
      <c r="B634" s="91" t="s">
        <v>718</v>
      </c>
      <c r="C634" s="95">
        <v>57</v>
      </c>
      <c r="D634" s="95">
        <v>102</v>
      </c>
      <c r="E634" s="95">
        <v>159</v>
      </c>
      <c r="F634" s="95">
        <v>1194878</v>
      </c>
      <c r="G634" s="95">
        <v>3362141</v>
      </c>
      <c r="H634" s="95">
        <v>4557019</v>
      </c>
      <c r="I634" s="91" t="s">
        <v>585</v>
      </c>
      <c r="J634" s="91" t="s">
        <v>89</v>
      </c>
      <c r="K634" s="94">
        <v>741637</v>
      </c>
      <c r="L634" s="91" t="s">
        <v>717</v>
      </c>
      <c r="M634" s="2"/>
      <c r="N634" s="2"/>
      <c r="O634" s="4"/>
    </row>
    <row r="635" spans="1:15" x14ac:dyDescent="0.2">
      <c r="A635" s="91" t="s">
        <v>258</v>
      </c>
      <c r="B635" s="91" t="s">
        <v>261</v>
      </c>
      <c r="C635" s="95">
        <v>10115</v>
      </c>
      <c r="D635" s="95">
        <v>9003</v>
      </c>
      <c r="E635" s="95">
        <v>19118</v>
      </c>
      <c r="F635" s="95">
        <v>760082796</v>
      </c>
      <c r="G635" s="95">
        <v>817214572</v>
      </c>
      <c r="H635" s="95">
        <v>1577297368</v>
      </c>
      <c r="I635" s="91" t="s">
        <v>585</v>
      </c>
      <c r="J635" s="91" t="s">
        <v>92</v>
      </c>
      <c r="K635" s="94">
        <v>743112</v>
      </c>
      <c r="L635" s="91" t="s">
        <v>1035</v>
      </c>
      <c r="M635" s="2"/>
      <c r="N635" s="2"/>
      <c r="O635" s="4"/>
    </row>
    <row r="636" spans="1:15" x14ac:dyDescent="0.2">
      <c r="A636" s="91" t="s">
        <v>121</v>
      </c>
      <c r="B636" s="91" t="s">
        <v>1131</v>
      </c>
      <c r="C636" s="95">
        <v>37</v>
      </c>
      <c r="D636" s="95">
        <v>71</v>
      </c>
      <c r="E636" s="95">
        <v>108</v>
      </c>
      <c r="F636" s="95">
        <v>968655</v>
      </c>
      <c r="G636" s="95">
        <v>1952070</v>
      </c>
      <c r="H636" s="95">
        <v>2920725</v>
      </c>
      <c r="I636" s="91" t="s">
        <v>485</v>
      </c>
      <c r="J636" s="91" t="s">
        <v>89</v>
      </c>
      <c r="K636" s="94">
        <v>745828</v>
      </c>
      <c r="L636" s="91" t="s">
        <v>334</v>
      </c>
      <c r="M636" s="2"/>
      <c r="N636" s="2"/>
      <c r="O636" s="4"/>
    </row>
    <row r="637" spans="1:15" x14ac:dyDescent="0.2">
      <c r="A637" s="91" t="s">
        <v>353</v>
      </c>
      <c r="B637" s="91" t="s">
        <v>386</v>
      </c>
      <c r="C637" s="95">
        <v>66198</v>
      </c>
      <c r="D637" s="95">
        <v>68224</v>
      </c>
      <c r="E637" s="95">
        <v>134422</v>
      </c>
      <c r="F637" s="95">
        <v>6319134977</v>
      </c>
      <c r="G637" s="95">
        <v>8098337265</v>
      </c>
      <c r="H637" s="95">
        <v>14417472242</v>
      </c>
      <c r="I637" s="91" t="s">
        <v>585</v>
      </c>
      <c r="J637" s="91" t="s">
        <v>92</v>
      </c>
      <c r="K637" s="94">
        <v>747899</v>
      </c>
      <c r="L637" s="91" t="s">
        <v>133</v>
      </c>
      <c r="M637" s="2"/>
      <c r="N637" s="2"/>
      <c r="O637" s="4"/>
    </row>
    <row r="638" spans="1:15" x14ac:dyDescent="0.2">
      <c r="A638" s="91" t="s">
        <v>227</v>
      </c>
      <c r="B638" s="91" t="s">
        <v>387</v>
      </c>
      <c r="C638" s="95">
        <v>34480</v>
      </c>
      <c r="D638" s="95">
        <v>23714</v>
      </c>
      <c r="E638" s="95">
        <v>58194</v>
      </c>
      <c r="F638" s="95">
        <v>1254862213</v>
      </c>
      <c r="G638" s="95">
        <v>1040799837</v>
      </c>
      <c r="H638" s="95">
        <v>2295662050</v>
      </c>
      <c r="I638" s="91" t="s">
        <v>585</v>
      </c>
      <c r="J638" s="91" t="s">
        <v>91</v>
      </c>
      <c r="K638" s="94">
        <v>749192</v>
      </c>
      <c r="L638" s="91" t="s">
        <v>133</v>
      </c>
      <c r="M638" s="2"/>
      <c r="N638" s="2"/>
      <c r="O638" s="4"/>
    </row>
    <row r="639" spans="1:15" x14ac:dyDescent="0.2">
      <c r="A639" s="91" t="s">
        <v>202</v>
      </c>
      <c r="B639" s="91" t="s">
        <v>206</v>
      </c>
      <c r="C639" s="95">
        <v>26400</v>
      </c>
      <c r="D639" s="95">
        <v>23303</v>
      </c>
      <c r="E639" s="95">
        <v>49703</v>
      </c>
      <c r="F639" s="95">
        <v>878478031</v>
      </c>
      <c r="G639" s="95">
        <v>934535626</v>
      </c>
      <c r="H639" s="95">
        <v>1813013657</v>
      </c>
      <c r="I639" s="91" t="s">
        <v>585</v>
      </c>
      <c r="J639" s="91" t="s">
        <v>89</v>
      </c>
      <c r="K639" s="94">
        <v>749788</v>
      </c>
      <c r="L639" s="91" t="s">
        <v>528</v>
      </c>
      <c r="M639" s="2"/>
      <c r="N639" s="2"/>
      <c r="O639" s="4"/>
    </row>
    <row r="640" spans="1:15" x14ac:dyDescent="0.2">
      <c r="A640" s="91" t="s">
        <v>121</v>
      </c>
      <c r="B640" s="91" t="s">
        <v>1012</v>
      </c>
      <c r="C640" s="95">
        <v>84</v>
      </c>
      <c r="D640" s="95">
        <v>217</v>
      </c>
      <c r="E640" s="95">
        <v>301</v>
      </c>
      <c r="F640" s="95">
        <v>1910634</v>
      </c>
      <c r="G640" s="95">
        <v>6161419</v>
      </c>
      <c r="H640" s="95">
        <v>8072052</v>
      </c>
      <c r="I640" s="91" t="s">
        <v>485</v>
      </c>
      <c r="J640" s="91" t="s">
        <v>89</v>
      </c>
      <c r="K640" s="94">
        <v>750075</v>
      </c>
      <c r="L640" s="91" t="s">
        <v>826</v>
      </c>
      <c r="M640" s="2"/>
      <c r="N640" s="2"/>
      <c r="O640" s="4"/>
    </row>
    <row r="641" spans="1:15" x14ac:dyDescent="0.2">
      <c r="A641" s="91" t="s">
        <v>580</v>
      </c>
      <c r="B641" s="91" t="s">
        <v>129</v>
      </c>
      <c r="C641" s="95">
        <v>6373</v>
      </c>
      <c r="D641" s="95">
        <v>6504</v>
      </c>
      <c r="E641" s="95">
        <v>12877</v>
      </c>
      <c r="F641" s="95">
        <v>260289452</v>
      </c>
      <c r="G641" s="95">
        <v>320854248</v>
      </c>
      <c r="H641" s="95">
        <v>581143700</v>
      </c>
      <c r="I641" s="91" t="s">
        <v>585</v>
      </c>
      <c r="J641" s="91" t="s">
        <v>89</v>
      </c>
      <c r="K641" s="94">
        <v>751495</v>
      </c>
      <c r="L641" s="91" t="s">
        <v>521</v>
      </c>
      <c r="M641" s="2"/>
      <c r="N641" s="2"/>
      <c r="O641" s="4"/>
    </row>
    <row r="642" spans="1:15" x14ac:dyDescent="0.2">
      <c r="A642" s="91" t="s">
        <v>276</v>
      </c>
      <c r="B642" s="91" t="s">
        <v>388</v>
      </c>
      <c r="C642" s="95">
        <v>22228</v>
      </c>
      <c r="D642" s="95">
        <v>29591</v>
      </c>
      <c r="E642" s="95">
        <v>51819</v>
      </c>
      <c r="F642" s="95">
        <v>539514774</v>
      </c>
      <c r="G642" s="95">
        <v>961684762</v>
      </c>
      <c r="H642" s="95">
        <v>1501199536</v>
      </c>
      <c r="I642" s="91" t="s">
        <v>585</v>
      </c>
      <c r="J642" s="91" t="s">
        <v>89</v>
      </c>
      <c r="K642" s="94">
        <v>752204</v>
      </c>
      <c r="L642" s="91" t="s">
        <v>133</v>
      </c>
      <c r="M642" s="2"/>
      <c r="N642" s="2"/>
      <c r="O642" s="4"/>
    </row>
    <row r="643" spans="1:15" x14ac:dyDescent="0.2">
      <c r="A643" s="91" t="s">
        <v>478</v>
      </c>
      <c r="B643" s="91" t="s">
        <v>483</v>
      </c>
      <c r="C643" s="95">
        <v>268</v>
      </c>
      <c r="D643" s="95">
        <v>409</v>
      </c>
      <c r="E643" s="95">
        <v>677</v>
      </c>
      <c r="F643" s="95">
        <v>8656636</v>
      </c>
      <c r="G643" s="95">
        <v>17130866</v>
      </c>
      <c r="H643" s="95">
        <v>25787501</v>
      </c>
      <c r="I643" s="91" t="s">
        <v>485</v>
      </c>
      <c r="J643" s="91" t="s">
        <v>90</v>
      </c>
      <c r="K643" s="94">
        <v>753384</v>
      </c>
      <c r="L643" s="91" t="s">
        <v>264</v>
      </c>
      <c r="M643" s="2"/>
      <c r="N643" s="2"/>
      <c r="O643" s="4"/>
    </row>
    <row r="644" spans="1:15" x14ac:dyDescent="0.2">
      <c r="A644" s="91" t="s">
        <v>109</v>
      </c>
      <c r="B644" s="91" t="s">
        <v>389</v>
      </c>
      <c r="C644" s="95">
        <v>37722</v>
      </c>
      <c r="D644" s="95">
        <v>36061</v>
      </c>
      <c r="E644" s="95">
        <v>73783</v>
      </c>
      <c r="F644" s="95">
        <v>1463193445</v>
      </c>
      <c r="G644" s="95">
        <v>1918229412</v>
      </c>
      <c r="H644" s="95">
        <v>3381422856</v>
      </c>
      <c r="I644" s="91" t="s">
        <v>585</v>
      </c>
      <c r="J644" s="91" t="s">
        <v>89</v>
      </c>
      <c r="K644" s="94">
        <v>753442</v>
      </c>
      <c r="L644" s="91" t="s">
        <v>133</v>
      </c>
      <c r="M644" s="2"/>
      <c r="N644" s="2"/>
      <c r="O644" s="4"/>
    </row>
    <row r="645" spans="1:15" x14ac:dyDescent="0.2">
      <c r="A645" s="91" t="s">
        <v>275</v>
      </c>
      <c r="B645" s="91" t="s">
        <v>925</v>
      </c>
      <c r="C645" s="95">
        <v>29</v>
      </c>
      <c r="D645" s="95">
        <v>62</v>
      </c>
      <c r="E645" s="95">
        <v>91</v>
      </c>
      <c r="F645" s="95">
        <v>780757</v>
      </c>
      <c r="G645" s="95">
        <v>2265778</v>
      </c>
      <c r="H645" s="95">
        <v>3046535</v>
      </c>
      <c r="I645" s="91" t="s">
        <v>485</v>
      </c>
      <c r="J645" s="91" t="s">
        <v>89</v>
      </c>
      <c r="K645" s="94">
        <v>753731</v>
      </c>
      <c r="L645" s="91" t="s">
        <v>1096</v>
      </c>
      <c r="M645" s="2"/>
      <c r="N645" s="2"/>
      <c r="O645" s="4"/>
    </row>
    <row r="646" spans="1:15" x14ac:dyDescent="0.2">
      <c r="A646" s="91" t="s">
        <v>207</v>
      </c>
      <c r="B646" s="91" t="s">
        <v>16</v>
      </c>
      <c r="C646" s="95">
        <v>43</v>
      </c>
      <c r="D646" s="95">
        <v>75</v>
      </c>
      <c r="E646" s="95">
        <v>118</v>
      </c>
      <c r="F646" s="95">
        <v>1039597</v>
      </c>
      <c r="G646" s="95">
        <v>2294363</v>
      </c>
      <c r="H646" s="95">
        <v>3333961</v>
      </c>
      <c r="I646" s="91" t="s">
        <v>485</v>
      </c>
      <c r="J646" s="91" t="s">
        <v>89</v>
      </c>
      <c r="K646" s="94">
        <v>755033</v>
      </c>
      <c r="L646" s="91" t="s">
        <v>320</v>
      </c>
      <c r="M646" s="2"/>
      <c r="N646" s="2"/>
      <c r="O646" s="4"/>
    </row>
    <row r="647" spans="1:15" x14ac:dyDescent="0.2">
      <c r="A647" s="91" t="s">
        <v>59</v>
      </c>
      <c r="B647" s="91" t="s">
        <v>1098</v>
      </c>
      <c r="C647" s="95">
        <v>62</v>
      </c>
      <c r="D647" s="95">
        <v>91</v>
      </c>
      <c r="E647" s="95">
        <v>153</v>
      </c>
      <c r="F647" s="95">
        <v>2063133</v>
      </c>
      <c r="G647" s="95">
        <v>3228773</v>
      </c>
      <c r="H647" s="95">
        <v>5291906</v>
      </c>
      <c r="I647" s="91" t="s">
        <v>485</v>
      </c>
      <c r="J647" s="91" t="s">
        <v>89</v>
      </c>
      <c r="K647" s="94">
        <v>755090</v>
      </c>
      <c r="L647" s="91" t="s">
        <v>334</v>
      </c>
      <c r="M647" s="2"/>
      <c r="N647" s="2"/>
      <c r="O647" s="4"/>
    </row>
    <row r="648" spans="1:15" x14ac:dyDescent="0.2">
      <c r="A648" s="91" t="s">
        <v>412</v>
      </c>
      <c r="B648" s="91" t="s">
        <v>1052</v>
      </c>
      <c r="C648" s="95">
        <v>300</v>
      </c>
      <c r="D648" s="95">
        <v>323</v>
      </c>
      <c r="E648" s="95">
        <v>623</v>
      </c>
      <c r="F648" s="95">
        <v>10042765</v>
      </c>
      <c r="G648" s="95">
        <v>13063612</v>
      </c>
      <c r="H648" s="95">
        <v>23106377</v>
      </c>
      <c r="I648" s="91" t="s">
        <v>485</v>
      </c>
      <c r="J648" s="91" t="s">
        <v>90</v>
      </c>
      <c r="K648" s="94">
        <v>756866</v>
      </c>
      <c r="L648" s="91" t="s">
        <v>594</v>
      </c>
      <c r="M648" s="2"/>
      <c r="N648" s="2"/>
      <c r="O648" s="4"/>
    </row>
    <row r="649" spans="1:15" x14ac:dyDescent="0.2">
      <c r="A649" s="91" t="s">
        <v>170</v>
      </c>
      <c r="B649" s="91" t="s">
        <v>178</v>
      </c>
      <c r="C649" s="95">
        <v>178</v>
      </c>
      <c r="D649" s="95">
        <v>259</v>
      </c>
      <c r="E649" s="95">
        <v>437</v>
      </c>
      <c r="F649" s="95">
        <v>5362996</v>
      </c>
      <c r="G649" s="95">
        <v>9829103</v>
      </c>
      <c r="H649" s="95">
        <v>15192099</v>
      </c>
      <c r="I649" s="91" t="s">
        <v>485</v>
      </c>
      <c r="J649" s="91" t="s">
        <v>89</v>
      </c>
      <c r="K649" s="94">
        <v>757575</v>
      </c>
      <c r="L649" s="91" t="s">
        <v>584</v>
      </c>
      <c r="M649" s="2"/>
      <c r="N649" s="2"/>
      <c r="O649" s="4"/>
    </row>
    <row r="650" spans="1:15" x14ac:dyDescent="0.2">
      <c r="A650" s="91" t="s">
        <v>275</v>
      </c>
      <c r="B650" s="91" t="s">
        <v>806</v>
      </c>
      <c r="C650" s="95">
        <v>183</v>
      </c>
      <c r="D650" s="95">
        <v>406</v>
      </c>
      <c r="E650" s="95">
        <v>589</v>
      </c>
      <c r="F650" s="95">
        <v>5909856</v>
      </c>
      <c r="G650" s="95">
        <v>17070783</v>
      </c>
      <c r="H650" s="95">
        <v>22980639</v>
      </c>
      <c r="I650" s="91" t="s">
        <v>485</v>
      </c>
      <c r="J650" s="91" t="s">
        <v>89</v>
      </c>
      <c r="K650" s="94">
        <v>759225</v>
      </c>
      <c r="L650" s="91" t="s">
        <v>802</v>
      </c>
      <c r="M650" s="2"/>
      <c r="N650" s="2"/>
      <c r="O650" s="4"/>
    </row>
    <row r="651" spans="1:15" x14ac:dyDescent="0.2">
      <c r="A651" s="91" t="s">
        <v>412</v>
      </c>
      <c r="B651" s="91" t="s">
        <v>462</v>
      </c>
      <c r="C651" s="95">
        <v>3094</v>
      </c>
      <c r="D651" s="95">
        <v>2149</v>
      </c>
      <c r="E651" s="95">
        <v>5243</v>
      </c>
      <c r="F651" s="95">
        <v>90384401</v>
      </c>
      <c r="G651" s="95">
        <v>67466624</v>
      </c>
      <c r="H651" s="95">
        <v>157851026</v>
      </c>
      <c r="I651" s="91" t="s">
        <v>585</v>
      </c>
      <c r="J651" s="91" t="s">
        <v>90</v>
      </c>
      <c r="K651" s="94">
        <v>761940</v>
      </c>
      <c r="L651" s="91" t="s">
        <v>133</v>
      </c>
      <c r="M651" s="2"/>
      <c r="N651" s="2"/>
      <c r="O651" s="4"/>
    </row>
    <row r="652" spans="1:15" x14ac:dyDescent="0.2">
      <c r="A652" s="91" t="s">
        <v>180</v>
      </c>
      <c r="B652" s="91" t="s">
        <v>1111</v>
      </c>
      <c r="C652" s="95">
        <v>404</v>
      </c>
      <c r="D652" s="95">
        <v>942</v>
      </c>
      <c r="E652" s="95">
        <v>1346</v>
      </c>
      <c r="F652" s="95">
        <v>16775713</v>
      </c>
      <c r="G652" s="95">
        <v>55308254</v>
      </c>
      <c r="H652" s="95">
        <v>72083967</v>
      </c>
      <c r="I652" s="91" t="s">
        <v>585</v>
      </c>
      <c r="J652" s="91" t="s">
        <v>89</v>
      </c>
      <c r="K652" s="94">
        <v>762823</v>
      </c>
      <c r="L652" s="91" t="s">
        <v>717</v>
      </c>
      <c r="M652" s="2"/>
      <c r="N652" s="2"/>
      <c r="O652" s="4"/>
    </row>
    <row r="653" spans="1:15" x14ac:dyDescent="0.2">
      <c r="A653" s="91" t="s">
        <v>227</v>
      </c>
      <c r="B653" s="91" t="s">
        <v>939</v>
      </c>
      <c r="C653" s="95">
        <v>7569</v>
      </c>
      <c r="D653" s="95">
        <v>7163</v>
      </c>
      <c r="E653" s="95">
        <v>14732</v>
      </c>
      <c r="F653" s="95">
        <v>371775806</v>
      </c>
      <c r="G653" s="95">
        <v>463623070</v>
      </c>
      <c r="H653" s="95">
        <v>835398876</v>
      </c>
      <c r="I653" s="91" t="s">
        <v>485</v>
      </c>
      <c r="J653" s="91" t="s">
        <v>91</v>
      </c>
      <c r="K653" s="94">
        <v>762880</v>
      </c>
      <c r="L653" s="91" t="s">
        <v>299</v>
      </c>
      <c r="M653" s="2"/>
      <c r="N653" s="2"/>
      <c r="O653" s="4"/>
    </row>
    <row r="654" spans="1:15" x14ac:dyDescent="0.2">
      <c r="A654" s="91" t="s">
        <v>277</v>
      </c>
      <c r="B654" s="91" t="s">
        <v>820</v>
      </c>
      <c r="C654" s="95">
        <v>18</v>
      </c>
      <c r="D654" s="95">
        <v>40</v>
      </c>
      <c r="E654" s="95">
        <v>58</v>
      </c>
      <c r="F654" s="95">
        <v>339381</v>
      </c>
      <c r="G654" s="95">
        <v>1452836</v>
      </c>
      <c r="H654" s="95">
        <v>1792217</v>
      </c>
      <c r="I654" s="91" t="s">
        <v>485</v>
      </c>
      <c r="J654" s="91" t="s">
        <v>89</v>
      </c>
      <c r="K654" s="94">
        <v>763474</v>
      </c>
      <c r="L654" s="91" t="s">
        <v>802</v>
      </c>
      <c r="M654" s="2"/>
      <c r="N654" s="2"/>
      <c r="O654" s="4"/>
    </row>
    <row r="655" spans="1:15" x14ac:dyDescent="0.2">
      <c r="A655" s="91" t="s">
        <v>38</v>
      </c>
      <c r="B655" s="91" t="s">
        <v>804</v>
      </c>
      <c r="C655" s="95">
        <v>839</v>
      </c>
      <c r="D655" s="95">
        <v>993</v>
      </c>
      <c r="E655" s="95">
        <v>1832</v>
      </c>
      <c r="F655" s="95">
        <v>22158975</v>
      </c>
      <c r="G655" s="95">
        <v>32988875</v>
      </c>
      <c r="H655" s="95">
        <v>55147850</v>
      </c>
      <c r="I655" s="91" t="s">
        <v>485</v>
      </c>
      <c r="J655" s="91" t="s">
        <v>89</v>
      </c>
      <c r="K655" s="94">
        <v>764951</v>
      </c>
      <c r="L655" s="91" t="s">
        <v>596</v>
      </c>
      <c r="M655" s="2"/>
      <c r="N655" s="2"/>
      <c r="O655" s="4"/>
    </row>
    <row r="656" spans="1:15" x14ac:dyDescent="0.2">
      <c r="A656" s="91" t="s">
        <v>559</v>
      </c>
      <c r="B656" s="91" t="s">
        <v>650</v>
      </c>
      <c r="C656" s="95">
        <v>11546</v>
      </c>
      <c r="D656" s="95">
        <v>15174</v>
      </c>
      <c r="E656" s="95">
        <v>26720</v>
      </c>
      <c r="F656" s="95">
        <v>421885402</v>
      </c>
      <c r="G656" s="95">
        <v>684382860</v>
      </c>
      <c r="H656" s="95">
        <v>1106268263</v>
      </c>
      <c r="I656" s="91" t="s">
        <v>585</v>
      </c>
      <c r="J656" s="91" t="s">
        <v>89</v>
      </c>
      <c r="K656" s="94">
        <v>766667</v>
      </c>
      <c r="L656" s="91" t="s">
        <v>133</v>
      </c>
      <c r="M656" s="2"/>
      <c r="N656" s="2"/>
      <c r="O656" s="4"/>
    </row>
    <row r="657" spans="1:15" x14ac:dyDescent="0.2">
      <c r="A657" s="91" t="s">
        <v>227</v>
      </c>
      <c r="B657" s="91" t="s">
        <v>948</v>
      </c>
      <c r="C657" s="95">
        <v>4121</v>
      </c>
      <c r="D657" s="95">
        <v>4747</v>
      </c>
      <c r="E657" s="95">
        <v>8868</v>
      </c>
      <c r="F657" s="95">
        <v>114838436</v>
      </c>
      <c r="G657" s="95">
        <v>160801428</v>
      </c>
      <c r="H657" s="95">
        <v>275639864</v>
      </c>
      <c r="I657" s="91" t="s">
        <v>485</v>
      </c>
      <c r="J657" s="91" t="s">
        <v>91</v>
      </c>
      <c r="K657" s="94">
        <v>768317</v>
      </c>
      <c r="L657" s="91" t="s">
        <v>299</v>
      </c>
      <c r="M657" s="2"/>
      <c r="N657" s="2"/>
      <c r="O657" s="4"/>
    </row>
    <row r="658" spans="1:15" x14ac:dyDescent="0.2">
      <c r="A658" s="91" t="s">
        <v>180</v>
      </c>
      <c r="B658" s="91" t="s">
        <v>436</v>
      </c>
      <c r="C658" s="95">
        <v>1229</v>
      </c>
      <c r="D658" s="95">
        <v>2070</v>
      </c>
      <c r="E658" s="95">
        <v>3299</v>
      </c>
      <c r="F658" s="95">
        <v>38464809</v>
      </c>
      <c r="G658" s="95">
        <v>79828088</v>
      </c>
      <c r="H658" s="95">
        <v>118292897</v>
      </c>
      <c r="I658" s="91" t="s">
        <v>485</v>
      </c>
      <c r="J658" s="91" t="s">
        <v>89</v>
      </c>
      <c r="K658" s="94">
        <v>768499</v>
      </c>
      <c r="L658" s="91" t="s">
        <v>591</v>
      </c>
      <c r="M658" s="2"/>
      <c r="N658" s="2"/>
      <c r="O658" s="4"/>
    </row>
    <row r="659" spans="1:15" x14ac:dyDescent="0.2">
      <c r="A659" s="91" t="s">
        <v>72</v>
      </c>
      <c r="B659" s="91" t="s">
        <v>437</v>
      </c>
      <c r="C659" s="95">
        <v>3008</v>
      </c>
      <c r="D659" s="95">
        <v>3016</v>
      </c>
      <c r="E659" s="95">
        <v>6024</v>
      </c>
      <c r="F659" s="95">
        <v>70223228</v>
      </c>
      <c r="G659" s="95">
        <v>88854112</v>
      </c>
      <c r="H659" s="95">
        <v>159077340</v>
      </c>
      <c r="I659" s="91" t="s">
        <v>485</v>
      </c>
      <c r="J659" s="91" t="s">
        <v>89</v>
      </c>
      <c r="K659" s="94">
        <v>768556</v>
      </c>
      <c r="L659" s="91" t="s">
        <v>591</v>
      </c>
      <c r="M659" s="2"/>
      <c r="N659" s="2"/>
      <c r="O659" s="4"/>
    </row>
    <row r="660" spans="1:15" x14ac:dyDescent="0.2">
      <c r="A660" s="91" t="s">
        <v>276</v>
      </c>
      <c r="B660" s="91" t="s">
        <v>623</v>
      </c>
      <c r="C660" s="95">
        <v>239</v>
      </c>
      <c r="D660" s="95">
        <v>362</v>
      </c>
      <c r="E660" s="95">
        <v>601</v>
      </c>
      <c r="F660" s="95">
        <v>5206833</v>
      </c>
      <c r="G660" s="95">
        <v>9992130</v>
      </c>
      <c r="H660" s="95">
        <v>15198963</v>
      </c>
      <c r="I660" s="91" t="s">
        <v>485</v>
      </c>
      <c r="J660" s="91" t="s">
        <v>89</v>
      </c>
      <c r="K660" s="94">
        <v>770263</v>
      </c>
      <c r="L660" s="91" t="s">
        <v>61</v>
      </c>
      <c r="M660" s="2"/>
      <c r="N660" s="2"/>
      <c r="O660" s="4"/>
    </row>
    <row r="661" spans="1:15" x14ac:dyDescent="0.2">
      <c r="A661" s="91" t="s">
        <v>368</v>
      </c>
      <c r="B661" s="91" t="s">
        <v>696</v>
      </c>
      <c r="C661" s="95">
        <v>604</v>
      </c>
      <c r="D661" s="95">
        <v>711</v>
      </c>
      <c r="E661" s="95">
        <v>1315</v>
      </c>
      <c r="F661" s="95">
        <v>27610892</v>
      </c>
      <c r="G661" s="95">
        <v>36187632</v>
      </c>
      <c r="H661" s="95">
        <v>63798524</v>
      </c>
      <c r="I661" s="91" t="s">
        <v>485</v>
      </c>
      <c r="J661" s="91" t="s">
        <v>90</v>
      </c>
      <c r="K661" s="94">
        <v>770388</v>
      </c>
      <c r="L661" s="91" t="s">
        <v>697</v>
      </c>
      <c r="M661" s="2"/>
      <c r="N661" s="2"/>
      <c r="O661" s="4"/>
    </row>
    <row r="662" spans="1:15" x14ac:dyDescent="0.2">
      <c r="A662" s="91" t="s">
        <v>207</v>
      </c>
      <c r="B662" s="91" t="s">
        <v>209</v>
      </c>
      <c r="C662" s="95">
        <v>10286</v>
      </c>
      <c r="D662" s="95">
        <v>11137</v>
      </c>
      <c r="E662" s="95">
        <v>21423</v>
      </c>
      <c r="F662" s="95">
        <v>286232768</v>
      </c>
      <c r="G662" s="95">
        <v>375769457</v>
      </c>
      <c r="H662" s="95">
        <v>662002225</v>
      </c>
      <c r="I662" s="91" t="s">
        <v>585</v>
      </c>
      <c r="J662" s="91" t="s">
        <v>89</v>
      </c>
      <c r="K662" s="94">
        <v>771030</v>
      </c>
      <c r="L662" s="91" t="s">
        <v>542</v>
      </c>
      <c r="M662" s="2"/>
      <c r="N662" s="2"/>
      <c r="O662" s="4"/>
    </row>
    <row r="663" spans="1:15" x14ac:dyDescent="0.2">
      <c r="A663" s="91" t="s">
        <v>157</v>
      </c>
      <c r="B663" s="91" t="s">
        <v>957</v>
      </c>
      <c r="C663" s="95">
        <v>36</v>
      </c>
      <c r="D663" s="95">
        <v>73</v>
      </c>
      <c r="E663" s="95">
        <v>109</v>
      </c>
      <c r="F663" s="95">
        <v>930034</v>
      </c>
      <c r="G663" s="95">
        <v>1852304</v>
      </c>
      <c r="H663" s="95">
        <v>2782338</v>
      </c>
      <c r="I663" s="91" t="s">
        <v>485</v>
      </c>
      <c r="J663" s="91" t="s">
        <v>89</v>
      </c>
      <c r="K663" s="94">
        <v>772038</v>
      </c>
      <c r="L663" s="91" t="s">
        <v>889</v>
      </c>
      <c r="M663" s="2"/>
      <c r="N663" s="2"/>
      <c r="O663" s="4"/>
    </row>
    <row r="664" spans="1:15" x14ac:dyDescent="0.2">
      <c r="A664" s="91" t="s">
        <v>38</v>
      </c>
      <c r="B664" s="91" t="s">
        <v>575</v>
      </c>
      <c r="C664" s="95">
        <v>40</v>
      </c>
      <c r="D664" s="95">
        <v>67</v>
      </c>
      <c r="E664" s="95">
        <v>107</v>
      </c>
      <c r="F664" s="95">
        <v>1017952</v>
      </c>
      <c r="G664" s="95">
        <v>2312795</v>
      </c>
      <c r="H664" s="95">
        <v>3330748</v>
      </c>
      <c r="I664" s="91" t="s">
        <v>485</v>
      </c>
      <c r="J664" s="91" t="s">
        <v>89</v>
      </c>
      <c r="K664" s="94">
        <v>773861</v>
      </c>
      <c r="L664" s="91" t="s">
        <v>93</v>
      </c>
      <c r="M664" s="2"/>
      <c r="N664" s="2"/>
      <c r="O664" s="4"/>
    </row>
    <row r="665" spans="1:15" x14ac:dyDescent="0.2">
      <c r="A665" s="91" t="s">
        <v>254</v>
      </c>
      <c r="B665" s="91" t="s">
        <v>262</v>
      </c>
      <c r="C665" s="95">
        <v>9621</v>
      </c>
      <c r="D665" s="95">
        <v>9120</v>
      </c>
      <c r="E665" s="95">
        <v>18741</v>
      </c>
      <c r="F665" s="95">
        <v>728053398</v>
      </c>
      <c r="G665" s="95">
        <v>840704549</v>
      </c>
      <c r="H665" s="95">
        <v>1568757947</v>
      </c>
      <c r="I665" s="91" t="s">
        <v>585</v>
      </c>
      <c r="J665" s="91" t="s">
        <v>92</v>
      </c>
      <c r="K665" s="94">
        <v>778944</v>
      </c>
      <c r="L665" s="91" t="s">
        <v>1035</v>
      </c>
      <c r="M665" s="2"/>
      <c r="N665" s="2"/>
      <c r="O665" s="4"/>
    </row>
    <row r="666" spans="1:15" x14ac:dyDescent="0.2">
      <c r="A666" s="91" t="s">
        <v>157</v>
      </c>
      <c r="B666" s="91" t="s">
        <v>955</v>
      </c>
      <c r="C666" s="95">
        <v>678</v>
      </c>
      <c r="D666" s="95">
        <v>931</v>
      </c>
      <c r="E666" s="95">
        <v>1609</v>
      </c>
      <c r="F666" s="95">
        <v>17449602</v>
      </c>
      <c r="G666" s="95">
        <v>27976216</v>
      </c>
      <c r="H666" s="95">
        <v>45425819</v>
      </c>
      <c r="I666" s="91" t="s">
        <v>485</v>
      </c>
      <c r="J666" s="91" t="s">
        <v>89</v>
      </c>
      <c r="K666" s="94">
        <v>779538</v>
      </c>
      <c r="L666" s="91" t="s">
        <v>61</v>
      </c>
      <c r="M666" s="2"/>
      <c r="N666" s="2"/>
      <c r="O666" s="4"/>
    </row>
    <row r="667" spans="1:15" x14ac:dyDescent="0.2">
      <c r="A667" s="91" t="s">
        <v>98</v>
      </c>
      <c r="B667" s="91" t="s">
        <v>583</v>
      </c>
      <c r="C667" s="95">
        <v>158</v>
      </c>
      <c r="D667" s="95">
        <v>250</v>
      </c>
      <c r="E667" s="95">
        <v>408</v>
      </c>
      <c r="F667" s="95">
        <v>4174176</v>
      </c>
      <c r="G667" s="95">
        <v>8270868</v>
      </c>
      <c r="H667" s="95">
        <v>12445043</v>
      </c>
      <c r="I667" s="91" t="s">
        <v>485</v>
      </c>
      <c r="J667" s="91" t="s">
        <v>89</v>
      </c>
      <c r="K667" s="94">
        <v>780007</v>
      </c>
      <c r="L667" s="91" t="s">
        <v>268</v>
      </c>
      <c r="M667" s="2"/>
      <c r="N667" s="2"/>
      <c r="O667" s="4"/>
    </row>
    <row r="668" spans="1:15" x14ac:dyDescent="0.2">
      <c r="A668" s="91" t="s">
        <v>353</v>
      </c>
      <c r="B668" s="91" t="s">
        <v>390</v>
      </c>
      <c r="C668" s="95">
        <v>69500</v>
      </c>
      <c r="D668" s="95">
        <v>54101</v>
      </c>
      <c r="E668" s="95">
        <v>123601</v>
      </c>
      <c r="F668" s="95">
        <v>7331315949</v>
      </c>
      <c r="G668" s="95">
        <v>6785986375</v>
      </c>
      <c r="H668" s="95">
        <v>14117302325</v>
      </c>
      <c r="I668" s="91" t="s">
        <v>585</v>
      </c>
      <c r="J668" s="91" t="s">
        <v>92</v>
      </c>
      <c r="K668" s="94">
        <v>783720</v>
      </c>
      <c r="L668" s="91" t="s">
        <v>133</v>
      </c>
      <c r="M668" s="2"/>
      <c r="N668" s="2"/>
      <c r="O668" s="4"/>
    </row>
    <row r="669" spans="1:15" x14ac:dyDescent="0.2">
      <c r="A669" s="91" t="s">
        <v>565</v>
      </c>
      <c r="B669" s="91" t="s">
        <v>391</v>
      </c>
      <c r="C669" s="95">
        <v>83838</v>
      </c>
      <c r="D669" s="95">
        <v>70954</v>
      </c>
      <c r="E669" s="95">
        <v>154792</v>
      </c>
      <c r="F669" s="95">
        <v>4651612365</v>
      </c>
      <c r="G669" s="95">
        <v>4803627369</v>
      </c>
      <c r="H669" s="95">
        <v>9455239734</v>
      </c>
      <c r="I669" s="91" t="s">
        <v>585</v>
      </c>
      <c r="J669" s="91" t="s">
        <v>89</v>
      </c>
      <c r="K669" s="94">
        <v>785022</v>
      </c>
      <c r="L669" s="91" t="s">
        <v>133</v>
      </c>
      <c r="M669" s="2"/>
      <c r="N669" s="2"/>
      <c r="O669" s="4"/>
    </row>
    <row r="670" spans="1:15" x14ac:dyDescent="0.2">
      <c r="A670" s="91" t="s">
        <v>580</v>
      </c>
      <c r="B670" s="91" t="s">
        <v>476</v>
      </c>
      <c r="C670" s="95">
        <v>678</v>
      </c>
      <c r="D670" s="95">
        <v>872</v>
      </c>
      <c r="E670" s="95">
        <v>1550</v>
      </c>
      <c r="F670" s="95">
        <v>21205381</v>
      </c>
      <c r="G670" s="95">
        <v>32548359</v>
      </c>
      <c r="H670" s="95">
        <v>53753740</v>
      </c>
      <c r="I670" s="91" t="s">
        <v>485</v>
      </c>
      <c r="J670" s="91" t="s">
        <v>89</v>
      </c>
      <c r="K670" s="94">
        <v>785493</v>
      </c>
      <c r="L670" s="91" t="s">
        <v>36</v>
      </c>
      <c r="M670" s="2"/>
      <c r="N670" s="2"/>
      <c r="O670" s="4"/>
    </row>
    <row r="671" spans="1:15" x14ac:dyDescent="0.2">
      <c r="A671" s="91" t="s">
        <v>197</v>
      </c>
      <c r="B671" s="91" t="s">
        <v>1116</v>
      </c>
      <c r="C671" s="95">
        <v>16514</v>
      </c>
      <c r="D671" s="95">
        <v>17809</v>
      </c>
      <c r="E671" s="95">
        <v>34323</v>
      </c>
      <c r="F671" s="95">
        <v>385394761</v>
      </c>
      <c r="G671" s="95">
        <v>512835891</v>
      </c>
      <c r="H671" s="95">
        <v>898230653</v>
      </c>
      <c r="I671" s="91" t="s">
        <v>585</v>
      </c>
      <c r="J671" s="91" t="s">
        <v>89</v>
      </c>
      <c r="K671" s="94">
        <v>785618</v>
      </c>
      <c r="L671" s="91" t="s">
        <v>528</v>
      </c>
      <c r="M671" s="2"/>
      <c r="N671" s="2"/>
      <c r="O671" s="4"/>
    </row>
    <row r="672" spans="1:15" x14ac:dyDescent="0.2">
      <c r="A672" s="91" t="s">
        <v>109</v>
      </c>
      <c r="B672" s="91" t="s">
        <v>1011</v>
      </c>
      <c r="C672" s="95">
        <v>115</v>
      </c>
      <c r="D672" s="95">
        <v>103</v>
      </c>
      <c r="E672" s="95">
        <v>218</v>
      </c>
      <c r="F672" s="95">
        <v>3753866</v>
      </c>
      <c r="G672" s="95">
        <v>4867655</v>
      </c>
      <c r="H672" s="95">
        <v>8621521</v>
      </c>
      <c r="I672" s="91" t="s">
        <v>485</v>
      </c>
      <c r="J672" s="91" t="s">
        <v>89</v>
      </c>
      <c r="K672" s="94">
        <v>785907</v>
      </c>
      <c r="L672" s="91" t="s">
        <v>826</v>
      </c>
      <c r="M672" s="2"/>
      <c r="N672" s="2"/>
      <c r="O672" s="4"/>
    </row>
    <row r="673" spans="1:15" x14ac:dyDescent="0.2">
      <c r="A673" s="91" t="s">
        <v>465</v>
      </c>
      <c r="B673" s="91" t="s">
        <v>467</v>
      </c>
      <c r="C673" s="95">
        <v>1102</v>
      </c>
      <c r="D673" s="95">
        <v>1064</v>
      </c>
      <c r="E673" s="95">
        <v>2166</v>
      </c>
      <c r="F673" s="95">
        <v>28851928</v>
      </c>
      <c r="G673" s="95">
        <v>36442966</v>
      </c>
      <c r="H673" s="95">
        <v>65294894</v>
      </c>
      <c r="I673" s="91" t="s">
        <v>585</v>
      </c>
      <c r="J673" s="91" t="s">
        <v>90</v>
      </c>
      <c r="K673" s="94">
        <v>787382</v>
      </c>
      <c r="L673" s="91" t="s">
        <v>528</v>
      </c>
      <c r="M673" s="2"/>
      <c r="N673" s="2"/>
      <c r="O673" s="4"/>
    </row>
    <row r="674" spans="1:15" x14ac:dyDescent="0.2">
      <c r="A674" s="91" t="s">
        <v>157</v>
      </c>
      <c r="B674" s="91" t="s">
        <v>864</v>
      </c>
      <c r="C674" s="95">
        <v>87</v>
      </c>
      <c r="D674" s="95">
        <v>177</v>
      </c>
      <c r="E674" s="95">
        <v>264</v>
      </c>
      <c r="F674" s="95">
        <v>2389295</v>
      </c>
      <c r="G674" s="95">
        <v>6606833</v>
      </c>
      <c r="H674" s="95">
        <v>8996128</v>
      </c>
      <c r="I674" s="91" t="s">
        <v>485</v>
      </c>
      <c r="J674" s="91" t="s">
        <v>89</v>
      </c>
      <c r="K674" s="94">
        <v>789032</v>
      </c>
      <c r="L674" s="91" t="s">
        <v>439</v>
      </c>
      <c r="M674" s="2"/>
      <c r="N674" s="2"/>
      <c r="O674" s="4"/>
    </row>
    <row r="675" spans="1:15" x14ac:dyDescent="0.2">
      <c r="A675" s="91" t="s">
        <v>515</v>
      </c>
      <c r="B675" s="91" t="s">
        <v>392</v>
      </c>
      <c r="C675" s="95">
        <v>46514</v>
      </c>
      <c r="D675" s="95">
        <v>43633</v>
      </c>
      <c r="E675" s="95">
        <v>90147</v>
      </c>
      <c r="F675" s="95">
        <v>1781703758</v>
      </c>
      <c r="G675" s="95">
        <v>2082235072</v>
      </c>
      <c r="H675" s="95">
        <v>3863938830</v>
      </c>
      <c r="I675" s="91" t="s">
        <v>585</v>
      </c>
      <c r="J675" s="91" t="s">
        <v>89</v>
      </c>
      <c r="K675" s="94">
        <v>789271</v>
      </c>
      <c r="L675" s="91" t="s">
        <v>133</v>
      </c>
      <c r="M675" s="2"/>
      <c r="N675" s="2"/>
      <c r="O675" s="4"/>
    </row>
    <row r="676" spans="1:15" x14ac:dyDescent="0.2">
      <c r="A676" s="91" t="s">
        <v>121</v>
      </c>
      <c r="B676" s="91" t="s">
        <v>930</v>
      </c>
      <c r="C676" s="95">
        <v>4</v>
      </c>
      <c r="D676" s="95">
        <v>16</v>
      </c>
      <c r="E676" s="95">
        <v>20</v>
      </c>
      <c r="F676" s="95">
        <v>110007</v>
      </c>
      <c r="G676" s="95">
        <v>446809</v>
      </c>
      <c r="H676" s="95">
        <v>556816</v>
      </c>
      <c r="I676" s="91" t="s">
        <v>485</v>
      </c>
      <c r="J676" s="91" t="s">
        <v>89</v>
      </c>
      <c r="K676" s="94">
        <v>789560</v>
      </c>
      <c r="L676" s="91" t="s">
        <v>1096</v>
      </c>
      <c r="M676" s="2"/>
      <c r="N676" s="2"/>
      <c r="O676" s="4"/>
    </row>
    <row r="677" spans="1:15" x14ac:dyDescent="0.2">
      <c r="A677" s="91" t="s">
        <v>515</v>
      </c>
      <c r="B677" s="91" t="s">
        <v>1062</v>
      </c>
      <c r="C677" s="95">
        <v>90</v>
      </c>
      <c r="D677" s="95">
        <v>163</v>
      </c>
      <c r="E677" s="95">
        <v>253</v>
      </c>
      <c r="F677" s="95">
        <v>2777354</v>
      </c>
      <c r="G677" s="95">
        <v>6230488</v>
      </c>
      <c r="H677" s="95">
        <v>9007842</v>
      </c>
      <c r="I677" s="91" t="s">
        <v>485</v>
      </c>
      <c r="J677" s="91" t="s">
        <v>89</v>
      </c>
      <c r="K677" s="94">
        <v>792697</v>
      </c>
      <c r="L677" s="91" t="s">
        <v>594</v>
      </c>
      <c r="M677" s="2"/>
      <c r="N677" s="2"/>
      <c r="O677" s="4"/>
    </row>
    <row r="678" spans="1:15" x14ac:dyDescent="0.2">
      <c r="A678" s="91" t="s">
        <v>478</v>
      </c>
      <c r="B678" s="91" t="s">
        <v>729</v>
      </c>
      <c r="C678" s="95">
        <v>647</v>
      </c>
      <c r="D678" s="95">
        <v>1036</v>
      </c>
      <c r="E678" s="95">
        <v>1683</v>
      </c>
      <c r="F678" s="95">
        <v>22891910</v>
      </c>
      <c r="G678" s="95">
        <v>43814067</v>
      </c>
      <c r="H678" s="95">
        <v>66705977</v>
      </c>
      <c r="I678" s="91" t="s">
        <v>485</v>
      </c>
      <c r="J678" s="91" t="s">
        <v>90</v>
      </c>
      <c r="K678" s="94">
        <v>793406</v>
      </c>
      <c r="L678" s="91" t="s">
        <v>584</v>
      </c>
      <c r="M678" s="2"/>
      <c r="N678" s="2"/>
      <c r="O678" s="4"/>
    </row>
    <row r="679" spans="1:15" x14ac:dyDescent="0.2">
      <c r="A679" s="91" t="s">
        <v>227</v>
      </c>
      <c r="B679" s="91" t="s">
        <v>240</v>
      </c>
      <c r="C679" s="95">
        <v>913</v>
      </c>
      <c r="D679" s="95">
        <v>965</v>
      </c>
      <c r="E679" s="95">
        <v>1878</v>
      </c>
      <c r="F679" s="95">
        <v>22352797</v>
      </c>
      <c r="G679" s="95">
        <v>28255706</v>
      </c>
      <c r="H679" s="95">
        <v>50608503</v>
      </c>
      <c r="I679" s="91" t="s">
        <v>485</v>
      </c>
      <c r="J679" s="91" t="s">
        <v>91</v>
      </c>
      <c r="K679" s="94">
        <v>794115</v>
      </c>
      <c r="L679" s="91" t="s">
        <v>61</v>
      </c>
      <c r="M679" s="2"/>
      <c r="N679" s="2"/>
      <c r="O679" s="4"/>
    </row>
    <row r="680" spans="1:15" x14ac:dyDescent="0.2">
      <c r="A680" s="91" t="s">
        <v>98</v>
      </c>
      <c r="B680" s="91" t="s">
        <v>805</v>
      </c>
      <c r="C680" s="95">
        <v>979</v>
      </c>
      <c r="D680" s="95">
        <v>1664</v>
      </c>
      <c r="E680" s="95">
        <v>2643</v>
      </c>
      <c r="F680" s="95">
        <v>32324816</v>
      </c>
      <c r="G680" s="95">
        <v>69805269</v>
      </c>
      <c r="H680" s="95">
        <v>102130085</v>
      </c>
      <c r="I680" s="91" t="s">
        <v>485</v>
      </c>
      <c r="J680" s="91" t="s">
        <v>89</v>
      </c>
      <c r="K680" s="94">
        <v>795054</v>
      </c>
      <c r="L680" s="91" t="s">
        <v>802</v>
      </c>
      <c r="M680" s="2"/>
      <c r="N680" s="2"/>
      <c r="O680" s="4"/>
    </row>
    <row r="681" spans="1:15" x14ac:dyDescent="0.2">
      <c r="A681" s="91" t="s">
        <v>109</v>
      </c>
      <c r="B681" s="91" t="s">
        <v>117</v>
      </c>
      <c r="C681" s="95">
        <v>12477</v>
      </c>
      <c r="D681" s="95">
        <v>8984</v>
      </c>
      <c r="E681" s="95">
        <v>21461</v>
      </c>
      <c r="F681" s="95">
        <v>433832268</v>
      </c>
      <c r="G681" s="95">
        <v>355578903</v>
      </c>
      <c r="H681" s="95">
        <v>789411171</v>
      </c>
      <c r="I681" s="91" t="s">
        <v>585</v>
      </c>
      <c r="J681" s="91" t="s">
        <v>89</v>
      </c>
      <c r="K681" s="94">
        <v>797779</v>
      </c>
      <c r="L681" s="91" t="s">
        <v>133</v>
      </c>
      <c r="M681" s="2"/>
      <c r="N681" s="2"/>
      <c r="O681" s="4"/>
    </row>
    <row r="682" spans="1:15" x14ac:dyDescent="0.2">
      <c r="A682" s="91" t="s">
        <v>478</v>
      </c>
      <c r="B682" s="91" t="s">
        <v>815</v>
      </c>
      <c r="C682" s="95">
        <v>4</v>
      </c>
      <c r="D682" s="95">
        <v>8</v>
      </c>
      <c r="E682" s="95">
        <v>12</v>
      </c>
      <c r="F682" s="95">
        <v>72887</v>
      </c>
      <c r="G682" s="95">
        <v>387551</v>
      </c>
      <c r="H682" s="95">
        <v>460438</v>
      </c>
      <c r="I682" s="91" t="s">
        <v>485</v>
      </c>
      <c r="J682" s="91" t="s">
        <v>90</v>
      </c>
      <c r="K682" s="94">
        <v>799304</v>
      </c>
      <c r="L682" s="91" t="s">
        <v>802</v>
      </c>
      <c r="M682" s="2"/>
      <c r="N682" s="2"/>
      <c r="O682" s="4"/>
    </row>
    <row r="683" spans="1:15" x14ac:dyDescent="0.2">
      <c r="A683" s="91" t="s">
        <v>109</v>
      </c>
      <c r="B683" s="91" t="s">
        <v>265</v>
      </c>
      <c r="C683" s="95">
        <v>221</v>
      </c>
      <c r="D683" s="95">
        <v>326</v>
      </c>
      <c r="E683" s="95">
        <v>547</v>
      </c>
      <c r="F683" s="95">
        <v>6292975</v>
      </c>
      <c r="G683" s="95">
        <v>11510706</v>
      </c>
      <c r="H683" s="95">
        <v>17803681</v>
      </c>
      <c r="I683" s="91" t="s">
        <v>485</v>
      </c>
      <c r="J683" s="91" t="s">
        <v>89</v>
      </c>
      <c r="K683" s="94">
        <v>800664</v>
      </c>
      <c r="L683" s="91" t="s">
        <v>270</v>
      </c>
      <c r="M683" s="2"/>
      <c r="N683" s="2"/>
      <c r="O683" s="4"/>
    </row>
    <row r="684" spans="1:15" x14ac:dyDescent="0.2">
      <c r="A684" s="91" t="s">
        <v>121</v>
      </c>
      <c r="B684" s="91" t="s">
        <v>1071</v>
      </c>
      <c r="C684" s="95">
        <v>4</v>
      </c>
      <c r="D684" s="95">
        <v>13</v>
      </c>
      <c r="E684" s="95">
        <v>17</v>
      </c>
      <c r="F684" s="95">
        <v>355065</v>
      </c>
      <c r="G684" s="95">
        <v>828464</v>
      </c>
      <c r="H684" s="95">
        <v>1183529</v>
      </c>
      <c r="I684" s="91" t="s">
        <v>585</v>
      </c>
      <c r="J684" s="91" t="s">
        <v>89</v>
      </c>
      <c r="K684" s="94">
        <v>802900</v>
      </c>
      <c r="L684" s="91" t="s">
        <v>524</v>
      </c>
      <c r="M684" s="2"/>
      <c r="N684" s="2"/>
      <c r="O684" s="4"/>
    </row>
    <row r="685" spans="1:15" x14ac:dyDescent="0.2">
      <c r="A685" s="91" t="s">
        <v>72</v>
      </c>
      <c r="B685" s="91" t="s">
        <v>438</v>
      </c>
      <c r="C685" s="95">
        <v>338</v>
      </c>
      <c r="D685" s="95">
        <v>511</v>
      </c>
      <c r="E685" s="95">
        <v>849</v>
      </c>
      <c r="F685" s="95">
        <v>9237744</v>
      </c>
      <c r="G685" s="95">
        <v>17352854</v>
      </c>
      <c r="H685" s="95">
        <v>26590598</v>
      </c>
      <c r="I685" s="91" t="s">
        <v>485</v>
      </c>
      <c r="J685" s="91" t="s">
        <v>89</v>
      </c>
      <c r="K685" s="94">
        <v>804385</v>
      </c>
      <c r="L685" s="91" t="s">
        <v>591</v>
      </c>
      <c r="M685" s="2"/>
      <c r="N685" s="2"/>
      <c r="O685" s="4"/>
    </row>
    <row r="686" spans="1:15" x14ac:dyDescent="0.2">
      <c r="A686" s="91" t="s">
        <v>180</v>
      </c>
      <c r="B686" s="91" t="s">
        <v>555</v>
      </c>
      <c r="C686" s="95">
        <v>315</v>
      </c>
      <c r="D686" s="95">
        <v>679</v>
      </c>
      <c r="E686" s="95">
        <v>994</v>
      </c>
      <c r="F686" s="95">
        <v>7721023</v>
      </c>
      <c r="G686" s="95">
        <v>22551539</v>
      </c>
      <c r="H686" s="95">
        <v>30272561</v>
      </c>
      <c r="I686" s="91" t="s">
        <v>485</v>
      </c>
      <c r="J686" s="91" t="s">
        <v>89</v>
      </c>
      <c r="K686" s="94">
        <v>806091</v>
      </c>
      <c r="L686" s="91" t="s">
        <v>61</v>
      </c>
      <c r="M686" s="2"/>
      <c r="N686" s="2"/>
      <c r="O686" s="4"/>
    </row>
    <row r="687" spans="1:15" x14ac:dyDescent="0.2">
      <c r="A687" s="91" t="s">
        <v>515</v>
      </c>
      <c r="B687" s="91" t="s">
        <v>543</v>
      </c>
      <c r="C687" s="95">
        <v>5755</v>
      </c>
      <c r="D687" s="95">
        <v>6432</v>
      </c>
      <c r="E687" s="95">
        <v>12187</v>
      </c>
      <c r="F687" s="95">
        <v>209254754</v>
      </c>
      <c r="G687" s="95">
        <v>290756130</v>
      </c>
      <c r="H687" s="95">
        <v>500010884</v>
      </c>
      <c r="I687" s="91" t="s">
        <v>585</v>
      </c>
      <c r="J687" s="91" t="s">
        <v>89</v>
      </c>
      <c r="K687" s="94">
        <v>806869</v>
      </c>
      <c r="L687" s="91" t="s">
        <v>542</v>
      </c>
      <c r="M687" s="2"/>
      <c r="N687" s="2"/>
      <c r="O687" s="4"/>
    </row>
    <row r="688" spans="1:15" x14ac:dyDescent="0.2">
      <c r="A688" s="91" t="s">
        <v>412</v>
      </c>
      <c r="B688" s="91" t="s">
        <v>415</v>
      </c>
      <c r="C688" s="95">
        <v>2047</v>
      </c>
      <c r="D688" s="95">
        <v>1861</v>
      </c>
      <c r="E688" s="95">
        <v>3908</v>
      </c>
      <c r="F688" s="95">
        <v>61336294</v>
      </c>
      <c r="G688" s="95">
        <v>75485049</v>
      </c>
      <c r="H688" s="95">
        <v>136821343</v>
      </c>
      <c r="I688" s="91" t="s">
        <v>585</v>
      </c>
      <c r="J688" s="91" t="s">
        <v>90</v>
      </c>
      <c r="K688" s="94">
        <v>807453</v>
      </c>
      <c r="L688" s="91" t="s">
        <v>616</v>
      </c>
      <c r="M688" s="2"/>
      <c r="N688" s="2"/>
      <c r="O688" s="4"/>
    </row>
    <row r="689" spans="1:15" x14ac:dyDescent="0.2">
      <c r="A689" s="91" t="s">
        <v>121</v>
      </c>
      <c r="B689" s="91" t="s">
        <v>1087</v>
      </c>
      <c r="C689" s="95">
        <v>391</v>
      </c>
      <c r="D689" s="95">
        <v>244</v>
      </c>
      <c r="E689" s="95">
        <v>635</v>
      </c>
      <c r="F689" s="95">
        <v>6224769</v>
      </c>
      <c r="G689" s="95">
        <v>5091893</v>
      </c>
      <c r="H689" s="95">
        <v>11316661</v>
      </c>
      <c r="I689" s="91" t="s">
        <v>485</v>
      </c>
      <c r="J689" s="91" t="s">
        <v>89</v>
      </c>
      <c r="K689" s="94">
        <v>807867</v>
      </c>
      <c r="L689" s="91" t="s">
        <v>61</v>
      </c>
      <c r="M689" s="2"/>
      <c r="N689" s="2"/>
      <c r="O689" s="4"/>
    </row>
    <row r="690" spans="1:15" x14ac:dyDescent="0.2">
      <c r="A690" s="91" t="s">
        <v>478</v>
      </c>
      <c r="B690" s="91" t="s">
        <v>479</v>
      </c>
      <c r="C690" s="95">
        <v>76</v>
      </c>
      <c r="D690" s="95">
        <v>119</v>
      </c>
      <c r="E690" s="95">
        <v>195</v>
      </c>
      <c r="F690" s="95">
        <v>1428501</v>
      </c>
      <c r="G690" s="95">
        <v>2898022</v>
      </c>
      <c r="H690" s="95">
        <v>4326524</v>
      </c>
      <c r="I690" s="91" t="s">
        <v>485</v>
      </c>
      <c r="J690" s="91" t="s">
        <v>90</v>
      </c>
      <c r="K690" s="94">
        <v>808634</v>
      </c>
      <c r="L690" s="91" t="s">
        <v>755</v>
      </c>
      <c r="M690" s="2"/>
      <c r="N690" s="2"/>
      <c r="O690" s="4"/>
    </row>
    <row r="691" spans="1:15" x14ac:dyDescent="0.2">
      <c r="A691" s="91" t="s">
        <v>180</v>
      </c>
      <c r="B691" s="91" t="s">
        <v>294</v>
      </c>
      <c r="C691" s="95">
        <v>2</v>
      </c>
      <c r="D691" s="95">
        <v>5</v>
      </c>
      <c r="E691" s="95">
        <v>7</v>
      </c>
      <c r="F691" s="95">
        <v>75425</v>
      </c>
      <c r="G691" s="95">
        <v>185065</v>
      </c>
      <c r="H691" s="95">
        <v>260489</v>
      </c>
      <c r="I691" s="91" t="s">
        <v>485</v>
      </c>
      <c r="J691" s="91" t="s">
        <v>89</v>
      </c>
      <c r="K691" s="94">
        <v>809699</v>
      </c>
      <c r="L691" s="91" t="s">
        <v>93</v>
      </c>
      <c r="M691" s="2"/>
      <c r="N691" s="2"/>
      <c r="O691" s="4"/>
    </row>
    <row r="692" spans="1:15" x14ac:dyDescent="0.2">
      <c r="A692" s="91" t="s">
        <v>38</v>
      </c>
      <c r="B692" s="91" t="s">
        <v>140</v>
      </c>
      <c r="C692" s="95">
        <v>20</v>
      </c>
      <c r="D692" s="95">
        <v>24</v>
      </c>
      <c r="E692" s="95">
        <v>44</v>
      </c>
      <c r="F692" s="95">
        <v>372638</v>
      </c>
      <c r="G692" s="95">
        <v>612067</v>
      </c>
      <c r="H692" s="95">
        <v>984705</v>
      </c>
      <c r="I692" s="91" t="s">
        <v>485</v>
      </c>
      <c r="J692" s="91" t="s">
        <v>89</v>
      </c>
      <c r="K692" s="94">
        <v>810465</v>
      </c>
      <c r="L692" s="91" t="s">
        <v>320</v>
      </c>
      <c r="M692" s="2"/>
      <c r="N692" s="2"/>
      <c r="O692" s="4"/>
    </row>
    <row r="693" spans="1:15" x14ac:dyDescent="0.2">
      <c r="A693" s="91" t="s">
        <v>580</v>
      </c>
      <c r="B693" s="91" t="s">
        <v>263</v>
      </c>
      <c r="C693" s="95">
        <v>5195</v>
      </c>
      <c r="D693" s="95">
        <v>4852</v>
      </c>
      <c r="E693" s="95">
        <v>10047</v>
      </c>
      <c r="F693" s="95">
        <v>200351560</v>
      </c>
      <c r="G693" s="95">
        <v>222518905</v>
      </c>
      <c r="H693" s="95">
        <v>422870465</v>
      </c>
      <c r="I693" s="91" t="s">
        <v>585</v>
      </c>
      <c r="J693" s="91" t="s">
        <v>89</v>
      </c>
      <c r="K693" s="94">
        <v>811117</v>
      </c>
      <c r="L693" s="91" t="s">
        <v>521</v>
      </c>
      <c r="M693" s="2"/>
      <c r="N693" s="2"/>
      <c r="O693" s="4"/>
    </row>
    <row r="694" spans="1:15" x14ac:dyDescent="0.2">
      <c r="A694" s="91" t="s">
        <v>254</v>
      </c>
      <c r="B694" s="91" t="s">
        <v>257</v>
      </c>
      <c r="C694" s="95">
        <v>12512</v>
      </c>
      <c r="D694" s="95">
        <v>12092</v>
      </c>
      <c r="E694" s="95">
        <v>24604</v>
      </c>
      <c r="F694" s="95">
        <v>723318202</v>
      </c>
      <c r="G694" s="95">
        <v>828730787</v>
      </c>
      <c r="H694" s="95">
        <v>1552048989</v>
      </c>
      <c r="I694" s="91" t="s">
        <v>585</v>
      </c>
      <c r="J694" s="91" t="s">
        <v>92</v>
      </c>
      <c r="K694" s="94">
        <v>814772</v>
      </c>
      <c r="L694" s="91" t="s">
        <v>1035</v>
      </c>
      <c r="M694" s="2"/>
      <c r="N694" s="2"/>
      <c r="O694" s="4"/>
    </row>
    <row r="695" spans="1:15" x14ac:dyDescent="0.2">
      <c r="A695" s="91" t="s">
        <v>202</v>
      </c>
      <c r="B695" s="91" t="s">
        <v>759</v>
      </c>
      <c r="C695" s="95">
        <v>63</v>
      </c>
      <c r="D695" s="95">
        <v>97</v>
      </c>
      <c r="E695" s="95">
        <v>160</v>
      </c>
      <c r="F695" s="95">
        <v>1629053</v>
      </c>
      <c r="G695" s="95">
        <v>3249971</v>
      </c>
      <c r="H695" s="95">
        <v>4879025</v>
      </c>
      <c r="I695" s="91" t="s">
        <v>585</v>
      </c>
      <c r="J695" s="91" t="s">
        <v>89</v>
      </c>
      <c r="K695" s="94">
        <v>815712</v>
      </c>
      <c r="L695" s="91" t="s">
        <v>332</v>
      </c>
      <c r="M695" s="2"/>
      <c r="N695" s="2"/>
      <c r="O695" s="4"/>
    </row>
    <row r="696" spans="1:15" x14ac:dyDescent="0.2">
      <c r="A696" s="91" t="s">
        <v>72</v>
      </c>
      <c r="B696" s="91" t="s">
        <v>260</v>
      </c>
      <c r="C696" s="95">
        <v>461</v>
      </c>
      <c r="D696" s="95">
        <v>627</v>
      </c>
      <c r="E696" s="95">
        <v>1088</v>
      </c>
      <c r="F696" s="95">
        <v>16149627</v>
      </c>
      <c r="G696" s="95">
        <v>29548129</v>
      </c>
      <c r="H696" s="95">
        <v>45697757</v>
      </c>
      <c r="I696" s="91" t="s">
        <v>485</v>
      </c>
      <c r="J696" s="91" t="s">
        <v>89</v>
      </c>
      <c r="K696" s="94">
        <v>815837</v>
      </c>
      <c r="L696" s="91" t="s">
        <v>268</v>
      </c>
      <c r="M696" s="2"/>
      <c r="N696" s="2"/>
      <c r="O696" s="4"/>
    </row>
    <row r="697" spans="1:15" x14ac:dyDescent="0.2">
      <c r="A697" s="91" t="s">
        <v>368</v>
      </c>
      <c r="B697" s="91" t="s">
        <v>1051</v>
      </c>
      <c r="C697" s="95">
        <v>258</v>
      </c>
      <c r="D697" s="95">
        <v>270</v>
      </c>
      <c r="E697" s="95">
        <v>528</v>
      </c>
      <c r="F697" s="95">
        <v>8935773</v>
      </c>
      <c r="G697" s="95">
        <v>12402965</v>
      </c>
      <c r="H697" s="95">
        <v>21338738</v>
      </c>
      <c r="I697" s="91" t="s">
        <v>485</v>
      </c>
      <c r="J697" s="91" t="s">
        <v>90</v>
      </c>
      <c r="K697" s="94">
        <v>815894</v>
      </c>
      <c r="L697" s="91" t="s">
        <v>594</v>
      </c>
      <c r="M697" s="2"/>
      <c r="N697" s="2"/>
      <c r="O697" s="4"/>
    </row>
    <row r="698" spans="1:15" x14ac:dyDescent="0.2">
      <c r="A698" s="91" t="s">
        <v>98</v>
      </c>
      <c r="B698" s="91" t="s">
        <v>669</v>
      </c>
      <c r="C698" s="95">
        <v>357</v>
      </c>
      <c r="D698" s="95">
        <v>472</v>
      </c>
      <c r="E698" s="95">
        <v>829</v>
      </c>
      <c r="F698" s="95">
        <v>5396060</v>
      </c>
      <c r="G698" s="95">
        <v>7971564</v>
      </c>
      <c r="H698" s="95">
        <v>13367625</v>
      </c>
      <c r="I698" s="91" t="s">
        <v>485</v>
      </c>
      <c r="J698" s="91" t="s">
        <v>89</v>
      </c>
      <c r="K698" s="94">
        <v>817601</v>
      </c>
      <c r="L698" s="91" t="s">
        <v>61</v>
      </c>
      <c r="M698" s="2"/>
      <c r="N698" s="2"/>
      <c r="O698" s="4"/>
    </row>
    <row r="699" spans="1:15" x14ac:dyDescent="0.2">
      <c r="A699" s="91" t="s">
        <v>121</v>
      </c>
      <c r="B699" s="91" t="s">
        <v>713</v>
      </c>
      <c r="C699" s="95">
        <v>1594</v>
      </c>
      <c r="D699" s="95">
        <v>2340</v>
      </c>
      <c r="E699" s="95">
        <v>3934</v>
      </c>
      <c r="F699" s="95">
        <v>43354962</v>
      </c>
      <c r="G699" s="95">
        <v>78675405</v>
      </c>
      <c r="H699" s="95">
        <v>122030367</v>
      </c>
      <c r="I699" s="91" t="s">
        <v>485</v>
      </c>
      <c r="J699" s="91" t="s">
        <v>89</v>
      </c>
      <c r="K699" s="94">
        <v>819029</v>
      </c>
      <c r="L699" s="91" t="s">
        <v>697</v>
      </c>
      <c r="M699" s="2"/>
      <c r="N699" s="2"/>
      <c r="O699" s="4"/>
    </row>
    <row r="700" spans="1:15" x14ac:dyDescent="0.2">
      <c r="A700" s="91" t="s">
        <v>258</v>
      </c>
      <c r="B700" s="91" t="s">
        <v>397</v>
      </c>
      <c r="C700" s="95">
        <v>36531</v>
      </c>
      <c r="D700" s="95">
        <v>24154</v>
      </c>
      <c r="E700" s="95">
        <v>60685</v>
      </c>
      <c r="F700" s="95">
        <v>3484991023</v>
      </c>
      <c r="G700" s="95">
        <v>2697935332</v>
      </c>
      <c r="H700" s="95">
        <v>6182926355</v>
      </c>
      <c r="I700" s="91" t="s">
        <v>585</v>
      </c>
      <c r="J700" s="91" t="s">
        <v>92</v>
      </c>
      <c r="K700" s="94">
        <v>819557</v>
      </c>
      <c r="L700" s="91" t="s">
        <v>133</v>
      </c>
      <c r="M700" s="2"/>
      <c r="N700" s="2"/>
      <c r="O700" s="4"/>
    </row>
    <row r="701" spans="1:15" x14ac:dyDescent="0.2">
      <c r="A701" s="91" t="s">
        <v>580</v>
      </c>
      <c r="B701" s="91" t="s">
        <v>398</v>
      </c>
      <c r="C701" s="95">
        <v>19015</v>
      </c>
      <c r="D701" s="95">
        <v>20758</v>
      </c>
      <c r="E701" s="95">
        <v>39773</v>
      </c>
      <c r="F701" s="95">
        <v>624967582</v>
      </c>
      <c r="G701" s="95">
        <v>837934078</v>
      </c>
      <c r="H701" s="95">
        <v>1462901660</v>
      </c>
      <c r="I701" s="91" t="s">
        <v>585</v>
      </c>
      <c r="J701" s="91" t="s">
        <v>89</v>
      </c>
      <c r="K701" s="94">
        <v>820852</v>
      </c>
      <c r="L701" s="91" t="s">
        <v>133</v>
      </c>
      <c r="M701" s="2"/>
      <c r="N701" s="2"/>
      <c r="O701" s="4"/>
    </row>
    <row r="702" spans="1:15" x14ac:dyDescent="0.2">
      <c r="A702" s="91" t="s">
        <v>180</v>
      </c>
      <c r="B702" s="91" t="s">
        <v>189</v>
      </c>
      <c r="C702" s="95">
        <v>884</v>
      </c>
      <c r="D702" s="95">
        <v>1305</v>
      </c>
      <c r="E702" s="95">
        <v>2189</v>
      </c>
      <c r="F702" s="95">
        <v>35676207</v>
      </c>
      <c r="G702" s="95">
        <v>61532279</v>
      </c>
      <c r="H702" s="95">
        <v>97208485</v>
      </c>
      <c r="I702" s="91" t="s">
        <v>485</v>
      </c>
      <c r="J702" s="91" t="s">
        <v>89</v>
      </c>
      <c r="K702" s="94">
        <v>821389</v>
      </c>
      <c r="L702" s="91" t="s">
        <v>586</v>
      </c>
      <c r="M702" s="2"/>
      <c r="N702" s="2"/>
      <c r="O702" s="4"/>
    </row>
    <row r="703" spans="1:15" x14ac:dyDescent="0.2">
      <c r="A703" s="91" t="s">
        <v>278</v>
      </c>
      <c r="B703" s="91" t="s">
        <v>1014</v>
      </c>
      <c r="C703" s="95">
        <v>330</v>
      </c>
      <c r="D703" s="95">
        <v>394</v>
      </c>
      <c r="E703" s="95">
        <v>724</v>
      </c>
      <c r="F703" s="95">
        <v>9732044</v>
      </c>
      <c r="G703" s="95">
        <v>15818198</v>
      </c>
      <c r="H703" s="95">
        <v>25550242</v>
      </c>
      <c r="I703" s="91" t="s">
        <v>485</v>
      </c>
      <c r="J703" s="91" t="s">
        <v>89</v>
      </c>
      <c r="K703" s="94">
        <v>821736</v>
      </c>
      <c r="L703" s="91" t="s">
        <v>826</v>
      </c>
      <c r="M703" s="2"/>
      <c r="N703" s="2"/>
      <c r="O703" s="4"/>
    </row>
    <row r="704" spans="1:15" x14ac:dyDescent="0.2">
      <c r="A704" s="91" t="s">
        <v>277</v>
      </c>
      <c r="B704" s="91" t="s">
        <v>737</v>
      </c>
      <c r="C704" s="95">
        <v>122</v>
      </c>
      <c r="D704" s="95">
        <v>264</v>
      </c>
      <c r="E704" s="95">
        <v>386</v>
      </c>
      <c r="F704" s="95">
        <v>3233359</v>
      </c>
      <c r="G704" s="95">
        <v>9447448</v>
      </c>
      <c r="H704" s="95">
        <v>12680807</v>
      </c>
      <c r="I704" s="91" t="s">
        <v>585</v>
      </c>
      <c r="J704" s="91" t="s">
        <v>89</v>
      </c>
      <c r="K704" s="94">
        <v>823039</v>
      </c>
      <c r="L704" s="91" t="s">
        <v>616</v>
      </c>
      <c r="M704" s="2"/>
      <c r="N704" s="2"/>
      <c r="O704" s="4"/>
    </row>
    <row r="705" spans="1:15" x14ac:dyDescent="0.2">
      <c r="A705" s="91" t="s">
        <v>98</v>
      </c>
      <c r="B705" s="91" t="s">
        <v>642</v>
      </c>
      <c r="C705" s="95">
        <v>1404</v>
      </c>
      <c r="D705" s="95">
        <v>2413</v>
      </c>
      <c r="E705" s="95">
        <v>3817</v>
      </c>
      <c r="F705" s="95">
        <v>39344528</v>
      </c>
      <c r="G705" s="95">
        <v>81344114</v>
      </c>
      <c r="H705" s="95">
        <v>120688642</v>
      </c>
      <c r="I705" s="91" t="s">
        <v>585</v>
      </c>
      <c r="J705" s="91" t="s">
        <v>89</v>
      </c>
      <c r="K705" s="94">
        <v>823096</v>
      </c>
      <c r="L705" s="91" t="s">
        <v>633</v>
      </c>
      <c r="M705" s="2"/>
      <c r="N705" s="2"/>
      <c r="O705" s="4"/>
    </row>
    <row r="706" spans="1:15" x14ac:dyDescent="0.2">
      <c r="A706" s="91" t="s">
        <v>157</v>
      </c>
      <c r="B706" s="91" t="s">
        <v>399</v>
      </c>
      <c r="C706" s="95">
        <v>28163</v>
      </c>
      <c r="D706" s="95">
        <v>33968</v>
      </c>
      <c r="E706" s="95">
        <v>62131</v>
      </c>
      <c r="F706" s="95">
        <v>613933526</v>
      </c>
      <c r="G706" s="95">
        <v>987830078</v>
      </c>
      <c r="H706" s="95">
        <v>1601763605</v>
      </c>
      <c r="I706" s="91" t="s">
        <v>585</v>
      </c>
      <c r="J706" s="91" t="s">
        <v>89</v>
      </c>
      <c r="K706" s="94">
        <v>825109</v>
      </c>
      <c r="L706" s="91" t="s">
        <v>133</v>
      </c>
      <c r="M706" s="2"/>
      <c r="N706" s="2"/>
      <c r="O706" s="4"/>
    </row>
    <row r="707" spans="1:15" x14ac:dyDescent="0.2">
      <c r="A707" s="91" t="s">
        <v>180</v>
      </c>
      <c r="B707" s="91" t="s">
        <v>927</v>
      </c>
      <c r="C707" s="95">
        <v>61</v>
      </c>
      <c r="D707" s="95">
        <v>151</v>
      </c>
      <c r="E707" s="95">
        <v>212</v>
      </c>
      <c r="F707" s="95">
        <v>2299981</v>
      </c>
      <c r="G707" s="95">
        <v>5398906</v>
      </c>
      <c r="H707" s="95">
        <v>7698887</v>
      </c>
      <c r="I707" s="91" t="s">
        <v>485</v>
      </c>
      <c r="J707" s="91" t="s">
        <v>89</v>
      </c>
      <c r="K707" s="94">
        <v>825398</v>
      </c>
      <c r="L707" s="91" t="s">
        <v>1096</v>
      </c>
      <c r="M707" s="2"/>
      <c r="N707" s="2"/>
      <c r="O707" s="4"/>
    </row>
    <row r="708" spans="1:15" x14ac:dyDescent="0.2">
      <c r="A708" s="91" t="s">
        <v>353</v>
      </c>
      <c r="B708" s="91" t="s">
        <v>355</v>
      </c>
      <c r="C708" s="95">
        <v>9179</v>
      </c>
      <c r="D708" s="95">
        <v>6847</v>
      </c>
      <c r="E708" s="95">
        <v>16026</v>
      </c>
      <c r="F708" s="95">
        <v>538393626</v>
      </c>
      <c r="G708" s="95">
        <v>474821620</v>
      </c>
      <c r="H708" s="95">
        <v>1013215247</v>
      </c>
      <c r="I708" s="91" t="s">
        <v>585</v>
      </c>
      <c r="J708" s="91" t="s">
        <v>92</v>
      </c>
      <c r="K708" s="94">
        <v>829358</v>
      </c>
      <c r="L708" s="91" t="s">
        <v>616</v>
      </c>
      <c r="M708" s="2"/>
      <c r="N708" s="2"/>
      <c r="O708" s="4"/>
    </row>
    <row r="709" spans="1:15" x14ac:dyDescent="0.2">
      <c r="A709" s="91" t="s">
        <v>218</v>
      </c>
      <c r="B709" s="91" t="s">
        <v>8</v>
      </c>
      <c r="C709" s="95">
        <v>3915</v>
      </c>
      <c r="D709" s="95">
        <v>3758</v>
      </c>
      <c r="E709" s="95">
        <v>7673</v>
      </c>
      <c r="F709" s="95">
        <v>158676214</v>
      </c>
      <c r="G709" s="95">
        <v>179839583</v>
      </c>
      <c r="H709" s="95">
        <v>338515797</v>
      </c>
      <c r="I709" s="91" t="s">
        <v>585</v>
      </c>
      <c r="J709" s="91" t="s">
        <v>91</v>
      </c>
      <c r="K709" s="94">
        <v>829945</v>
      </c>
      <c r="L709" s="91" t="s">
        <v>323</v>
      </c>
      <c r="M709" s="2"/>
      <c r="N709" s="2"/>
      <c r="O709" s="4"/>
    </row>
    <row r="710" spans="1:15" x14ac:dyDescent="0.2">
      <c r="A710" s="91" t="s">
        <v>469</v>
      </c>
      <c r="B710" s="91" t="s">
        <v>808</v>
      </c>
      <c r="C710" s="95">
        <v>199</v>
      </c>
      <c r="D710" s="95">
        <v>278</v>
      </c>
      <c r="E710" s="95">
        <v>477</v>
      </c>
      <c r="F710" s="95">
        <v>6416353</v>
      </c>
      <c r="G710" s="95">
        <v>10504770</v>
      </c>
      <c r="H710" s="95">
        <v>16921123</v>
      </c>
      <c r="I710" s="91" t="s">
        <v>485</v>
      </c>
      <c r="J710" s="91" t="s">
        <v>90</v>
      </c>
      <c r="K710" s="94">
        <v>830885</v>
      </c>
      <c r="L710" s="91" t="s">
        <v>802</v>
      </c>
      <c r="M710" s="2"/>
      <c r="N710" s="2"/>
      <c r="O710" s="4"/>
    </row>
    <row r="711" spans="1:15" x14ac:dyDescent="0.2">
      <c r="A711" s="91" t="s">
        <v>353</v>
      </c>
      <c r="B711" s="91" t="s">
        <v>362</v>
      </c>
      <c r="C711" s="95">
        <v>1121</v>
      </c>
      <c r="D711" s="95">
        <v>981</v>
      </c>
      <c r="E711" s="95">
        <v>2102</v>
      </c>
      <c r="F711" s="95">
        <v>44008377</v>
      </c>
      <c r="G711" s="95">
        <v>48089231</v>
      </c>
      <c r="H711" s="95">
        <v>92097609</v>
      </c>
      <c r="I711" s="91" t="s">
        <v>585</v>
      </c>
      <c r="J711" s="91" t="s">
        <v>92</v>
      </c>
      <c r="K711" s="94">
        <v>832360</v>
      </c>
      <c r="L711" s="91" t="s">
        <v>1035</v>
      </c>
      <c r="M711" s="2"/>
      <c r="N711" s="2"/>
      <c r="O711" s="4"/>
    </row>
    <row r="712" spans="1:15" x14ac:dyDescent="0.2">
      <c r="A712" s="91" t="s">
        <v>478</v>
      </c>
      <c r="B712" s="91" t="s">
        <v>762</v>
      </c>
      <c r="C712" s="95">
        <v>194</v>
      </c>
      <c r="D712" s="95">
        <v>299</v>
      </c>
      <c r="E712" s="95">
        <v>493</v>
      </c>
      <c r="F712" s="95">
        <v>7998357</v>
      </c>
      <c r="G712" s="95">
        <v>16994599</v>
      </c>
      <c r="H712" s="95">
        <v>24992956</v>
      </c>
      <c r="I712" s="91" t="s">
        <v>585</v>
      </c>
      <c r="J712" s="91" t="s">
        <v>90</v>
      </c>
      <c r="K712" s="94">
        <v>832717</v>
      </c>
      <c r="L712" s="91" t="s">
        <v>27</v>
      </c>
      <c r="M712" s="2"/>
      <c r="N712" s="2"/>
      <c r="O712" s="4"/>
    </row>
    <row r="713" spans="1:15" x14ac:dyDescent="0.2">
      <c r="A713" s="91" t="s">
        <v>515</v>
      </c>
      <c r="B713" s="91" t="s">
        <v>628</v>
      </c>
      <c r="C713" s="95">
        <v>1536</v>
      </c>
      <c r="D713" s="95">
        <v>1710</v>
      </c>
      <c r="E713" s="95">
        <v>3246</v>
      </c>
      <c r="F713" s="95">
        <v>49334066</v>
      </c>
      <c r="G713" s="95">
        <v>66642168</v>
      </c>
      <c r="H713" s="95">
        <v>115976233</v>
      </c>
      <c r="I713" s="91" t="s">
        <v>585</v>
      </c>
      <c r="J713" s="91" t="s">
        <v>89</v>
      </c>
      <c r="K713" s="94">
        <v>832899</v>
      </c>
      <c r="L713" s="91" t="s">
        <v>323</v>
      </c>
      <c r="M713" s="2"/>
      <c r="N713" s="2"/>
      <c r="O713" s="4"/>
    </row>
    <row r="714" spans="1:15" x14ac:dyDescent="0.2">
      <c r="A714" s="91" t="s">
        <v>515</v>
      </c>
      <c r="B714" s="91" t="s">
        <v>556</v>
      </c>
      <c r="C714" s="95">
        <v>7212</v>
      </c>
      <c r="D714" s="95">
        <v>5672</v>
      </c>
      <c r="E714" s="95">
        <v>12884</v>
      </c>
      <c r="F714" s="95">
        <v>358733809</v>
      </c>
      <c r="G714" s="95">
        <v>317029835</v>
      </c>
      <c r="H714" s="95">
        <v>675763644</v>
      </c>
      <c r="I714" s="91" t="s">
        <v>585</v>
      </c>
      <c r="J714" s="91" t="s">
        <v>89</v>
      </c>
      <c r="K714" s="94">
        <v>833608</v>
      </c>
      <c r="L714" s="91" t="s">
        <v>133</v>
      </c>
      <c r="M714" s="2"/>
      <c r="N714" s="2"/>
      <c r="O714" s="4"/>
    </row>
    <row r="715" spans="1:15" x14ac:dyDescent="0.2">
      <c r="A715" s="91" t="s">
        <v>276</v>
      </c>
      <c r="B715" s="91" t="s">
        <v>159</v>
      </c>
      <c r="C715" s="95">
        <v>19076</v>
      </c>
      <c r="D715" s="95">
        <v>25741</v>
      </c>
      <c r="E715" s="95">
        <v>44817</v>
      </c>
      <c r="F715" s="95">
        <v>474962462</v>
      </c>
      <c r="G715" s="95">
        <v>817046141</v>
      </c>
      <c r="H715" s="95">
        <v>1292008604</v>
      </c>
      <c r="I715" s="91" t="s">
        <v>585</v>
      </c>
      <c r="J715" s="91" t="s">
        <v>89</v>
      </c>
      <c r="K715" s="94">
        <v>834788</v>
      </c>
      <c r="L715" s="91" t="s">
        <v>943</v>
      </c>
      <c r="M715" s="2"/>
      <c r="N715" s="2"/>
      <c r="O715" s="4"/>
    </row>
    <row r="716" spans="1:15" x14ac:dyDescent="0.2">
      <c r="A716" s="91" t="s">
        <v>109</v>
      </c>
      <c r="B716" s="91" t="s">
        <v>822</v>
      </c>
      <c r="C716" s="95">
        <v>9</v>
      </c>
      <c r="D716" s="95">
        <v>2</v>
      </c>
      <c r="E716" s="95">
        <v>11</v>
      </c>
      <c r="F716" s="95">
        <v>228952</v>
      </c>
      <c r="G716" s="95">
        <v>50137</v>
      </c>
      <c r="H716" s="95">
        <v>279088</v>
      </c>
      <c r="I716" s="91" t="s">
        <v>485</v>
      </c>
      <c r="J716" s="91" t="s">
        <v>89</v>
      </c>
      <c r="K716" s="94">
        <v>835132</v>
      </c>
      <c r="L716" s="91" t="s">
        <v>802</v>
      </c>
      <c r="M716" s="2"/>
      <c r="N716" s="2"/>
      <c r="O716" s="4"/>
    </row>
    <row r="717" spans="1:15" x14ac:dyDescent="0.2">
      <c r="A717" s="91" t="s">
        <v>72</v>
      </c>
      <c r="B717" s="91" t="s">
        <v>11</v>
      </c>
      <c r="C717" s="95">
        <v>246</v>
      </c>
      <c r="D717" s="95">
        <v>371</v>
      </c>
      <c r="E717" s="95">
        <v>617</v>
      </c>
      <c r="F717" s="95">
        <v>6651767</v>
      </c>
      <c r="G717" s="95">
        <v>13112987</v>
      </c>
      <c r="H717" s="95">
        <v>19764754</v>
      </c>
      <c r="I717" s="91" t="s">
        <v>485</v>
      </c>
      <c r="J717" s="91" t="s">
        <v>89</v>
      </c>
      <c r="K717" s="94">
        <v>836379</v>
      </c>
      <c r="L717" s="91" t="s">
        <v>12</v>
      </c>
      <c r="M717" s="2"/>
      <c r="N717" s="2"/>
      <c r="O717" s="4"/>
    </row>
    <row r="718" spans="1:15" x14ac:dyDescent="0.2">
      <c r="A718" s="91" t="s">
        <v>207</v>
      </c>
      <c r="B718" s="91" t="s">
        <v>267</v>
      </c>
      <c r="C718" s="95">
        <v>160</v>
      </c>
      <c r="D718" s="95">
        <v>286</v>
      </c>
      <c r="E718" s="95">
        <v>446</v>
      </c>
      <c r="F718" s="95">
        <v>4287038</v>
      </c>
      <c r="G718" s="95">
        <v>10356038</v>
      </c>
      <c r="H718" s="95">
        <v>14643075</v>
      </c>
      <c r="I718" s="91" t="s">
        <v>485</v>
      </c>
      <c r="J718" s="91" t="s">
        <v>89</v>
      </c>
      <c r="K718" s="94">
        <v>836494</v>
      </c>
      <c r="L718" s="91" t="s">
        <v>270</v>
      </c>
      <c r="M718" s="2"/>
      <c r="N718" s="2"/>
      <c r="O718" s="4"/>
    </row>
    <row r="719" spans="1:15" x14ac:dyDescent="0.2">
      <c r="A719" s="91" t="s">
        <v>469</v>
      </c>
      <c r="B719" s="91" t="s">
        <v>1068</v>
      </c>
      <c r="C719" s="95">
        <v>14</v>
      </c>
      <c r="D719" s="95">
        <v>25</v>
      </c>
      <c r="E719" s="95">
        <v>39</v>
      </c>
      <c r="F719" s="95">
        <v>331098</v>
      </c>
      <c r="G719" s="95">
        <v>806696</v>
      </c>
      <c r="H719" s="95">
        <v>1137794</v>
      </c>
      <c r="I719" s="91" t="s">
        <v>485</v>
      </c>
      <c r="J719" s="91" t="s">
        <v>90</v>
      </c>
      <c r="K719" s="94">
        <v>838268</v>
      </c>
      <c r="L719" s="91" t="s">
        <v>268</v>
      </c>
      <c r="M719" s="2"/>
      <c r="N719" s="2"/>
      <c r="O719" s="4"/>
    </row>
    <row r="720" spans="1:15" x14ac:dyDescent="0.2">
      <c r="A720" s="91" t="s">
        <v>98</v>
      </c>
      <c r="B720" s="91" t="s">
        <v>1105</v>
      </c>
      <c r="C720" s="95">
        <v>2573</v>
      </c>
      <c r="D720" s="95">
        <v>4066</v>
      </c>
      <c r="E720" s="95">
        <v>6639</v>
      </c>
      <c r="F720" s="95">
        <v>70880153</v>
      </c>
      <c r="G720" s="95">
        <v>141922113</v>
      </c>
      <c r="H720" s="95">
        <v>212802266</v>
      </c>
      <c r="I720" s="91" t="s">
        <v>585</v>
      </c>
      <c r="J720" s="91" t="s">
        <v>89</v>
      </c>
      <c r="K720" s="94">
        <v>838383</v>
      </c>
      <c r="L720" s="91" t="s">
        <v>657</v>
      </c>
      <c r="M720" s="2"/>
      <c r="N720" s="2"/>
      <c r="O720" s="4"/>
    </row>
    <row r="721" spans="1:15" x14ac:dyDescent="0.2">
      <c r="A721" s="91" t="s">
        <v>562</v>
      </c>
      <c r="B721" s="91" t="s">
        <v>1001</v>
      </c>
      <c r="C721" s="95">
        <v>6585</v>
      </c>
      <c r="D721" s="95">
        <v>5023</v>
      </c>
      <c r="E721" s="95">
        <v>11608</v>
      </c>
      <c r="F721" s="95">
        <v>265052122</v>
      </c>
      <c r="G721" s="95">
        <v>249663224</v>
      </c>
      <c r="H721" s="95">
        <v>514715346</v>
      </c>
      <c r="I721" s="91" t="s">
        <v>585</v>
      </c>
      <c r="J721" s="91" t="s">
        <v>89</v>
      </c>
      <c r="K721" s="94">
        <v>838441</v>
      </c>
      <c r="L721" s="91" t="s">
        <v>519</v>
      </c>
      <c r="M721" s="2"/>
      <c r="N721" s="2"/>
      <c r="O721" s="4"/>
    </row>
    <row r="722" spans="1:15" x14ac:dyDescent="0.2">
      <c r="A722" s="91" t="s">
        <v>368</v>
      </c>
      <c r="B722" s="91" t="s">
        <v>1049</v>
      </c>
      <c r="C722" s="95">
        <v>8</v>
      </c>
      <c r="D722" s="95">
        <v>15</v>
      </c>
      <c r="E722" s="95">
        <v>23</v>
      </c>
      <c r="F722" s="95">
        <v>606213</v>
      </c>
      <c r="G722" s="95">
        <v>1300590</v>
      </c>
      <c r="H722" s="95">
        <v>1906803</v>
      </c>
      <c r="I722" s="91" t="s">
        <v>585</v>
      </c>
      <c r="J722" s="91" t="s">
        <v>90</v>
      </c>
      <c r="K722" s="94">
        <v>838730</v>
      </c>
      <c r="L722" s="91" t="s">
        <v>1035</v>
      </c>
      <c r="M722" s="2"/>
      <c r="N722" s="2"/>
      <c r="O722" s="4"/>
    </row>
    <row r="723" spans="1:15" x14ac:dyDescent="0.2">
      <c r="A723" s="91" t="s">
        <v>72</v>
      </c>
      <c r="B723" s="91" t="s">
        <v>291</v>
      </c>
      <c r="C723" s="95">
        <v>4912</v>
      </c>
      <c r="D723" s="95">
        <v>6516</v>
      </c>
      <c r="E723" s="95">
        <v>11428</v>
      </c>
      <c r="F723" s="95">
        <v>152514631</v>
      </c>
      <c r="G723" s="95">
        <v>248399085</v>
      </c>
      <c r="H723" s="95">
        <v>400913716</v>
      </c>
      <c r="I723" s="91" t="s">
        <v>585</v>
      </c>
      <c r="J723" s="91" t="s">
        <v>89</v>
      </c>
      <c r="K723" s="94">
        <v>840033</v>
      </c>
      <c r="L723" s="91" t="s">
        <v>521</v>
      </c>
      <c r="M723" s="2"/>
      <c r="N723" s="2"/>
      <c r="O723" s="4"/>
    </row>
    <row r="724" spans="1:15" x14ac:dyDescent="0.2">
      <c r="A724" s="91" t="s">
        <v>478</v>
      </c>
      <c r="B724" s="91" t="s">
        <v>1050</v>
      </c>
      <c r="C724" s="95">
        <v>502</v>
      </c>
      <c r="D724" s="95">
        <v>495</v>
      </c>
      <c r="E724" s="95">
        <v>997</v>
      </c>
      <c r="F724" s="95">
        <v>24963099</v>
      </c>
      <c r="G724" s="95">
        <v>29709262</v>
      </c>
      <c r="H724" s="95">
        <v>54672362</v>
      </c>
      <c r="I724" s="91" t="s">
        <v>485</v>
      </c>
      <c r="J724" s="91" t="s">
        <v>90</v>
      </c>
      <c r="K724" s="94">
        <v>840090</v>
      </c>
      <c r="L724" s="91" t="s">
        <v>1084</v>
      </c>
      <c r="M724" s="2"/>
      <c r="N724" s="2"/>
      <c r="O724" s="4"/>
    </row>
    <row r="725" spans="1:15" x14ac:dyDescent="0.2">
      <c r="A725" s="91" t="s">
        <v>478</v>
      </c>
      <c r="B725" s="91" t="s">
        <v>967</v>
      </c>
      <c r="C725" s="95">
        <v>34</v>
      </c>
      <c r="D725" s="95">
        <v>41</v>
      </c>
      <c r="E725" s="95">
        <v>75</v>
      </c>
      <c r="F725" s="95">
        <v>1532938</v>
      </c>
      <c r="G725" s="95">
        <v>1989113</v>
      </c>
      <c r="H725" s="95">
        <v>3522051</v>
      </c>
      <c r="I725" s="91" t="s">
        <v>485</v>
      </c>
      <c r="J725" s="91" t="s">
        <v>90</v>
      </c>
      <c r="K725" s="94">
        <v>842393</v>
      </c>
      <c r="L725" s="91" t="s">
        <v>336</v>
      </c>
      <c r="M725" s="2"/>
      <c r="N725" s="2"/>
      <c r="O725" s="4"/>
    </row>
    <row r="726" spans="1:15" x14ac:dyDescent="0.2">
      <c r="A726" s="91" t="s">
        <v>559</v>
      </c>
      <c r="B726" s="91" t="s">
        <v>560</v>
      </c>
      <c r="C726" s="95">
        <v>37461</v>
      </c>
      <c r="D726" s="95">
        <v>43150</v>
      </c>
      <c r="E726" s="95">
        <v>80611</v>
      </c>
      <c r="F726" s="95">
        <v>1345198964</v>
      </c>
      <c r="G726" s="95">
        <v>1952029899</v>
      </c>
      <c r="H726" s="95">
        <v>3297228862</v>
      </c>
      <c r="I726" s="91" t="s">
        <v>585</v>
      </c>
      <c r="J726" s="91" t="s">
        <v>89</v>
      </c>
      <c r="K726" s="94">
        <v>842690</v>
      </c>
      <c r="L726" s="91" t="s">
        <v>542</v>
      </c>
      <c r="M726" s="2"/>
      <c r="N726" s="2"/>
      <c r="O726" s="4"/>
    </row>
    <row r="727" spans="1:15" x14ac:dyDescent="0.2">
      <c r="A727" s="91" t="s">
        <v>368</v>
      </c>
      <c r="B727" s="91" t="s">
        <v>1008</v>
      </c>
      <c r="C727" s="95">
        <v>2964</v>
      </c>
      <c r="D727" s="95">
        <v>2612</v>
      </c>
      <c r="E727" s="95">
        <v>5576</v>
      </c>
      <c r="F727" s="95">
        <v>102818954</v>
      </c>
      <c r="G727" s="95">
        <v>117972921</v>
      </c>
      <c r="H727" s="95">
        <v>220791875</v>
      </c>
      <c r="I727" s="91" t="s">
        <v>585</v>
      </c>
      <c r="J727" s="91" t="s">
        <v>90</v>
      </c>
      <c r="K727" s="94">
        <v>843284</v>
      </c>
      <c r="L727" s="91" t="s">
        <v>616</v>
      </c>
      <c r="M727" s="2"/>
      <c r="N727" s="2"/>
      <c r="O727" s="4"/>
    </row>
    <row r="728" spans="1:15" x14ac:dyDescent="0.2">
      <c r="A728" s="91" t="s">
        <v>207</v>
      </c>
      <c r="B728" s="91" t="s">
        <v>335</v>
      </c>
      <c r="C728" s="95">
        <v>203</v>
      </c>
      <c r="D728" s="95">
        <v>332</v>
      </c>
      <c r="E728" s="95">
        <v>535</v>
      </c>
      <c r="F728" s="95">
        <v>4894603</v>
      </c>
      <c r="G728" s="95">
        <v>9675008</v>
      </c>
      <c r="H728" s="95">
        <v>14569611</v>
      </c>
      <c r="I728" s="91" t="s">
        <v>485</v>
      </c>
      <c r="J728" s="91" t="s">
        <v>89</v>
      </c>
      <c r="K728" s="94">
        <v>843698</v>
      </c>
      <c r="L728" s="91" t="s">
        <v>61</v>
      </c>
      <c r="M728" s="2"/>
      <c r="N728" s="2"/>
      <c r="O728" s="4"/>
    </row>
    <row r="729" spans="1:15" x14ac:dyDescent="0.2">
      <c r="A729" s="91" t="s">
        <v>478</v>
      </c>
      <c r="B729" s="91" t="s">
        <v>994</v>
      </c>
      <c r="C729" s="95">
        <v>11</v>
      </c>
      <c r="D729" s="95">
        <v>7</v>
      </c>
      <c r="E729" s="95">
        <v>18</v>
      </c>
      <c r="F729" s="95">
        <v>331356</v>
      </c>
      <c r="G729" s="95">
        <v>324184</v>
      </c>
      <c r="H729" s="95">
        <v>655540</v>
      </c>
      <c r="I729" s="91" t="s">
        <v>485</v>
      </c>
      <c r="J729" s="91" t="s">
        <v>90</v>
      </c>
      <c r="K729" s="94">
        <v>844225</v>
      </c>
      <c r="L729" s="91" t="s">
        <v>995</v>
      </c>
      <c r="M729" s="2"/>
      <c r="N729" s="2"/>
      <c r="O729" s="4"/>
    </row>
    <row r="730" spans="1:15" x14ac:dyDescent="0.2">
      <c r="A730" s="91" t="s">
        <v>353</v>
      </c>
      <c r="B730" s="91" t="s">
        <v>356</v>
      </c>
      <c r="C730" s="95">
        <v>8410</v>
      </c>
      <c r="D730" s="95">
        <v>7560</v>
      </c>
      <c r="E730" s="95">
        <v>15970</v>
      </c>
      <c r="F730" s="95">
        <v>452349135</v>
      </c>
      <c r="G730" s="95">
        <v>502125158</v>
      </c>
      <c r="H730" s="95">
        <v>954474292</v>
      </c>
      <c r="I730" s="91" t="s">
        <v>585</v>
      </c>
      <c r="J730" s="91" t="s">
        <v>92</v>
      </c>
      <c r="K730" s="94">
        <v>844522</v>
      </c>
      <c r="L730" s="91" t="s">
        <v>622</v>
      </c>
      <c r="M730" s="2"/>
      <c r="N730" s="2"/>
      <c r="O730" s="4"/>
    </row>
    <row r="731" spans="1:15" x14ac:dyDescent="0.2">
      <c r="A731" s="91" t="s">
        <v>197</v>
      </c>
      <c r="B731" s="91" t="s">
        <v>730</v>
      </c>
      <c r="C731" s="95">
        <v>3938</v>
      </c>
      <c r="D731" s="95">
        <v>6248</v>
      </c>
      <c r="E731" s="95">
        <v>10186</v>
      </c>
      <c r="F731" s="95">
        <v>100957523</v>
      </c>
      <c r="G731" s="95">
        <v>193016035</v>
      </c>
      <c r="H731" s="95">
        <v>293973557</v>
      </c>
      <c r="I731" s="91" t="s">
        <v>485</v>
      </c>
      <c r="J731" s="91" t="s">
        <v>89</v>
      </c>
      <c r="K731" s="94">
        <v>848069</v>
      </c>
      <c r="L731" s="91" t="s">
        <v>584</v>
      </c>
      <c r="M731" s="2"/>
      <c r="N731" s="2"/>
      <c r="O731" s="4"/>
    </row>
    <row r="732" spans="1:15" x14ac:dyDescent="0.2">
      <c r="A732" s="91" t="s">
        <v>59</v>
      </c>
      <c r="B732" s="91" t="s">
        <v>760</v>
      </c>
      <c r="C732" s="95">
        <v>135</v>
      </c>
      <c r="D732" s="95">
        <v>185</v>
      </c>
      <c r="E732" s="95">
        <v>320</v>
      </c>
      <c r="F732" s="95">
        <v>2832619</v>
      </c>
      <c r="G732" s="95">
        <v>4741496</v>
      </c>
      <c r="H732" s="95">
        <v>7574115</v>
      </c>
      <c r="I732" s="91" t="s">
        <v>485</v>
      </c>
      <c r="J732" s="91" t="s">
        <v>89</v>
      </c>
      <c r="K732" s="94">
        <v>848770</v>
      </c>
      <c r="L732" s="91" t="s">
        <v>93</v>
      </c>
      <c r="M732" s="2"/>
      <c r="N732" s="2"/>
      <c r="O732" s="4"/>
    </row>
    <row r="733" spans="1:15" x14ac:dyDescent="0.2">
      <c r="A733" s="91" t="s">
        <v>180</v>
      </c>
      <c r="B733" s="91" t="s">
        <v>850</v>
      </c>
      <c r="C733" s="95">
        <v>69</v>
      </c>
      <c r="D733" s="95">
        <v>115</v>
      </c>
      <c r="E733" s="95">
        <v>184</v>
      </c>
      <c r="F733" s="95">
        <v>2557303</v>
      </c>
      <c r="G733" s="95">
        <v>4490412</v>
      </c>
      <c r="H733" s="95">
        <v>7047715</v>
      </c>
      <c r="I733" s="91" t="s">
        <v>485</v>
      </c>
      <c r="J733" s="91" t="s">
        <v>89</v>
      </c>
      <c r="K733" s="94">
        <v>849711</v>
      </c>
      <c r="L733" s="91" t="s">
        <v>347</v>
      </c>
      <c r="M733" s="2"/>
      <c r="N733" s="2"/>
      <c r="O733" s="4"/>
    </row>
    <row r="734" spans="1:15" x14ac:dyDescent="0.2">
      <c r="A734" s="91" t="s">
        <v>254</v>
      </c>
      <c r="B734" s="91" t="s">
        <v>256</v>
      </c>
      <c r="C734" s="95">
        <v>16100</v>
      </c>
      <c r="D734" s="95">
        <v>17937</v>
      </c>
      <c r="E734" s="95">
        <v>34037</v>
      </c>
      <c r="F734" s="95">
        <v>424976178</v>
      </c>
      <c r="G734" s="95">
        <v>592110593</v>
      </c>
      <c r="H734" s="95">
        <v>1017086772</v>
      </c>
      <c r="I734" s="91" t="s">
        <v>585</v>
      </c>
      <c r="J734" s="91" t="s">
        <v>92</v>
      </c>
      <c r="K734" s="94">
        <v>850602</v>
      </c>
      <c r="L734" s="91" t="s">
        <v>1035</v>
      </c>
      <c r="M734" s="2"/>
      <c r="N734" s="2"/>
      <c r="O734" s="4"/>
    </row>
    <row r="735" spans="1:15" x14ac:dyDescent="0.2">
      <c r="A735" s="91" t="s">
        <v>157</v>
      </c>
      <c r="B735" s="91" t="s">
        <v>1070</v>
      </c>
      <c r="C735" s="95">
        <v>773</v>
      </c>
      <c r="D735" s="95">
        <v>1636</v>
      </c>
      <c r="E735" s="95">
        <v>2409</v>
      </c>
      <c r="F735" s="95">
        <v>11072625</v>
      </c>
      <c r="G735" s="95">
        <v>25560098</v>
      </c>
      <c r="H735" s="95">
        <v>36632723</v>
      </c>
      <c r="I735" s="91" t="s">
        <v>485</v>
      </c>
      <c r="J735" s="91" t="s">
        <v>89</v>
      </c>
      <c r="K735" s="94">
        <v>851725</v>
      </c>
      <c r="L735" s="91" t="s">
        <v>594</v>
      </c>
      <c r="M735" s="2"/>
      <c r="N735" s="2"/>
      <c r="O735" s="4"/>
    </row>
    <row r="736" spans="1:15" x14ac:dyDescent="0.2">
      <c r="A736" s="91" t="s">
        <v>227</v>
      </c>
      <c r="B736" s="91" t="s">
        <v>695</v>
      </c>
      <c r="C736" s="95">
        <v>146</v>
      </c>
      <c r="D736" s="95">
        <v>160</v>
      </c>
      <c r="E736" s="95">
        <v>306</v>
      </c>
      <c r="F736" s="95">
        <v>8615362</v>
      </c>
      <c r="G736" s="95">
        <v>10288913</v>
      </c>
      <c r="H736" s="95">
        <v>18904275</v>
      </c>
      <c r="I736" s="91" t="s">
        <v>585</v>
      </c>
      <c r="J736" s="91" t="s">
        <v>91</v>
      </c>
      <c r="K736" s="94">
        <v>853374</v>
      </c>
      <c r="L736" s="91" t="s">
        <v>685</v>
      </c>
      <c r="M736" s="2"/>
      <c r="N736" s="2"/>
      <c r="O736" s="4"/>
    </row>
    <row r="737" spans="1:15" x14ac:dyDescent="0.2">
      <c r="A737" s="91" t="s">
        <v>515</v>
      </c>
      <c r="B737" s="91" t="s">
        <v>313</v>
      </c>
      <c r="C737" s="95">
        <v>18280</v>
      </c>
      <c r="D737" s="95">
        <v>11665</v>
      </c>
      <c r="E737" s="95">
        <v>29945</v>
      </c>
      <c r="F737" s="95">
        <v>638158787</v>
      </c>
      <c r="G737" s="95">
        <v>484425410</v>
      </c>
      <c r="H737" s="95">
        <v>1122584197</v>
      </c>
      <c r="I737" s="91" t="s">
        <v>585</v>
      </c>
      <c r="J737" s="91" t="s">
        <v>89</v>
      </c>
      <c r="K737" s="94">
        <v>853499</v>
      </c>
      <c r="L737" s="91" t="s">
        <v>133</v>
      </c>
      <c r="M737" s="2"/>
      <c r="N737" s="2"/>
      <c r="O737" s="4"/>
    </row>
    <row r="738" spans="1:15" x14ac:dyDescent="0.2">
      <c r="A738" s="91" t="s">
        <v>254</v>
      </c>
      <c r="B738" s="91" t="s">
        <v>400</v>
      </c>
      <c r="C738" s="95">
        <v>24231</v>
      </c>
      <c r="D738" s="95">
        <v>14696</v>
      </c>
      <c r="E738" s="95">
        <v>38927</v>
      </c>
      <c r="F738" s="95">
        <v>1952530849</v>
      </c>
      <c r="G738" s="95">
        <v>1353925207</v>
      </c>
      <c r="H738" s="95">
        <v>3306456056</v>
      </c>
      <c r="I738" s="91" t="s">
        <v>585</v>
      </c>
      <c r="J738" s="91" t="s">
        <v>92</v>
      </c>
      <c r="K738" s="94">
        <v>855387</v>
      </c>
      <c r="L738" s="91" t="s">
        <v>133</v>
      </c>
      <c r="M738" s="2"/>
      <c r="N738" s="2"/>
      <c r="O738" s="4"/>
    </row>
    <row r="739" spans="1:15" x14ac:dyDescent="0.2">
      <c r="A739" s="91" t="s">
        <v>227</v>
      </c>
      <c r="B739" s="91" t="s">
        <v>250</v>
      </c>
      <c r="C739" s="95">
        <v>1784</v>
      </c>
      <c r="D739" s="95">
        <v>1918</v>
      </c>
      <c r="E739" s="95">
        <v>3702</v>
      </c>
      <c r="F739" s="95">
        <v>75635185</v>
      </c>
      <c r="G739" s="95">
        <v>101378900</v>
      </c>
      <c r="H739" s="95">
        <v>177014086</v>
      </c>
      <c r="I739" s="91" t="s">
        <v>585</v>
      </c>
      <c r="J739" s="91" t="s">
        <v>91</v>
      </c>
      <c r="K739" s="94">
        <v>855973</v>
      </c>
      <c r="L739" s="91" t="s">
        <v>518</v>
      </c>
      <c r="M739" s="2"/>
      <c r="N739" s="2"/>
      <c r="O739" s="4"/>
    </row>
    <row r="740" spans="1:15" x14ac:dyDescent="0.2">
      <c r="A740" s="91" t="s">
        <v>559</v>
      </c>
      <c r="B740" s="91" t="s">
        <v>401</v>
      </c>
      <c r="C740" s="95">
        <v>23413</v>
      </c>
      <c r="D740" s="95">
        <v>28797</v>
      </c>
      <c r="E740" s="95">
        <v>52210</v>
      </c>
      <c r="F740" s="95">
        <v>1033766368</v>
      </c>
      <c r="G740" s="95">
        <v>1593562565</v>
      </c>
      <c r="H740" s="95">
        <v>2627328933</v>
      </c>
      <c r="I740" s="91" t="s">
        <v>585</v>
      </c>
      <c r="J740" s="91" t="s">
        <v>89</v>
      </c>
      <c r="K740" s="94">
        <v>856682</v>
      </c>
      <c r="L740" s="91" t="s">
        <v>133</v>
      </c>
      <c r="M740" s="2"/>
      <c r="N740" s="2"/>
      <c r="O740" s="4"/>
    </row>
    <row r="741" spans="1:15" x14ac:dyDescent="0.2">
      <c r="A741" s="91" t="s">
        <v>227</v>
      </c>
      <c r="B741" s="91" t="s">
        <v>873</v>
      </c>
      <c r="C741" s="95">
        <v>364</v>
      </c>
      <c r="D741" s="95">
        <v>278</v>
      </c>
      <c r="E741" s="95">
        <v>642</v>
      </c>
      <c r="F741" s="95">
        <v>6887460</v>
      </c>
      <c r="G741" s="95">
        <v>6127337</v>
      </c>
      <c r="H741" s="95">
        <v>13014797</v>
      </c>
      <c r="I741" s="91" t="s">
        <v>485</v>
      </c>
      <c r="J741" s="91" t="s">
        <v>91</v>
      </c>
      <c r="K741" s="94">
        <v>857037</v>
      </c>
      <c r="L741" s="91" t="s">
        <v>93</v>
      </c>
      <c r="M741" s="2"/>
      <c r="N741" s="2"/>
      <c r="O741" s="4"/>
    </row>
    <row r="742" spans="1:15" x14ac:dyDescent="0.2">
      <c r="A742" s="91" t="s">
        <v>580</v>
      </c>
      <c r="B742" s="91" t="s">
        <v>33</v>
      </c>
      <c r="C742" s="95">
        <v>2671</v>
      </c>
      <c r="D742" s="95">
        <v>1973</v>
      </c>
      <c r="E742" s="95">
        <v>4644</v>
      </c>
      <c r="F742" s="95">
        <v>94584326</v>
      </c>
      <c r="G742" s="95">
        <v>84782750</v>
      </c>
      <c r="H742" s="95">
        <v>179367076</v>
      </c>
      <c r="I742" s="91" t="s">
        <v>585</v>
      </c>
      <c r="J742" s="91" t="s">
        <v>89</v>
      </c>
      <c r="K742" s="94">
        <v>857276</v>
      </c>
      <c r="L742" s="91" t="s">
        <v>528</v>
      </c>
      <c r="M742" s="2"/>
      <c r="N742" s="2"/>
      <c r="O742" s="4"/>
    </row>
    <row r="743" spans="1:15" x14ac:dyDescent="0.2">
      <c r="A743" s="91" t="s">
        <v>478</v>
      </c>
      <c r="B743" s="91" t="s">
        <v>1013</v>
      </c>
      <c r="C743" s="95">
        <v>39</v>
      </c>
      <c r="D743" s="95">
        <v>63</v>
      </c>
      <c r="E743" s="95">
        <v>102</v>
      </c>
      <c r="F743" s="95">
        <v>1492284</v>
      </c>
      <c r="G743" s="95">
        <v>3239871</v>
      </c>
      <c r="H743" s="95">
        <v>4732155</v>
      </c>
      <c r="I743" s="91" t="s">
        <v>485</v>
      </c>
      <c r="J743" s="91" t="s">
        <v>90</v>
      </c>
      <c r="K743" s="94">
        <v>857565</v>
      </c>
      <c r="L743" s="91" t="s">
        <v>826</v>
      </c>
      <c r="M743" s="2"/>
      <c r="N743" s="2"/>
      <c r="O743" s="4"/>
    </row>
    <row r="744" spans="1:15" x14ac:dyDescent="0.2">
      <c r="A744" s="91" t="s">
        <v>580</v>
      </c>
      <c r="B744" s="91" t="s">
        <v>402</v>
      </c>
      <c r="C744" s="95">
        <v>19128</v>
      </c>
      <c r="D744" s="95">
        <v>19008</v>
      </c>
      <c r="E744" s="95">
        <v>38136</v>
      </c>
      <c r="F744" s="95">
        <v>662303797</v>
      </c>
      <c r="G744" s="95">
        <v>810266999</v>
      </c>
      <c r="H744" s="95">
        <v>1472570796</v>
      </c>
      <c r="I744" s="91" t="s">
        <v>585</v>
      </c>
      <c r="J744" s="91" t="s">
        <v>89</v>
      </c>
      <c r="K744" s="94">
        <v>860932</v>
      </c>
      <c r="L744" s="91" t="s">
        <v>133</v>
      </c>
      <c r="M744" s="2"/>
      <c r="N744" s="2"/>
      <c r="O744" s="4"/>
    </row>
    <row r="745" spans="1:15" x14ac:dyDescent="0.2">
      <c r="A745" s="91" t="s">
        <v>121</v>
      </c>
      <c r="B745" s="91" t="s">
        <v>931</v>
      </c>
      <c r="C745" s="95">
        <v>15917</v>
      </c>
      <c r="D745" s="95">
        <v>17791</v>
      </c>
      <c r="E745" s="95">
        <v>33708</v>
      </c>
      <c r="F745" s="95">
        <v>263149639</v>
      </c>
      <c r="G745" s="95">
        <v>384025802</v>
      </c>
      <c r="H745" s="95">
        <v>647175441</v>
      </c>
      <c r="I745" s="91" t="s">
        <v>585</v>
      </c>
      <c r="J745" s="91" t="s">
        <v>89</v>
      </c>
      <c r="K745" s="94">
        <v>861229</v>
      </c>
      <c r="L745" s="91" t="s">
        <v>717</v>
      </c>
      <c r="M745" s="2"/>
      <c r="N745" s="2"/>
      <c r="O745" s="4"/>
    </row>
    <row r="746" spans="1:15" x14ac:dyDescent="0.2">
      <c r="A746" s="91" t="s">
        <v>38</v>
      </c>
      <c r="B746" s="91" t="s">
        <v>554</v>
      </c>
      <c r="C746" s="95">
        <v>55</v>
      </c>
      <c r="D746" s="95">
        <v>72</v>
      </c>
      <c r="E746" s="95">
        <v>127</v>
      </c>
      <c r="F746" s="95">
        <v>1887699</v>
      </c>
      <c r="G746" s="95">
        <v>2672680</v>
      </c>
      <c r="H746" s="95">
        <v>4560380</v>
      </c>
      <c r="I746" s="91" t="s">
        <v>485</v>
      </c>
      <c r="J746" s="91" t="s">
        <v>89</v>
      </c>
      <c r="K746" s="94">
        <v>865063</v>
      </c>
      <c r="L746" s="91" t="s">
        <v>584</v>
      </c>
      <c r="M746" s="2"/>
      <c r="N746" s="2"/>
      <c r="O746" s="4"/>
    </row>
    <row r="747" spans="1:15" x14ac:dyDescent="0.2">
      <c r="A747" s="91" t="s">
        <v>368</v>
      </c>
      <c r="B747" s="91" t="s">
        <v>1104</v>
      </c>
      <c r="C747" s="95">
        <v>2549</v>
      </c>
      <c r="D747" s="95">
        <v>2607</v>
      </c>
      <c r="E747" s="95">
        <v>5156</v>
      </c>
      <c r="F747" s="95">
        <v>80722030</v>
      </c>
      <c r="G747" s="95">
        <v>108064065</v>
      </c>
      <c r="H747" s="95">
        <v>188786095</v>
      </c>
      <c r="I747" s="91" t="s">
        <v>585</v>
      </c>
      <c r="J747" s="91" t="s">
        <v>90</v>
      </c>
      <c r="K747" s="94">
        <v>865774</v>
      </c>
      <c r="L747" s="91" t="s">
        <v>323</v>
      </c>
      <c r="M747" s="2"/>
      <c r="N747" s="2"/>
      <c r="O747" s="4"/>
    </row>
    <row r="748" spans="1:15" x14ac:dyDescent="0.2">
      <c r="A748" s="91" t="s">
        <v>72</v>
      </c>
      <c r="B748" s="91" t="s">
        <v>817</v>
      </c>
      <c r="C748" s="95">
        <v>95</v>
      </c>
      <c r="D748" s="95">
        <v>161</v>
      </c>
      <c r="E748" s="95">
        <v>256</v>
      </c>
      <c r="F748" s="95">
        <v>3973028</v>
      </c>
      <c r="G748" s="95">
        <v>8124352</v>
      </c>
      <c r="H748" s="95">
        <v>12097380</v>
      </c>
      <c r="I748" s="91" t="s">
        <v>485</v>
      </c>
      <c r="J748" s="91" t="s">
        <v>89</v>
      </c>
      <c r="K748" s="94">
        <v>866715</v>
      </c>
      <c r="L748" s="91" t="s">
        <v>802</v>
      </c>
      <c r="M748" s="2"/>
      <c r="N748" s="2"/>
      <c r="O748" s="4"/>
    </row>
    <row r="749" spans="1:15" x14ac:dyDescent="0.2">
      <c r="A749" s="91" t="s">
        <v>170</v>
      </c>
      <c r="B749" s="91" t="s">
        <v>143</v>
      </c>
      <c r="C749" s="95">
        <v>15</v>
      </c>
      <c r="D749" s="95">
        <v>28</v>
      </c>
      <c r="E749" s="95">
        <v>43</v>
      </c>
      <c r="F749" s="95">
        <v>364882</v>
      </c>
      <c r="G749" s="95">
        <v>676740</v>
      </c>
      <c r="H749" s="95">
        <v>1041622</v>
      </c>
      <c r="I749" s="91" t="s">
        <v>485</v>
      </c>
      <c r="J749" s="91" t="s">
        <v>89</v>
      </c>
      <c r="K749" s="94">
        <v>866897</v>
      </c>
      <c r="L749" s="91" t="s">
        <v>320</v>
      </c>
      <c r="M749" s="2"/>
      <c r="N749" s="2"/>
      <c r="O749" s="4"/>
    </row>
    <row r="750" spans="1:15" x14ac:dyDescent="0.2">
      <c r="A750" s="91" t="s">
        <v>412</v>
      </c>
      <c r="B750" s="91" t="s">
        <v>450</v>
      </c>
      <c r="C750" s="95">
        <v>15438</v>
      </c>
      <c r="D750" s="95">
        <v>14408</v>
      </c>
      <c r="E750" s="95">
        <v>29846</v>
      </c>
      <c r="F750" s="95">
        <v>424858800</v>
      </c>
      <c r="G750" s="95">
        <v>479717833</v>
      </c>
      <c r="H750" s="95">
        <v>904576633</v>
      </c>
      <c r="I750" s="91" t="s">
        <v>585</v>
      </c>
      <c r="J750" s="91" t="s">
        <v>90</v>
      </c>
      <c r="K750" s="94">
        <v>869438</v>
      </c>
      <c r="L750" s="91" t="s">
        <v>133</v>
      </c>
      <c r="M750" s="2"/>
      <c r="N750" s="2"/>
      <c r="O750" s="4"/>
    </row>
    <row r="751" spans="1:15" x14ac:dyDescent="0.2">
      <c r="A751" s="91" t="s">
        <v>368</v>
      </c>
      <c r="B751" s="91" t="s">
        <v>321</v>
      </c>
      <c r="C751" s="95">
        <v>1709</v>
      </c>
      <c r="D751" s="95">
        <v>1924</v>
      </c>
      <c r="E751" s="95">
        <v>3633</v>
      </c>
      <c r="F751" s="95">
        <v>109585211</v>
      </c>
      <c r="G751" s="95">
        <v>143555639</v>
      </c>
      <c r="H751" s="95">
        <v>253140850</v>
      </c>
      <c r="I751" s="91" t="s">
        <v>485</v>
      </c>
      <c r="J751" s="91" t="s">
        <v>90</v>
      </c>
      <c r="K751" s="94">
        <v>870493</v>
      </c>
      <c r="L751" s="91" t="s">
        <v>621</v>
      </c>
      <c r="M751" s="2"/>
      <c r="N751" s="2"/>
      <c r="O751" s="4"/>
    </row>
    <row r="752" spans="1:15" x14ac:dyDescent="0.2">
      <c r="A752" s="91" t="s">
        <v>109</v>
      </c>
      <c r="B752" s="91" t="s">
        <v>818</v>
      </c>
      <c r="C752" s="95">
        <v>10</v>
      </c>
      <c r="D752" s="95">
        <v>35</v>
      </c>
      <c r="E752" s="95">
        <v>45</v>
      </c>
      <c r="F752" s="95">
        <v>316460</v>
      </c>
      <c r="G752" s="95">
        <v>1236807</v>
      </c>
      <c r="H752" s="95">
        <v>1553267</v>
      </c>
      <c r="I752" s="91" t="s">
        <v>485</v>
      </c>
      <c r="J752" s="91" t="s">
        <v>89</v>
      </c>
      <c r="K752" s="94">
        <v>870964</v>
      </c>
      <c r="L752" s="91" t="s">
        <v>802</v>
      </c>
      <c r="M752" s="2"/>
      <c r="N752" s="2"/>
      <c r="O752" s="4"/>
    </row>
    <row r="753" spans="1:15" x14ac:dyDescent="0.2">
      <c r="A753" s="91" t="s">
        <v>109</v>
      </c>
      <c r="B753" s="91" t="s">
        <v>689</v>
      </c>
      <c r="C753" s="95">
        <v>973</v>
      </c>
      <c r="D753" s="95">
        <v>961</v>
      </c>
      <c r="E753" s="95">
        <v>1934</v>
      </c>
      <c r="F753" s="95">
        <v>29347859</v>
      </c>
      <c r="G753" s="95">
        <v>35108127</v>
      </c>
      <c r="H753" s="95">
        <v>64455986</v>
      </c>
      <c r="I753" s="91" t="s">
        <v>485</v>
      </c>
      <c r="J753" s="91" t="s">
        <v>89</v>
      </c>
      <c r="K753" s="94">
        <v>872200</v>
      </c>
      <c r="L753" s="91" t="s">
        <v>12</v>
      </c>
      <c r="M753" s="2"/>
      <c r="N753" s="2"/>
      <c r="O753" s="4"/>
    </row>
    <row r="754" spans="1:15" x14ac:dyDescent="0.2">
      <c r="A754" s="91" t="s">
        <v>157</v>
      </c>
      <c r="B754" s="91" t="s">
        <v>168</v>
      </c>
      <c r="C754" s="95">
        <v>4369</v>
      </c>
      <c r="D754" s="95">
        <v>5876</v>
      </c>
      <c r="E754" s="95">
        <v>10245</v>
      </c>
      <c r="F754" s="95">
        <v>94923249</v>
      </c>
      <c r="G754" s="95">
        <v>158806399</v>
      </c>
      <c r="H754" s="95">
        <v>253729648</v>
      </c>
      <c r="I754" s="91" t="s">
        <v>585</v>
      </c>
      <c r="J754" s="91" t="s">
        <v>89</v>
      </c>
      <c r="K754" s="94">
        <v>872382</v>
      </c>
      <c r="L754" s="91" t="s">
        <v>943</v>
      </c>
      <c r="M754" s="2"/>
      <c r="N754" s="2"/>
      <c r="O754" s="4"/>
    </row>
    <row r="755" spans="1:15" x14ac:dyDescent="0.2">
      <c r="A755" s="91" t="s">
        <v>109</v>
      </c>
      <c r="B755" s="91" t="s">
        <v>812</v>
      </c>
      <c r="C755" s="95">
        <v>216</v>
      </c>
      <c r="D755" s="95">
        <v>197</v>
      </c>
      <c r="E755" s="95">
        <v>413</v>
      </c>
      <c r="F755" s="95">
        <v>5699521</v>
      </c>
      <c r="G755" s="95">
        <v>6447477</v>
      </c>
      <c r="H755" s="95">
        <v>12146999</v>
      </c>
      <c r="I755" s="91" t="s">
        <v>485</v>
      </c>
      <c r="J755" s="91" t="s">
        <v>89</v>
      </c>
      <c r="K755" s="94">
        <v>872440</v>
      </c>
      <c r="L755" s="91" t="s">
        <v>264</v>
      </c>
      <c r="M755" s="2"/>
      <c r="N755" s="2"/>
      <c r="O755" s="4"/>
    </row>
    <row r="756" spans="1:15" x14ac:dyDescent="0.2">
      <c r="A756" s="91" t="s">
        <v>469</v>
      </c>
      <c r="B756" s="91" t="s">
        <v>599</v>
      </c>
      <c r="C756" s="95">
        <v>67</v>
      </c>
      <c r="D756" s="95">
        <v>112</v>
      </c>
      <c r="E756" s="95">
        <v>179</v>
      </c>
      <c r="F756" s="95">
        <v>2161500</v>
      </c>
      <c r="G756" s="95">
        <v>5000635</v>
      </c>
      <c r="H756" s="95">
        <v>7162135</v>
      </c>
      <c r="I756" s="91" t="s">
        <v>485</v>
      </c>
      <c r="J756" s="91" t="s">
        <v>90</v>
      </c>
      <c r="K756" s="94">
        <v>873505</v>
      </c>
      <c r="L756" s="91" t="s">
        <v>597</v>
      </c>
      <c r="M756" s="2"/>
      <c r="N756" s="2"/>
      <c r="O756" s="4"/>
    </row>
    <row r="757" spans="1:15" x14ac:dyDescent="0.2">
      <c r="A757" s="91" t="s">
        <v>227</v>
      </c>
      <c r="B757" s="91" t="s">
        <v>910</v>
      </c>
      <c r="C757" s="95">
        <v>16749</v>
      </c>
      <c r="D757" s="95">
        <v>17832</v>
      </c>
      <c r="E757" s="95">
        <v>34581</v>
      </c>
      <c r="F757" s="95">
        <v>1009276906</v>
      </c>
      <c r="G757" s="95">
        <v>1374356220</v>
      </c>
      <c r="H757" s="95">
        <v>2383633126</v>
      </c>
      <c r="I757" s="91" t="s">
        <v>585</v>
      </c>
      <c r="J757" s="91" t="s">
        <v>91</v>
      </c>
      <c r="K757" s="94">
        <v>874032</v>
      </c>
      <c r="L757" s="91" t="s">
        <v>911</v>
      </c>
      <c r="M757" s="2"/>
      <c r="N757" s="2"/>
      <c r="O757" s="4"/>
    </row>
    <row r="758" spans="1:15" x14ac:dyDescent="0.2">
      <c r="A758" s="91" t="s">
        <v>478</v>
      </c>
      <c r="B758" s="91" t="s">
        <v>672</v>
      </c>
      <c r="C758" s="95">
        <v>272</v>
      </c>
      <c r="D758" s="95">
        <v>225</v>
      </c>
      <c r="E758" s="95">
        <v>497</v>
      </c>
      <c r="F758" s="95">
        <v>4283796</v>
      </c>
      <c r="G758" s="95">
        <v>4115729</v>
      </c>
      <c r="H758" s="95">
        <v>8399525</v>
      </c>
      <c r="I758" s="91" t="s">
        <v>485</v>
      </c>
      <c r="J758" s="91" t="s">
        <v>90</v>
      </c>
      <c r="K758" s="94">
        <v>874099</v>
      </c>
      <c r="L758" s="91" t="s">
        <v>268</v>
      </c>
      <c r="M758" s="2"/>
      <c r="N758" s="2"/>
      <c r="O758" s="4"/>
    </row>
    <row r="759" spans="1:15" x14ac:dyDescent="0.2">
      <c r="A759" s="91" t="s">
        <v>180</v>
      </c>
      <c r="B759" s="91" t="s">
        <v>154</v>
      </c>
      <c r="C759" s="95">
        <v>1159</v>
      </c>
      <c r="D759" s="95">
        <v>1719</v>
      </c>
      <c r="E759" s="95">
        <v>2878</v>
      </c>
      <c r="F759" s="95">
        <v>32852186</v>
      </c>
      <c r="G759" s="95">
        <v>64257876</v>
      </c>
      <c r="H759" s="95">
        <v>97110062</v>
      </c>
      <c r="I759" s="91" t="s">
        <v>485</v>
      </c>
      <c r="J759" s="91" t="s">
        <v>89</v>
      </c>
      <c r="K759" s="94">
        <v>874271</v>
      </c>
      <c r="L759" s="91" t="s">
        <v>320</v>
      </c>
      <c r="M759" s="2"/>
      <c r="N759" s="2"/>
      <c r="O759" s="4"/>
    </row>
    <row r="760" spans="1:15" x14ac:dyDescent="0.2">
      <c r="A760" s="91" t="s">
        <v>478</v>
      </c>
      <c r="B760" s="91" t="s">
        <v>1054</v>
      </c>
      <c r="C760" s="95">
        <v>15</v>
      </c>
      <c r="D760" s="95">
        <v>22</v>
      </c>
      <c r="E760" s="95">
        <v>37</v>
      </c>
      <c r="F760" s="95">
        <v>757549</v>
      </c>
      <c r="G760" s="95">
        <v>1530631</v>
      </c>
      <c r="H760" s="95">
        <v>2288180</v>
      </c>
      <c r="I760" s="91" t="s">
        <v>585</v>
      </c>
      <c r="J760" s="91" t="s">
        <v>90</v>
      </c>
      <c r="K760" s="94">
        <v>874560</v>
      </c>
      <c r="L760" s="91" t="s">
        <v>1035</v>
      </c>
      <c r="M760" s="2"/>
      <c r="N760" s="2"/>
      <c r="O760" s="4"/>
    </row>
    <row r="761" spans="1:15" x14ac:dyDescent="0.2">
      <c r="A761" s="91" t="s">
        <v>121</v>
      </c>
      <c r="B761" s="91" t="s">
        <v>981</v>
      </c>
      <c r="C761" s="95">
        <v>101</v>
      </c>
      <c r="D761" s="95">
        <v>278</v>
      </c>
      <c r="E761" s="95">
        <v>379</v>
      </c>
      <c r="F761" s="95">
        <v>2912375</v>
      </c>
      <c r="G761" s="95">
        <v>9991572</v>
      </c>
      <c r="H761" s="95">
        <v>12903947</v>
      </c>
      <c r="I761" s="91" t="s">
        <v>585</v>
      </c>
      <c r="J761" s="91" t="s">
        <v>89</v>
      </c>
      <c r="K761" s="94">
        <v>878223</v>
      </c>
      <c r="L761" s="91" t="s">
        <v>717</v>
      </c>
      <c r="M761" s="2"/>
      <c r="N761" s="2"/>
      <c r="O761" s="4"/>
    </row>
    <row r="762" spans="1:15" x14ac:dyDescent="0.2">
      <c r="A762" s="91" t="s">
        <v>219</v>
      </c>
      <c r="B762" s="91" t="s">
        <v>753</v>
      </c>
      <c r="C762" s="95">
        <v>6215</v>
      </c>
      <c r="D762" s="95">
        <v>6420</v>
      </c>
      <c r="E762" s="95">
        <v>12635</v>
      </c>
      <c r="F762" s="95">
        <v>253704791</v>
      </c>
      <c r="G762" s="95">
        <v>312810868</v>
      </c>
      <c r="H762" s="95">
        <v>566515659</v>
      </c>
      <c r="I762" s="91" t="s">
        <v>585</v>
      </c>
      <c r="J762" s="91" t="s">
        <v>91</v>
      </c>
      <c r="K762" s="94">
        <v>878520</v>
      </c>
      <c r="L762" s="91" t="s">
        <v>542</v>
      </c>
      <c r="M762" s="2"/>
      <c r="N762" s="2"/>
      <c r="O762" s="4"/>
    </row>
    <row r="763" spans="1:15" x14ac:dyDescent="0.2">
      <c r="A763" s="91" t="s">
        <v>219</v>
      </c>
      <c r="B763" s="91" t="s">
        <v>223</v>
      </c>
      <c r="C763" s="95">
        <v>5933</v>
      </c>
      <c r="D763" s="95">
        <v>4764</v>
      </c>
      <c r="E763" s="95">
        <v>10697</v>
      </c>
      <c r="F763" s="95">
        <v>260960677</v>
      </c>
      <c r="G763" s="95">
        <v>241872507</v>
      </c>
      <c r="H763" s="95">
        <v>502833184</v>
      </c>
      <c r="I763" s="91" t="s">
        <v>585</v>
      </c>
      <c r="J763" s="91" t="s">
        <v>91</v>
      </c>
      <c r="K763" s="94">
        <v>879114</v>
      </c>
      <c r="L763" s="91" t="s">
        <v>616</v>
      </c>
      <c r="M763" s="2"/>
      <c r="N763" s="2"/>
      <c r="O763" s="4"/>
    </row>
    <row r="764" spans="1:15" x14ac:dyDescent="0.2">
      <c r="A764" s="91" t="s">
        <v>109</v>
      </c>
      <c r="B764" s="91" t="s">
        <v>486</v>
      </c>
      <c r="C764" s="95">
        <v>200</v>
      </c>
      <c r="D764" s="95">
        <v>161</v>
      </c>
      <c r="E764" s="95">
        <v>361</v>
      </c>
      <c r="F764" s="95">
        <v>5621831</v>
      </c>
      <c r="G764" s="95">
        <v>5005806</v>
      </c>
      <c r="H764" s="95">
        <v>10627637</v>
      </c>
      <c r="I764" s="91" t="s">
        <v>485</v>
      </c>
      <c r="J764" s="91" t="s">
        <v>89</v>
      </c>
      <c r="K764" s="94">
        <v>882068</v>
      </c>
      <c r="L764" s="91" t="s">
        <v>271</v>
      </c>
      <c r="M764" s="2"/>
      <c r="N764" s="2"/>
      <c r="O764" s="4"/>
    </row>
    <row r="765" spans="1:15" x14ac:dyDescent="0.2">
      <c r="A765" s="91" t="s">
        <v>275</v>
      </c>
      <c r="B765" s="91" t="s">
        <v>152</v>
      </c>
      <c r="C765" s="95">
        <v>166</v>
      </c>
      <c r="D765" s="95">
        <v>292</v>
      </c>
      <c r="E765" s="95">
        <v>458</v>
      </c>
      <c r="F765" s="95">
        <v>4610499</v>
      </c>
      <c r="G765" s="95">
        <v>11016341</v>
      </c>
      <c r="H765" s="95">
        <v>15626840</v>
      </c>
      <c r="I765" s="91" t="s">
        <v>485</v>
      </c>
      <c r="J765" s="91" t="s">
        <v>89</v>
      </c>
      <c r="K765" s="94">
        <v>882126</v>
      </c>
      <c r="L765" s="91" t="s">
        <v>320</v>
      </c>
      <c r="M765" s="2"/>
      <c r="N765" s="2"/>
      <c r="O765" s="4"/>
    </row>
    <row r="766" spans="1:15" x14ac:dyDescent="0.2">
      <c r="A766" s="91" t="s">
        <v>72</v>
      </c>
      <c r="B766" s="91" t="s">
        <v>247</v>
      </c>
      <c r="C766" s="95">
        <v>809</v>
      </c>
      <c r="D766" s="95">
        <v>1295</v>
      </c>
      <c r="E766" s="95">
        <v>2104</v>
      </c>
      <c r="F766" s="95">
        <v>19319295</v>
      </c>
      <c r="G766" s="95">
        <v>37611103</v>
      </c>
      <c r="H766" s="95">
        <v>56930398</v>
      </c>
      <c r="I766" s="91" t="s">
        <v>485</v>
      </c>
      <c r="J766" s="91" t="s">
        <v>89</v>
      </c>
      <c r="K766" s="94">
        <v>882530</v>
      </c>
      <c r="L766" s="91" t="s">
        <v>636</v>
      </c>
      <c r="M766" s="2"/>
      <c r="N766" s="2"/>
      <c r="O766" s="4"/>
    </row>
    <row r="767" spans="1:15" x14ac:dyDescent="0.2">
      <c r="A767" s="91" t="s">
        <v>227</v>
      </c>
      <c r="B767" s="91" t="s">
        <v>790</v>
      </c>
      <c r="C767" s="95">
        <v>4</v>
      </c>
      <c r="D767" s="95">
        <v>9</v>
      </c>
      <c r="E767" s="95">
        <v>13</v>
      </c>
      <c r="F767" s="95">
        <v>361553</v>
      </c>
      <c r="G767" s="95">
        <v>647746</v>
      </c>
      <c r="H767" s="95">
        <v>1009299</v>
      </c>
      <c r="I767" s="91" t="s">
        <v>485</v>
      </c>
      <c r="J767" s="91" t="s">
        <v>91</v>
      </c>
      <c r="K767" s="94">
        <v>883710</v>
      </c>
      <c r="L767" s="91" t="s">
        <v>336</v>
      </c>
      <c r="M767" s="2"/>
      <c r="N767" s="2"/>
      <c r="O767" s="4"/>
    </row>
    <row r="768" spans="1:15" x14ac:dyDescent="0.2">
      <c r="A768" s="91" t="s">
        <v>207</v>
      </c>
      <c r="B768" s="91" t="s">
        <v>145</v>
      </c>
      <c r="C768" s="95">
        <v>198</v>
      </c>
      <c r="D768" s="95">
        <v>403</v>
      </c>
      <c r="E768" s="95">
        <v>601</v>
      </c>
      <c r="F768" s="95">
        <v>4425687</v>
      </c>
      <c r="G768" s="95">
        <v>11981162</v>
      </c>
      <c r="H768" s="95">
        <v>16406849</v>
      </c>
      <c r="I768" s="91" t="s">
        <v>485</v>
      </c>
      <c r="J768" s="91" t="s">
        <v>89</v>
      </c>
      <c r="K768" s="94">
        <v>887497</v>
      </c>
      <c r="L768" s="91" t="s">
        <v>320</v>
      </c>
      <c r="M768" s="2"/>
      <c r="N768" s="2"/>
      <c r="O768" s="4"/>
    </row>
    <row r="769" spans="1:15" x14ac:dyDescent="0.2">
      <c r="A769" s="91" t="s">
        <v>218</v>
      </c>
      <c r="B769" s="91" t="s">
        <v>1057</v>
      </c>
      <c r="C769" s="95">
        <v>215</v>
      </c>
      <c r="D769" s="95">
        <v>260</v>
      </c>
      <c r="E769" s="95">
        <v>475</v>
      </c>
      <c r="F769" s="95">
        <v>6063415</v>
      </c>
      <c r="G769" s="95">
        <v>9504548</v>
      </c>
      <c r="H769" s="95">
        <v>15567964</v>
      </c>
      <c r="I769" s="91" t="s">
        <v>485</v>
      </c>
      <c r="J769" s="91" t="s">
        <v>91</v>
      </c>
      <c r="K769" s="94">
        <v>887554</v>
      </c>
      <c r="L769" s="91" t="s">
        <v>594</v>
      </c>
      <c r="M769" s="2"/>
      <c r="N769" s="2"/>
      <c r="O769" s="4"/>
    </row>
    <row r="770" spans="1:15" x14ac:dyDescent="0.2">
      <c r="A770" s="91" t="s">
        <v>227</v>
      </c>
      <c r="B770" s="91" t="s">
        <v>694</v>
      </c>
      <c r="C770" s="95">
        <v>1100</v>
      </c>
      <c r="D770" s="95">
        <v>1040</v>
      </c>
      <c r="E770" s="95">
        <v>2140</v>
      </c>
      <c r="F770" s="95">
        <v>19233416</v>
      </c>
      <c r="G770" s="95">
        <v>24522813</v>
      </c>
      <c r="H770" s="95">
        <v>43756229</v>
      </c>
      <c r="I770" s="91" t="s">
        <v>585</v>
      </c>
      <c r="J770" s="91" t="s">
        <v>91</v>
      </c>
      <c r="K770" s="94">
        <v>889204</v>
      </c>
      <c r="L770" s="91" t="s">
        <v>685</v>
      </c>
      <c r="M770" s="2"/>
      <c r="N770" s="2"/>
      <c r="O770" s="4"/>
    </row>
    <row r="771" spans="1:15" x14ac:dyDescent="0.2">
      <c r="A771" s="91" t="s">
        <v>72</v>
      </c>
      <c r="B771" s="91" t="s">
        <v>663</v>
      </c>
      <c r="C771" s="95">
        <v>514</v>
      </c>
      <c r="D771" s="95">
        <v>579</v>
      </c>
      <c r="E771" s="95">
        <v>1093</v>
      </c>
      <c r="F771" s="95">
        <v>10423507</v>
      </c>
      <c r="G771" s="95">
        <v>15992708</v>
      </c>
      <c r="H771" s="95">
        <v>26416215</v>
      </c>
      <c r="I771" s="91" t="s">
        <v>485</v>
      </c>
      <c r="J771" s="91" t="s">
        <v>89</v>
      </c>
      <c r="K771" s="94">
        <v>889261</v>
      </c>
      <c r="L771" s="91" t="s">
        <v>61</v>
      </c>
      <c r="M771" s="2"/>
      <c r="N771" s="2"/>
      <c r="O771" s="4"/>
    </row>
    <row r="772" spans="1:15" x14ac:dyDescent="0.2">
      <c r="A772" s="91" t="s">
        <v>276</v>
      </c>
      <c r="B772" s="91" t="s">
        <v>824</v>
      </c>
      <c r="C772" s="95">
        <v>1010</v>
      </c>
      <c r="D772" s="95">
        <v>1514</v>
      </c>
      <c r="E772" s="95">
        <v>2524</v>
      </c>
      <c r="F772" s="95">
        <v>17301564</v>
      </c>
      <c r="G772" s="95">
        <v>35335436</v>
      </c>
      <c r="H772" s="95">
        <v>52637000</v>
      </c>
      <c r="I772" s="91" t="s">
        <v>485</v>
      </c>
      <c r="J772" s="91" t="s">
        <v>89</v>
      </c>
      <c r="K772" s="94">
        <v>889386</v>
      </c>
      <c r="L772" s="91" t="s">
        <v>596</v>
      </c>
      <c r="M772" s="2"/>
      <c r="N772" s="2"/>
      <c r="O772" s="4"/>
    </row>
    <row r="773" spans="1:15" x14ac:dyDescent="0.2">
      <c r="A773" s="91" t="s">
        <v>65</v>
      </c>
      <c r="B773" s="91" t="s">
        <v>346</v>
      </c>
      <c r="C773" s="95">
        <v>3610</v>
      </c>
      <c r="D773" s="95">
        <v>5269</v>
      </c>
      <c r="E773" s="95">
        <v>8879</v>
      </c>
      <c r="F773" s="95">
        <v>113771491</v>
      </c>
      <c r="G773" s="95">
        <v>192543117</v>
      </c>
      <c r="H773" s="95">
        <v>306314608</v>
      </c>
      <c r="I773" s="91" t="s">
        <v>485</v>
      </c>
      <c r="J773" s="91" t="s">
        <v>89</v>
      </c>
      <c r="K773" s="94">
        <v>891036</v>
      </c>
      <c r="L773" s="91" t="s">
        <v>324</v>
      </c>
      <c r="M773" s="2"/>
      <c r="N773" s="2"/>
      <c r="O773" s="4"/>
    </row>
    <row r="774" spans="1:15" x14ac:dyDescent="0.2">
      <c r="A774" s="91" t="s">
        <v>565</v>
      </c>
      <c r="B774" s="91" t="s">
        <v>851</v>
      </c>
      <c r="C774" s="95">
        <v>2331</v>
      </c>
      <c r="D774" s="95">
        <v>2274</v>
      </c>
      <c r="E774" s="95">
        <v>4605</v>
      </c>
      <c r="F774" s="95">
        <v>227477562</v>
      </c>
      <c r="G774" s="95">
        <v>236797341</v>
      </c>
      <c r="H774" s="95">
        <v>464274903</v>
      </c>
      <c r="I774" s="91" t="s">
        <v>585</v>
      </c>
      <c r="J774" s="91" t="s">
        <v>89</v>
      </c>
      <c r="K774" s="94">
        <v>891804</v>
      </c>
      <c r="L774" s="91" t="s">
        <v>323</v>
      </c>
      <c r="M774" s="2"/>
      <c r="N774" s="2"/>
      <c r="O774" s="4"/>
    </row>
    <row r="775" spans="1:15" x14ac:dyDescent="0.2">
      <c r="A775" s="91" t="s">
        <v>562</v>
      </c>
      <c r="B775" s="91" t="s">
        <v>1010</v>
      </c>
      <c r="C775" s="95">
        <v>334</v>
      </c>
      <c r="D775" s="95">
        <v>409</v>
      </c>
      <c r="E775" s="95">
        <v>743</v>
      </c>
      <c r="F775" s="95">
        <v>12000058</v>
      </c>
      <c r="G775" s="95">
        <v>17458420</v>
      </c>
      <c r="H775" s="95">
        <v>29458478</v>
      </c>
      <c r="I775" s="91" t="s">
        <v>585</v>
      </c>
      <c r="J775" s="91" t="s">
        <v>89</v>
      </c>
      <c r="K775" s="94">
        <v>893396</v>
      </c>
      <c r="L775" s="91" t="s">
        <v>521</v>
      </c>
      <c r="M775" s="2"/>
      <c r="N775" s="2"/>
      <c r="O775" s="4"/>
    </row>
    <row r="776" spans="1:15" x14ac:dyDescent="0.2">
      <c r="A776" s="91" t="s">
        <v>478</v>
      </c>
      <c r="B776" s="91" t="s">
        <v>991</v>
      </c>
      <c r="C776" s="95">
        <v>27215</v>
      </c>
      <c r="D776" s="95">
        <v>30853</v>
      </c>
      <c r="E776" s="95">
        <v>58068</v>
      </c>
      <c r="F776" s="95">
        <v>702710221</v>
      </c>
      <c r="G776" s="95">
        <v>899749110</v>
      </c>
      <c r="H776" s="95">
        <v>1602459331</v>
      </c>
      <c r="I776" s="91" t="s">
        <v>485</v>
      </c>
      <c r="J776" s="91" t="s">
        <v>90</v>
      </c>
      <c r="K776" s="94">
        <v>895227</v>
      </c>
      <c r="L776" s="91" t="s">
        <v>992</v>
      </c>
      <c r="M776" s="2"/>
      <c r="N776" s="2"/>
      <c r="O776" s="4"/>
    </row>
    <row r="777" spans="1:15" x14ac:dyDescent="0.2">
      <c r="A777" s="91" t="s">
        <v>65</v>
      </c>
      <c r="B777" s="91" t="s">
        <v>405</v>
      </c>
      <c r="C777" s="95">
        <v>33258</v>
      </c>
      <c r="D777" s="95">
        <v>33112</v>
      </c>
      <c r="E777" s="95">
        <v>66370</v>
      </c>
      <c r="F777" s="95">
        <v>1024975727</v>
      </c>
      <c r="G777" s="95">
        <v>1274176608</v>
      </c>
      <c r="H777" s="95">
        <v>2299152335</v>
      </c>
      <c r="I777" s="91" t="s">
        <v>585</v>
      </c>
      <c r="J777" s="91" t="s">
        <v>89</v>
      </c>
      <c r="K777" s="94">
        <v>896761</v>
      </c>
      <c r="L777" s="91" t="s">
        <v>133</v>
      </c>
      <c r="M777" s="2"/>
      <c r="N777" s="2"/>
      <c r="O777" s="4"/>
    </row>
    <row r="778" spans="1:15" x14ac:dyDescent="0.2">
      <c r="A778" s="91" t="s">
        <v>207</v>
      </c>
      <c r="B778" s="91" t="s">
        <v>211</v>
      </c>
      <c r="C778" s="95">
        <v>1120</v>
      </c>
      <c r="D778" s="95">
        <v>1670</v>
      </c>
      <c r="E778" s="95">
        <v>2790</v>
      </c>
      <c r="F778" s="95">
        <v>21963632</v>
      </c>
      <c r="G778" s="95">
        <v>42374657</v>
      </c>
      <c r="H778" s="95">
        <v>64338289</v>
      </c>
      <c r="I778" s="91" t="s">
        <v>485</v>
      </c>
      <c r="J778" s="91" t="s">
        <v>89</v>
      </c>
      <c r="K778" s="94">
        <v>899120</v>
      </c>
      <c r="L778" s="91" t="s">
        <v>270</v>
      </c>
      <c r="M778" s="2"/>
      <c r="N778" s="2"/>
      <c r="O778" s="4"/>
    </row>
    <row r="779" spans="1:15" x14ac:dyDescent="0.2">
      <c r="A779" s="91" t="s">
        <v>38</v>
      </c>
      <c r="B779" s="91" t="s">
        <v>43</v>
      </c>
      <c r="C779" s="95">
        <v>96</v>
      </c>
      <c r="D779" s="95">
        <v>98</v>
      </c>
      <c r="E779" s="95">
        <v>194</v>
      </c>
      <c r="F779" s="95">
        <v>1996496</v>
      </c>
      <c r="G779" s="95">
        <v>2620001</v>
      </c>
      <c r="H779" s="95">
        <v>4616497</v>
      </c>
      <c r="I779" s="91" t="s">
        <v>485</v>
      </c>
      <c r="J779" s="91" t="s">
        <v>89</v>
      </c>
      <c r="K779" s="94">
        <v>899773</v>
      </c>
      <c r="L779" s="91" t="s">
        <v>93</v>
      </c>
      <c r="M779" s="2"/>
      <c r="N779" s="2"/>
      <c r="O779" s="4"/>
    </row>
    <row r="780" spans="1:15" x14ac:dyDescent="0.2">
      <c r="A780" s="91" t="s">
        <v>109</v>
      </c>
      <c r="B780" s="91" t="s">
        <v>858</v>
      </c>
      <c r="C780" s="95">
        <v>2</v>
      </c>
      <c r="D780" s="95">
        <v>5</v>
      </c>
      <c r="E780" s="95">
        <v>7</v>
      </c>
      <c r="F780" s="95">
        <v>145569</v>
      </c>
      <c r="G780" s="95">
        <v>89928</v>
      </c>
      <c r="H780" s="95">
        <v>235496</v>
      </c>
      <c r="I780" s="91" t="s">
        <v>485</v>
      </c>
      <c r="J780" s="91" t="s">
        <v>89</v>
      </c>
      <c r="K780" s="94">
        <v>900712</v>
      </c>
      <c r="L780" s="91" t="s">
        <v>606</v>
      </c>
      <c r="M780" s="2"/>
      <c r="N780" s="2"/>
      <c r="O780" s="4"/>
    </row>
    <row r="781" spans="1:15" x14ac:dyDescent="0.2">
      <c r="A781" s="91" t="s">
        <v>469</v>
      </c>
      <c r="B781" s="91" t="s">
        <v>735</v>
      </c>
      <c r="C781" s="95">
        <v>666</v>
      </c>
      <c r="D781" s="95">
        <v>916</v>
      </c>
      <c r="E781" s="95">
        <v>1582</v>
      </c>
      <c r="F781" s="95">
        <v>24252452</v>
      </c>
      <c r="G781" s="95">
        <v>37921227</v>
      </c>
      <c r="H781" s="95">
        <v>62173679</v>
      </c>
      <c r="I781" s="91" t="s">
        <v>485</v>
      </c>
      <c r="J781" s="91" t="s">
        <v>90</v>
      </c>
      <c r="K781" s="94">
        <v>900894</v>
      </c>
      <c r="L781" s="91" t="s">
        <v>584</v>
      </c>
      <c r="M781" s="2"/>
      <c r="N781" s="2"/>
      <c r="O781" s="4"/>
    </row>
    <row r="782" spans="1:15" x14ac:dyDescent="0.2">
      <c r="A782" s="91" t="s">
        <v>258</v>
      </c>
      <c r="B782" s="91" t="s">
        <v>354</v>
      </c>
      <c r="C782" s="95">
        <v>8624</v>
      </c>
      <c r="D782" s="95">
        <v>7424</v>
      </c>
      <c r="E782" s="95">
        <v>16048</v>
      </c>
      <c r="F782" s="95">
        <v>595108970</v>
      </c>
      <c r="G782" s="95">
        <v>611729068</v>
      </c>
      <c r="H782" s="95">
        <v>1206838039</v>
      </c>
      <c r="I782" s="91" t="s">
        <v>585</v>
      </c>
      <c r="J782" s="91" t="s">
        <v>92</v>
      </c>
      <c r="K782" s="94">
        <v>901017</v>
      </c>
      <c r="L782" s="91" t="s">
        <v>616</v>
      </c>
      <c r="M782" s="2"/>
      <c r="N782" s="2"/>
      <c r="O782" s="4"/>
    </row>
    <row r="783" spans="1:15" x14ac:dyDescent="0.2">
      <c r="A783" s="91" t="s">
        <v>412</v>
      </c>
      <c r="B783" s="91" t="s">
        <v>1102</v>
      </c>
      <c r="C783" s="95">
        <v>762</v>
      </c>
      <c r="D783" s="95">
        <v>683</v>
      </c>
      <c r="E783" s="95">
        <v>1445</v>
      </c>
      <c r="F783" s="95">
        <v>22032452</v>
      </c>
      <c r="G783" s="95">
        <v>23755163</v>
      </c>
      <c r="H783" s="95">
        <v>45787615</v>
      </c>
      <c r="I783" s="91" t="s">
        <v>585</v>
      </c>
      <c r="J783" s="91" t="s">
        <v>90</v>
      </c>
      <c r="K783" s="94">
        <v>901603</v>
      </c>
      <c r="L783" s="91" t="s">
        <v>323</v>
      </c>
      <c r="M783" s="2"/>
      <c r="N783" s="2"/>
      <c r="O783" s="4"/>
    </row>
    <row r="784" spans="1:15" x14ac:dyDescent="0.2">
      <c r="A784" s="91" t="s">
        <v>515</v>
      </c>
      <c r="B784" s="91" t="s">
        <v>406</v>
      </c>
      <c r="C784" s="95">
        <v>5690</v>
      </c>
      <c r="D784" s="95">
        <v>3847</v>
      </c>
      <c r="E784" s="95">
        <v>9537</v>
      </c>
      <c r="F784" s="95">
        <v>227579984</v>
      </c>
      <c r="G784" s="95">
        <v>177908703</v>
      </c>
      <c r="H784" s="95">
        <v>405488687</v>
      </c>
      <c r="I784" s="91" t="s">
        <v>585</v>
      </c>
      <c r="J784" s="91" t="s">
        <v>89</v>
      </c>
      <c r="K784" s="94">
        <v>902783</v>
      </c>
      <c r="L784" s="91" t="s">
        <v>133</v>
      </c>
      <c r="M784" s="2"/>
      <c r="N784" s="2"/>
      <c r="O784" s="4"/>
    </row>
    <row r="785" spans="1:15" x14ac:dyDescent="0.2">
      <c r="A785" s="91" t="s">
        <v>65</v>
      </c>
      <c r="B785" s="91" t="s">
        <v>538</v>
      </c>
      <c r="C785" s="95">
        <v>818</v>
      </c>
      <c r="D785" s="95">
        <v>1012</v>
      </c>
      <c r="E785" s="95">
        <v>1830</v>
      </c>
      <c r="F785" s="95">
        <v>24655231</v>
      </c>
      <c r="G785" s="95">
        <v>36213949</v>
      </c>
      <c r="H785" s="95">
        <v>60869180</v>
      </c>
      <c r="I785" s="91" t="s">
        <v>485</v>
      </c>
      <c r="J785" s="91" t="s">
        <v>89</v>
      </c>
      <c r="K785" s="94">
        <v>904490</v>
      </c>
      <c r="L785" s="91" t="s">
        <v>773</v>
      </c>
      <c r="M785" s="2"/>
      <c r="N785" s="2"/>
      <c r="O785" s="4"/>
    </row>
    <row r="786" spans="1:15" x14ac:dyDescent="0.2">
      <c r="A786" s="91" t="s">
        <v>515</v>
      </c>
      <c r="B786" s="91" t="s">
        <v>547</v>
      </c>
      <c r="C786" s="95">
        <v>5740</v>
      </c>
      <c r="D786" s="95">
        <v>6570</v>
      </c>
      <c r="E786" s="95">
        <v>12310</v>
      </c>
      <c r="F786" s="95">
        <v>253515057</v>
      </c>
      <c r="G786" s="95">
        <v>368550073</v>
      </c>
      <c r="H786" s="95">
        <v>622065130</v>
      </c>
      <c r="I786" s="91" t="s">
        <v>585</v>
      </c>
      <c r="J786" s="91" t="s">
        <v>89</v>
      </c>
      <c r="K786" s="94">
        <v>905265</v>
      </c>
      <c r="L786" s="91" t="s">
        <v>133</v>
      </c>
      <c r="M786" s="2"/>
      <c r="N786" s="2"/>
      <c r="O786" s="4"/>
    </row>
    <row r="787" spans="1:15" x14ac:dyDescent="0.2">
      <c r="A787" s="91" t="s">
        <v>478</v>
      </c>
      <c r="B787" s="91" t="s">
        <v>1006</v>
      </c>
      <c r="C787" s="95">
        <v>11</v>
      </c>
      <c r="D787" s="95">
        <v>32</v>
      </c>
      <c r="E787" s="95">
        <v>43</v>
      </c>
      <c r="F787" s="95">
        <v>551215</v>
      </c>
      <c r="G787" s="95">
        <v>1766477</v>
      </c>
      <c r="H787" s="95">
        <v>2317692</v>
      </c>
      <c r="I787" s="91" t="s">
        <v>485</v>
      </c>
      <c r="J787" s="91" t="s">
        <v>90</v>
      </c>
      <c r="K787" s="94">
        <v>906792</v>
      </c>
      <c r="L787" s="91" t="s">
        <v>802</v>
      </c>
      <c r="M787" s="2"/>
      <c r="N787" s="2"/>
      <c r="O787" s="4"/>
    </row>
    <row r="788" spans="1:15" x14ac:dyDescent="0.2">
      <c r="A788" s="91" t="s">
        <v>170</v>
      </c>
      <c r="B788" s="91" t="s">
        <v>316</v>
      </c>
      <c r="C788" s="95">
        <v>1156</v>
      </c>
      <c r="D788" s="95">
        <v>1253</v>
      </c>
      <c r="E788" s="95">
        <v>2409</v>
      </c>
      <c r="F788" s="95">
        <v>13091533</v>
      </c>
      <c r="G788" s="95">
        <v>19935836</v>
      </c>
      <c r="H788" s="95">
        <v>33027369</v>
      </c>
      <c r="I788" s="91" t="s">
        <v>485</v>
      </c>
      <c r="J788" s="91" t="s">
        <v>89</v>
      </c>
      <c r="K788" s="94">
        <v>908038</v>
      </c>
      <c r="L788" s="91" t="s">
        <v>12</v>
      </c>
      <c r="M788" s="2"/>
      <c r="N788" s="2"/>
      <c r="O788" s="4"/>
    </row>
    <row r="789" spans="1:15" x14ac:dyDescent="0.2">
      <c r="A789" s="91" t="s">
        <v>109</v>
      </c>
      <c r="B789" s="91" t="s">
        <v>640</v>
      </c>
      <c r="C789" s="95">
        <v>6081</v>
      </c>
      <c r="D789" s="95">
        <v>6464</v>
      </c>
      <c r="E789" s="95">
        <v>12545</v>
      </c>
      <c r="F789" s="95">
        <v>270728451</v>
      </c>
      <c r="G789" s="95">
        <v>346265053</v>
      </c>
      <c r="H789" s="95">
        <v>616993503</v>
      </c>
      <c r="I789" s="91" t="s">
        <v>585</v>
      </c>
      <c r="J789" s="91" t="s">
        <v>89</v>
      </c>
      <c r="K789" s="94">
        <v>908277</v>
      </c>
      <c r="L789" s="91" t="s">
        <v>633</v>
      </c>
      <c r="M789" s="2"/>
      <c r="N789" s="2"/>
      <c r="O789" s="4"/>
    </row>
    <row r="790" spans="1:15" x14ac:dyDescent="0.2">
      <c r="A790" s="91" t="s">
        <v>275</v>
      </c>
      <c r="B790" s="91" t="s">
        <v>956</v>
      </c>
      <c r="C790" s="95">
        <v>940</v>
      </c>
      <c r="D790" s="95">
        <v>1362</v>
      </c>
      <c r="E790" s="95">
        <v>2302</v>
      </c>
      <c r="F790" s="95">
        <v>26321566</v>
      </c>
      <c r="G790" s="95">
        <v>49391375</v>
      </c>
      <c r="H790" s="95">
        <v>75712941</v>
      </c>
      <c r="I790" s="91" t="s">
        <v>485</v>
      </c>
      <c r="J790" s="91" t="s">
        <v>89</v>
      </c>
      <c r="K790" s="94">
        <v>908806</v>
      </c>
      <c r="L790" s="91" t="s">
        <v>61</v>
      </c>
      <c r="M790" s="2"/>
      <c r="N790" s="2"/>
      <c r="O790" s="4"/>
    </row>
    <row r="791" spans="1:15" x14ac:dyDescent="0.2">
      <c r="A791" s="91" t="s">
        <v>478</v>
      </c>
      <c r="B791" s="91" t="s">
        <v>598</v>
      </c>
      <c r="C791" s="95">
        <v>455</v>
      </c>
      <c r="D791" s="95">
        <v>756</v>
      </c>
      <c r="E791" s="95">
        <v>1211</v>
      </c>
      <c r="F791" s="95">
        <v>12277657</v>
      </c>
      <c r="G791" s="95">
        <v>24405636</v>
      </c>
      <c r="H791" s="95">
        <v>36683293</v>
      </c>
      <c r="I791" s="91" t="s">
        <v>485</v>
      </c>
      <c r="J791" s="91" t="s">
        <v>90</v>
      </c>
      <c r="K791" s="94">
        <v>909333</v>
      </c>
      <c r="L791" s="91" t="s">
        <v>597</v>
      </c>
      <c r="M791" s="2"/>
      <c r="N791" s="2"/>
      <c r="O791" s="4"/>
    </row>
    <row r="792" spans="1:15" x14ac:dyDescent="0.2">
      <c r="A792" s="91" t="s">
        <v>170</v>
      </c>
      <c r="B792" s="91" t="s">
        <v>248</v>
      </c>
      <c r="C792" s="95">
        <v>153</v>
      </c>
      <c r="D792" s="95">
        <v>268</v>
      </c>
      <c r="E792" s="95">
        <v>421</v>
      </c>
      <c r="F792" s="95">
        <v>3337142</v>
      </c>
      <c r="G792" s="95">
        <v>7567879</v>
      </c>
      <c r="H792" s="95">
        <v>10905021</v>
      </c>
      <c r="I792" s="91" t="s">
        <v>485</v>
      </c>
      <c r="J792" s="91" t="s">
        <v>89</v>
      </c>
      <c r="K792" s="94">
        <v>910109</v>
      </c>
      <c r="L792" s="91" t="s">
        <v>320</v>
      </c>
      <c r="M792" s="2"/>
      <c r="N792" s="2"/>
      <c r="O792" s="4"/>
    </row>
    <row r="793" spans="1:15" x14ac:dyDescent="0.2">
      <c r="A793" s="91" t="s">
        <v>227</v>
      </c>
      <c r="B793" s="91" t="s">
        <v>1079</v>
      </c>
      <c r="C793" s="95">
        <v>4</v>
      </c>
      <c r="D793" s="95">
        <v>6</v>
      </c>
      <c r="E793" s="95">
        <v>10</v>
      </c>
      <c r="F793" s="95">
        <v>106686</v>
      </c>
      <c r="G793" s="95">
        <v>281964</v>
      </c>
      <c r="H793" s="95">
        <v>388650</v>
      </c>
      <c r="I793" s="91" t="s">
        <v>585</v>
      </c>
      <c r="J793" s="91" t="s">
        <v>91</v>
      </c>
      <c r="K793" s="94">
        <v>910398</v>
      </c>
      <c r="L793" s="91" t="s">
        <v>569</v>
      </c>
      <c r="M793" s="2"/>
      <c r="N793" s="2"/>
      <c r="O793" s="4"/>
    </row>
    <row r="794" spans="1:15" x14ac:dyDescent="0.2">
      <c r="A794" s="91" t="s">
        <v>227</v>
      </c>
      <c r="B794" s="91" t="s">
        <v>749</v>
      </c>
      <c r="C794" s="95">
        <v>653</v>
      </c>
      <c r="D794" s="95">
        <v>986</v>
      </c>
      <c r="E794" s="95">
        <v>1639</v>
      </c>
      <c r="F794" s="95">
        <v>92047894</v>
      </c>
      <c r="G794" s="95">
        <v>175835807</v>
      </c>
      <c r="H794" s="95">
        <v>267883701</v>
      </c>
      <c r="I794" s="91" t="s">
        <v>485</v>
      </c>
      <c r="J794" s="91" t="s">
        <v>91</v>
      </c>
      <c r="K794" s="94">
        <v>910455</v>
      </c>
      <c r="L794" s="91" t="s">
        <v>750</v>
      </c>
      <c r="M794" s="2"/>
      <c r="N794" s="2"/>
      <c r="O794" s="4"/>
    </row>
    <row r="795" spans="1:15" x14ac:dyDescent="0.2">
      <c r="A795" s="91" t="s">
        <v>109</v>
      </c>
      <c r="B795" s="91" t="s">
        <v>1003</v>
      </c>
      <c r="C795" s="95">
        <v>35</v>
      </c>
      <c r="D795" s="95">
        <v>48</v>
      </c>
      <c r="E795" s="95">
        <v>83</v>
      </c>
      <c r="F795" s="95">
        <v>1285640</v>
      </c>
      <c r="G795" s="95">
        <v>2422550</v>
      </c>
      <c r="H795" s="95">
        <v>3708191</v>
      </c>
      <c r="I795" s="91" t="s">
        <v>585</v>
      </c>
      <c r="J795" s="91" t="s">
        <v>89</v>
      </c>
      <c r="K795" s="94">
        <v>912220</v>
      </c>
      <c r="L795" s="91" t="s">
        <v>622</v>
      </c>
      <c r="M795" s="2"/>
      <c r="N795" s="2"/>
      <c r="O795" s="4"/>
    </row>
    <row r="796" spans="1:15" x14ac:dyDescent="0.2">
      <c r="A796" s="91" t="s">
        <v>227</v>
      </c>
      <c r="B796" s="91" t="s">
        <v>687</v>
      </c>
      <c r="C796" s="95">
        <v>16397</v>
      </c>
      <c r="D796" s="95">
        <v>19368</v>
      </c>
      <c r="E796" s="95">
        <v>35765</v>
      </c>
      <c r="F796" s="95">
        <v>1968433606</v>
      </c>
      <c r="G796" s="95">
        <v>2833832762</v>
      </c>
      <c r="H796" s="95">
        <v>4802266367</v>
      </c>
      <c r="I796" s="91" t="s">
        <v>485</v>
      </c>
      <c r="J796" s="91" t="s">
        <v>91</v>
      </c>
      <c r="K796" s="94">
        <v>912287</v>
      </c>
      <c r="L796" s="91" t="s">
        <v>299</v>
      </c>
      <c r="M796" s="2"/>
      <c r="N796" s="2"/>
      <c r="O796" s="4"/>
    </row>
    <row r="797" spans="1:15" x14ac:dyDescent="0.2">
      <c r="A797" s="91" t="s">
        <v>98</v>
      </c>
      <c r="B797" s="91" t="s">
        <v>736</v>
      </c>
      <c r="C797" s="95">
        <v>3632</v>
      </c>
      <c r="D797" s="95">
        <v>4632</v>
      </c>
      <c r="E797" s="95">
        <v>8264</v>
      </c>
      <c r="F797" s="95">
        <v>103397476</v>
      </c>
      <c r="G797" s="95">
        <v>166525198</v>
      </c>
      <c r="H797" s="95">
        <v>269922675</v>
      </c>
      <c r="I797" s="91" t="s">
        <v>585</v>
      </c>
      <c r="J797" s="91" t="s">
        <v>89</v>
      </c>
      <c r="K797" s="94">
        <v>914945</v>
      </c>
      <c r="L797" s="91" t="s">
        <v>616</v>
      </c>
      <c r="M797" s="2"/>
      <c r="N797" s="2"/>
      <c r="O797" s="4"/>
    </row>
    <row r="798" spans="1:15" x14ac:dyDescent="0.2">
      <c r="A798" s="91" t="s">
        <v>59</v>
      </c>
      <c r="B798" s="91" t="s">
        <v>592</v>
      </c>
      <c r="C798" s="95">
        <v>245</v>
      </c>
      <c r="D798" s="95">
        <v>350</v>
      </c>
      <c r="E798" s="95">
        <v>595</v>
      </c>
      <c r="F798" s="95">
        <v>6508476</v>
      </c>
      <c r="G798" s="95">
        <v>11989327</v>
      </c>
      <c r="H798" s="95">
        <v>18497803</v>
      </c>
      <c r="I798" s="91" t="s">
        <v>485</v>
      </c>
      <c r="J798" s="91" t="s">
        <v>89</v>
      </c>
      <c r="K798" s="94">
        <v>916122</v>
      </c>
      <c r="L798" s="91" t="s">
        <v>591</v>
      </c>
      <c r="M798" s="2"/>
      <c r="N798" s="2"/>
      <c r="O798" s="4"/>
    </row>
    <row r="799" spans="1:15" x14ac:dyDescent="0.2">
      <c r="A799" s="91" t="s">
        <v>515</v>
      </c>
      <c r="B799" s="91" t="s">
        <v>609</v>
      </c>
      <c r="C799" s="95">
        <v>10582</v>
      </c>
      <c r="D799" s="95">
        <v>12690</v>
      </c>
      <c r="E799" s="95">
        <v>23272</v>
      </c>
      <c r="F799" s="95">
        <v>452165010</v>
      </c>
      <c r="G799" s="95">
        <v>665981251</v>
      </c>
      <c r="H799" s="95">
        <v>1118146262</v>
      </c>
      <c r="I799" s="91" t="s">
        <v>585</v>
      </c>
      <c r="J799" s="91" t="s">
        <v>89</v>
      </c>
      <c r="K799" s="94">
        <v>916189</v>
      </c>
      <c r="L799" s="91" t="s">
        <v>521</v>
      </c>
      <c r="M799" s="2"/>
      <c r="N799" s="2"/>
      <c r="O799" s="4"/>
    </row>
    <row r="800" spans="1:15" x14ac:dyDescent="0.2">
      <c r="A800" s="91" t="s">
        <v>121</v>
      </c>
      <c r="B800" s="91" t="s">
        <v>878</v>
      </c>
      <c r="C800" s="95">
        <v>1178</v>
      </c>
      <c r="D800" s="95">
        <v>1673</v>
      </c>
      <c r="E800" s="95">
        <v>2851</v>
      </c>
      <c r="F800" s="95">
        <v>57562146</v>
      </c>
      <c r="G800" s="95">
        <v>91310687</v>
      </c>
      <c r="H800" s="95">
        <v>148872832</v>
      </c>
      <c r="I800" s="91" t="s">
        <v>485</v>
      </c>
      <c r="J800" s="91" t="s">
        <v>89</v>
      </c>
      <c r="K800" s="94">
        <v>917716</v>
      </c>
      <c r="L800" s="91" t="s">
        <v>877</v>
      </c>
      <c r="M800" s="2"/>
      <c r="N800" s="2"/>
      <c r="O800" s="4"/>
    </row>
    <row r="801" spans="1:15" x14ac:dyDescent="0.2">
      <c r="A801" s="91" t="s">
        <v>469</v>
      </c>
      <c r="B801" s="91" t="s">
        <v>487</v>
      </c>
      <c r="C801" s="95">
        <v>795</v>
      </c>
      <c r="D801" s="95">
        <v>977</v>
      </c>
      <c r="E801" s="95">
        <v>1772</v>
      </c>
      <c r="F801" s="95">
        <v>28490358</v>
      </c>
      <c r="G801" s="95">
        <v>41864793</v>
      </c>
      <c r="H801" s="95">
        <v>70355151</v>
      </c>
      <c r="I801" s="91" t="s">
        <v>485</v>
      </c>
      <c r="J801" s="91" t="s">
        <v>90</v>
      </c>
      <c r="K801" s="94">
        <v>917898</v>
      </c>
      <c r="L801" s="91" t="s">
        <v>271</v>
      </c>
      <c r="M801" s="2"/>
      <c r="N801" s="2"/>
      <c r="O801" s="4"/>
    </row>
    <row r="802" spans="1:15" x14ac:dyDescent="0.2">
      <c r="A802" s="91" t="s">
        <v>98</v>
      </c>
      <c r="B802" s="91" t="s">
        <v>149</v>
      </c>
      <c r="C802" s="95">
        <v>204</v>
      </c>
      <c r="D802" s="95">
        <v>243</v>
      </c>
      <c r="E802" s="95">
        <v>447</v>
      </c>
      <c r="F802" s="95">
        <v>4781668</v>
      </c>
      <c r="G802" s="95">
        <v>7328731</v>
      </c>
      <c r="H802" s="95">
        <v>12110399</v>
      </c>
      <c r="I802" s="91" t="s">
        <v>485</v>
      </c>
      <c r="J802" s="91" t="s">
        <v>89</v>
      </c>
      <c r="K802" s="94">
        <v>917955</v>
      </c>
      <c r="L802" s="91" t="s">
        <v>320</v>
      </c>
      <c r="M802" s="2"/>
      <c r="N802" s="2"/>
      <c r="O802" s="4"/>
    </row>
    <row r="803" spans="1:15" x14ac:dyDescent="0.2">
      <c r="A803" s="91" t="s">
        <v>207</v>
      </c>
      <c r="B803" s="91" t="s">
        <v>249</v>
      </c>
      <c r="C803" s="95">
        <v>70</v>
      </c>
      <c r="D803" s="95">
        <v>101</v>
      </c>
      <c r="E803" s="95">
        <v>171</v>
      </c>
      <c r="F803" s="95">
        <v>1524121</v>
      </c>
      <c r="G803" s="95">
        <v>3125487</v>
      </c>
      <c r="H803" s="95">
        <v>4649608</v>
      </c>
      <c r="I803" s="91" t="s">
        <v>485</v>
      </c>
      <c r="J803" s="91" t="s">
        <v>89</v>
      </c>
      <c r="K803" s="94">
        <v>918367</v>
      </c>
      <c r="L803" s="91" t="s">
        <v>636</v>
      </c>
      <c r="M803" s="2"/>
      <c r="N803" s="2"/>
      <c r="O803" s="4"/>
    </row>
    <row r="804" spans="1:15" x14ac:dyDescent="0.2">
      <c r="A804" s="91" t="s">
        <v>98</v>
      </c>
      <c r="B804" s="91" t="s">
        <v>82</v>
      </c>
      <c r="C804" s="95">
        <v>2543</v>
      </c>
      <c r="D804" s="95">
        <v>3576</v>
      </c>
      <c r="E804" s="95">
        <v>6119</v>
      </c>
      <c r="F804" s="95">
        <v>53524159</v>
      </c>
      <c r="G804" s="95">
        <v>94942913</v>
      </c>
      <c r="H804" s="95">
        <v>148467072</v>
      </c>
      <c r="I804" s="91" t="s">
        <v>485</v>
      </c>
      <c r="J804" s="91" t="s">
        <v>89</v>
      </c>
      <c r="K804" s="94">
        <v>919787</v>
      </c>
      <c r="L804" s="91" t="s">
        <v>521</v>
      </c>
      <c r="M804" s="2"/>
      <c r="N804" s="2"/>
      <c r="O804" s="4"/>
    </row>
    <row r="805" spans="1:15" x14ac:dyDescent="0.2">
      <c r="A805" s="91" t="s">
        <v>65</v>
      </c>
      <c r="B805" s="91" t="s">
        <v>536</v>
      </c>
      <c r="C805" s="95">
        <v>345</v>
      </c>
      <c r="D805" s="95">
        <v>507</v>
      </c>
      <c r="E805" s="95">
        <v>852</v>
      </c>
      <c r="F805" s="95">
        <v>10231453</v>
      </c>
      <c r="G805" s="95">
        <v>17885749</v>
      </c>
      <c r="H805" s="95">
        <v>28117202</v>
      </c>
      <c r="I805" s="91" t="s">
        <v>485</v>
      </c>
      <c r="J805" s="91" t="s">
        <v>89</v>
      </c>
      <c r="K805" s="94">
        <v>920371</v>
      </c>
      <c r="L805" s="91" t="s">
        <v>755</v>
      </c>
      <c r="M805" s="2"/>
      <c r="N805" s="2"/>
      <c r="O805" s="4"/>
    </row>
    <row r="806" spans="1:15" x14ac:dyDescent="0.2">
      <c r="A806" s="91" t="s">
        <v>170</v>
      </c>
      <c r="B806" s="91" t="s">
        <v>177</v>
      </c>
      <c r="C806" s="95">
        <v>324</v>
      </c>
      <c r="D806" s="95">
        <v>454</v>
      </c>
      <c r="E806" s="95">
        <v>778</v>
      </c>
      <c r="F806" s="95">
        <v>5431268</v>
      </c>
      <c r="G806" s="95">
        <v>10069791</v>
      </c>
      <c r="H806" s="95">
        <v>15501060</v>
      </c>
      <c r="I806" s="91" t="s">
        <v>485</v>
      </c>
      <c r="J806" s="91" t="s">
        <v>89</v>
      </c>
      <c r="K806" s="94">
        <v>920439</v>
      </c>
      <c r="L806" s="91" t="s">
        <v>93</v>
      </c>
      <c r="M806" s="2"/>
      <c r="N806" s="2"/>
      <c r="O806" s="4"/>
    </row>
    <row r="807" spans="1:15" x14ac:dyDescent="0.2">
      <c r="A807" s="91" t="s">
        <v>109</v>
      </c>
      <c r="B807" s="91" t="s">
        <v>144</v>
      </c>
      <c r="C807" s="95">
        <v>213</v>
      </c>
      <c r="D807" s="95">
        <v>313</v>
      </c>
      <c r="E807" s="95">
        <v>526</v>
      </c>
      <c r="F807" s="95">
        <v>6084821</v>
      </c>
      <c r="G807" s="95">
        <v>10735581</v>
      </c>
      <c r="H807" s="95">
        <v>16820402</v>
      </c>
      <c r="I807" s="91" t="s">
        <v>485</v>
      </c>
      <c r="J807" s="91" t="s">
        <v>89</v>
      </c>
      <c r="K807" s="94">
        <v>923383</v>
      </c>
      <c r="L807" s="91" t="s">
        <v>320</v>
      </c>
      <c r="M807" s="2"/>
      <c r="N807" s="2"/>
      <c r="O807" s="4"/>
    </row>
    <row r="808" spans="1:15" x14ac:dyDescent="0.2">
      <c r="A808" s="91" t="s">
        <v>276</v>
      </c>
      <c r="B808" s="91" t="s">
        <v>153</v>
      </c>
      <c r="C808" s="95">
        <v>214</v>
      </c>
      <c r="D808" s="95">
        <v>332</v>
      </c>
      <c r="E808" s="95">
        <v>546</v>
      </c>
      <c r="F808" s="95">
        <v>5292087</v>
      </c>
      <c r="G808" s="95">
        <v>10652618</v>
      </c>
      <c r="H808" s="95">
        <v>15944705</v>
      </c>
      <c r="I808" s="91" t="s">
        <v>485</v>
      </c>
      <c r="J808" s="91" t="s">
        <v>89</v>
      </c>
      <c r="K808" s="94">
        <v>925099</v>
      </c>
      <c r="L808" s="91" t="s">
        <v>320</v>
      </c>
      <c r="M808" s="2"/>
      <c r="N808" s="2"/>
      <c r="O808" s="4"/>
    </row>
    <row r="809" spans="1:15" x14ac:dyDescent="0.2">
      <c r="A809" s="91" t="s">
        <v>478</v>
      </c>
      <c r="B809" s="91" t="s">
        <v>945</v>
      </c>
      <c r="C809" s="95">
        <v>6435</v>
      </c>
      <c r="D809" s="95">
        <v>7992</v>
      </c>
      <c r="E809" s="95">
        <v>14427</v>
      </c>
      <c r="F809" s="95">
        <v>598990246</v>
      </c>
      <c r="G809" s="95">
        <v>798099083</v>
      </c>
      <c r="H809" s="95">
        <v>1397089329</v>
      </c>
      <c r="I809" s="91" t="s">
        <v>585</v>
      </c>
      <c r="J809" s="91" t="s">
        <v>90</v>
      </c>
      <c r="K809" s="94">
        <v>925628</v>
      </c>
      <c r="L809" s="91" t="s">
        <v>917</v>
      </c>
      <c r="M809" s="2"/>
      <c r="N809" s="2"/>
      <c r="O809" s="4"/>
    </row>
    <row r="810" spans="1:15" x14ac:dyDescent="0.2">
      <c r="A810" s="91" t="s">
        <v>219</v>
      </c>
      <c r="B810" s="91" t="s">
        <v>847</v>
      </c>
      <c r="C810" s="95">
        <v>976</v>
      </c>
      <c r="D810" s="95">
        <v>857</v>
      </c>
      <c r="E810" s="95">
        <v>1833</v>
      </c>
      <c r="F810" s="95">
        <v>68950170</v>
      </c>
      <c r="G810" s="95">
        <v>64390788</v>
      </c>
      <c r="H810" s="95">
        <v>133340958</v>
      </c>
      <c r="I810" s="91" t="s">
        <v>585</v>
      </c>
      <c r="J810" s="91" t="s">
        <v>91</v>
      </c>
      <c r="K810" s="94">
        <v>927632</v>
      </c>
      <c r="L810" s="91" t="s">
        <v>323</v>
      </c>
      <c r="M810" s="2"/>
      <c r="N810" s="2"/>
      <c r="O810" s="4"/>
    </row>
    <row r="811" spans="1:15" x14ac:dyDescent="0.2">
      <c r="A811" s="91" t="s">
        <v>202</v>
      </c>
      <c r="B811" s="91" t="s">
        <v>407</v>
      </c>
      <c r="C811" s="95">
        <v>66567</v>
      </c>
      <c r="D811" s="95">
        <v>62625</v>
      </c>
      <c r="E811" s="95">
        <v>129192</v>
      </c>
      <c r="F811" s="95">
        <v>2004534684</v>
      </c>
      <c r="G811" s="95">
        <v>2438028604</v>
      </c>
      <c r="H811" s="95">
        <v>4442563287</v>
      </c>
      <c r="I811" s="91" t="s">
        <v>585</v>
      </c>
      <c r="J811" s="91" t="s">
        <v>89</v>
      </c>
      <c r="K811" s="94">
        <v>928341</v>
      </c>
      <c r="L811" s="91" t="s">
        <v>133</v>
      </c>
      <c r="M811" s="2"/>
      <c r="N811" s="2"/>
      <c r="O811" s="4"/>
    </row>
    <row r="812" spans="1:15" x14ac:dyDescent="0.2">
      <c r="A812" s="91" t="s">
        <v>515</v>
      </c>
      <c r="B812" s="91" t="s">
        <v>529</v>
      </c>
      <c r="C812" s="95">
        <v>2161</v>
      </c>
      <c r="D812" s="95">
        <v>2119</v>
      </c>
      <c r="E812" s="95">
        <v>4280</v>
      </c>
      <c r="F812" s="95">
        <v>84353161</v>
      </c>
      <c r="G812" s="95">
        <v>94423936</v>
      </c>
      <c r="H812" s="95">
        <v>178777097</v>
      </c>
      <c r="I812" s="91" t="s">
        <v>585</v>
      </c>
      <c r="J812" s="91" t="s">
        <v>89</v>
      </c>
      <c r="K812" s="94">
        <v>928937</v>
      </c>
      <c r="L812" s="91" t="s">
        <v>528</v>
      </c>
      <c r="M812" s="2"/>
      <c r="N812" s="2"/>
      <c r="O812" s="4"/>
    </row>
    <row r="813" spans="1:15" x14ac:dyDescent="0.2">
      <c r="A813" s="91" t="s">
        <v>72</v>
      </c>
      <c r="B813" s="91" t="s">
        <v>1009</v>
      </c>
      <c r="C813" s="95">
        <v>188</v>
      </c>
      <c r="D813" s="95">
        <v>367</v>
      </c>
      <c r="E813" s="95">
        <v>555</v>
      </c>
      <c r="F813" s="95">
        <v>6486000</v>
      </c>
      <c r="G813" s="95">
        <v>14802125</v>
      </c>
      <c r="H813" s="95">
        <v>21288125</v>
      </c>
      <c r="I813" s="91" t="s">
        <v>585</v>
      </c>
      <c r="J813" s="91" t="s">
        <v>89</v>
      </c>
      <c r="K813" s="94">
        <v>929224</v>
      </c>
      <c r="L813" s="91" t="s">
        <v>521</v>
      </c>
      <c r="M813" s="2"/>
      <c r="N813" s="2"/>
      <c r="O813" s="4"/>
    </row>
    <row r="814" spans="1:15" x14ac:dyDescent="0.2">
      <c r="A814" s="91" t="s">
        <v>469</v>
      </c>
      <c r="B814" s="91" t="s">
        <v>1069</v>
      </c>
      <c r="C814" s="95">
        <v>132</v>
      </c>
      <c r="D814" s="95">
        <v>200</v>
      </c>
      <c r="E814" s="95">
        <v>332</v>
      </c>
      <c r="F814" s="95">
        <v>4079332</v>
      </c>
      <c r="G814" s="95">
        <v>7575835</v>
      </c>
      <c r="H814" s="95">
        <v>11655166</v>
      </c>
      <c r="I814" s="91" t="s">
        <v>485</v>
      </c>
      <c r="J814" s="91" t="s">
        <v>90</v>
      </c>
      <c r="K814" s="94">
        <v>930768</v>
      </c>
      <c r="L814" s="91" t="s">
        <v>268</v>
      </c>
      <c r="M814" s="2"/>
      <c r="N814" s="2"/>
      <c r="O814" s="4"/>
    </row>
    <row r="815" spans="1:15" x14ac:dyDescent="0.2">
      <c r="A815" s="91" t="s">
        <v>478</v>
      </c>
      <c r="B815" s="91" t="s">
        <v>883</v>
      </c>
      <c r="C815" s="95">
        <v>61</v>
      </c>
      <c r="D815" s="95">
        <v>115</v>
      </c>
      <c r="E815" s="95">
        <v>176</v>
      </c>
      <c r="F815" s="95">
        <v>2262235</v>
      </c>
      <c r="G815" s="95">
        <v>6369006</v>
      </c>
      <c r="H815" s="95">
        <v>8631241</v>
      </c>
      <c r="I815" s="91" t="s">
        <v>585</v>
      </c>
      <c r="J815" s="91" t="s">
        <v>90</v>
      </c>
      <c r="K815" s="94">
        <v>934711</v>
      </c>
      <c r="L815" s="91" t="s">
        <v>27</v>
      </c>
      <c r="M815" s="2"/>
      <c r="N815" s="2"/>
      <c r="O815" s="4"/>
    </row>
    <row r="816" spans="1:15" x14ac:dyDescent="0.2">
      <c r="A816" s="91" t="s">
        <v>109</v>
      </c>
      <c r="B816" s="91" t="s">
        <v>701</v>
      </c>
      <c r="C816" s="95">
        <v>264</v>
      </c>
      <c r="D816" s="95">
        <v>296</v>
      </c>
      <c r="E816" s="95">
        <v>560</v>
      </c>
      <c r="F816" s="95">
        <v>9816082</v>
      </c>
      <c r="G816" s="95">
        <v>12069498</v>
      </c>
      <c r="H816" s="95">
        <v>21885580</v>
      </c>
      <c r="I816" s="91" t="s">
        <v>585</v>
      </c>
      <c r="J816" s="91" t="s">
        <v>89</v>
      </c>
      <c r="K816" s="94">
        <v>936781</v>
      </c>
      <c r="L816" s="91" t="s">
        <v>871</v>
      </c>
      <c r="M816" s="2"/>
      <c r="N816" s="2"/>
      <c r="O816" s="4"/>
    </row>
    <row r="817" spans="1:15" x14ac:dyDescent="0.2">
      <c r="A817" s="91" t="s">
        <v>38</v>
      </c>
      <c r="B817" s="91" t="s">
        <v>629</v>
      </c>
      <c r="C817" s="95">
        <v>3758</v>
      </c>
      <c r="D817" s="95">
        <v>3747</v>
      </c>
      <c r="E817" s="95">
        <v>7505</v>
      </c>
      <c r="F817" s="95">
        <v>169462475</v>
      </c>
      <c r="G817" s="95">
        <v>202374072</v>
      </c>
      <c r="H817" s="95">
        <v>371836546</v>
      </c>
      <c r="I817" s="91" t="s">
        <v>585</v>
      </c>
      <c r="J817" s="91" t="s">
        <v>89</v>
      </c>
      <c r="K817" s="94">
        <v>937433</v>
      </c>
      <c r="L817" s="91" t="s">
        <v>323</v>
      </c>
      <c r="M817" s="2"/>
      <c r="N817" s="2"/>
      <c r="O817" s="4"/>
    </row>
    <row r="818" spans="1:15" x14ac:dyDescent="0.2">
      <c r="A818" s="91" t="s">
        <v>207</v>
      </c>
      <c r="B818" s="91" t="s">
        <v>166</v>
      </c>
      <c r="C818" s="95">
        <v>874</v>
      </c>
      <c r="D818" s="95">
        <v>1283</v>
      </c>
      <c r="E818" s="95">
        <v>2157</v>
      </c>
      <c r="F818" s="95">
        <v>14036810</v>
      </c>
      <c r="G818" s="95">
        <v>28207990</v>
      </c>
      <c r="H818" s="95">
        <v>42244800</v>
      </c>
      <c r="I818" s="91" t="s">
        <v>485</v>
      </c>
      <c r="J818" s="91" t="s">
        <v>89</v>
      </c>
      <c r="K818" s="94">
        <v>938498</v>
      </c>
      <c r="L818" s="91" t="s">
        <v>610</v>
      </c>
      <c r="M818" s="2"/>
      <c r="N818" s="2"/>
      <c r="O818" s="4"/>
    </row>
    <row r="819" spans="1:15" x14ac:dyDescent="0.2">
      <c r="A819" s="91" t="s">
        <v>515</v>
      </c>
      <c r="B819" s="91" t="s">
        <v>408</v>
      </c>
      <c r="C819" s="95">
        <v>6466</v>
      </c>
      <c r="D819" s="95">
        <v>7539</v>
      </c>
      <c r="E819" s="95">
        <v>14005</v>
      </c>
      <c r="F819" s="95">
        <v>217480233</v>
      </c>
      <c r="G819" s="95">
        <v>323273590</v>
      </c>
      <c r="H819" s="95">
        <v>540753823</v>
      </c>
      <c r="I819" s="91" t="s">
        <v>585</v>
      </c>
      <c r="J819" s="91" t="s">
        <v>89</v>
      </c>
      <c r="K819" s="94">
        <v>939850</v>
      </c>
      <c r="L819" s="91" t="s">
        <v>133</v>
      </c>
      <c r="M819" s="2"/>
      <c r="N819" s="2"/>
      <c r="O819" s="4"/>
    </row>
    <row r="820" spans="1:15" x14ac:dyDescent="0.2">
      <c r="A820" s="91" t="s">
        <v>109</v>
      </c>
      <c r="B820" s="91" t="s">
        <v>116</v>
      </c>
      <c r="C820" s="95">
        <v>40973</v>
      </c>
      <c r="D820" s="95">
        <v>40012</v>
      </c>
      <c r="E820" s="95">
        <v>80985</v>
      </c>
      <c r="F820" s="95">
        <v>1511191876</v>
      </c>
      <c r="G820" s="95">
        <v>1837385472</v>
      </c>
      <c r="H820" s="95">
        <v>3348577348</v>
      </c>
      <c r="I820" s="91" t="s">
        <v>585</v>
      </c>
      <c r="J820" s="91" t="s">
        <v>89</v>
      </c>
      <c r="K820" s="94">
        <v>941096</v>
      </c>
      <c r="L820" s="91" t="s">
        <v>133</v>
      </c>
      <c r="M820" s="2"/>
      <c r="N820" s="2"/>
      <c r="O820" s="4"/>
    </row>
    <row r="821" spans="1:15" x14ac:dyDescent="0.2">
      <c r="A821" s="91" t="s">
        <v>207</v>
      </c>
      <c r="B821" s="91" t="s">
        <v>338</v>
      </c>
      <c r="C821" s="95">
        <v>109</v>
      </c>
      <c r="D821" s="95">
        <v>272</v>
      </c>
      <c r="E821" s="95">
        <v>381</v>
      </c>
      <c r="F821" s="95">
        <v>2500067</v>
      </c>
      <c r="G821" s="95">
        <v>8664700</v>
      </c>
      <c r="H821" s="95">
        <v>11164767</v>
      </c>
      <c r="I821" s="91" t="s">
        <v>485</v>
      </c>
      <c r="J821" s="91" t="s">
        <v>89</v>
      </c>
      <c r="K821" s="94">
        <v>942094</v>
      </c>
      <c r="L821" s="91" t="s">
        <v>1039</v>
      </c>
      <c r="M821" s="2"/>
      <c r="N821" s="2"/>
      <c r="O821" s="4"/>
    </row>
    <row r="822" spans="1:15" x14ac:dyDescent="0.2">
      <c r="A822" s="91" t="s">
        <v>38</v>
      </c>
      <c r="B822" s="91" t="s">
        <v>821</v>
      </c>
      <c r="C822" s="95">
        <v>29</v>
      </c>
      <c r="D822" s="95">
        <v>56</v>
      </c>
      <c r="E822" s="95">
        <v>85</v>
      </c>
      <c r="F822" s="95">
        <v>784122</v>
      </c>
      <c r="G822" s="95">
        <v>1756584</v>
      </c>
      <c r="H822" s="95">
        <v>2540706</v>
      </c>
      <c r="I822" s="91" t="s">
        <v>485</v>
      </c>
      <c r="J822" s="91" t="s">
        <v>89</v>
      </c>
      <c r="K822" s="94">
        <v>942623</v>
      </c>
      <c r="L822" s="91" t="s">
        <v>802</v>
      </c>
      <c r="M822" s="2"/>
      <c r="N822" s="2"/>
      <c r="O822" s="4"/>
    </row>
    <row r="823" spans="1:15" x14ac:dyDescent="0.2">
      <c r="A823" s="91" t="s">
        <v>170</v>
      </c>
      <c r="B823" s="91" t="s">
        <v>950</v>
      </c>
      <c r="C823" s="95">
        <v>363</v>
      </c>
      <c r="D823" s="95">
        <v>543</v>
      </c>
      <c r="E823" s="95">
        <v>906</v>
      </c>
      <c r="F823" s="95">
        <v>8427218</v>
      </c>
      <c r="G823" s="95">
        <v>17555138</v>
      </c>
      <c r="H823" s="95">
        <v>25982356</v>
      </c>
      <c r="I823" s="91" t="s">
        <v>485</v>
      </c>
      <c r="J823" s="91" t="s">
        <v>89</v>
      </c>
      <c r="K823" s="94">
        <v>944637</v>
      </c>
      <c r="L823" s="91" t="s">
        <v>61</v>
      </c>
      <c r="M823" s="2"/>
      <c r="N823" s="2"/>
      <c r="O823" s="4"/>
    </row>
    <row r="824" spans="1:15" x14ac:dyDescent="0.2">
      <c r="A824" s="91" t="s">
        <v>478</v>
      </c>
      <c r="B824" s="91" t="s">
        <v>601</v>
      </c>
      <c r="C824" s="95">
        <v>114</v>
      </c>
      <c r="D824" s="95">
        <v>161</v>
      </c>
      <c r="E824" s="95">
        <v>275</v>
      </c>
      <c r="F824" s="95">
        <v>3877292</v>
      </c>
      <c r="G824" s="95">
        <v>7834618</v>
      </c>
      <c r="H824" s="95">
        <v>11711910</v>
      </c>
      <c r="I824" s="91" t="s">
        <v>485</v>
      </c>
      <c r="J824" s="91" t="s">
        <v>90</v>
      </c>
      <c r="K824" s="94">
        <v>945162</v>
      </c>
      <c r="L824" s="91" t="s">
        <v>597</v>
      </c>
      <c r="M824" s="2"/>
      <c r="N824" s="2"/>
      <c r="O824" s="4"/>
    </row>
    <row r="825" spans="1:15" x14ac:dyDescent="0.2">
      <c r="A825" s="91" t="s">
        <v>227</v>
      </c>
      <c r="B825" s="91" t="s">
        <v>1047</v>
      </c>
      <c r="C825" s="95">
        <v>143</v>
      </c>
      <c r="D825" s="95">
        <v>340</v>
      </c>
      <c r="E825" s="95">
        <v>483</v>
      </c>
      <c r="F825" s="95">
        <v>4326923</v>
      </c>
      <c r="G825" s="95">
        <v>13085427</v>
      </c>
      <c r="H825" s="95">
        <v>17412350</v>
      </c>
      <c r="I825" s="91" t="s">
        <v>585</v>
      </c>
      <c r="J825" s="91" t="s">
        <v>91</v>
      </c>
      <c r="K825" s="94">
        <v>946228</v>
      </c>
      <c r="L825" s="91" t="s">
        <v>569</v>
      </c>
      <c r="M825" s="2"/>
      <c r="N825" s="2"/>
      <c r="O825" s="4"/>
    </row>
    <row r="826" spans="1:15" x14ac:dyDescent="0.2">
      <c r="A826" s="91" t="s">
        <v>227</v>
      </c>
      <c r="B826" s="91" t="s">
        <v>752</v>
      </c>
      <c r="C826" s="95">
        <v>2997</v>
      </c>
      <c r="D826" s="95">
        <v>5615</v>
      </c>
      <c r="E826" s="95">
        <v>8612</v>
      </c>
      <c r="F826" s="95">
        <v>453424370</v>
      </c>
      <c r="G826" s="95">
        <v>1021599324</v>
      </c>
      <c r="H826" s="95">
        <v>1475023694</v>
      </c>
      <c r="I826" s="91" t="s">
        <v>485</v>
      </c>
      <c r="J826" s="91" t="s">
        <v>91</v>
      </c>
      <c r="K826" s="94">
        <v>946285</v>
      </c>
      <c r="L826" s="91" t="s">
        <v>750</v>
      </c>
      <c r="M826" s="2"/>
      <c r="N826" s="2"/>
      <c r="O826" s="4"/>
    </row>
    <row r="827" spans="1:15" x14ac:dyDescent="0.2">
      <c r="A827" s="91" t="s">
        <v>227</v>
      </c>
      <c r="B827" s="91" t="s">
        <v>688</v>
      </c>
      <c r="C827" s="95">
        <v>1647</v>
      </c>
      <c r="D827" s="95">
        <v>3063</v>
      </c>
      <c r="E827" s="95">
        <v>4710</v>
      </c>
      <c r="F827" s="95">
        <v>128962716</v>
      </c>
      <c r="G827" s="95">
        <v>315673406</v>
      </c>
      <c r="H827" s="95">
        <v>444636122</v>
      </c>
      <c r="I827" s="91" t="s">
        <v>485</v>
      </c>
      <c r="J827" s="91" t="s">
        <v>91</v>
      </c>
      <c r="K827" s="94">
        <v>948117</v>
      </c>
      <c r="L827" s="91" t="s">
        <v>299</v>
      </c>
      <c r="M827" s="2"/>
      <c r="N827" s="2"/>
      <c r="O827" s="4"/>
    </row>
    <row r="828" spans="1:15" x14ac:dyDescent="0.2">
      <c r="A828" s="91" t="s">
        <v>157</v>
      </c>
      <c r="B828" s="91" t="s">
        <v>857</v>
      </c>
      <c r="C828" s="95">
        <v>8</v>
      </c>
      <c r="D828" s="95">
        <v>22</v>
      </c>
      <c r="E828" s="95">
        <v>30</v>
      </c>
      <c r="F828" s="95">
        <v>142394</v>
      </c>
      <c r="G828" s="95">
        <v>550846</v>
      </c>
      <c r="H828" s="95">
        <v>693240</v>
      </c>
      <c r="I828" s="91" t="s">
        <v>485</v>
      </c>
      <c r="J828" s="91" t="s">
        <v>89</v>
      </c>
      <c r="K828" s="94">
        <v>949941</v>
      </c>
      <c r="L828" s="91" t="s">
        <v>347</v>
      </c>
      <c r="M828" s="2"/>
      <c r="N828" s="2"/>
      <c r="O828" s="4"/>
    </row>
    <row r="829" spans="1:15" x14ac:dyDescent="0.2">
      <c r="A829" s="91" t="s">
        <v>121</v>
      </c>
      <c r="B829" s="91" t="s">
        <v>738</v>
      </c>
      <c r="C829" s="95">
        <v>6441</v>
      </c>
      <c r="D829" s="95">
        <v>7369</v>
      </c>
      <c r="E829" s="95">
        <v>13810</v>
      </c>
      <c r="F829" s="95">
        <v>151610735</v>
      </c>
      <c r="G829" s="95">
        <v>234727875</v>
      </c>
      <c r="H829" s="95">
        <v>386338610</v>
      </c>
      <c r="I829" s="91" t="s">
        <v>585</v>
      </c>
      <c r="J829" s="91" t="s">
        <v>89</v>
      </c>
      <c r="K829" s="94">
        <v>950774</v>
      </c>
      <c r="L829" s="91" t="s">
        <v>616</v>
      </c>
      <c r="M829" s="2"/>
      <c r="N829" s="2"/>
      <c r="O829" s="4"/>
    </row>
    <row r="830" spans="1:15" x14ac:dyDescent="0.2">
      <c r="A830" s="91" t="s">
        <v>559</v>
      </c>
      <c r="B830" s="91" t="s">
        <v>537</v>
      </c>
      <c r="C830" s="95">
        <v>22278</v>
      </c>
      <c r="D830" s="95">
        <v>26568</v>
      </c>
      <c r="E830" s="95">
        <v>48846</v>
      </c>
      <c r="F830" s="95">
        <v>1151798384</v>
      </c>
      <c r="G830" s="95">
        <v>1682235022</v>
      </c>
      <c r="H830" s="95">
        <v>2834033406</v>
      </c>
      <c r="I830" s="91" t="s">
        <v>585</v>
      </c>
      <c r="J830" s="91" t="s">
        <v>89</v>
      </c>
      <c r="K830" s="94">
        <v>952010</v>
      </c>
      <c r="L830" s="91" t="s">
        <v>521</v>
      </c>
      <c r="M830" s="2"/>
      <c r="N830" s="2"/>
      <c r="O830" s="4"/>
    </row>
    <row r="831" spans="1:15" x14ac:dyDescent="0.2">
      <c r="A831" s="91" t="s">
        <v>469</v>
      </c>
      <c r="B831" s="91" t="s">
        <v>234</v>
      </c>
      <c r="C831" s="95">
        <v>596</v>
      </c>
      <c r="D831" s="95">
        <v>772</v>
      </c>
      <c r="E831" s="95">
        <v>1368</v>
      </c>
      <c r="F831" s="95">
        <v>18320448</v>
      </c>
      <c r="G831" s="95">
        <v>30556627</v>
      </c>
      <c r="H831" s="95">
        <v>48877075</v>
      </c>
      <c r="I831" s="91" t="s">
        <v>485</v>
      </c>
      <c r="J831" s="91" t="s">
        <v>90</v>
      </c>
      <c r="K831" s="94">
        <v>955435</v>
      </c>
      <c r="L831" s="91" t="s">
        <v>228</v>
      </c>
      <c r="M831" s="2"/>
      <c r="N831" s="2"/>
      <c r="O831" s="4"/>
    </row>
    <row r="832" spans="1:15" x14ac:dyDescent="0.2">
      <c r="A832" s="91" t="s">
        <v>277</v>
      </c>
      <c r="B832" s="91" t="s">
        <v>127</v>
      </c>
      <c r="C832" s="95">
        <v>1966</v>
      </c>
      <c r="D832" s="95">
        <v>3368</v>
      </c>
      <c r="E832" s="95">
        <v>5334</v>
      </c>
      <c r="F832" s="95">
        <v>55530038</v>
      </c>
      <c r="G832" s="95">
        <v>116756555</v>
      </c>
      <c r="H832" s="95">
        <v>172286593</v>
      </c>
      <c r="I832" s="91" t="s">
        <v>485</v>
      </c>
      <c r="J832" s="91" t="s">
        <v>89</v>
      </c>
      <c r="K832" s="94">
        <v>956268</v>
      </c>
      <c r="L832" s="91" t="s">
        <v>93</v>
      </c>
      <c r="M832" s="2"/>
      <c r="N832" s="2"/>
      <c r="O832" s="4"/>
    </row>
    <row r="833" spans="1:15" x14ac:dyDescent="0.2">
      <c r="A833" s="91" t="s">
        <v>565</v>
      </c>
      <c r="B833" s="91" t="s">
        <v>788</v>
      </c>
      <c r="C833" s="95">
        <v>24667</v>
      </c>
      <c r="D833" s="95">
        <v>23811</v>
      </c>
      <c r="E833" s="95">
        <v>48478</v>
      </c>
      <c r="F833" s="95">
        <v>2352486384</v>
      </c>
      <c r="G833" s="95">
        <v>2846716404</v>
      </c>
      <c r="H833" s="95">
        <v>5199202788</v>
      </c>
      <c r="I833" s="91" t="s">
        <v>485</v>
      </c>
      <c r="J833" s="91" t="s">
        <v>89</v>
      </c>
      <c r="K833" s="94">
        <v>961458</v>
      </c>
      <c r="L833" s="91" t="s">
        <v>787</v>
      </c>
      <c r="M833" s="2"/>
      <c r="N833" s="2"/>
      <c r="O833" s="4"/>
    </row>
    <row r="834" spans="1:15" x14ac:dyDescent="0.2">
      <c r="A834" s="91" t="s">
        <v>227</v>
      </c>
      <c r="B834" s="91" t="s">
        <v>876</v>
      </c>
      <c r="C834" s="95">
        <v>866</v>
      </c>
      <c r="D834" s="95">
        <v>487</v>
      </c>
      <c r="E834" s="95">
        <v>1353</v>
      </c>
      <c r="F834" s="95">
        <v>80063061</v>
      </c>
      <c r="G834" s="95">
        <v>48608536</v>
      </c>
      <c r="H834" s="95">
        <v>128671598</v>
      </c>
      <c r="I834" s="91" t="s">
        <v>485</v>
      </c>
      <c r="J834" s="91" t="s">
        <v>91</v>
      </c>
      <c r="K834" s="94">
        <v>961573</v>
      </c>
      <c r="L834" s="91" t="s">
        <v>877</v>
      </c>
      <c r="M834" s="2"/>
      <c r="N834" s="2"/>
      <c r="O834" s="4"/>
    </row>
    <row r="835" spans="1:15" x14ac:dyDescent="0.2">
      <c r="A835" s="91" t="s">
        <v>219</v>
      </c>
      <c r="B835" s="91" t="s">
        <v>846</v>
      </c>
      <c r="C835" s="95">
        <v>406</v>
      </c>
      <c r="D835" s="95">
        <v>510</v>
      </c>
      <c r="E835" s="95">
        <v>916</v>
      </c>
      <c r="F835" s="95">
        <v>21658359</v>
      </c>
      <c r="G835" s="95">
        <v>27695480</v>
      </c>
      <c r="H835" s="95">
        <v>49353839</v>
      </c>
      <c r="I835" s="91" t="s">
        <v>585</v>
      </c>
      <c r="J835" s="91" t="s">
        <v>91</v>
      </c>
      <c r="K835" s="94">
        <v>963462</v>
      </c>
      <c r="L835" s="91" t="s">
        <v>323</v>
      </c>
      <c r="M835" s="2"/>
      <c r="N835" s="2"/>
      <c r="O835" s="4"/>
    </row>
    <row r="836" spans="1:15" x14ac:dyDescent="0.2">
      <c r="A836" s="91" t="s">
        <v>38</v>
      </c>
      <c r="B836" s="91" t="s">
        <v>409</v>
      </c>
      <c r="C836" s="95">
        <v>31187</v>
      </c>
      <c r="D836" s="95">
        <v>28058</v>
      </c>
      <c r="E836" s="95">
        <v>59245</v>
      </c>
      <c r="F836" s="95">
        <v>800571863</v>
      </c>
      <c r="G836" s="95">
        <v>874676584</v>
      </c>
      <c r="H836" s="95">
        <v>1675248447</v>
      </c>
      <c r="I836" s="91" t="s">
        <v>585</v>
      </c>
      <c r="J836" s="91" t="s">
        <v>89</v>
      </c>
      <c r="K836" s="94">
        <v>964171</v>
      </c>
      <c r="L836" s="91" t="s">
        <v>133</v>
      </c>
      <c r="M836" s="2"/>
      <c r="N836" s="2"/>
      <c r="O836" s="4"/>
    </row>
    <row r="837" spans="1:15" x14ac:dyDescent="0.2">
      <c r="A837" s="91" t="s">
        <v>109</v>
      </c>
      <c r="B837" s="91" t="s">
        <v>112</v>
      </c>
      <c r="C837" s="95">
        <v>2010</v>
      </c>
      <c r="D837" s="95">
        <v>1883</v>
      </c>
      <c r="E837" s="95">
        <v>3893</v>
      </c>
      <c r="F837" s="95">
        <v>63222762</v>
      </c>
      <c r="G837" s="95">
        <v>69863626</v>
      </c>
      <c r="H837" s="95">
        <v>133086388</v>
      </c>
      <c r="I837" s="91" t="s">
        <v>585</v>
      </c>
      <c r="J837" s="91" t="s">
        <v>89</v>
      </c>
      <c r="K837" s="94">
        <v>964767</v>
      </c>
      <c r="L837" s="91" t="s">
        <v>528</v>
      </c>
      <c r="M837" s="2"/>
      <c r="N837" s="2"/>
      <c r="O837" s="4"/>
    </row>
    <row r="838" spans="1:15" x14ac:dyDescent="0.2">
      <c r="A838" s="91" t="s">
        <v>469</v>
      </c>
      <c r="B838" s="91" t="s">
        <v>24</v>
      </c>
      <c r="C838" s="95">
        <v>129</v>
      </c>
      <c r="D838" s="95">
        <v>111</v>
      </c>
      <c r="E838" s="95">
        <v>240</v>
      </c>
      <c r="F838" s="95">
        <v>2666843</v>
      </c>
      <c r="G838" s="95">
        <v>2795199</v>
      </c>
      <c r="H838" s="95">
        <v>5462042</v>
      </c>
      <c r="I838" s="91" t="s">
        <v>485</v>
      </c>
      <c r="J838" s="91" t="s">
        <v>90</v>
      </c>
      <c r="K838" s="94">
        <v>966598</v>
      </c>
      <c r="L838" s="91" t="s">
        <v>268</v>
      </c>
      <c r="M838" s="2"/>
      <c r="N838" s="2"/>
      <c r="O838" s="4"/>
    </row>
    <row r="839" spans="1:15" x14ac:dyDescent="0.2">
      <c r="A839" s="91" t="s">
        <v>207</v>
      </c>
      <c r="B839" s="91" t="s">
        <v>410</v>
      </c>
      <c r="C839" s="95">
        <v>10105</v>
      </c>
      <c r="D839" s="95">
        <v>10380</v>
      </c>
      <c r="E839" s="95">
        <v>20485</v>
      </c>
      <c r="F839" s="95">
        <v>370683037</v>
      </c>
      <c r="G839" s="95">
        <v>469226945</v>
      </c>
      <c r="H839" s="95">
        <v>839909982</v>
      </c>
      <c r="I839" s="91" t="s">
        <v>585</v>
      </c>
      <c r="J839" s="91" t="s">
        <v>89</v>
      </c>
      <c r="K839" s="94">
        <v>968420</v>
      </c>
      <c r="L839" s="91" t="s">
        <v>133</v>
      </c>
      <c r="M839" s="2"/>
      <c r="N839" s="2"/>
      <c r="O839" s="4"/>
    </row>
    <row r="840" spans="1:15" x14ac:dyDescent="0.2">
      <c r="A840" s="91" t="s">
        <v>207</v>
      </c>
      <c r="B840" s="91" t="s">
        <v>150</v>
      </c>
      <c r="C840" s="95">
        <v>36</v>
      </c>
      <c r="D840" s="95">
        <v>70</v>
      </c>
      <c r="E840" s="95">
        <v>106</v>
      </c>
      <c r="F840" s="95">
        <v>981676</v>
      </c>
      <c r="G840" s="95">
        <v>2790048</v>
      </c>
      <c r="H840" s="95">
        <v>3771724</v>
      </c>
      <c r="I840" s="91" t="s">
        <v>485</v>
      </c>
      <c r="J840" s="91" t="s">
        <v>89</v>
      </c>
      <c r="K840" s="94">
        <v>968891</v>
      </c>
      <c r="L840" s="91" t="s">
        <v>320</v>
      </c>
      <c r="M840" s="2"/>
      <c r="N840" s="2"/>
      <c r="O840" s="4"/>
    </row>
    <row r="841" spans="1:15" x14ac:dyDescent="0.2">
      <c r="A841" s="91" t="s">
        <v>368</v>
      </c>
      <c r="B841" s="91" t="s">
        <v>446</v>
      </c>
      <c r="C841" s="95">
        <v>4949</v>
      </c>
      <c r="D841" s="95">
        <v>7121</v>
      </c>
      <c r="E841" s="95">
        <v>12070</v>
      </c>
      <c r="F841" s="95">
        <v>235797601</v>
      </c>
      <c r="G841" s="95">
        <v>419571011</v>
      </c>
      <c r="H841" s="95">
        <v>655368612</v>
      </c>
      <c r="I841" s="91" t="s">
        <v>585</v>
      </c>
      <c r="J841" s="91" t="s">
        <v>90</v>
      </c>
      <c r="K841" s="94">
        <v>972497</v>
      </c>
      <c r="L841" s="91" t="s">
        <v>472</v>
      </c>
      <c r="M841" s="2"/>
      <c r="N841" s="2"/>
      <c r="O841" s="4"/>
    </row>
    <row r="842" spans="1:15" x14ac:dyDescent="0.2">
      <c r="A842" s="91" t="s">
        <v>254</v>
      </c>
      <c r="B842" s="91" t="s">
        <v>352</v>
      </c>
      <c r="C842" s="95">
        <v>7795</v>
      </c>
      <c r="D842" s="95">
        <v>6813</v>
      </c>
      <c r="E842" s="95">
        <v>14608</v>
      </c>
      <c r="F842" s="95">
        <v>431004702</v>
      </c>
      <c r="G842" s="95">
        <v>441039837</v>
      </c>
      <c r="H842" s="95">
        <v>872044539</v>
      </c>
      <c r="I842" s="91" t="s">
        <v>585</v>
      </c>
      <c r="J842" s="91" t="s">
        <v>92</v>
      </c>
      <c r="K842" s="94">
        <v>972679</v>
      </c>
      <c r="L842" s="91" t="s">
        <v>616</v>
      </c>
      <c r="M842" s="2"/>
      <c r="N842" s="2"/>
      <c r="O842" s="4"/>
    </row>
    <row r="843" spans="1:15" x14ac:dyDescent="0.2">
      <c r="A843" s="91" t="s">
        <v>515</v>
      </c>
      <c r="B843" s="91" t="s">
        <v>627</v>
      </c>
      <c r="C843" s="95">
        <v>2041</v>
      </c>
      <c r="D843" s="95">
        <v>2347</v>
      </c>
      <c r="E843" s="95">
        <v>4388</v>
      </c>
      <c r="F843" s="95">
        <v>84356067</v>
      </c>
      <c r="G843" s="95">
        <v>115911018</v>
      </c>
      <c r="H843" s="95">
        <v>200267085</v>
      </c>
      <c r="I843" s="91" t="s">
        <v>585</v>
      </c>
      <c r="J843" s="91" t="s">
        <v>89</v>
      </c>
      <c r="K843" s="94">
        <v>973263</v>
      </c>
      <c r="L843" s="91" t="s">
        <v>323</v>
      </c>
      <c r="M843" s="2"/>
      <c r="N843" s="2"/>
      <c r="O843" s="4"/>
    </row>
    <row r="844" spans="1:15" x14ac:dyDescent="0.2">
      <c r="A844" s="91" t="s">
        <v>515</v>
      </c>
      <c r="B844" s="91" t="s">
        <v>546</v>
      </c>
      <c r="C844" s="95">
        <v>41497</v>
      </c>
      <c r="D844" s="95">
        <v>42588</v>
      </c>
      <c r="E844" s="95">
        <v>84085</v>
      </c>
      <c r="F844" s="95">
        <v>2124054769</v>
      </c>
      <c r="G844" s="95">
        <v>2747372405</v>
      </c>
      <c r="H844" s="95">
        <v>4871427174</v>
      </c>
      <c r="I844" s="91" t="s">
        <v>585</v>
      </c>
      <c r="J844" s="91" t="s">
        <v>89</v>
      </c>
      <c r="K844" s="94">
        <v>976928</v>
      </c>
      <c r="L844" s="91" t="s">
        <v>133</v>
      </c>
      <c r="M844" s="2"/>
      <c r="N844" s="2"/>
      <c r="O844" s="4"/>
    </row>
    <row r="845" spans="1:15" x14ac:dyDescent="0.2">
      <c r="A845" s="91" t="s">
        <v>121</v>
      </c>
      <c r="B845" s="91" t="s">
        <v>819</v>
      </c>
      <c r="C845" s="95">
        <v>27</v>
      </c>
      <c r="D845" s="95">
        <v>69</v>
      </c>
      <c r="E845" s="95">
        <v>96</v>
      </c>
      <c r="F845" s="95">
        <v>732045</v>
      </c>
      <c r="G845" s="95">
        <v>2338996</v>
      </c>
      <c r="H845" s="95">
        <v>3071040</v>
      </c>
      <c r="I845" s="91" t="s">
        <v>485</v>
      </c>
      <c r="J845" s="91" t="s">
        <v>89</v>
      </c>
      <c r="K845" s="94">
        <v>978452</v>
      </c>
      <c r="L845" s="91" t="s">
        <v>802</v>
      </c>
      <c r="M845" s="2"/>
      <c r="N845" s="2"/>
      <c r="O845" s="4"/>
    </row>
    <row r="846" spans="1:15" x14ac:dyDescent="0.2">
      <c r="A846" s="91" t="s">
        <v>478</v>
      </c>
      <c r="B846" s="91" t="s">
        <v>768</v>
      </c>
      <c r="C846" s="95">
        <v>12</v>
      </c>
      <c r="D846" s="95">
        <v>17</v>
      </c>
      <c r="E846" s="95">
        <v>29</v>
      </c>
      <c r="F846" s="95">
        <v>961310</v>
      </c>
      <c r="G846" s="95">
        <v>1291380</v>
      </c>
      <c r="H846" s="95">
        <v>2252691</v>
      </c>
      <c r="I846" s="91" t="s">
        <v>485</v>
      </c>
      <c r="J846" s="91" t="s">
        <v>90</v>
      </c>
      <c r="K846" s="94">
        <v>980284</v>
      </c>
      <c r="L846" s="91" t="s">
        <v>393</v>
      </c>
      <c r="M846" s="2"/>
      <c r="N846" s="2"/>
      <c r="O846" s="4"/>
    </row>
    <row r="847" spans="1:15" x14ac:dyDescent="0.2">
      <c r="A847" s="91" t="s">
        <v>219</v>
      </c>
      <c r="B847" s="91" t="s">
        <v>220</v>
      </c>
      <c r="C847" s="95">
        <v>2851</v>
      </c>
      <c r="D847" s="95">
        <v>1407</v>
      </c>
      <c r="E847" s="95">
        <v>4258</v>
      </c>
      <c r="F847" s="95">
        <v>60279507</v>
      </c>
      <c r="G847" s="95">
        <v>30228877</v>
      </c>
      <c r="H847" s="95">
        <v>90508384</v>
      </c>
      <c r="I847" s="91" t="s">
        <v>585</v>
      </c>
      <c r="J847" s="91" t="s">
        <v>91</v>
      </c>
      <c r="K847" s="94">
        <v>981175</v>
      </c>
      <c r="L847" s="91" t="s">
        <v>871</v>
      </c>
      <c r="M847" s="2"/>
      <c r="N847" s="2"/>
      <c r="O847" s="4"/>
    </row>
    <row r="848" spans="1:15" x14ac:dyDescent="0.2">
      <c r="A848" s="91" t="s">
        <v>227</v>
      </c>
      <c r="B848" s="91" t="s">
        <v>751</v>
      </c>
      <c r="C848" s="95">
        <v>11869</v>
      </c>
      <c r="D848" s="95">
        <v>11287</v>
      </c>
      <c r="E848" s="95">
        <v>23156</v>
      </c>
      <c r="F848" s="95">
        <v>1535163391</v>
      </c>
      <c r="G848" s="95">
        <v>1789445267</v>
      </c>
      <c r="H848" s="95">
        <v>3324608659</v>
      </c>
      <c r="I848" s="91" t="s">
        <v>485</v>
      </c>
      <c r="J848" s="91" t="s">
        <v>91</v>
      </c>
      <c r="K848" s="94">
        <v>982116</v>
      </c>
      <c r="L848" s="91" t="s">
        <v>750</v>
      </c>
      <c r="M848" s="2"/>
      <c r="N848" s="2"/>
      <c r="O848" s="4"/>
    </row>
    <row r="849" spans="1:15" x14ac:dyDescent="0.2">
      <c r="A849" s="91" t="s">
        <v>157</v>
      </c>
      <c r="B849" s="91" t="s">
        <v>158</v>
      </c>
      <c r="C849" s="95">
        <v>3859</v>
      </c>
      <c r="D849" s="95">
        <v>5863</v>
      </c>
      <c r="E849" s="95">
        <v>9722</v>
      </c>
      <c r="F849" s="95">
        <v>96866805</v>
      </c>
      <c r="G849" s="95">
        <v>189728188</v>
      </c>
      <c r="H849" s="95">
        <v>286594993</v>
      </c>
      <c r="I849" s="91" t="s">
        <v>485</v>
      </c>
      <c r="J849" s="91" t="s">
        <v>89</v>
      </c>
      <c r="K849" s="94">
        <v>983593</v>
      </c>
      <c r="L849" s="91" t="s">
        <v>264</v>
      </c>
      <c r="M849" s="2"/>
      <c r="N849" s="2"/>
      <c r="O849" s="4"/>
    </row>
    <row r="850" spans="1:15" x14ac:dyDescent="0.2">
      <c r="A850" s="91" t="s">
        <v>227</v>
      </c>
      <c r="B850" s="91" t="s">
        <v>686</v>
      </c>
      <c r="C850" s="95">
        <v>12263</v>
      </c>
      <c r="D850" s="95">
        <v>10404</v>
      </c>
      <c r="E850" s="95">
        <v>22667</v>
      </c>
      <c r="F850" s="95">
        <v>1407325550</v>
      </c>
      <c r="G850" s="95">
        <v>1477084950</v>
      </c>
      <c r="H850" s="95">
        <v>2884410500</v>
      </c>
      <c r="I850" s="91" t="s">
        <v>485</v>
      </c>
      <c r="J850" s="91" t="s">
        <v>91</v>
      </c>
      <c r="K850" s="94">
        <v>983940</v>
      </c>
      <c r="L850" s="91" t="s">
        <v>299</v>
      </c>
      <c r="M850" s="2"/>
      <c r="N850" s="2"/>
      <c r="O850" s="4"/>
    </row>
    <row r="851" spans="1:15" x14ac:dyDescent="0.2">
      <c r="A851" s="91" t="s">
        <v>109</v>
      </c>
      <c r="B851" s="91" t="s">
        <v>114</v>
      </c>
      <c r="C851" s="95">
        <v>44058</v>
      </c>
      <c r="D851" s="95">
        <v>51277</v>
      </c>
      <c r="E851" s="95">
        <v>95335</v>
      </c>
      <c r="F851" s="95">
        <v>1695621461</v>
      </c>
      <c r="G851" s="95">
        <v>2391680594</v>
      </c>
      <c r="H851" s="95">
        <v>4087302055</v>
      </c>
      <c r="I851" s="91" t="s">
        <v>485</v>
      </c>
      <c r="J851" s="91" t="s">
        <v>89</v>
      </c>
      <c r="K851" s="94">
        <v>984187</v>
      </c>
      <c r="L851" s="91" t="s">
        <v>621</v>
      </c>
      <c r="M851" s="2"/>
      <c r="N851" s="2"/>
      <c r="O851" s="4"/>
    </row>
    <row r="852" spans="1:15" x14ac:dyDescent="0.2">
      <c r="A852" s="91" t="s">
        <v>276</v>
      </c>
      <c r="B852" s="91" t="s">
        <v>856</v>
      </c>
      <c r="C852" s="95">
        <v>16</v>
      </c>
      <c r="D852" s="95">
        <v>31</v>
      </c>
      <c r="E852" s="95">
        <v>47</v>
      </c>
      <c r="F852" s="95">
        <v>355568</v>
      </c>
      <c r="G852" s="95">
        <v>914029</v>
      </c>
      <c r="H852" s="95">
        <v>1269597</v>
      </c>
      <c r="I852" s="91" t="s">
        <v>485</v>
      </c>
      <c r="J852" s="91" t="s">
        <v>89</v>
      </c>
      <c r="K852" s="94">
        <v>985770</v>
      </c>
      <c r="L852" s="91" t="s">
        <v>347</v>
      </c>
      <c r="M852" s="2"/>
      <c r="N852" s="2"/>
      <c r="O852" s="4"/>
    </row>
    <row r="853" spans="1:15" x14ac:dyDescent="0.2">
      <c r="A853" s="91" t="s">
        <v>109</v>
      </c>
      <c r="B853" s="91" t="s">
        <v>1072</v>
      </c>
      <c r="C853" s="95">
        <v>957</v>
      </c>
      <c r="D853" s="95">
        <v>1139</v>
      </c>
      <c r="E853" s="95">
        <v>2096</v>
      </c>
      <c r="F853" s="95">
        <v>23647759</v>
      </c>
      <c r="G853" s="95">
        <v>33667467</v>
      </c>
      <c r="H853" s="95">
        <v>57315226</v>
      </c>
      <c r="I853" s="91" t="s">
        <v>485</v>
      </c>
      <c r="J853" s="91" t="s">
        <v>89</v>
      </c>
      <c r="K853" s="94">
        <v>985895</v>
      </c>
      <c r="L853" s="91" t="s">
        <v>46</v>
      </c>
      <c r="M853" s="2"/>
      <c r="N853" s="2"/>
      <c r="O853" s="4"/>
    </row>
    <row r="854" spans="1:15" x14ac:dyDescent="0.2">
      <c r="A854" s="91" t="s">
        <v>219</v>
      </c>
      <c r="B854" s="91" t="s">
        <v>795</v>
      </c>
      <c r="C854" s="95">
        <v>3854</v>
      </c>
      <c r="D854" s="95">
        <v>1822</v>
      </c>
      <c r="E854" s="95">
        <v>5676</v>
      </c>
      <c r="F854" s="95">
        <v>317274955</v>
      </c>
      <c r="G854" s="95">
        <v>163901058</v>
      </c>
      <c r="H854" s="95">
        <v>481176013</v>
      </c>
      <c r="I854" s="91" t="s">
        <v>585</v>
      </c>
      <c r="J854" s="91" t="s">
        <v>91</v>
      </c>
      <c r="K854" s="94">
        <v>985952</v>
      </c>
      <c r="L854" s="91" t="s">
        <v>133</v>
      </c>
      <c r="M854" s="2"/>
      <c r="N854" s="2"/>
      <c r="O854" s="4"/>
    </row>
    <row r="855" spans="1:15" x14ac:dyDescent="0.2">
      <c r="A855" s="91" t="s">
        <v>72</v>
      </c>
      <c r="B855" s="91" t="s">
        <v>646</v>
      </c>
      <c r="C855" s="95">
        <v>3160</v>
      </c>
      <c r="D855" s="95">
        <v>3766</v>
      </c>
      <c r="E855" s="95">
        <v>6926</v>
      </c>
      <c r="F855" s="95">
        <v>96651662</v>
      </c>
      <c r="G855" s="95">
        <v>146725564</v>
      </c>
      <c r="H855" s="95">
        <v>243377226</v>
      </c>
      <c r="I855" s="91" t="s">
        <v>585</v>
      </c>
      <c r="J855" s="91" t="s">
        <v>89</v>
      </c>
      <c r="K855" s="94">
        <v>986604</v>
      </c>
      <c r="L855" s="91" t="s">
        <v>616</v>
      </c>
      <c r="M855" s="2"/>
      <c r="N855" s="2"/>
      <c r="O855" s="4"/>
    </row>
    <row r="856" spans="1:15" x14ac:dyDescent="0.2">
      <c r="A856" s="91" t="s">
        <v>157</v>
      </c>
      <c r="B856" s="91" t="s">
        <v>447</v>
      </c>
      <c r="C856" s="95">
        <v>590</v>
      </c>
      <c r="D856" s="95">
        <v>791</v>
      </c>
      <c r="E856" s="95">
        <v>1381</v>
      </c>
      <c r="F856" s="95">
        <v>12325801</v>
      </c>
      <c r="G856" s="95">
        <v>21340882</v>
      </c>
      <c r="H856" s="95">
        <v>33666683</v>
      </c>
      <c r="I856" s="91" t="s">
        <v>485</v>
      </c>
      <c r="J856" s="91" t="s">
        <v>89</v>
      </c>
      <c r="K856" s="94">
        <v>987784</v>
      </c>
      <c r="L856" s="91" t="s">
        <v>591</v>
      </c>
      <c r="M856" s="2"/>
      <c r="N856" s="2"/>
      <c r="O856" s="4"/>
    </row>
    <row r="857" spans="1:15" x14ac:dyDescent="0.2">
      <c r="A857" s="91" t="s">
        <v>121</v>
      </c>
      <c r="B857" s="91" t="s">
        <v>272</v>
      </c>
      <c r="C857" s="95">
        <v>17221</v>
      </c>
      <c r="D857" s="95">
        <v>19610</v>
      </c>
      <c r="E857" s="95">
        <v>36831</v>
      </c>
      <c r="F857" s="95">
        <v>552239600</v>
      </c>
      <c r="G857" s="95">
        <v>812050754</v>
      </c>
      <c r="H857" s="95">
        <v>1364290355</v>
      </c>
      <c r="I857" s="91" t="s">
        <v>585</v>
      </c>
      <c r="J857" s="91" t="s">
        <v>89</v>
      </c>
      <c r="K857" s="94">
        <v>987842</v>
      </c>
      <c r="L857" s="91" t="s">
        <v>521</v>
      </c>
      <c r="M857" s="2"/>
      <c r="N857" s="2"/>
      <c r="O857" s="4"/>
    </row>
    <row r="858" spans="1:15" x14ac:dyDescent="0.2">
      <c r="A858" s="91" t="s">
        <v>109</v>
      </c>
      <c r="B858" s="91" t="s">
        <v>1101</v>
      </c>
      <c r="C858" s="95">
        <v>864</v>
      </c>
      <c r="D858" s="95">
        <v>1077</v>
      </c>
      <c r="E858" s="95">
        <v>1941</v>
      </c>
      <c r="F858" s="95">
        <v>20506679</v>
      </c>
      <c r="G858" s="95">
        <v>29760273</v>
      </c>
      <c r="H858" s="95">
        <v>50266952</v>
      </c>
      <c r="I858" s="91" t="s">
        <v>485</v>
      </c>
      <c r="J858" s="91" t="s">
        <v>89</v>
      </c>
      <c r="K858" s="94">
        <v>989491</v>
      </c>
      <c r="L858" s="91" t="s">
        <v>334</v>
      </c>
      <c r="M858" s="2"/>
      <c r="N858" s="2"/>
      <c r="O858" s="4"/>
    </row>
    <row r="859" spans="1:15" x14ac:dyDescent="0.2">
      <c r="A859" s="91" t="s">
        <v>478</v>
      </c>
      <c r="B859" s="91" t="s">
        <v>975</v>
      </c>
      <c r="C859" s="95">
        <v>5</v>
      </c>
      <c r="D859" s="95">
        <v>3</v>
      </c>
      <c r="E859" s="95">
        <v>8</v>
      </c>
      <c r="F859" s="95">
        <v>133691</v>
      </c>
      <c r="G859" s="95">
        <v>105660</v>
      </c>
      <c r="H859" s="95">
        <v>239351</v>
      </c>
      <c r="I859" s="91" t="s">
        <v>485</v>
      </c>
      <c r="J859" s="91" t="s">
        <v>90</v>
      </c>
      <c r="K859" s="94">
        <v>989962</v>
      </c>
      <c r="L859" s="91" t="s">
        <v>889</v>
      </c>
      <c r="M859" s="2"/>
      <c r="N859" s="2"/>
      <c r="O859" s="4"/>
    </row>
    <row r="860" spans="1:15" x14ac:dyDescent="0.2">
      <c r="A860" s="91" t="s">
        <v>157</v>
      </c>
      <c r="B860" s="91" t="s">
        <v>748</v>
      </c>
      <c r="C860" s="95">
        <v>442</v>
      </c>
      <c r="D860" s="95">
        <v>588</v>
      </c>
      <c r="E860" s="95">
        <v>1030</v>
      </c>
      <c r="F860" s="95">
        <v>8998269</v>
      </c>
      <c r="G860" s="95">
        <v>14212769</v>
      </c>
      <c r="H860" s="95">
        <v>23211038</v>
      </c>
      <c r="I860" s="91" t="s">
        <v>485</v>
      </c>
      <c r="J860" s="91" t="s">
        <v>89</v>
      </c>
      <c r="K860" s="94">
        <v>990028</v>
      </c>
      <c r="L860" s="91" t="s">
        <v>636</v>
      </c>
      <c r="M860" s="4"/>
      <c r="N860" s="4"/>
      <c r="O860" s="4"/>
    </row>
    <row r="861" spans="1:15" x14ac:dyDescent="0.2">
      <c r="A861" s="91" t="s">
        <v>98</v>
      </c>
      <c r="B861" s="91" t="s">
        <v>764</v>
      </c>
      <c r="C861" s="95">
        <v>678</v>
      </c>
      <c r="D861" s="95">
        <v>932</v>
      </c>
      <c r="E861" s="95">
        <v>1610</v>
      </c>
      <c r="F861" s="95">
        <v>18721087</v>
      </c>
      <c r="G861" s="95">
        <v>32327259</v>
      </c>
      <c r="H861" s="95">
        <v>51048346</v>
      </c>
      <c r="I861" s="91" t="s">
        <v>485</v>
      </c>
      <c r="J861" s="91" t="s">
        <v>89</v>
      </c>
      <c r="K861" s="94">
        <v>992099</v>
      </c>
      <c r="L861" s="91" t="s">
        <v>93</v>
      </c>
      <c r="M861" s="4"/>
      <c r="N861" s="4"/>
      <c r="O861" s="4"/>
    </row>
    <row r="862" spans="1:15" x14ac:dyDescent="0.2">
      <c r="A862" s="91" t="s">
        <v>109</v>
      </c>
      <c r="B862" s="91" t="s">
        <v>865</v>
      </c>
      <c r="C862" s="95">
        <v>498</v>
      </c>
      <c r="D862" s="95">
        <v>427</v>
      </c>
      <c r="E862" s="95">
        <v>925</v>
      </c>
      <c r="F862" s="95">
        <v>31606847</v>
      </c>
      <c r="G862" s="95">
        <v>31048123</v>
      </c>
      <c r="H862" s="95">
        <v>62654970</v>
      </c>
      <c r="I862" s="91" t="s">
        <v>585</v>
      </c>
      <c r="J862" s="91" t="s">
        <v>89</v>
      </c>
      <c r="K862" s="94">
        <v>993097</v>
      </c>
      <c r="L862" s="91" t="s">
        <v>853</v>
      </c>
      <c r="M862" s="4"/>
      <c r="N862" s="4"/>
      <c r="O862" s="4"/>
    </row>
    <row r="863" spans="1:15" x14ac:dyDescent="0.2">
      <c r="A863" s="91" t="s">
        <v>121</v>
      </c>
      <c r="B863" s="91" t="s">
        <v>448</v>
      </c>
      <c r="C863" s="95">
        <v>9090</v>
      </c>
      <c r="D863" s="95">
        <v>9567</v>
      </c>
      <c r="E863" s="95">
        <v>18657</v>
      </c>
      <c r="F863" s="95">
        <v>190506746</v>
      </c>
      <c r="G863" s="95">
        <v>251552620</v>
      </c>
      <c r="H863" s="95">
        <v>442059366</v>
      </c>
      <c r="I863" s="91" t="s">
        <v>485</v>
      </c>
      <c r="J863" s="91" t="s">
        <v>89</v>
      </c>
      <c r="K863" s="94">
        <v>995571</v>
      </c>
      <c r="L863" s="91" t="s">
        <v>1084</v>
      </c>
      <c r="M863" s="4"/>
      <c r="N863" s="4"/>
      <c r="O863" s="4"/>
    </row>
    <row r="864" spans="1:15" x14ac:dyDescent="0.2">
      <c r="A864" s="91" t="s">
        <v>227</v>
      </c>
      <c r="B864" s="91" t="s">
        <v>1015</v>
      </c>
      <c r="C864" s="95">
        <v>1144</v>
      </c>
      <c r="D864" s="95">
        <v>1063</v>
      </c>
      <c r="E864" s="95">
        <v>2207</v>
      </c>
      <c r="F864" s="95">
        <v>26524252</v>
      </c>
      <c r="G864" s="95">
        <v>29309428</v>
      </c>
      <c r="H864" s="95">
        <v>55833680</v>
      </c>
      <c r="I864" s="91" t="s">
        <v>485</v>
      </c>
      <c r="J864" s="91" t="s">
        <v>91</v>
      </c>
      <c r="K864" s="94">
        <v>996348</v>
      </c>
      <c r="L864" s="91" t="s">
        <v>610</v>
      </c>
      <c r="M864" s="4"/>
      <c r="N864" s="4"/>
      <c r="O864" s="4"/>
    </row>
    <row r="865" spans="1:15" x14ac:dyDescent="0.2">
      <c r="A865" s="91" t="s">
        <v>227</v>
      </c>
      <c r="B865" s="91" t="s">
        <v>786</v>
      </c>
      <c r="C865" s="95">
        <v>25661</v>
      </c>
      <c r="D865" s="95">
        <v>24524</v>
      </c>
      <c r="E865" s="95">
        <v>50185</v>
      </c>
      <c r="F865" s="95">
        <v>584353209</v>
      </c>
      <c r="G865" s="95">
        <v>614453430</v>
      </c>
      <c r="H865" s="95">
        <v>1198806639</v>
      </c>
      <c r="I865" s="91" t="s">
        <v>485</v>
      </c>
      <c r="J865" s="91" t="s">
        <v>91</v>
      </c>
      <c r="K865" s="94">
        <v>997288</v>
      </c>
      <c r="L865" s="91" t="s">
        <v>787</v>
      </c>
      <c r="M865" s="4"/>
      <c r="N865" s="4"/>
      <c r="O865" s="4"/>
    </row>
    <row r="866" spans="1:15" x14ac:dyDescent="0.2">
      <c r="A866" s="91" t="s">
        <v>227</v>
      </c>
      <c r="B866" s="91" t="s">
        <v>988</v>
      </c>
      <c r="C866" s="95">
        <v>395</v>
      </c>
      <c r="D866" s="95">
        <v>355</v>
      </c>
      <c r="E866" s="95">
        <v>750</v>
      </c>
      <c r="F866" s="95">
        <v>34673798</v>
      </c>
      <c r="G866" s="95">
        <v>36282661</v>
      </c>
      <c r="H866" s="95">
        <v>70956458</v>
      </c>
      <c r="I866" s="91" t="s">
        <v>485</v>
      </c>
      <c r="J866" s="91" t="s">
        <v>91</v>
      </c>
      <c r="K866" s="94">
        <v>997403</v>
      </c>
      <c r="L866" s="91" t="s">
        <v>618</v>
      </c>
      <c r="M866" s="4"/>
      <c r="N866" s="4"/>
      <c r="O866" s="4"/>
    </row>
    <row r="867" spans="1:15" x14ac:dyDescent="0.2">
      <c r="A867" s="6" t="s">
        <v>98</v>
      </c>
      <c r="B867" s="81" t="s">
        <v>331</v>
      </c>
      <c r="C867" s="9">
        <v>120</v>
      </c>
      <c r="D867" s="9">
        <v>209</v>
      </c>
      <c r="E867" s="9">
        <v>329</v>
      </c>
      <c r="F867" s="9">
        <v>2965879</v>
      </c>
      <c r="G867" s="9">
        <v>6341895</v>
      </c>
      <c r="H867" s="9">
        <v>9307774</v>
      </c>
      <c r="I867" s="81" t="s">
        <v>485</v>
      </c>
      <c r="J867" s="81" t="s">
        <v>89</v>
      </c>
      <c r="K867" s="4">
        <v>997460</v>
      </c>
      <c r="L867" s="81" t="s">
        <v>71</v>
      </c>
      <c r="M867" s="4"/>
      <c r="N867" s="4"/>
      <c r="O867" s="4"/>
    </row>
    <row r="868" spans="1:15" x14ac:dyDescent="0.2">
      <c r="A868" s="6" t="s">
        <v>227</v>
      </c>
      <c r="B868" s="81" t="s">
        <v>761</v>
      </c>
      <c r="C868" s="9">
        <v>1384</v>
      </c>
      <c r="D868" s="9">
        <v>1680</v>
      </c>
      <c r="E868" s="9">
        <v>3064</v>
      </c>
      <c r="F868" s="9">
        <v>178140778</v>
      </c>
      <c r="G868" s="9">
        <v>255349874</v>
      </c>
      <c r="H868" s="9">
        <v>433490652</v>
      </c>
      <c r="I868" s="81" t="s">
        <v>485</v>
      </c>
      <c r="J868" s="81" t="s">
        <v>91</v>
      </c>
      <c r="K868" s="4">
        <v>999110</v>
      </c>
      <c r="L868" s="81" t="s">
        <v>299</v>
      </c>
      <c r="M868" s="4"/>
      <c r="N868" s="4"/>
      <c r="O868" s="4"/>
    </row>
    <row r="869" spans="1:15" x14ac:dyDescent="0.2">
      <c r="A869" s="6" t="s">
        <v>227</v>
      </c>
      <c r="B869" s="81" t="s">
        <v>194</v>
      </c>
      <c r="C869" s="96">
        <v>78</v>
      </c>
      <c r="D869" s="96">
        <v>99</v>
      </c>
      <c r="E869" s="96">
        <v>177</v>
      </c>
      <c r="F869" s="9">
        <v>1905458</v>
      </c>
      <c r="G869" s="9">
        <v>2908967</v>
      </c>
      <c r="H869" s="9">
        <v>4814425</v>
      </c>
      <c r="I869" s="81" t="s">
        <v>485</v>
      </c>
      <c r="J869" s="81" t="s">
        <v>91</v>
      </c>
      <c r="K869" s="4">
        <v>999359</v>
      </c>
      <c r="L869" s="81" t="s">
        <v>588</v>
      </c>
      <c r="M869" s="4"/>
      <c r="N869" s="4"/>
      <c r="O869" s="4"/>
    </row>
    <row r="870" spans="1:15" x14ac:dyDescent="0.2">
      <c r="A870" s="6"/>
      <c r="B870" s="81"/>
      <c r="C870" s="96"/>
      <c r="D870" s="96"/>
      <c r="E870" s="96"/>
      <c r="F870" s="9"/>
      <c r="G870" s="9"/>
      <c r="H870" s="9"/>
      <c r="I870" s="81"/>
      <c r="J870" s="81"/>
      <c r="K870" s="4"/>
      <c r="L870" s="81"/>
      <c r="M870" s="4"/>
      <c r="N870" s="4"/>
      <c r="O870" s="4"/>
    </row>
    <row r="871" spans="1:15" x14ac:dyDescent="0.2">
      <c r="A871" s="6"/>
      <c r="B871" s="81"/>
      <c r="C871" s="9"/>
      <c r="D871" s="9"/>
      <c r="E871" s="9"/>
      <c r="F871" s="9"/>
      <c r="G871" s="9"/>
      <c r="H871" s="9"/>
      <c r="I871" s="81"/>
      <c r="J871" s="81"/>
      <c r="K871" s="4"/>
      <c r="L871" s="81"/>
      <c r="M871" s="4"/>
      <c r="N871" s="4"/>
      <c r="O871" s="4"/>
    </row>
    <row r="872" spans="1:15" x14ac:dyDescent="0.2">
      <c r="A872" s="6"/>
      <c r="B872" s="81"/>
      <c r="C872" s="96"/>
      <c r="D872" s="96"/>
      <c r="E872" s="96"/>
      <c r="F872" s="9"/>
      <c r="G872" s="9"/>
      <c r="H872" s="9"/>
      <c r="I872" s="81"/>
      <c r="J872" s="81"/>
      <c r="K872" s="4"/>
      <c r="L872" s="81"/>
      <c r="M872" s="4"/>
      <c r="N872" s="4"/>
      <c r="O872" s="4"/>
    </row>
    <row r="873" spans="1:15" x14ac:dyDescent="0.2">
      <c r="A873" s="6"/>
      <c r="B873" s="81"/>
      <c r="C873" s="96"/>
      <c r="D873" s="96"/>
      <c r="E873" s="96"/>
      <c r="F873" s="96"/>
      <c r="G873" s="96"/>
      <c r="H873" s="96"/>
      <c r="I873" s="81"/>
      <c r="J873" s="81"/>
      <c r="K873" s="4"/>
      <c r="L873" s="81"/>
      <c r="M873" s="4"/>
      <c r="N873" s="4"/>
      <c r="O873" s="4"/>
    </row>
    <row r="874" spans="1:15" x14ac:dyDescent="0.2">
      <c r="A874" s="6"/>
      <c r="B874" s="81"/>
      <c r="C874" s="96"/>
      <c r="D874" s="96"/>
      <c r="E874" s="96"/>
      <c r="F874" s="96"/>
      <c r="G874" s="96"/>
      <c r="H874" s="96"/>
      <c r="I874" s="81"/>
      <c r="J874" s="81"/>
      <c r="K874" s="4"/>
      <c r="L874" s="81"/>
      <c r="M874" s="4"/>
      <c r="N874" s="4"/>
      <c r="O874" s="4"/>
    </row>
    <row r="875" spans="1:15" x14ac:dyDescent="0.2">
      <c r="A875" s="6"/>
      <c r="B875" s="81"/>
      <c r="C875" s="96"/>
      <c r="D875" s="96"/>
      <c r="E875" s="96"/>
      <c r="F875" s="96"/>
      <c r="G875" s="96"/>
      <c r="H875" s="96"/>
      <c r="I875" s="81"/>
      <c r="J875" s="81"/>
      <c r="K875" s="4"/>
      <c r="L875" s="81"/>
      <c r="M875" s="4"/>
      <c r="N875" s="4"/>
      <c r="O875" s="4"/>
    </row>
    <row r="876" spans="1:15" x14ac:dyDescent="0.2">
      <c r="A876" s="6"/>
      <c r="B876" s="81"/>
      <c r="C876" s="96"/>
      <c r="D876" s="96"/>
      <c r="E876" s="96"/>
      <c r="F876" s="96"/>
      <c r="G876" s="96"/>
      <c r="H876" s="96"/>
      <c r="I876" s="81"/>
      <c r="J876" s="81"/>
      <c r="K876" s="4"/>
      <c r="L876" s="81"/>
      <c r="M876" s="4"/>
      <c r="N876" s="4"/>
      <c r="O876" s="4"/>
    </row>
    <row r="877" spans="1:15" x14ac:dyDescent="0.2">
      <c r="A877" s="6"/>
      <c r="B877" s="81"/>
      <c r="C877" s="96"/>
      <c r="D877" s="96"/>
      <c r="E877" s="96"/>
      <c r="F877" s="96"/>
      <c r="G877" s="96"/>
      <c r="H877" s="96"/>
      <c r="I877" s="81"/>
      <c r="J877" s="81"/>
      <c r="K877" s="4"/>
      <c r="L877" s="81"/>
      <c r="M877" s="4"/>
      <c r="N877" s="4"/>
      <c r="O877" s="4"/>
    </row>
    <row r="878" spans="1:15" x14ac:dyDescent="0.2">
      <c r="A878" s="6"/>
      <c r="B878" s="81"/>
      <c r="C878" s="96"/>
      <c r="D878" s="96"/>
      <c r="E878" s="96"/>
      <c r="F878" s="96"/>
      <c r="G878" s="96"/>
      <c r="H878" s="96"/>
      <c r="I878" s="81"/>
      <c r="J878" s="81"/>
      <c r="K878" s="4"/>
      <c r="L878" s="81"/>
      <c r="M878" s="4"/>
      <c r="N878" s="4"/>
      <c r="O878" s="4"/>
    </row>
    <row r="879" spans="1:15" x14ac:dyDescent="0.2">
      <c r="A879" s="6"/>
      <c r="B879" s="81"/>
      <c r="C879" s="96"/>
      <c r="D879" s="96"/>
      <c r="E879" s="96"/>
      <c r="F879" s="96"/>
      <c r="G879" s="96"/>
      <c r="H879" s="96"/>
      <c r="I879" s="81"/>
      <c r="J879" s="81"/>
      <c r="K879" s="4"/>
      <c r="L879" s="81"/>
      <c r="M879" s="4"/>
      <c r="N879" s="4"/>
      <c r="O879" s="4"/>
    </row>
    <row r="880" spans="1:15" x14ac:dyDescent="0.2">
      <c r="A880" s="6"/>
      <c r="B880" s="81"/>
      <c r="C880" s="96"/>
      <c r="D880" s="96"/>
      <c r="E880" s="96"/>
      <c r="F880" s="96"/>
      <c r="G880" s="96"/>
      <c r="H880" s="96"/>
      <c r="I880" s="81"/>
      <c r="J880" s="81"/>
      <c r="K880" s="4"/>
      <c r="L880" s="81"/>
      <c r="M880" s="4"/>
      <c r="N880" s="4"/>
      <c r="O880" s="4"/>
    </row>
    <row r="881" spans="1:15" x14ac:dyDescent="0.2">
      <c r="A881" s="6"/>
      <c r="B881" s="81"/>
      <c r="C881" s="96"/>
      <c r="D881" s="96"/>
      <c r="E881" s="96"/>
      <c r="F881" s="96"/>
      <c r="G881" s="96"/>
      <c r="H881" s="96"/>
      <c r="I881" s="81"/>
      <c r="J881" s="81"/>
      <c r="K881" s="4"/>
      <c r="L881" s="81"/>
      <c r="M881" s="4"/>
      <c r="N881" s="4"/>
      <c r="O881" s="4"/>
    </row>
    <row r="882" spans="1:15" x14ac:dyDescent="0.2">
      <c r="A882" s="6"/>
      <c r="B882" s="81"/>
      <c r="C882" s="96"/>
      <c r="D882" s="96"/>
      <c r="E882" s="96"/>
      <c r="F882" s="96"/>
      <c r="G882" s="96"/>
      <c r="H882" s="96"/>
      <c r="I882" s="81"/>
      <c r="J882" s="81"/>
      <c r="K882" s="4"/>
      <c r="L882" s="81"/>
      <c r="M882" s="4"/>
      <c r="N882" s="4"/>
      <c r="O882" s="4"/>
    </row>
    <row r="883" spans="1:15" x14ac:dyDescent="0.2">
      <c r="A883" s="6"/>
      <c r="B883" s="81"/>
      <c r="C883" s="96"/>
      <c r="D883" s="96"/>
      <c r="E883" s="96"/>
      <c r="F883" s="96"/>
      <c r="G883" s="96"/>
      <c r="H883" s="96"/>
      <c r="I883" s="81"/>
      <c r="J883" s="81"/>
      <c r="K883" s="4"/>
      <c r="L883" s="81"/>
      <c r="M883" s="4"/>
      <c r="N883" s="4"/>
      <c r="O883" s="4"/>
    </row>
    <row r="884" spans="1:15" x14ac:dyDescent="0.2">
      <c r="A884" s="6"/>
      <c r="B884" s="81"/>
      <c r="C884" s="96"/>
      <c r="D884" s="96"/>
      <c r="E884" s="96"/>
      <c r="F884" s="96"/>
      <c r="G884" s="96"/>
      <c r="H884" s="96"/>
      <c r="I884" s="81"/>
      <c r="J884" s="81"/>
      <c r="K884" s="4"/>
      <c r="L884" s="81"/>
      <c r="M884" s="4"/>
      <c r="N884" s="4"/>
      <c r="O884" s="4"/>
    </row>
    <row r="885" spans="1:15" x14ac:dyDescent="0.2">
      <c r="A885" s="6"/>
      <c r="B885" s="81"/>
      <c r="C885" s="96"/>
      <c r="D885" s="96"/>
      <c r="E885" s="96"/>
      <c r="F885" s="96"/>
      <c r="G885" s="96"/>
      <c r="H885" s="96"/>
      <c r="I885" s="81"/>
      <c r="J885" s="81"/>
      <c r="K885" s="4"/>
      <c r="L885" s="81"/>
      <c r="M885" s="4"/>
      <c r="N885" s="4"/>
      <c r="O885" s="4"/>
    </row>
    <row r="886" spans="1:15" x14ac:dyDescent="0.2">
      <c r="A886" s="6"/>
      <c r="B886" s="81"/>
      <c r="C886" s="96"/>
      <c r="D886" s="96"/>
      <c r="E886" s="96"/>
      <c r="F886" s="96"/>
      <c r="G886" s="96"/>
      <c r="H886" s="96"/>
      <c r="I886" s="81"/>
      <c r="J886" s="81"/>
      <c r="K886" s="4"/>
      <c r="L886" s="81"/>
      <c r="M886" s="4"/>
      <c r="N886" s="4"/>
      <c r="O886" s="4"/>
    </row>
    <row r="887" spans="1:15" x14ac:dyDescent="0.2">
      <c r="A887" s="6"/>
      <c r="B887" s="81"/>
      <c r="C887" s="96"/>
      <c r="D887" s="96"/>
      <c r="E887" s="96"/>
      <c r="F887" s="96"/>
      <c r="G887" s="96"/>
      <c r="H887" s="96"/>
      <c r="I887" s="81"/>
      <c r="J887" s="81"/>
      <c r="K887" s="4"/>
      <c r="L887" s="81"/>
      <c r="M887" s="4"/>
      <c r="N887" s="4"/>
      <c r="O887" s="4"/>
    </row>
    <row r="888" spans="1:15" x14ac:dyDescent="0.2">
      <c r="A888" s="6"/>
      <c r="B888" s="81"/>
      <c r="C888" s="96"/>
      <c r="D888" s="96"/>
      <c r="E888" s="96"/>
      <c r="F888" s="96"/>
      <c r="G888" s="96"/>
      <c r="H888" s="96"/>
      <c r="I888" s="81"/>
      <c r="J888" s="81"/>
      <c r="K888" s="4"/>
      <c r="L888" s="81"/>
      <c r="M888" s="4"/>
      <c r="N888" s="4"/>
      <c r="O888" s="4"/>
    </row>
    <row r="889" spans="1:15" x14ac:dyDescent="0.2">
      <c r="A889" s="6"/>
      <c r="B889" s="81"/>
      <c r="C889" s="96"/>
      <c r="D889" s="96"/>
      <c r="E889" s="96"/>
      <c r="F889" s="96"/>
      <c r="G889" s="96"/>
      <c r="H889" s="96"/>
      <c r="I889" s="81"/>
      <c r="J889" s="81"/>
      <c r="K889" s="4"/>
      <c r="L889" s="81"/>
      <c r="M889" s="4"/>
      <c r="N889" s="4"/>
      <c r="O889" s="4"/>
    </row>
    <row r="890" spans="1:15" x14ac:dyDescent="0.2">
      <c r="A890" s="6"/>
      <c r="B890" s="81"/>
      <c r="C890" s="96"/>
      <c r="D890" s="96"/>
      <c r="E890" s="96"/>
      <c r="F890" s="96"/>
      <c r="G890" s="96"/>
      <c r="H890" s="96"/>
      <c r="I890" s="81"/>
      <c r="J890" s="81"/>
      <c r="K890" s="4"/>
      <c r="L890" s="81"/>
      <c r="M890" s="4"/>
      <c r="N890" s="4"/>
      <c r="O890" s="4"/>
    </row>
    <row r="891" spans="1:15" x14ac:dyDescent="0.2">
      <c r="A891" s="6"/>
      <c r="B891" s="81"/>
      <c r="C891" s="96"/>
      <c r="D891" s="96"/>
      <c r="E891" s="96"/>
      <c r="F891" s="96"/>
      <c r="G891" s="96"/>
      <c r="H891" s="96"/>
      <c r="I891" s="81"/>
      <c r="J891" s="81"/>
      <c r="K891" s="4"/>
      <c r="L891" s="81"/>
      <c r="M891" s="4"/>
      <c r="N891" s="4"/>
      <c r="O891" s="4"/>
    </row>
    <row r="892" spans="1:15" x14ac:dyDescent="0.2">
      <c r="A892" s="6"/>
      <c r="B892" s="81"/>
      <c r="C892" s="96"/>
      <c r="D892" s="96"/>
      <c r="E892" s="96"/>
      <c r="F892" s="96"/>
      <c r="G892" s="96"/>
      <c r="H892" s="96"/>
      <c r="I892" s="81"/>
      <c r="J892" s="81"/>
      <c r="K892" s="4"/>
      <c r="L892" s="81"/>
      <c r="M892" s="4"/>
      <c r="N892" s="4"/>
      <c r="O892" s="4"/>
    </row>
    <row r="893" spans="1:15" x14ac:dyDescent="0.2">
      <c r="A893" s="6"/>
      <c r="B893" s="81"/>
      <c r="C893" s="96"/>
      <c r="D893" s="96"/>
      <c r="E893" s="96"/>
      <c r="F893" s="96"/>
      <c r="G893" s="96"/>
      <c r="H893" s="96"/>
      <c r="I893" s="81"/>
      <c r="J893" s="81"/>
      <c r="K893" s="4"/>
      <c r="L893" s="81"/>
      <c r="M893" s="4"/>
      <c r="N893" s="4"/>
      <c r="O893" s="4"/>
    </row>
    <row r="894" spans="1:15" x14ac:dyDescent="0.2">
      <c r="A894" s="6"/>
      <c r="B894" s="81"/>
      <c r="C894" s="96"/>
      <c r="D894" s="96"/>
      <c r="E894" s="96"/>
      <c r="F894" s="96"/>
      <c r="G894" s="96"/>
      <c r="H894" s="96"/>
      <c r="I894" s="81"/>
      <c r="J894" s="81"/>
      <c r="K894" s="4"/>
      <c r="L894" s="81"/>
      <c r="M894" s="4"/>
      <c r="N894" s="4"/>
      <c r="O894" s="4"/>
    </row>
    <row r="895" spans="1:15" x14ac:dyDescent="0.2">
      <c r="A895" s="6"/>
      <c r="B895" s="81"/>
      <c r="C895" s="96"/>
      <c r="D895" s="96"/>
      <c r="E895" s="96"/>
      <c r="F895" s="96"/>
      <c r="G895" s="96"/>
      <c r="H895" s="96"/>
      <c r="I895" s="81"/>
      <c r="J895" s="81"/>
      <c r="K895" s="4"/>
      <c r="L895" s="81"/>
      <c r="M895" s="4"/>
      <c r="N895" s="4"/>
      <c r="O895" s="4"/>
    </row>
    <row r="896" spans="1:15" x14ac:dyDescent="0.2">
      <c r="A896" s="6"/>
      <c r="B896" s="81"/>
      <c r="C896" s="96"/>
      <c r="D896" s="96"/>
      <c r="E896" s="96"/>
      <c r="F896" s="96"/>
      <c r="G896" s="96"/>
      <c r="H896" s="96"/>
      <c r="I896" s="81"/>
      <c r="J896" s="81"/>
      <c r="K896" s="4"/>
      <c r="L896" s="81"/>
      <c r="M896" s="4"/>
      <c r="N896" s="4"/>
      <c r="O896" s="4"/>
    </row>
    <row r="897" spans="1:16" x14ac:dyDescent="0.2">
      <c r="A897" s="6"/>
      <c r="B897" s="81"/>
      <c r="C897" s="96"/>
      <c r="D897" s="96"/>
      <c r="E897" s="96"/>
      <c r="F897" s="96"/>
      <c r="G897" s="96"/>
      <c r="H897" s="96"/>
      <c r="I897" s="81"/>
      <c r="J897" s="81"/>
      <c r="K897" s="4"/>
      <c r="L897" s="81"/>
      <c r="M897" s="4"/>
      <c r="N897" s="4"/>
      <c r="O897" s="4"/>
    </row>
    <row r="898" spans="1:16" x14ac:dyDescent="0.2">
      <c r="A898" s="6"/>
      <c r="B898" s="81"/>
      <c r="C898" s="96"/>
      <c r="D898" s="96"/>
      <c r="E898" s="96"/>
      <c r="F898" s="96"/>
      <c r="G898" s="96"/>
      <c r="H898" s="96"/>
      <c r="I898" s="81"/>
      <c r="J898" s="81"/>
      <c r="K898" s="4"/>
      <c r="L898" s="81"/>
      <c r="M898" s="4"/>
      <c r="N898" s="4"/>
      <c r="O898" s="4"/>
    </row>
    <row r="899" spans="1:16" x14ac:dyDescent="0.2">
      <c r="A899" s="6"/>
      <c r="B899" s="81"/>
      <c r="C899" s="96"/>
      <c r="D899" s="96"/>
      <c r="E899" s="96"/>
      <c r="F899" s="96"/>
      <c r="G899" s="96"/>
      <c r="H899" s="96"/>
      <c r="I899" s="81"/>
      <c r="J899" s="81"/>
      <c r="K899" s="4"/>
      <c r="L899" s="81"/>
      <c r="M899" s="4"/>
      <c r="N899" s="4"/>
      <c r="O899" s="4"/>
    </row>
    <row r="900" spans="1:16" x14ac:dyDescent="0.2">
      <c r="A900" s="3"/>
      <c r="B900" s="80"/>
      <c r="C900" s="97"/>
      <c r="D900" s="97"/>
      <c r="E900" s="97"/>
      <c r="F900" s="97"/>
      <c r="G900" s="97"/>
      <c r="H900" s="97"/>
      <c r="I900" s="80"/>
      <c r="J900" s="10"/>
      <c r="K900" s="7"/>
      <c r="L900" s="83"/>
      <c r="M900" s="4"/>
      <c r="N900" s="4"/>
      <c r="O900" s="4"/>
    </row>
    <row r="901" spans="1:16" x14ac:dyDescent="0.2">
      <c r="A901" s="34"/>
      <c r="B901" s="82"/>
      <c r="C901" s="7"/>
      <c r="D901" s="7"/>
      <c r="E901" s="98"/>
      <c r="F901" s="7"/>
      <c r="G901" s="7"/>
      <c r="H901" s="7"/>
      <c r="I901" s="93"/>
      <c r="J901" s="83"/>
      <c r="K901" s="7"/>
      <c r="L901" s="83"/>
      <c r="M901" s="6"/>
      <c r="N901" s="6"/>
      <c r="O901" s="8"/>
      <c r="P901" s="6"/>
    </row>
    <row r="902" spans="1:16" x14ac:dyDescent="0.2">
      <c r="A902" s="34"/>
      <c r="B902" s="82"/>
      <c r="C902" s="7"/>
      <c r="D902" s="7"/>
      <c r="E902" s="98"/>
      <c r="F902" s="7"/>
      <c r="G902" s="7"/>
      <c r="H902" s="7"/>
      <c r="I902" s="93"/>
      <c r="J902" s="83"/>
      <c r="K902" s="7"/>
      <c r="L902" s="83"/>
      <c r="M902" s="6"/>
      <c r="N902" s="6"/>
      <c r="O902" s="8"/>
      <c r="P902" s="6"/>
    </row>
    <row r="903" spans="1:16" x14ac:dyDescent="0.2">
      <c r="A903" s="34"/>
      <c r="B903" s="82"/>
      <c r="C903" s="7"/>
      <c r="D903" s="7"/>
      <c r="E903" s="98"/>
      <c r="F903" s="7"/>
      <c r="G903" s="7"/>
      <c r="H903" s="7"/>
      <c r="I903" s="93"/>
      <c r="J903" s="83"/>
      <c r="K903" s="7"/>
      <c r="L903" s="83"/>
      <c r="M903" s="6"/>
      <c r="N903" s="6"/>
      <c r="O903" s="8"/>
      <c r="P903" s="6"/>
    </row>
    <row r="904" spans="1:16" x14ac:dyDescent="0.2">
      <c r="A904" s="34"/>
      <c r="B904" s="82"/>
      <c r="C904" s="7"/>
      <c r="D904" s="7"/>
      <c r="E904" s="98"/>
      <c r="F904" s="7"/>
      <c r="G904" s="7"/>
      <c r="H904" s="7"/>
      <c r="I904" s="93"/>
      <c r="J904" s="83"/>
      <c r="K904" s="7"/>
      <c r="L904" s="83"/>
      <c r="M904" s="6"/>
      <c r="N904" s="6"/>
      <c r="O904" s="8"/>
      <c r="P904" s="6"/>
    </row>
    <row r="905" spans="1:16" x14ac:dyDescent="0.2">
      <c r="A905" s="34"/>
      <c r="B905" s="82"/>
      <c r="C905" s="7"/>
      <c r="D905" s="7"/>
      <c r="E905" s="98"/>
      <c r="F905" s="7"/>
      <c r="G905" s="7"/>
      <c r="H905" s="7"/>
      <c r="I905" s="93"/>
      <c r="J905" s="83"/>
      <c r="K905" s="7"/>
      <c r="L905" s="83"/>
      <c r="M905" s="6"/>
      <c r="N905" s="6"/>
      <c r="O905" s="8"/>
      <c r="P905" s="6"/>
    </row>
    <row r="906" spans="1:16" x14ac:dyDescent="0.2">
      <c r="A906" s="34"/>
      <c r="B906" s="82"/>
      <c r="C906" s="7"/>
      <c r="D906" s="7"/>
      <c r="E906" s="98"/>
      <c r="F906" s="7"/>
      <c r="G906" s="7"/>
      <c r="H906" s="7"/>
      <c r="I906" s="93"/>
      <c r="J906" s="83"/>
      <c r="K906" s="7"/>
      <c r="L906" s="83"/>
      <c r="M906" s="6"/>
      <c r="N906" s="6"/>
      <c r="O906" s="8"/>
      <c r="P906" s="6"/>
    </row>
    <row r="907" spans="1:16" x14ac:dyDescent="0.2">
      <c r="A907" s="34"/>
      <c r="B907" s="82"/>
      <c r="C907" s="7"/>
      <c r="D907" s="7"/>
      <c r="E907" s="98"/>
      <c r="F907" s="7"/>
      <c r="G907" s="7"/>
      <c r="H907" s="7"/>
      <c r="I907" s="93"/>
      <c r="J907" s="83"/>
      <c r="K907" s="7"/>
      <c r="L907" s="83"/>
      <c r="M907" s="6"/>
      <c r="N907" s="6"/>
      <c r="O907" s="8"/>
      <c r="P907" s="6"/>
    </row>
    <row r="908" spans="1:16" x14ac:dyDescent="0.2">
      <c r="A908" s="34"/>
      <c r="B908" s="34"/>
      <c r="C908" s="7"/>
      <c r="D908" s="7"/>
      <c r="E908" s="98"/>
      <c r="F908" s="7"/>
      <c r="G908" s="7"/>
      <c r="H908" s="7"/>
      <c r="I908" s="93"/>
      <c r="J908" s="83"/>
      <c r="K908" s="7"/>
      <c r="L908" s="83"/>
      <c r="M908" s="6"/>
      <c r="N908" s="6"/>
      <c r="O908" s="8"/>
      <c r="P908" s="6"/>
    </row>
    <row r="909" spans="1:16" x14ac:dyDescent="0.2">
      <c r="A909" s="34"/>
      <c r="B909" s="34"/>
      <c r="C909" s="7"/>
      <c r="D909" s="7"/>
      <c r="E909" s="98"/>
      <c r="F909" s="7"/>
      <c r="G909" s="7"/>
      <c r="H909" s="7"/>
      <c r="I909" s="93"/>
      <c r="J909" s="83"/>
      <c r="K909" s="7"/>
      <c r="L909" s="83"/>
      <c r="M909" s="6"/>
      <c r="N909" s="6"/>
      <c r="O909" s="8"/>
      <c r="P909" s="6"/>
    </row>
    <row r="910" spans="1:16" x14ac:dyDescent="0.2">
      <c r="A910" s="34"/>
      <c r="B910" s="34"/>
      <c r="C910" s="7"/>
      <c r="D910" s="7"/>
      <c r="E910" s="98"/>
      <c r="F910" s="7"/>
      <c r="G910" s="7"/>
      <c r="H910" s="7"/>
      <c r="I910" s="93"/>
      <c r="J910" s="83"/>
      <c r="K910" s="7"/>
      <c r="L910" s="83"/>
      <c r="M910" s="6"/>
      <c r="N910" s="6"/>
      <c r="O910" s="8"/>
      <c r="P910" s="6"/>
    </row>
    <row r="911" spans="1:16" x14ac:dyDescent="0.2">
      <c r="A911" s="34"/>
      <c r="B911" s="34"/>
      <c r="C911" s="7"/>
      <c r="D911" s="7"/>
      <c r="E911" s="98"/>
      <c r="F911" s="7"/>
      <c r="G911" s="7"/>
      <c r="H911" s="7"/>
      <c r="I911" s="93"/>
      <c r="J911" s="83"/>
      <c r="K911" s="7"/>
      <c r="L911" s="83"/>
      <c r="M911" s="6"/>
      <c r="N911" s="6"/>
      <c r="O911" s="8"/>
      <c r="P911" s="6"/>
    </row>
    <row r="912" spans="1:16" x14ac:dyDescent="0.2">
      <c r="A912" s="34"/>
      <c r="B912" s="34"/>
      <c r="C912" s="7"/>
      <c r="D912" s="7"/>
      <c r="E912" s="98"/>
      <c r="F912" s="7"/>
      <c r="G912" s="7"/>
      <c r="H912" s="7"/>
      <c r="I912" s="93"/>
      <c r="J912" s="83"/>
      <c r="K912" s="7"/>
      <c r="L912" s="83"/>
      <c r="M912" s="6"/>
      <c r="N912" s="6"/>
      <c r="O912" s="8"/>
      <c r="P912" s="6"/>
    </row>
    <row r="913" spans="1:17" x14ac:dyDescent="0.2">
      <c r="A913" s="34"/>
      <c r="B913" s="34"/>
      <c r="C913" s="7"/>
      <c r="D913" s="7"/>
      <c r="E913" s="98"/>
      <c r="F913" s="7"/>
      <c r="G913" s="7"/>
      <c r="H913" s="7"/>
      <c r="I913" s="93"/>
      <c r="J913" s="83"/>
      <c r="K913" s="7"/>
      <c r="L913" s="83"/>
      <c r="M913" s="6"/>
      <c r="N913" s="6"/>
      <c r="O913" s="8"/>
      <c r="P913" s="6"/>
    </row>
    <row r="914" spans="1:17" x14ac:dyDescent="0.2">
      <c r="A914" s="34"/>
      <c r="B914" s="34"/>
      <c r="C914" s="7"/>
      <c r="D914" s="7"/>
      <c r="E914" s="98"/>
      <c r="F914" s="7"/>
      <c r="G914" s="7"/>
      <c r="H914" s="7"/>
      <c r="I914" s="93"/>
      <c r="J914" s="83"/>
      <c r="K914" s="7"/>
      <c r="L914" s="83"/>
      <c r="M914" s="6"/>
      <c r="N914" s="6"/>
      <c r="O914" s="8"/>
      <c r="P914" s="6"/>
    </row>
    <row r="915" spans="1:17" x14ac:dyDescent="0.2">
      <c r="A915" s="34"/>
      <c r="B915" s="34"/>
      <c r="C915" s="7"/>
      <c r="D915" s="7"/>
      <c r="E915" s="98"/>
      <c r="F915" s="7"/>
      <c r="G915" s="7"/>
      <c r="H915" s="7"/>
      <c r="I915" s="93"/>
      <c r="J915" s="83"/>
      <c r="K915" s="7"/>
      <c r="L915" s="83"/>
      <c r="M915" s="4"/>
      <c r="N915" s="6"/>
      <c r="O915" s="6"/>
      <c r="P915" s="8"/>
      <c r="Q915" s="6"/>
    </row>
    <row r="916" spans="1:17" x14ac:dyDescent="0.2">
      <c r="A916" s="34"/>
      <c r="B916" s="34"/>
      <c r="C916" s="7"/>
      <c r="D916" s="7"/>
      <c r="E916" s="98"/>
      <c r="F916" s="7"/>
      <c r="G916" s="7"/>
      <c r="H916" s="7"/>
      <c r="I916" s="93"/>
      <c r="J916" s="83"/>
      <c r="K916" s="7"/>
      <c r="L916" s="83"/>
      <c r="M916" s="4"/>
      <c r="N916" s="6"/>
      <c r="O916" s="6"/>
      <c r="P916" s="8"/>
      <c r="Q916" s="6"/>
    </row>
    <row r="917" spans="1:17" x14ac:dyDescent="0.2">
      <c r="A917" s="34"/>
      <c r="B917" s="34"/>
      <c r="C917" s="7"/>
      <c r="D917" s="7"/>
      <c r="E917" s="98"/>
      <c r="F917" s="7"/>
      <c r="G917" s="7"/>
      <c r="H917" s="7"/>
      <c r="I917" s="93"/>
      <c r="J917" s="83"/>
      <c r="K917" s="7"/>
      <c r="L917" s="83"/>
      <c r="M917" s="4"/>
      <c r="N917" s="6"/>
      <c r="O917" s="6"/>
      <c r="P917" s="8"/>
      <c r="Q917" s="6"/>
    </row>
    <row r="918" spans="1:17" x14ac:dyDescent="0.2">
      <c r="A918" s="34"/>
      <c r="B918" s="34"/>
      <c r="C918" s="7"/>
      <c r="D918" s="7"/>
      <c r="E918" s="98"/>
      <c r="F918" s="7"/>
      <c r="G918" s="7"/>
      <c r="H918" s="7"/>
      <c r="I918" s="93"/>
      <c r="J918" s="83"/>
      <c r="K918" s="7"/>
      <c r="L918" s="83"/>
      <c r="M918" s="4"/>
      <c r="N918" s="6"/>
      <c r="O918" s="6"/>
      <c r="P918" s="8"/>
      <c r="Q918" s="6"/>
    </row>
    <row r="919" spans="1:17" x14ac:dyDescent="0.2">
      <c r="A919" s="34"/>
      <c r="B919" s="34"/>
      <c r="C919" s="7"/>
      <c r="D919" s="7"/>
      <c r="E919" s="98"/>
      <c r="F919" s="7"/>
      <c r="G919" s="7"/>
      <c r="H919" s="7"/>
      <c r="I919" s="93"/>
      <c r="J919" s="83"/>
      <c r="K919" s="7"/>
      <c r="L919" s="83"/>
      <c r="M919" s="4"/>
      <c r="N919" s="6"/>
      <c r="O919" s="6"/>
      <c r="P919" s="8"/>
      <c r="Q919" s="6"/>
    </row>
    <row r="920" spans="1:17" x14ac:dyDescent="0.2">
      <c r="A920" s="34"/>
      <c r="B920" s="34"/>
      <c r="C920" s="7"/>
      <c r="D920" s="7"/>
      <c r="E920" s="98"/>
      <c r="F920" s="7"/>
      <c r="G920" s="7"/>
      <c r="H920" s="7"/>
      <c r="I920" s="93"/>
      <c r="J920" s="83"/>
      <c r="K920" s="7"/>
      <c r="L920" s="83"/>
      <c r="M920" s="4"/>
      <c r="N920" s="6"/>
      <c r="O920" s="6"/>
      <c r="P920" s="8"/>
      <c r="Q920" s="6"/>
    </row>
    <row r="921" spans="1:17" x14ac:dyDescent="0.2">
      <c r="A921" s="34"/>
      <c r="B921" s="34"/>
      <c r="C921" s="7"/>
      <c r="D921" s="7"/>
      <c r="E921" s="98"/>
      <c r="F921" s="7"/>
      <c r="G921" s="7"/>
      <c r="H921" s="7"/>
      <c r="I921" s="93"/>
      <c r="J921" s="83"/>
      <c r="K921" s="7"/>
      <c r="L921" s="83"/>
      <c r="M921" s="4"/>
      <c r="N921" s="6"/>
      <c r="O921" s="6"/>
      <c r="P921" s="8"/>
      <c r="Q921" s="6"/>
    </row>
    <row r="922" spans="1:17" x14ac:dyDescent="0.2">
      <c r="A922" s="34"/>
      <c r="B922" s="34"/>
      <c r="C922" s="7"/>
      <c r="D922" s="7"/>
      <c r="E922" s="98"/>
      <c r="F922" s="7"/>
      <c r="G922" s="7"/>
      <c r="H922" s="7"/>
      <c r="I922" s="93"/>
      <c r="J922" s="83"/>
      <c r="K922" s="7"/>
      <c r="L922" s="83"/>
      <c r="M922" s="4"/>
      <c r="N922" s="6"/>
      <c r="O922" s="6"/>
      <c r="P922" s="8"/>
      <c r="Q922" s="6"/>
    </row>
    <row r="923" spans="1:17" x14ac:dyDescent="0.2">
      <c r="A923" s="34"/>
      <c r="B923" s="34"/>
      <c r="C923" s="7"/>
      <c r="D923" s="7"/>
      <c r="E923" s="98"/>
      <c r="F923" s="7"/>
      <c r="G923" s="7"/>
      <c r="H923" s="7"/>
      <c r="I923" s="93"/>
      <c r="J923" s="83"/>
      <c r="K923" s="7"/>
      <c r="L923" s="83"/>
      <c r="M923" s="4"/>
      <c r="N923" s="6"/>
      <c r="O923" s="6"/>
      <c r="P923" s="8"/>
      <c r="Q923" s="6"/>
    </row>
    <row r="924" spans="1:17" x14ac:dyDescent="0.2">
      <c r="A924" s="34"/>
      <c r="B924" s="34"/>
      <c r="C924" s="7"/>
      <c r="D924" s="7"/>
      <c r="E924" s="98"/>
      <c r="F924" s="7"/>
      <c r="G924" s="7"/>
      <c r="H924" s="7"/>
      <c r="I924" s="93"/>
      <c r="J924" s="83"/>
      <c r="K924" s="7"/>
      <c r="L924" s="83"/>
      <c r="M924" s="4"/>
      <c r="N924" s="6"/>
      <c r="O924" s="6"/>
      <c r="P924" s="8"/>
      <c r="Q924" s="6"/>
    </row>
    <row r="925" spans="1:17" x14ac:dyDescent="0.2">
      <c r="A925" s="34"/>
      <c r="B925" s="34"/>
      <c r="C925" s="7"/>
      <c r="D925" s="7"/>
      <c r="E925" s="98"/>
      <c r="F925" s="7"/>
      <c r="G925" s="7"/>
      <c r="H925" s="7"/>
      <c r="I925" s="93"/>
      <c r="J925" s="83"/>
      <c r="K925" s="7"/>
      <c r="L925" s="83"/>
      <c r="M925" s="4"/>
      <c r="N925" s="6"/>
      <c r="O925" s="6"/>
      <c r="P925" s="8"/>
      <c r="Q925" s="6"/>
    </row>
    <row r="926" spans="1:17" x14ac:dyDescent="0.2">
      <c r="A926" s="34"/>
      <c r="B926" s="34"/>
      <c r="C926" s="7"/>
      <c r="D926" s="7"/>
      <c r="E926" s="98"/>
      <c r="F926" s="7"/>
      <c r="G926" s="7"/>
      <c r="H926" s="7"/>
      <c r="I926" s="93"/>
      <c r="J926" s="83"/>
      <c r="K926" s="7"/>
      <c r="L926" s="83"/>
      <c r="M926" s="4"/>
      <c r="N926" s="4"/>
      <c r="O926" s="4"/>
    </row>
    <row r="927" spans="1:17" x14ac:dyDescent="0.2">
      <c r="A927" s="34"/>
      <c r="B927" s="34"/>
      <c r="C927" s="7"/>
      <c r="D927" s="7"/>
      <c r="E927" s="98"/>
      <c r="F927" s="7"/>
      <c r="G927" s="7"/>
      <c r="H927" s="7"/>
      <c r="I927" s="93"/>
      <c r="J927" s="83"/>
      <c r="K927" s="7"/>
      <c r="L927" s="83"/>
      <c r="M927" s="4"/>
      <c r="N927" s="4"/>
      <c r="O927" s="4"/>
    </row>
    <row r="928" spans="1:17" x14ac:dyDescent="0.2">
      <c r="A928" s="34"/>
      <c r="B928" s="34"/>
      <c r="C928" s="7"/>
      <c r="D928" s="7"/>
      <c r="E928" s="98"/>
      <c r="F928" s="7"/>
      <c r="G928" s="7"/>
      <c r="H928" s="7"/>
      <c r="I928" s="93"/>
      <c r="J928" s="83"/>
      <c r="K928" s="7"/>
      <c r="L928" s="83"/>
      <c r="M928" s="4"/>
      <c r="N928" s="4"/>
      <c r="O928" s="4"/>
    </row>
    <row r="929" spans="1:15" x14ac:dyDescent="0.2">
      <c r="A929" s="34"/>
      <c r="B929" s="34"/>
      <c r="C929" s="7"/>
      <c r="D929" s="7"/>
      <c r="E929" s="98"/>
      <c r="F929" s="7"/>
      <c r="G929" s="7"/>
      <c r="H929" s="7"/>
      <c r="I929" s="93"/>
      <c r="J929" s="83"/>
      <c r="K929" s="7"/>
      <c r="L929" s="83"/>
      <c r="M929" s="4"/>
      <c r="N929" s="4"/>
      <c r="O929" s="4"/>
    </row>
    <row r="930" spans="1:15" x14ac:dyDescent="0.2">
      <c r="A930" s="34"/>
      <c r="B930" s="34"/>
      <c r="C930" s="7"/>
      <c r="D930" s="7"/>
      <c r="E930" s="98"/>
      <c r="F930" s="7"/>
      <c r="G930" s="7"/>
      <c r="H930" s="7"/>
      <c r="I930" s="93"/>
      <c r="J930" s="83"/>
      <c r="K930" s="7"/>
      <c r="L930" s="83"/>
      <c r="M930" s="4"/>
      <c r="N930" s="4"/>
      <c r="O930" s="4"/>
    </row>
    <row r="931" spans="1:15" x14ac:dyDescent="0.2">
      <c r="A931" s="34"/>
      <c r="B931" s="34"/>
      <c r="C931" s="7"/>
      <c r="D931" s="7"/>
      <c r="E931" s="98"/>
      <c r="F931" s="7"/>
      <c r="G931" s="7"/>
      <c r="H931" s="7"/>
      <c r="I931" s="93"/>
      <c r="J931" s="83"/>
      <c r="K931" s="7"/>
      <c r="L931" s="83"/>
      <c r="M931" s="4"/>
      <c r="N931" s="4"/>
      <c r="O931" s="4"/>
    </row>
    <row r="932" spans="1:15" x14ac:dyDescent="0.2">
      <c r="A932" s="34"/>
      <c r="B932" s="34"/>
      <c r="C932" s="7"/>
      <c r="D932" s="7"/>
      <c r="E932" s="98"/>
      <c r="F932" s="7"/>
      <c r="G932" s="7"/>
      <c r="H932" s="7"/>
      <c r="I932" s="93"/>
      <c r="J932" s="83"/>
      <c r="K932" s="7"/>
      <c r="L932" s="83"/>
      <c r="M932" s="4"/>
      <c r="N932" s="4"/>
      <c r="O932" s="4"/>
    </row>
    <row r="933" spans="1:15" x14ac:dyDescent="0.2">
      <c r="A933" s="34"/>
      <c r="B933" s="34"/>
      <c r="C933" s="7"/>
      <c r="D933" s="7"/>
      <c r="E933" s="98"/>
      <c r="F933" s="7"/>
      <c r="G933" s="7"/>
      <c r="H933" s="7"/>
      <c r="I933" s="93"/>
      <c r="J933" s="83"/>
      <c r="K933" s="7"/>
      <c r="L933" s="83"/>
      <c r="M933" s="4"/>
      <c r="N933" s="4"/>
      <c r="O933" s="4"/>
    </row>
    <row r="934" spans="1:15" x14ac:dyDescent="0.2">
      <c r="A934" s="34"/>
      <c r="B934" s="34"/>
      <c r="C934" s="7"/>
      <c r="D934" s="7"/>
      <c r="E934" s="98"/>
      <c r="F934" s="7"/>
      <c r="G934" s="7"/>
      <c r="H934" s="7"/>
      <c r="I934" s="93"/>
      <c r="J934" s="83"/>
      <c r="K934" s="7"/>
      <c r="L934" s="83"/>
      <c r="M934" s="4"/>
      <c r="N934" s="4"/>
      <c r="O934" s="4"/>
    </row>
    <row r="935" spans="1:15" x14ac:dyDescent="0.2">
      <c r="A935" s="34"/>
      <c r="B935" s="34"/>
      <c r="C935" s="7"/>
      <c r="D935" s="7"/>
      <c r="E935" s="98"/>
      <c r="F935" s="7"/>
      <c r="G935" s="7"/>
      <c r="H935" s="7"/>
      <c r="I935" s="93"/>
      <c r="J935" s="83"/>
      <c r="K935" s="7"/>
      <c r="L935" s="83"/>
      <c r="M935" s="4"/>
      <c r="N935" s="4"/>
      <c r="O935" s="4"/>
    </row>
    <row r="936" spans="1:15" x14ac:dyDescent="0.2">
      <c r="A936" s="34"/>
      <c r="B936" s="34"/>
      <c r="C936" s="7"/>
      <c r="D936" s="7"/>
      <c r="E936" s="98"/>
      <c r="F936" s="7"/>
      <c r="G936" s="7"/>
      <c r="H936" s="7"/>
      <c r="I936" s="93"/>
      <c r="J936" s="83"/>
      <c r="K936" s="7"/>
      <c r="L936" s="83"/>
      <c r="M936" s="4"/>
      <c r="N936" s="4"/>
      <c r="O936" s="4"/>
    </row>
    <row r="937" spans="1:15" x14ac:dyDescent="0.2">
      <c r="A937" s="34"/>
      <c r="B937" s="34"/>
      <c r="C937" s="7"/>
      <c r="D937" s="7"/>
      <c r="E937" s="98"/>
      <c r="F937" s="7"/>
      <c r="G937" s="7"/>
      <c r="H937" s="7"/>
      <c r="I937" s="93"/>
      <c r="J937" s="83"/>
      <c r="K937" s="7"/>
      <c r="L937" s="83"/>
      <c r="M937" s="4"/>
      <c r="N937" s="4"/>
      <c r="O937" s="4"/>
    </row>
    <row r="938" spans="1:15" x14ac:dyDescent="0.2">
      <c r="A938" s="34"/>
      <c r="B938" s="34"/>
      <c r="C938" s="7"/>
      <c r="D938" s="7"/>
      <c r="E938" s="98"/>
      <c r="F938" s="7"/>
      <c r="G938" s="7"/>
      <c r="H938" s="7"/>
      <c r="I938" s="93"/>
      <c r="J938" s="83"/>
      <c r="K938" s="7"/>
      <c r="L938" s="83"/>
      <c r="M938" s="4"/>
      <c r="N938" s="4"/>
      <c r="O938" s="4"/>
    </row>
    <row r="939" spans="1:15" x14ac:dyDescent="0.2">
      <c r="A939" s="34"/>
      <c r="B939" s="34"/>
      <c r="C939" s="7"/>
      <c r="D939" s="7"/>
      <c r="E939" s="98"/>
      <c r="F939" s="7"/>
      <c r="G939" s="7"/>
      <c r="H939" s="7"/>
      <c r="I939" s="93"/>
      <c r="J939" s="83"/>
      <c r="K939" s="7"/>
      <c r="L939" s="83"/>
      <c r="M939" s="4"/>
      <c r="N939" s="4"/>
      <c r="O939" s="4"/>
    </row>
    <row r="940" spans="1:15" x14ac:dyDescent="0.2">
      <c r="A940" s="34"/>
      <c r="B940" s="34"/>
      <c r="C940" s="7"/>
      <c r="D940" s="7"/>
      <c r="E940" s="98"/>
      <c r="F940" s="7"/>
      <c r="G940" s="7"/>
      <c r="H940" s="7"/>
      <c r="I940" s="93"/>
      <c r="J940" s="83"/>
      <c r="K940" s="7"/>
      <c r="L940" s="83"/>
      <c r="M940" s="4"/>
      <c r="N940" s="4"/>
      <c r="O940" s="4"/>
    </row>
    <row r="941" spans="1:15" x14ac:dyDescent="0.2">
      <c r="A941" s="34"/>
      <c r="B941" s="34"/>
      <c r="C941" s="7"/>
      <c r="D941" s="7"/>
      <c r="E941" s="98"/>
      <c r="F941" s="7"/>
      <c r="G941" s="7"/>
      <c r="H941" s="7"/>
      <c r="I941" s="93"/>
      <c r="J941" s="83"/>
      <c r="K941" s="7"/>
      <c r="L941" s="83"/>
      <c r="M941" s="4"/>
      <c r="N941" s="4"/>
      <c r="O941" s="4"/>
    </row>
    <row r="942" spans="1:15" x14ac:dyDescent="0.2">
      <c r="A942" s="34"/>
      <c r="B942" s="34"/>
      <c r="C942" s="7"/>
      <c r="D942" s="7"/>
      <c r="E942" s="98"/>
      <c r="F942" s="7"/>
      <c r="G942" s="7"/>
      <c r="H942" s="7"/>
      <c r="I942" s="93"/>
      <c r="J942" s="83"/>
      <c r="K942" s="7"/>
      <c r="L942" s="83"/>
      <c r="M942" s="4"/>
      <c r="N942" s="4"/>
      <c r="O942" s="4"/>
    </row>
    <row r="943" spans="1:15" x14ac:dyDescent="0.2">
      <c r="A943" s="34"/>
      <c r="B943" s="34"/>
      <c r="C943" s="7"/>
      <c r="D943" s="7"/>
      <c r="E943" s="98"/>
      <c r="F943" s="7"/>
      <c r="G943" s="7"/>
      <c r="H943" s="7"/>
      <c r="I943" s="93"/>
      <c r="J943" s="83"/>
      <c r="K943" s="2"/>
      <c r="L943" s="10"/>
      <c r="M943" s="4"/>
      <c r="N943" s="4"/>
      <c r="O943" s="4"/>
    </row>
    <row r="944" spans="1:15" x14ac:dyDescent="0.2">
      <c r="A944" s="34"/>
      <c r="B944" s="34"/>
      <c r="C944" s="7"/>
      <c r="D944" s="7"/>
      <c r="E944" s="98"/>
      <c r="F944" s="7"/>
      <c r="G944" s="7"/>
      <c r="H944" s="7"/>
      <c r="I944" s="93"/>
      <c r="J944" s="83"/>
      <c r="K944" s="2"/>
      <c r="L944" s="10"/>
      <c r="M944" s="4"/>
      <c r="N944" s="4"/>
      <c r="O944" s="4"/>
    </row>
    <row r="945" spans="1:15" x14ac:dyDescent="0.2">
      <c r="A945" s="34"/>
      <c r="B945" s="34"/>
      <c r="C945" s="7"/>
      <c r="D945" s="7"/>
      <c r="E945" s="98"/>
      <c r="F945" s="7"/>
      <c r="G945" s="7"/>
      <c r="H945" s="7"/>
      <c r="I945" s="93"/>
      <c r="J945" s="83"/>
      <c r="K945" s="2"/>
      <c r="L945" s="10"/>
      <c r="M945" s="4"/>
      <c r="N945" s="4"/>
      <c r="O945" s="4"/>
    </row>
    <row r="946" spans="1:15" x14ac:dyDescent="0.2">
      <c r="A946" s="34"/>
      <c r="B946" s="34"/>
      <c r="C946" s="7"/>
      <c r="D946" s="7"/>
      <c r="E946" s="98"/>
      <c r="F946" s="7"/>
      <c r="G946" s="7"/>
      <c r="H946" s="7"/>
      <c r="I946" s="93"/>
      <c r="J946" s="83"/>
      <c r="K946" s="2"/>
      <c r="L946" s="10"/>
      <c r="M946" s="4"/>
      <c r="N946" s="4"/>
      <c r="O946" s="4"/>
    </row>
    <row r="947" spans="1:15" x14ac:dyDescent="0.2">
      <c r="A947" s="34"/>
      <c r="B947" s="34"/>
      <c r="C947" s="7"/>
      <c r="D947" s="7"/>
      <c r="E947" s="98"/>
      <c r="F947" s="7"/>
      <c r="G947" s="7"/>
      <c r="H947" s="7"/>
      <c r="I947" s="93"/>
      <c r="J947" s="83"/>
      <c r="K947" s="2"/>
      <c r="L947" s="10"/>
      <c r="M947" s="2"/>
      <c r="N947" s="4"/>
      <c r="O947" s="4"/>
    </row>
    <row r="948" spans="1:15" x14ac:dyDescent="0.2">
      <c r="A948" s="34"/>
      <c r="B948" s="34"/>
      <c r="C948" s="7"/>
      <c r="D948" s="7"/>
      <c r="E948" s="98"/>
      <c r="F948" s="7"/>
      <c r="G948" s="7"/>
      <c r="H948" s="7"/>
      <c r="I948" s="93"/>
      <c r="J948" s="83"/>
      <c r="K948" s="2"/>
      <c r="L948" s="10"/>
      <c r="M948" s="2"/>
      <c r="N948" s="4"/>
      <c r="O948" s="4"/>
    </row>
    <row r="949" spans="1:15" x14ac:dyDescent="0.2">
      <c r="A949" s="34"/>
      <c r="B949" s="34"/>
      <c r="C949" s="7"/>
      <c r="D949" s="7"/>
      <c r="E949" s="98"/>
      <c r="F949" s="7"/>
      <c r="G949" s="7"/>
      <c r="H949" s="7"/>
      <c r="I949" s="93"/>
      <c r="J949" s="83"/>
      <c r="K949" s="2"/>
      <c r="L949" s="10"/>
      <c r="M949" s="2"/>
      <c r="N949" s="4"/>
      <c r="O949" s="4"/>
    </row>
    <row r="950" spans="1:15" x14ac:dyDescent="0.2">
      <c r="A950" s="34"/>
      <c r="B950" s="34"/>
      <c r="C950" s="7"/>
      <c r="D950" s="7"/>
      <c r="E950" s="98"/>
      <c r="F950" s="7"/>
      <c r="G950" s="7"/>
      <c r="H950" s="7"/>
      <c r="I950" s="93"/>
      <c r="J950" s="83"/>
      <c r="K950" s="2"/>
      <c r="L950" s="10"/>
      <c r="M950" s="2"/>
      <c r="N950" s="4"/>
      <c r="O950" s="4"/>
    </row>
    <row r="951" spans="1:15" x14ac:dyDescent="0.2">
      <c r="A951" s="34"/>
      <c r="B951" s="34"/>
      <c r="C951" s="7"/>
      <c r="D951" s="7"/>
      <c r="E951" s="98"/>
      <c r="F951" s="7"/>
      <c r="G951" s="7"/>
      <c r="H951" s="7"/>
      <c r="I951" s="93"/>
      <c r="J951" s="83"/>
      <c r="K951" s="2"/>
      <c r="L951" s="10"/>
      <c r="M951" s="2"/>
      <c r="N951" s="4"/>
      <c r="O951" s="4"/>
    </row>
    <row r="952" spans="1:15" x14ac:dyDescent="0.2">
      <c r="A952" s="34"/>
      <c r="B952" s="34"/>
      <c r="C952" s="7"/>
      <c r="D952" s="7"/>
      <c r="E952" s="98"/>
      <c r="F952" s="7"/>
      <c r="G952" s="7"/>
      <c r="H952" s="7"/>
      <c r="I952" s="93"/>
      <c r="J952" s="83"/>
      <c r="K952" s="2"/>
      <c r="L952" s="10"/>
      <c r="M952" s="2"/>
      <c r="N952" s="4"/>
      <c r="O952" s="4"/>
    </row>
    <row r="953" spans="1:15" x14ac:dyDescent="0.2">
      <c r="A953" s="34"/>
      <c r="B953" s="34"/>
      <c r="C953" s="7"/>
      <c r="D953" s="7"/>
      <c r="E953" s="98"/>
      <c r="F953" s="7"/>
      <c r="G953" s="7"/>
      <c r="H953" s="7"/>
      <c r="I953" s="93"/>
      <c r="J953" s="83"/>
      <c r="K953" s="2"/>
      <c r="L953" s="10"/>
      <c r="M953" s="2"/>
      <c r="N953" s="4"/>
      <c r="O953" s="4"/>
    </row>
    <row r="954" spans="1:15" x14ac:dyDescent="0.2">
      <c r="A954" s="34"/>
      <c r="B954" s="34"/>
      <c r="C954" s="7"/>
      <c r="D954" s="7"/>
      <c r="E954" s="98"/>
      <c r="F954" s="7"/>
      <c r="G954" s="7"/>
      <c r="H954" s="7"/>
      <c r="I954" s="93"/>
      <c r="J954" s="83"/>
      <c r="K954" s="2"/>
      <c r="L954" s="10"/>
      <c r="M954" s="2"/>
      <c r="N954" s="4"/>
      <c r="O954" s="4"/>
    </row>
    <row r="955" spans="1:15" x14ac:dyDescent="0.2">
      <c r="A955" s="34"/>
      <c r="B955" s="34"/>
      <c r="C955" s="7"/>
      <c r="D955" s="7"/>
      <c r="E955" s="98"/>
      <c r="F955" s="7"/>
      <c r="G955" s="7"/>
      <c r="H955" s="7"/>
      <c r="I955" s="93"/>
      <c r="J955" s="83"/>
      <c r="K955" s="2"/>
      <c r="L955" s="10"/>
      <c r="M955" s="2"/>
      <c r="N955" s="4"/>
      <c r="O955" s="4"/>
    </row>
    <row r="956" spans="1:15" x14ac:dyDescent="0.2">
      <c r="A956" s="34"/>
      <c r="B956" s="34"/>
      <c r="C956" s="7"/>
      <c r="D956" s="7"/>
      <c r="E956" s="98"/>
      <c r="F956" s="7"/>
      <c r="G956" s="7"/>
      <c r="H956" s="7"/>
      <c r="I956" s="93"/>
      <c r="J956" s="83"/>
      <c r="K956" s="2"/>
      <c r="L956" s="10"/>
      <c r="M956" s="2"/>
      <c r="N956" s="4"/>
      <c r="O956" s="4"/>
    </row>
    <row r="957" spans="1:15" x14ac:dyDescent="0.2">
      <c r="A957" s="34"/>
      <c r="B957" s="34"/>
      <c r="C957" s="7"/>
      <c r="D957" s="7"/>
      <c r="E957" s="98"/>
      <c r="F957" s="7"/>
      <c r="G957" s="7"/>
      <c r="H957" s="7"/>
      <c r="I957" s="93"/>
      <c r="J957" s="83"/>
      <c r="K957" s="2"/>
      <c r="L957" s="10"/>
      <c r="M957" s="2"/>
      <c r="N957" s="4"/>
      <c r="O957" s="4"/>
    </row>
    <row r="958" spans="1:15" x14ac:dyDescent="0.2">
      <c r="A958" s="34"/>
      <c r="B958" s="34"/>
      <c r="C958" s="7"/>
      <c r="D958" s="7"/>
      <c r="E958" s="98"/>
      <c r="F958" s="7"/>
      <c r="G958" s="7"/>
      <c r="H958" s="7"/>
      <c r="I958" s="93"/>
      <c r="J958" s="83"/>
      <c r="K958" s="25"/>
      <c r="L958" s="83"/>
      <c r="M958" s="2"/>
      <c r="N958" s="4"/>
      <c r="O958" s="4"/>
    </row>
    <row r="959" spans="1:15" x14ac:dyDescent="0.2">
      <c r="A959" s="34"/>
      <c r="B959" s="34"/>
      <c r="C959" s="7"/>
      <c r="D959" s="7"/>
      <c r="E959" s="98"/>
      <c r="F959" s="7"/>
      <c r="G959" s="7"/>
      <c r="H959" s="7"/>
      <c r="I959" s="93"/>
      <c r="J959" s="83"/>
      <c r="K959" s="25"/>
      <c r="L959" s="83"/>
      <c r="M959" s="25"/>
      <c r="N959" s="4"/>
      <c r="O959" s="4"/>
    </row>
    <row r="960" spans="1:15" x14ac:dyDescent="0.2">
      <c r="A960" s="34"/>
      <c r="B960" s="34"/>
      <c r="C960" s="7"/>
      <c r="D960" s="7"/>
      <c r="E960" s="98"/>
      <c r="F960" s="7"/>
      <c r="G960" s="7"/>
      <c r="H960" s="7"/>
      <c r="I960" s="93"/>
      <c r="J960" s="83"/>
      <c r="K960" s="25"/>
      <c r="L960" s="83"/>
      <c r="M960" s="25"/>
      <c r="N960" s="4"/>
      <c r="O960" s="4"/>
    </row>
    <row r="961" spans="1:15" x14ac:dyDescent="0.2">
      <c r="A961" s="34"/>
      <c r="B961" s="34"/>
      <c r="C961" s="7"/>
      <c r="D961" s="7"/>
      <c r="E961" s="98"/>
      <c r="F961" s="7"/>
      <c r="G961" s="7"/>
      <c r="H961" s="7"/>
      <c r="I961" s="93"/>
      <c r="J961" s="83"/>
      <c r="K961" s="25"/>
      <c r="L961" s="83"/>
      <c r="M961" s="25"/>
      <c r="N961" s="4"/>
      <c r="O961" s="4"/>
    </row>
    <row r="962" spans="1:15" x14ac:dyDescent="0.2">
      <c r="A962" s="34"/>
      <c r="B962" s="34"/>
      <c r="C962" s="7"/>
      <c r="D962" s="7"/>
      <c r="E962" s="98"/>
      <c r="F962" s="7"/>
      <c r="G962" s="7"/>
      <c r="H962" s="7"/>
      <c r="I962" s="93"/>
      <c r="J962" s="83"/>
      <c r="K962" s="25"/>
      <c r="L962" s="83"/>
      <c r="M962" s="25"/>
      <c r="N962" s="4"/>
      <c r="O962" s="4"/>
    </row>
    <row r="963" spans="1:15" x14ac:dyDescent="0.2">
      <c r="A963" s="34"/>
      <c r="B963" s="34"/>
      <c r="C963" s="7"/>
      <c r="D963" s="7"/>
      <c r="E963" s="98"/>
      <c r="F963" s="7"/>
      <c r="G963" s="7"/>
      <c r="H963" s="7"/>
      <c r="I963" s="93"/>
      <c r="J963" s="83"/>
      <c r="K963" s="25"/>
      <c r="L963" s="83"/>
      <c r="M963" s="25"/>
      <c r="N963" s="4"/>
      <c r="O963" s="4"/>
    </row>
    <row r="964" spans="1:15" x14ac:dyDescent="0.2">
      <c r="A964" s="34"/>
      <c r="B964" s="34"/>
      <c r="C964" s="7"/>
      <c r="D964" s="7"/>
      <c r="E964" s="98"/>
      <c r="F964" s="7"/>
      <c r="G964" s="7"/>
      <c r="H964" s="7"/>
      <c r="I964" s="93"/>
      <c r="J964" s="83"/>
      <c r="K964" s="25"/>
      <c r="L964" s="83"/>
      <c r="M964" s="25"/>
      <c r="N964" s="4"/>
      <c r="O964" s="4"/>
    </row>
    <row r="965" spans="1:15" x14ac:dyDescent="0.2">
      <c r="A965" s="34"/>
      <c r="B965" s="34"/>
      <c r="C965" s="7"/>
      <c r="D965" s="7"/>
      <c r="E965" s="98"/>
      <c r="F965" s="7"/>
      <c r="G965" s="7"/>
      <c r="H965" s="7"/>
      <c r="I965" s="93"/>
      <c r="J965" s="83"/>
      <c r="K965" s="25"/>
      <c r="L965" s="83"/>
      <c r="M965" s="25"/>
      <c r="N965" s="4"/>
      <c r="O965" s="4"/>
    </row>
    <row r="966" spans="1:15" x14ac:dyDescent="0.2">
      <c r="A966" s="34"/>
      <c r="B966" s="34"/>
      <c r="C966" s="7"/>
      <c r="D966" s="7"/>
      <c r="E966" s="98"/>
      <c r="F966" s="7"/>
      <c r="G966" s="7"/>
      <c r="H966" s="7"/>
      <c r="I966" s="93"/>
      <c r="J966" s="83"/>
      <c r="K966" s="25"/>
      <c r="L966" s="83"/>
      <c r="M966" s="25"/>
      <c r="N966" s="4"/>
      <c r="O966" s="4"/>
    </row>
    <row r="967" spans="1:15" x14ac:dyDescent="0.2">
      <c r="A967" s="34"/>
      <c r="B967" s="34"/>
      <c r="C967" s="7"/>
      <c r="D967" s="7"/>
      <c r="E967" s="98"/>
      <c r="F967" s="7"/>
      <c r="G967" s="7"/>
      <c r="H967" s="7"/>
      <c r="I967" s="93"/>
      <c r="J967" s="83"/>
      <c r="K967" s="25"/>
      <c r="L967" s="83"/>
      <c r="M967" s="25"/>
      <c r="N967" s="4"/>
      <c r="O967" s="4"/>
    </row>
    <row r="968" spans="1:15" x14ac:dyDescent="0.2">
      <c r="A968" s="34"/>
      <c r="B968" s="34"/>
      <c r="C968" s="7"/>
      <c r="D968" s="7"/>
      <c r="E968" s="98"/>
      <c r="F968" s="7"/>
      <c r="G968" s="7"/>
      <c r="H968" s="7"/>
      <c r="I968" s="93"/>
      <c r="J968" s="83"/>
      <c r="K968" s="25"/>
      <c r="L968" s="83"/>
      <c r="M968" s="25"/>
      <c r="N968" s="4"/>
      <c r="O968" s="4"/>
    </row>
    <row r="969" spans="1:15" x14ac:dyDescent="0.2">
      <c r="A969" s="34"/>
      <c r="B969" s="34"/>
      <c r="C969" s="7"/>
      <c r="D969" s="7"/>
      <c r="E969" s="98"/>
      <c r="F969" s="7"/>
      <c r="G969" s="7"/>
      <c r="H969" s="7"/>
      <c r="I969" s="93"/>
      <c r="J969" s="83"/>
      <c r="K969" s="25"/>
      <c r="L969" s="83"/>
      <c r="M969" s="25"/>
      <c r="N969" s="4"/>
      <c r="O969" s="4"/>
    </row>
    <row r="970" spans="1:15" x14ac:dyDescent="0.2">
      <c r="A970" s="34"/>
      <c r="B970" s="34"/>
      <c r="C970" s="7"/>
      <c r="D970" s="7"/>
      <c r="E970" s="98"/>
      <c r="F970" s="7"/>
      <c r="G970" s="7"/>
      <c r="H970" s="7"/>
      <c r="I970" s="93"/>
      <c r="J970" s="83"/>
      <c r="K970" s="25"/>
      <c r="L970" s="83"/>
      <c r="M970" s="25"/>
      <c r="N970" s="4"/>
      <c r="O970" s="4"/>
    </row>
    <row r="971" spans="1:15" x14ac:dyDescent="0.2">
      <c r="A971" s="34"/>
      <c r="B971" s="34"/>
      <c r="C971" s="7"/>
      <c r="D971" s="7"/>
      <c r="E971" s="98"/>
      <c r="F971" s="7"/>
      <c r="G971" s="7"/>
      <c r="H971" s="7"/>
      <c r="I971" s="93"/>
      <c r="J971" s="83"/>
      <c r="K971" s="25"/>
      <c r="L971" s="83"/>
      <c r="M971" s="25"/>
      <c r="N971" s="4"/>
      <c r="O971" s="4"/>
    </row>
    <row r="972" spans="1:15" x14ac:dyDescent="0.2">
      <c r="A972" s="34"/>
      <c r="B972" s="34"/>
      <c r="C972" s="7"/>
      <c r="D972" s="7"/>
      <c r="E972" s="98"/>
      <c r="F972" s="7"/>
      <c r="G972" s="7"/>
      <c r="H972" s="7"/>
      <c r="I972" s="93"/>
      <c r="J972" s="83"/>
      <c r="K972" s="25"/>
      <c r="L972" s="83"/>
      <c r="M972" s="25"/>
      <c r="N972" s="4"/>
      <c r="O972" s="4"/>
    </row>
    <row r="973" spans="1:15" x14ac:dyDescent="0.2">
      <c r="A973" s="34"/>
      <c r="B973" s="34"/>
      <c r="C973" s="7"/>
      <c r="D973" s="7"/>
      <c r="E973" s="98"/>
      <c r="F973" s="7"/>
      <c r="G973" s="7"/>
      <c r="H973" s="7"/>
      <c r="I973" s="93"/>
      <c r="J973" s="83"/>
      <c r="K973" s="25"/>
      <c r="L973" s="83"/>
      <c r="M973" s="25"/>
      <c r="N973" s="4"/>
      <c r="O973" s="4"/>
    </row>
    <row r="974" spans="1:15" x14ac:dyDescent="0.2">
      <c r="A974" s="34"/>
      <c r="B974" s="34"/>
      <c r="C974" s="7"/>
      <c r="D974" s="7"/>
      <c r="E974" s="98"/>
      <c r="F974" s="7"/>
      <c r="G974" s="7"/>
      <c r="H974" s="7"/>
      <c r="I974" s="93"/>
      <c r="J974" s="83"/>
      <c r="K974" s="25"/>
      <c r="L974" s="83"/>
      <c r="M974" s="25"/>
      <c r="N974" s="4"/>
      <c r="O974" s="4"/>
    </row>
    <row r="975" spans="1:15" x14ac:dyDescent="0.2">
      <c r="A975" s="34"/>
      <c r="B975" s="34"/>
      <c r="C975" s="7"/>
      <c r="D975" s="7"/>
      <c r="E975" s="98"/>
      <c r="F975" s="7"/>
      <c r="G975" s="7"/>
      <c r="H975" s="7"/>
      <c r="I975" s="93"/>
      <c r="J975" s="83"/>
      <c r="K975" s="25"/>
      <c r="L975" s="83"/>
      <c r="M975" s="25"/>
      <c r="N975" s="4"/>
      <c r="O975" s="4"/>
    </row>
    <row r="976" spans="1:15" x14ac:dyDescent="0.2">
      <c r="A976" s="34"/>
      <c r="B976" s="34"/>
      <c r="C976" s="7"/>
      <c r="D976" s="7"/>
      <c r="E976" s="98"/>
      <c r="F976" s="7"/>
      <c r="G976" s="7"/>
      <c r="H976" s="7"/>
      <c r="I976" s="93"/>
      <c r="J976" s="83"/>
      <c r="K976" s="25"/>
      <c r="L976" s="83"/>
      <c r="M976" s="25"/>
      <c r="N976" s="4"/>
      <c r="O976" s="4"/>
    </row>
    <row r="977" spans="1:15" x14ac:dyDescent="0.2">
      <c r="A977" s="34"/>
      <c r="B977" s="34"/>
      <c r="C977" s="7"/>
      <c r="D977" s="7"/>
      <c r="E977" s="98"/>
      <c r="F977" s="7"/>
      <c r="G977" s="7"/>
      <c r="H977" s="7"/>
      <c r="I977" s="93"/>
      <c r="J977" s="83"/>
      <c r="K977" s="25"/>
      <c r="L977" s="83"/>
      <c r="M977" s="25"/>
      <c r="N977" s="4"/>
      <c r="O977" s="4"/>
    </row>
    <row r="978" spans="1:15" x14ac:dyDescent="0.2">
      <c r="A978" s="34"/>
      <c r="B978" s="34"/>
      <c r="C978" s="7"/>
      <c r="D978" s="7"/>
      <c r="E978" s="98"/>
      <c r="F978" s="7"/>
      <c r="G978" s="7"/>
      <c r="H978" s="7"/>
      <c r="I978" s="93"/>
      <c r="J978" s="83"/>
      <c r="K978" s="25"/>
      <c r="L978" s="83"/>
      <c r="M978" s="25"/>
      <c r="N978" s="4"/>
      <c r="O978" s="4"/>
    </row>
    <row r="979" spans="1:15" x14ac:dyDescent="0.2">
      <c r="A979" s="34"/>
      <c r="B979" s="34"/>
      <c r="C979" s="7"/>
      <c r="D979" s="7"/>
      <c r="E979" s="98"/>
      <c r="F979" s="7"/>
      <c r="G979" s="7"/>
      <c r="H979" s="7"/>
      <c r="I979" s="93"/>
      <c r="J979" s="83"/>
      <c r="K979" s="25"/>
      <c r="L979" s="83"/>
      <c r="M979" s="25"/>
      <c r="N979" s="4"/>
      <c r="O979" s="4"/>
    </row>
    <row r="980" spans="1:15" x14ac:dyDescent="0.2">
      <c r="A980" s="34"/>
      <c r="B980" s="34"/>
      <c r="C980" s="7"/>
      <c r="D980" s="7"/>
      <c r="E980" s="98"/>
      <c r="F980" s="7"/>
      <c r="G980" s="7"/>
      <c r="H980" s="7"/>
      <c r="I980" s="93"/>
      <c r="J980" s="83"/>
      <c r="K980" s="25"/>
      <c r="L980" s="83"/>
      <c r="M980" s="25"/>
      <c r="N980" s="4"/>
      <c r="O980" s="4"/>
    </row>
    <row r="981" spans="1:15" x14ac:dyDescent="0.2">
      <c r="A981" s="34"/>
      <c r="B981" s="34"/>
      <c r="C981" s="7"/>
      <c r="D981" s="7"/>
      <c r="E981" s="98"/>
      <c r="F981" s="7"/>
      <c r="G981" s="7"/>
      <c r="H981" s="7"/>
      <c r="I981" s="93"/>
      <c r="J981" s="83"/>
      <c r="K981" s="25"/>
      <c r="L981" s="83"/>
      <c r="M981" s="25"/>
      <c r="N981" s="4"/>
      <c r="O981" s="4"/>
    </row>
    <row r="982" spans="1:15" x14ac:dyDescent="0.2">
      <c r="A982" s="34"/>
      <c r="B982" s="34"/>
      <c r="C982" s="7"/>
      <c r="D982" s="7"/>
      <c r="E982" s="98"/>
      <c r="F982" s="7"/>
      <c r="G982" s="7"/>
      <c r="H982" s="7"/>
      <c r="I982" s="93"/>
      <c r="J982" s="83"/>
      <c r="K982" s="25"/>
      <c r="L982" s="83"/>
      <c r="M982" s="25"/>
      <c r="N982" s="4"/>
      <c r="O982" s="4"/>
    </row>
    <row r="983" spans="1:15" x14ac:dyDescent="0.2">
      <c r="A983" s="34"/>
      <c r="B983" s="34"/>
      <c r="C983" s="7"/>
      <c r="D983" s="7"/>
      <c r="E983" s="98"/>
      <c r="F983" s="7"/>
      <c r="G983" s="7"/>
      <c r="H983" s="7"/>
      <c r="I983" s="93"/>
      <c r="J983" s="83"/>
      <c r="K983" s="25"/>
      <c r="L983" s="83"/>
      <c r="M983" s="25"/>
      <c r="N983" s="4"/>
      <c r="O983" s="4"/>
    </row>
    <row r="984" spans="1:15" x14ac:dyDescent="0.2">
      <c r="A984" s="34"/>
      <c r="B984" s="34"/>
      <c r="C984" s="7"/>
      <c r="D984" s="7"/>
      <c r="E984" s="98"/>
      <c r="F984" s="7"/>
      <c r="G984" s="7"/>
      <c r="H984" s="7"/>
      <c r="I984" s="93"/>
      <c r="J984" s="83"/>
      <c r="K984" s="25"/>
      <c r="L984" s="83"/>
      <c r="M984" s="25"/>
      <c r="N984" s="4"/>
      <c r="O984" s="4"/>
    </row>
    <row r="985" spans="1:15" x14ac:dyDescent="0.2">
      <c r="A985" s="34"/>
      <c r="B985" s="34"/>
      <c r="C985" s="7"/>
      <c r="D985" s="7"/>
      <c r="E985" s="98"/>
      <c r="F985" s="7"/>
      <c r="G985" s="7"/>
      <c r="H985" s="7"/>
      <c r="I985" s="93"/>
      <c r="J985" s="83"/>
      <c r="K985" s="25"/>
      <c r="L985" s="83"/>
      <c r="M985" s="25"/>
      <c r="N985" s="4"/>
      <c r="O985" s="4"/>
    </row>
    <row r="986" spans="1:15" x14ac:dyDescent="0.2">
      <c r="A986" s="34"/>
      <c r="B986" s="34"/>
      <c r="C986" s="7"/>
      <c r="D986" s="7"/>
      <c r="E986" s="98"/>
      <c r="F986" s="7"/>
      <c r="G986" s="7"/>
      <c r="H986" s="7"/>
      <c r="I986" s="93"/>
      <c r="J986" s="83"/>
      <c r="K986" s="25"/>
      <c r="L986" s="83"/>
      <c r="M986" s="25"/>
      <c r="N986" s="4"/>
      <c r="O986" s="4"/>
    </row>
    <row r="987" spans="1:15" x14ac:dyDescent="0.2">
      <c r="A987" s="34"/>
      <c r="B987" s="34"/>
      <c r="C987" s="7"/>
      <c r="D987" s="7"/>
      <c r="E987" s="98"/>
      <c r="F987" s="7"/>
      <c r="G987" s="7"/>
      <c r="H987" s="7"/>
      <c r="I987" s="93"/>
      <c r="J987" s="83"/>
      <c r="K987" s="25"/>
      <c r="L987" s="83"/>
      <c r="M987" s="25"/>
      <c r="N987" s="4"/>
      <c r="O987" s="4"/>
    </row>
    <row r="988" spans="1:15" x14ac:dyDescent="0.2">
      <c r="A988" s="34"/>
      <c r="B988" s="34"/>
      <c r="C988" s="7"/>
      <c r="D988" s="7"/>
      <c r="E988" s="98"/>
      <c r="F988" s="7"/>
      <c r="G988" s="7"/>
      <c r="H988" s="7"/>
      <c r="I988" s="93"/>
      <c r="J988" s="83"/>
      <c r="K988" s="25"/>
      <c r="L988" s="83"/>
      <c r="M988" s="25"/>
      <c r="N988" s="4"/>
      <c r="O988" s="4"/>
    </row>
    <row r="989" spans="1:15" x14ac:dyDescent="0.2">
      <c r="A989" s="34"/>
      <c r="B989" s="34"/>
      <c r="C989" s="7"/>
      <c r="D989" s="7"/>
      <c r="E989" s="98"/>
      <c r="F989" s="7"/>
      <c r="G989" s="7"/>
      <c r="H989" s="7"/>
      <c r="I989" s="93"/>
      <c r="J989" s="83"/>
      <c r="K989" s="25"/>
      <c r="L989" s="83"/>
      <c r="M989" s="25"/>
      <c r="N989" s="4"/>
      <c r="O989" s="4"/>
    </row>
    <row r="990" spans="1:15" x14ac:dyDescent="0.2">
      <c r="A990" s="34"/>
      <c r="B990" s="34"/>
      <c r="C990" s="7"/>
      <c r="D990" s="7"/>
      <c r="E990" s="98"/>
      <c r="F990" s="7"/>
      <c r="G990" s="7"/>
      <c r="H990" s="7"/>
      <c r="I990" s="93"/>
      <c r="J990" s="83"/>
      <c r="K990" s="25"/>
      <c r="L990" s="83"/>
      <c r="M990" s="25"/>
      <c r="N990" s="4"/>
      <c r="O990" s="4"/>
    </row>
    <row r="991" spans="1:15" x14ac:dyDescent="0.2">
      <c r="A991" s="34"/>
      <c r="B991" s="34"/>
      <c r="C991" s="7"/>
      <c r="D991" s="7"/>
      <c r="E991" s="98"/>
      <c r="F991" s="7"/>
      <c r="G991" s="7"/>
      <c r="H991" s="7"/>
      <c r="I991" s="93"/>
      <c r="J991" s="83"/>
      <c r="K991" s="25"/>
      <c r="L991" s="83"/>
      <c r="M991" s="25"/>
      <c r="N991" s="4"/>
      <c r="O991" s="4"/>
    </row>
    <row r="992" spans="1:15" x14ac:dyDescent="0.2">
      <c r="A992" s="34"/>
      <c r="B992" s="34"/>
      <c r="C992" s="7"/>
      <c r="D992" s="7"/>
      <c r="E992" s="98"/>
      <c r="F992" s="7"/>
      <c r="G992" s="7"/>
      <c r="H992" s="7"/>
      <c r="I992" s="93"/>
      <c r="J992" s="83"/>
      <c r="K992" s="25"/>
      <c r="L992" s="83"/>
      <c r="M992" s="25"/>
      <c r="N992" s="4"/>
      <c r="O992" s="4"/>
    </row>
    <row r="993" spans="1:15" x14ac:dyDescent="0.2">
      <c r="A993" s="34"/>
      <c r="B993" s="34"/>
      <c r="C993" s="7"/>
      <c r="D993" s="7"/>
      <c r="E993" s="98"/>
      <c r="F993" s="7"/>
      <c r="G993" s="7"/>
      <c r="H993" s="7"/>
      <c r="I993" s="93"/>
      <c r="J993" s="83"/>
      <c r="K993" s="25"/>
      <c r="L993" s="83"/>
      <c r="M993" s="25"/>
      <c r="N993" s="4"/>
      <c r="O993" s="4"/>
    </row>
    <row r="994" spans="1:15" x14ac:dyDescent="0.2">
      <c r="A994" s="34"/>
      <c r="B994" s="34"/>
      <c r="C994" s="7"/>
      <c r="D994" s="7"/>
      <c r="E994" s="98"/>
      <c r="F994" s="7"/>
      <c r="G994" s="7"/>
      <c r="H994" s="7"/>
      <c r="I994" s="93"/>
      <c r="J994" s="83"/>
      <c r="K994" s="25"/>
      <c r="L994" s="83"/>
      <c r="M994" s="25"/>
      <c r="N994" s="4"/>
      <c r="O994" s="4"/>
    </row>
    <row r="995" spans="1:15" x14ac:dyDescent="0.2">
      <c r="A995" s="34"/>
      <c r="B995" s="34"/>
      <c r="C995" s="7"/>
      <c r="D995" s="7"/>
      <c r="E995" s="98"/>
      <c r="F995" s="7"/>
      <c r="G995" s="7"/>
      <c r="H995" s="7"/>
      <c r="I995" s="93"/>
      <c r="J995" s="83"/>
      <c r="K995" s="25"/>
      <c r="L995" s="83"/>
      <c r="M995" s="25"/>
      <c r="N995" s="4"/>
      <c r="O995" s="4"/>
    </row>
    <row r="996" spans="1:15" x14ac:dyDescent="0.2">
      <c r="A996" s="34"/>
      <c r="B996" s="34"/>
      <c r="C996" s="7"/>
      <c r="D996" s="7"/>
      <c r="E996" s="98"/>
      <c r="F996" s="7"/>
      <c r="G996" s="7"/>
      <c r="H996" s="7"/>
      <c r="I996" s="93"/>
      <c r="J996" s="83"/>
      <c r="K996" s="25"/>
      <c r="L996" s="83"/>
      <c r="M996" s="25"/>
      <c r="N996" s="4"/>
      <c r="O996" s="4"/>
    </row>
    <row r="997" spans="1:15" x14ac:dyDescent="0.2">
      <c r="A997" s="34"/>
      <c r="B997" s="34"/>
      <c r="C997" s="7"/>
      <c r="D997" s="7"/>
      <c r="E997" s="98"/>
      <c r="F997" s="7"/>
      <c r="G997" s="7"/>
      <c r="H997" s="7"/>
      <c r="I997" s="93"/>
      <c r="J997" s="83"/>
      <c r="K997" s="25"/>
      <c r="L997" s="83"/>
      <c r="M997" s="25"/>
      <c r="N997" s="4"/>
      <c r="O997" s="4"/>
    </row>
    <row r="998" spans="1:15" x14ac:dyDescent="0.2">
      <c r="A998" s="34"/>
      <c r="B998" s="34"/>
      <c r="C998" s="7"/>
      <c r="D998" s="7"/>
      <c r="E998" s="98"/>
      <c r="F998" s="7"/>
      <c r="G998" s="7"/>
      <c r="H998" s="7"/>
      <c r="I998" s="93"/>
      <c r="J998" s="83"/>
      <c r="K998" s="25"/>
      <c r="L998" s="83"/>
      <c r="M998" s="25"/>
      <c r="N998" s="4"/>
      <c r="O998" s="4"/>
    </row>
    <row r="999" spans="1:15" x14ac:dyDescent="0.2">
      <c r="A999" s="34"/>
      <c r="B999" s="34"/>
      <c r="C999" s="7"/>
      <c r="D999" s="7"/>
      <c r="E999" s="98"/>
      <c r="F999" s="7"/>
      <c r="G999" s="7"/>
      <c r="H999" s="7"/>
      <c r="I999" s="93"/>
      <c r="J999" s="83"/>
      <c r="K999" s="25"/>
      <c r="L999" s="83"/>
      <c r="M999" s="25"/>
      <c r="N999" s="4"/>
      <c r="O999" s="4"/>
    </row>
    <row r="1000" spans="1:15" x14ac:dyDescent="0.2">
      <c r="A1000" s="34"/>
      <c r="B1000" s="34"/>
      <c r="C1000" s="7"/>
      <c r="D1000" s="7"/>
      <c r="E1000" s="98"/>
      <c r="F1000" s="7"/>
      <c r="G1000" s="7"/>
      <c r="H1000" s="7"/>
      <c r="I1000" s="93"/>
      <c r="J1000" s="83"/>
      <c r="K1000" s="25"/>
      <c r="L1000" s="83"/>
      <c r="M1000" s="25"/>
      <c r="N1000" s="4"/>
      <c r="O1000" s="4"/>
    </row>
    <row r="1001" spans="1:15" x14ac:dyDescent="0.2">
      <c r="A1001" s="34"/>
      <c r="B1001" s="34"/>
      <c r="C1001" s="7"/>
      <c r="D1001" s="7"/>
      <c r="E1001" s="98"/>
      <c r="F1001" s="7"/>
      <c r="G1001" s="7"/>
      <c r="H1001" s="7"/>
      <c r="I1001" s="93"/>
      <c r="J1001" s="83"/>
      <c r="K1001" s="25"/>
      <c r="L1001" s="83"/>
      <c r="M1001" s="25"/>
      <c r="N1001" s="4"/>
      <c r="O1001" s="4"/>
    </row>
    <row r="1002" spans="1:15" x14ac:dyDescent="0.2">
      <c r="A1002" s="34"/>
      <c r="B1002" s="34"/>
      <c r="C1002" s="7"/>
      <c r="D1002" s="7"/>
      <c r="E1002" s="98"/>
      <c r="F1002" s="7"/>
      <c r="G1002" s="7"/>
      <c r="H1002" s="7"/>
      <c r="I1002" s="93"/>
      <c r="J1002" s="83"/>
      <c r="K1002" s="25"/>
      <c r="L1002" s="83"/>
      <c r="M1002" s="25"/>
      <c r="N1002" s="4"/>
      <c r="O1002" s="4"/>
    </row>
    <row r="1003" spans="1:15" x14ac:dyDescent="0.2">
      <c r="A1003" s="34"/>
      <c r="B1003" s="34"/>
      <c r="C1003" s="7"/>
      <c r="D1003" s="7"/>
      <c r="E1003" s="98"/>
      <c r="F1003" s="7"/>
      <c r="G1003" s="7"/>
      <c r="H1003" s="7"/>
      <c r="I1003" s="93"/>
      <c r="J1003" s="83"/>
      <c r="K1003" s="25"/>
      <c r="L1003" s="83"/>
      <c r="M1003" s="25"/>
      <c r="N1003" s="4"/>
      <c r="O1003" s="4"/>
    </row>
    <row r="1004" spans="1:15" x14ac:dyDescent="0.2">
      <c r="A1004" s="34"/>
      <c r="B1004" s="34"/>
      <c r="C1004" s="7"/>
      <c r="D1004" s="7"/>
      <c r="E1004" s="98"/>
      <c r="F1004" s="7"/>
      <c r="G1004" s="7"/>
      <c r="H1004" s="7"/>
      <c r="I1004" s="93"/>
      <c r="J1004" s="83"/>
      <c r="K1004" s="25"/>
      <c r="L1004" s="83"/>
      <c r="M1004" s="25"/>
      <c r="N1004" s="4"/>
      <c r="O1004" s="4"/>
    </row>
    <row r="1005" spans="1:15" x14ac:dyDescent="0.2">
      <c r="A1005" s="34"/>
      <c r="B1005" s="34"/>
      <c r="C1005" s="7"/>
      <c r="D1005" s="7"/>
      <c r="E1005" s="98"/>
      <c r="F1005" s="7"/>
      <c r="G1005" s="7"/>
      <c r="H1005" s="7"/>
      <c r="I1005" s="93"/>
      <c r="J1005" s="83"/>
      <c r="K1005" s="25"/>
      <c r="L1005" s="83"/>
      <c r="M1005" s="25"/>
      <c r="N1005" s="4"/>
      <c r="O1005" s="4"/>
    </row>
    <row r="1006" spans="1:15" x14ac:dyDescent="0.2">
      <c r="A1006" s="34"/>
      <c r="B1006" s="34"/>
      <c r="C1006" s="7"/>
      <c r="D1006" s="7"/>
      <c r="E1006" s="98"/>
      <c r="F1006" s="7"/>
      <c r="G1006" s="7"/>
      <c r="H1006" s="7"/>
      <c r="I1006" s="93"/>
      <c r="J1006" s="83"/>
      <c r="K1006" s="25"/>
      <c r="L1006" s="83"/>
      <c r="M1006" s="25"/>
      <c r="N1006" s="4"/>
      <c r="O1006" s="4"/>
    </row>
    <row r="1007" spans="1:15" x14ac:dyDescent="0.2">
      <c r="A1007" s="34"/>
      <c r="B1007" s="34"/>
      <c r="C1007" s="7"/>
      <c r="D1007" s="7"/>
      <c r="E1007" s="98"/>
      <c r="F1007" s="7"/>
      <c r="G1007" s="7"/>
      <c r="H1007" s="7"/>
      <c r="I1007" s="93"/>
      <c r="J1007" s="83"/>
      <c r="K1007" s="25"/>
      <c r="L1007" s="83"/>
      <c r="M1007" s="25"/>
      <c r="N1007" s="4"/>
      <c r="O1007" s="4"/>
    </row>
    <row r="1008" spans="1:15" x14ac:dyDescent="0.2">
      <c r="A1008" s="34"/>
      <c r="B1008" s="34"/>
      <c r="C1008" s="7"/>
      <c r="D1008" s="7"/>
      <c r="E1008" s="98"/>
      <c r="F1008" s="7"/>
      <c r="G1008" s="7"/>
      <c r="H1008" s="7"/>
      <c r="I1008" s="93"/>
      <c r="J1008" s="83"/>
      <c r="K1008" s="25"/>
      <c r="L1008" s="83"/>
      <c r="M1008" s="25"/>
      <c r="N1008" s="4"/>
      <c r="O1008" s="4"/>
    </row>
    <row r="1009" spans="1:15" x14ac:dyDescent="0.2">
      <c r="A1009" s="34"/>
      <c r="B1009" s="34"/>
      <c r="C1009" s="7"/>
      <c r="D1009" s="7"/>
      <c r="E1009" s="98"/>
      <c r="F1009" s="7"/>
      <c r="G1009" s="7"/>
      <c r="H1009" s="7"/>
      <c r="I1009" s="93"/>
      <c r="J1009" s="83"/>
      <c r="K1009" s="25"/>
      <c r="L1009" s="83"/>
      <c r="M1009" s="25"/>
      <c r="N1009" s="4"/>
      <c r="O1009" s="4"/>
    </row>
    <row r="1010" spans="1:15" x14ac:dyDescent="0.2">
      <c r="A1010" s="34"/>
      <c r="B1010" s="34"/>
      <c r="C1010" s="7"/>
      <c r="D1010" s="7"/>
      <c r="E1010" s="98"/>
      <c r="F1010" s="7"/>
      <c r="G1010" s="7"/>
      <c r="H1010" s="7"/>
      <c r="I1010" s="93"/>
      <c r="J1010" s="83"/>
      <c r="K1010" s="25"/>
      <c r="L1010" s="83"/>
      <c r="M1010" s="25"/>
      <c r="N1010" s="4"/>
      <c r="O1010" s="4"/>
    </row>
    <row r="1011" spans="1:15" x14ac:dyDescent="0.2">
      <c r="A1011" s="34"/>
      <c r="B1011" s="34"/>
      <c r="C1011" s="7"/>
      <c r="D1011" s="7"/>
      <c r="E1011" s="98"/>
      <c r="F1011" s="7"/>
      <c r="G1011" s="7"/>
      <c r="H1011" s="7"/>
      <c r="I1011" s="93"/>
      <c r="J1011" s="83"/>
      <c r="K1011" s="25"/>
      <c r="L1011" s="83"/>
      <c r="M1011" s="25"/>
      <c r="N1011" s="4"/>
      <c r="O1011" s="4"/>
    </row>
    <row r="1012" spans="1:15" x14ac:dyDescent="0.2">
      <c r="A1012" s="34"/>
      <c r="B1012" s="34"/>
      <c r="C1012" s="7"/>
      <c r="D1012" s="7"/>
      <c r="E1012" s="98"/>
      <c r="F1012" s="7"/>
      <c r="G1012" s="7"/>
      <c r="H1012" s="7"/>
      <c r="I1012" s="93"/>
      <c r="J1012" s="83"/>
      <c r="K1012" s="25"/>
      <c r="L1012" s="83"/>
      <c r="M1012" s="25"/>
      <c r="N1012" s="4"/>
      <c r="O1012" s="4"/>
    </row>
    <row r="1013" spans="1:15" x14ac:dyDescent="0.2">
      <c r="A1013" s="34"/>
      <c r="B1013" s="34"/>
      <c r="C1013" s="7"/>
      <c r="D1013" s="7"/>
      <c r="E1013" s="98"/>
      <c r="F1013" s="7"/>
      <c r="G1013" s="7"/>
      <c r="H1013" s="7"/>
      <c r="I1013" s="93"/>
      <c r="J1013" s="83"/>
      <c r="K1013" s="25"/>
      <c r="L1013" s="83"/>
      <c r="M1013" s="25"/>
      <c r="N1013" s="4"/>
      <c r="O1013" s="4"/>
    </row>
    <row r="1014" spans="1:15" x14ac:dyDescent="0.2">
      <c r="A1014" s="34"/>
      <c r="B1014" s="34"/>
      <c r="C1014" s="7"/>
      <c r="D1014" s="7"/>
      <c r="E1014" s="98"/>
      <c r="F1014" s="7"/>
      <c r="G1014" s="7"/>
      <c r="H1014" s="7"/>
      <c r="I1014" s="93"/>
      <c r="J1014" s="83"/>
      <c r="K1014" s="25"/>
      <c r="L1014" s="83"/>
      <c r="M1014" s="25"/>
      <c r="N1014" s="4"/>
      <c r="O1014" s="4"/>
    </row>
    <row r="1015" spans="1:15" x14ac:dyDescent="0.2">
      <c r="A1015" s="34"/>
      <c r="B1015" s="34"/>
      <c r="C1015" s="7"/>
      <c r="D1015" s="7"/>
      <c r="E1015" s="98"/>
      <c r="F1015" s="7"/>
      <c r="G1015" s="7"/>
      <c r="H1015" s="7"/>
      <c r="I1015" s="93"/>
      <c r="J1015" s="83"/>
      <c r="K1015" s="25"/>
      <c r="L1015" s="83"/>
      <c r="M1015" s="25"/>
      <c r="N1015" s="4"/>
      <c r="O1015" s="4"/>
    </row>
    <row r="1016" spans="1:15" x14ac:dyDescent="0.2">
      <c r="A1016" s="34"/>
      <c r="B1016" s="34"/>
      <c r="C1016" s="7"/>
      <c r="D1016" s="7"/>
      <c r="E1016" s="98"/>
      <c r="F1016" s="7"/>
      <c r="G1016" s="7"/>
      <c r="H1016" s="7"/>
      <c r="I1016" s="93"/>
      <c r="J1016" s="83"/>
      <c r="K1016" s="25"/>
      <c r="L1016" s="83"/>
      <c r="M1016" s="25"/>
      <c r="N1016" s="4"/>
      <c r="O1016" s="4"/>
    </row>
    <row r="1017" spans="1:15" x14ac:dyDescent="0.2">
      <c r="A1017" s="34"/>
      <c r="B1017" s="34"/>
      <c r="C1017" s="7"/>
      <c r="D1017" s="7"/>
      <c r="E1017" s="98"/>
      <c r="F1017" s="7"/>
      <c r="G1017" s="7"/>
      <c r="H1017" s="7"/>
      <c r="I1017" s="93"/>
      <c r="J1017" s="83"/>
      <c r="K1017" s="25"/>
      <c r="L1017" s="83"/>
      <c r="M1017" s="25"/>
      <c r="N1017" s="4"/>
      <c r="O1017" s="4"/>
    </row>
    <row r="1018" spans="1:15" x14ac:dyDescent="0.2">
      <c r="A1018" s="34"/>
      <c r="B1018" s="34"/>
      <c r="C1018" s="7"/>
      <c r="D1018" s="7"/>
      <c r="E1018" s="98"/>
      <c r="F1018" s="7"/>
      <c r="G1018" s="7"/>
      <c r="H1018" s="7"/>
      <c r="I1018" s="93"/>
      <c r="J1018" s="83"/>
      <c r="K1018" s="25"/>
      <c r="L1018" s="83"/>
      <c r="M1018" s="25"/>
      <c r="N1018" s="4"/>
      <c r="O1018" s="4"/>
    </row>
    <row r="1019" spans="1:15" x14ac:dyDescent="0.2">
      <c r="A1019" s="34"/>
      <c r="B1019" s="34"/>
      <c r="C1019" s="7"/>
      <c r="D1019" s="7"/>
      <c r="E1019" s="98"/>
      <c r="F1019" s="7"/>
      <c r="G1019" s="7"/>
      <c r="H1019" s="7"/>
      <c r="I1019" s="93"/>
      <c r="J1019" s="83"/>
      <c r="K1019" s="25"/>
      <c r="L1019" s="83"/>
      <c r="M1019" s="25"/>
      <c r="N1019" s="4"/>
      <c r="O1019" s="4"/>
    </row>
    <row r="1020" spans="1:15" x14ac:dyDescent="0.2">
      <c r="A1020" s="34"/>
      <c r="B1020" s="34"/>
      <c r="C1020" s="7"/>
      <c r="D1020" s="7"/>
      <c r="E1020" s="98"/>
      <c r="F1020" s="7"/>
      <c r="G1020" s="7"/>
      <c r="H1020" s="7"/>
      <c r="I1020" s="93"/>
      <c r="J1020" s="83"/>
      <c r="K1020" s="25"/>
      <c r="L1020" s="83"/>
      <c r="M1020" s="25"/>
      <c r="N1020" s="4"/>
      <c r="O1020" s="4"/>
    </row>
    <row r="1021" spans="1:15" x14ac:dyDescent="0.2">
      <c r="A1021" s="34"/>
      <c r="B1021" s="34"/>
      <c r="C1021" s="7"/>
      <c r="D1021" s="7"/>
      <c r="E1021" s="98"/>
      <c r="F1021" s="7"/>
      <c r="G1021" s="7"/>
      <c r="H1021" s="7"/>
      <c r="I1021" s="93"/>
      <c r="J1021" s="83"/>
      <c r="K1021" s="25"/>
      <c r="L1021" s="83"/>
      <c r="M1021" s="25"/>
      <c r="N1021" s="4"/>
      <c r="O1021" s="4"/>
    </row>
    <row r="1022" spans="1:15" x14ac:dyDescent="0.2">
      <c r="A1022" s="34"/>
      <c r="B1022" s="34"/>
      <c r="C1022" s="7"/>
      <c r="D1022" s="7"/>
      <c r="E1022" s="98"/>
      <c r="F1022" s="7"/>
      <c r="G1022" s="7"/>
      <c r="H1022" s="7"/>
      <c r="I1022" s="93"/>
      <c r="J1022" s="83"/>
      <c r="K1022" s="25"/>
      <c r="L1022" s="83"/>
      <c r="M1022" s="25"/>
      <c r="N1022" s="4"/>
      <c r="O1022" s="4"/>
    </row>
    <row r="1023" spans="1:15" x14ac:dyDescent="0.2">
      <c r="A1023" s="34"/>
      <c r="B1023" s="34"/>
      <c r="C1023" s="7"/>
      <c r="D1023" s="7"/>
      <c r="E1023" s="98"/>
      <c r="F1023" s="7"/>
      <c r="G1023" s="7"/>
      <c r="H1023" s="7"/>
      <c r="I1023" s="93"/>
      <c r="J1023" s="83"/>
      <c r="K1023" s="25"/>
      <c r="L1023" s="83"/>
      <c r="M1023" s="25"/>
      <c r="N1023" s="4"/>
      <c r="O1023" s="4"/>
    </row>
    <row r="1024" spans="1:15" x14ac:dyDescent="0.2">
      <c r="A1024" s="34"/>
      <c r="B1024" s="34"/>
      <c r="C1024" s="7"/>
      <c r="D1024" s="7"/>
      <c r="E1024" s="98"/>
      <c r="F1024" s="7"/>
      <c r="G1024" s="7"/>
      <c r="H1024" s="7"/>
      <c r="I1024" s="93"/>
      <c r="J1024" s="83"/>
      <c r="K1024" s="25"/>
      <c r="L1024" s="83"/>
      <c r="M1024" s="25"/>
      <c r="N1024" s="4"/>
      <c r="O1024" s="4"/>
    </row>
    <row r="1025" spans="1:15" x14ac:dyDescent="0.2">
      <c r="A1025" s="34"/>
      <c r="B1025" s="34"/>
      <c r="C1025" s="7"/>
      <c r="D1025" s="7"/>
      <c r="E1025" s="98"/>
      <c r="F1025" s="7"/>
      <c r="G1025" s="7"/>
      <c r="H1025" s="7"/>
      <c r="I1025" s="93"/>
      <c r="J1025" s="83"/>
      <c r="K1025" s="25"/>
      <c r="L1025" s="83"/>
      <c r="M1025" s="25"/>
      <c r="N1025" s="4"/>
      <c r="O1025" s="4"/>
    </row>
    <row r="1026" spans="1:15" x14ac:dyDescent="0.2">
      <c r="A1026" s="34"/>
      <c r="B1026" s="34"/>
      <c r="C1026" s="7"/>
      <c r="D1026" s="7"/>
      <c r="E1026" s="98"/>
      <c r="F1026" s="7"/>
      <c r="G1026" s="7"/>
      <c r="H1026" s="7"/>
      <c r="I1026" s="93"/>
      <c r="J1026" s="83"/>
      <c r="K1026" s="25"/>
      <c r="L1026" s="83"/>
      <c r="M1026" s="25"/>
      <c r="N1026" s="4"/>
      <c r="O1026" s="4"/>
    </row>
    <row r="1027" spans="1:15" x14ac:dyDescent="0.2">
      <c r="A1027" s="34"/>
      <c r="B1027" s="34"/>
      <c r="C1027" s="7"/>
      <c r="D1027" s="7"/>
      <c r="E1027" s="98"/>
      <c r="F1027" s="7"/>
      <c r="G1027" s="7"/>
      <c r="H1027" s="7"/>
      <c r="I1027" s="93"/>
      <c r="J1027" s="83"/>
      <c r="K1027" s="25"/>
      <c r="L1027" s="83"/>
      <c r="M1027" s="25"/>
      <c r="N1027" s="4"/>
      <c r="O1027" s="4"/>
    </row>
    <row r="1028" spans="1:15" x14ac:dyDescent="0.2">
      <c r="A1028" s="34"/>
      <c r="B1028" s="34"/>
      <c r="C1028" s="7"/>
      <c r="D1028" s="7"/>
      <c r="E1028" s="98"/>
      <c r="F1028" s="7"/>
      <c r="G1028" s="7"/>
      <c r="H1028" s="7"/>
      <c r="I1028" s="93"/>
      <c r="J1028" s="83"/>
      <c r="K1028" s="25"/>
      <c r="L1028" s="83"/>
      <c r="M1028" s="25"/>
      <c r="N1028" s="4"/>
      <c r="O1028" s="4"/>
    </row>
    <row r="1029" spans="1:15" x14ac:dyDescent="0.2">
      <c r="A1029" s="34"/>
      <c r="B1029" s="34"/>
      <c r="C1029" s="7"/>
      <c r="D1029" s="7"/>
      <c r="E1029" s="98"/>
      <c r="F1029" s="7"/>
      <c r="G1029" s="7"/>
      <c r="H1029" s="7"/>
      <c r="I1029" s="93"/>
      <c r="J1029" s="83"/>
      <c r="K1029" s="25"/>
      <c r="L1029" s="83"/>
      <c r="M1029" s="25"/>
      <c r="N1029" s="4"/>
      <c r="O1029" s="4"/>
    </row>
    <row r="1030" spans="1:15" x14ac:dyDescent="0.2">
      <c r="A1030" s="34"/>
      <c r="B1030" s="34"/>
      <c r="C1030" s="7"/>
      <c r="D1030" s="7"/>
      <c r="E1030" s="98"/>
      <c r="F1030" s="7"/>
      <c r="G1030" s="7"/>
      <c r="H1030" s="7"/>
      <c r="I1030" s="93"/>
      <c r="J1030" s="83"/>
      <c r="K1030" s="25"/>
      <c r="L1030" s="83"/>
      <c r="M1030" s="25"/>
      <c r="N1030" s="4"/>
      <c r="O1030" s="4"/>
    </row>
    <row r="1031" spans="1:15" x14ac:dyDescent="0.2">
      <c r="A1031" s="34"/>
      <c r="B1031" s="34"/>
      <c r="C1031" s="7"/>
      <c r="D1031" s="7"/>
      <c r="E1031" s="98"/>
      <c r="F1031" s="7"/>
      <c r="G1031" s="7"/>
      <c r="H1031" s="7"/>
      <c r="I1031" s="93"/>
      <c r="J1031" s="83"/>
      <c r="K1031" s="25"/>
      <c r="L1031" s="83"/>
      <c r="M1031" s="25"/>
      <c r="N1031" s="4"/>
      <c r="O1031" s="4"/>
    </row>
    <row r="1032" spans="1:15" x14ac:dyDescent="0.2">
      <c r="A1032" s="34"/>
      <c r="B1032" s="34"/>
      <c r="C1032" s="7"/>
      <c r="D1032" s="7"/>
      <c r="E1032" s="98"/>
      <c r="F1032" s="7"/>
      <c r="G1032" s="7"/>
      <c r="H1032" s="7"/>
      <c r="I1032" s="93"/>
      <c r="J1032" s="83"/>
      <c r="K1032" s="25"/>
      <c r="L1032" s="83"/>
      <c r="M1032" s="25"/>
      <c r="N1032" s="4"/>
      <c r="O1032" s="4"/>
    </row>
    <row r="1033" spans="1:15" x14ac:dyDescent="0.2">
      <c r="A1033" s="34"/>
      <c r="B1033" s="34"/>
      <c r="C1033" s="7"/>
      <c r="D1033" s="7"/>
      <c r="E1033" s="98"/>
      <c r="F1033" s="7"/>
      <c r="G1033" s="7"/>
      <c r="H1033" s="7"/>
      <c r="I1033" s="93"/>
      <c r="J1033" s="83"/>
      <c r="K1033" s="25"/>
      <c r="L1033" s="83"/>
      <c r="M1033" s="25"/>
      <c r="N1033" s="4"/>
      <c r="O1033" s="4"/>
    </row>
    <row r="1034" spans="1:15" x14ac:dyDescent="0.2">
      <c r="A1034" s="34"/>
      <c r="B1034" s="34"/>
      <c r="C1034" s="7"/>
      <c r="D1034" s="7"/>
      <c r="E1034" s="98"/>
      <c r="F1034" s="7"/>
      <c r="G1034" s="7"/>
      <c r="H1034" s="7"/>
      <c r="I1034" s="93"/>
      <c r="J1034" s="83"/>
      <c r="K1034" s="25"/>
      <c r="L1034" s="83"/>
      <c r="M1034" s="25"/>
      <c r="N1034" s="4"/>
      <c r="O1034" s="4"/>
    </row>
    <row r="1035" spans="1:15" x14ac:dyDescent="0.2">
      <c r="A1035" s="7"/>
      <c r="B1035" s="7"/>
      <c r="C1035" s="7"/>
      <c r="D1035" s="7"/>
      <c r="E1035" s="7"/>
      <c r="F1035" s="7"/>
      <c r="G1035" s="7"/>
      <c r="H1035" s="7"/>
      <c r="I1035" s="93"/>
      <c r="J1035" s="83"/>
      <c r="K1035" s="25"/>
      <c r="L1035" s="83"/>
      <c r="M1035" s="25"/>
      <c r="N1035" s="4"/>
      <c r="O1035" s="4"/>
    </row>
    <row r="1036" spans="1:15" x14ac:dyDescent="0.2">
      <c r="A1036" s="7"/>
      <c r="B1036" s="7"/>
      <c r="C1036" s="7"/>
      <c r="D1036" s="7"/>
      <c r="E1036" s="7"/>
      <c r="F1036" s="7"/>
      <c r="G1036" s="7"/>
      <c r="H1036" s="7"/>
      <c r="I1036" s="93"/>
      <c r="J1036" s="83"/>
      <c r="K1036" s="25"/>
      <c r="L1036" s="83"/>
      <c r="M1036" s="25"/>
      <c r="N1036" s="4"/>
      <c r="O1036" s="4"/>
    </row>
    <row r="1037" spans="1:15" x14ac:dyDescent="0.2">
      <c r="A1037" s="7"/>
      <c r="B1037" s="7"/>
      <c r="C1037" s="7"/>
      <c r="D1037" s="7"/>
      <c r="E1037" s="7"/>
      <c r="F1037" s="7"/>
      <c r="G1037" s="7"/>
      <c r="H1037" s="7"/>
      <c r="I1037" s="93"/>
      <c r="J1037" s="83"/>
      <c r="K1037" s="25"/>
      <c r="L1037" s="83"/>
      <c r="M1037" s="25"/>
      <c r="N1037" s="4"/>
      <c r="O1037" s="4"/>
    </row>
    <row r="1038" spans="1:15" x14ac:dyDescent="0.2">
      <c r="A1038" s="7"/>
      <c r="B1038" s="7"/>
      <c r="C1038" s="7"/>
      <c r="D1038" s="7"/>
      <c r="E1038" s="7"/>
      <c r="F1038" s="7"/>
      <c r="G1038" s="7"/>
      <c r="H1038" s="7"/>
      <c r="I1038" s="93"/>
      <c r="J1038" s="83"/>
      <c r="K1038" s="25"/>
      <c r="L1038" s="83"/>
      <c r="M1038" s="25"/>
      <c r="N1038" s="4"/>
      <c r="O1038" s="4"/>
    </row>
    <row r="1039" spans="1:15" x14ac:dyDescent="0.2">
      <c r="A1039" s="7"/>
      <c r="B1039" s="7"/>
      <c r="C1039" s="7"/>
      <c r="D1039" s="7"/>
      <c r="E1039" s="7"/>
      <c r="F1039" s="7"/>
      <c r="G1039" s="7"/>
      <c r="H1039" s="7"/>
      <c r="I1039" s="93"/>
      <c r="J1039" s="83"/>
      <c r="K1039" s="25"/>
      <c r="L1039" s="83"/>
      <c r="M1039" s="25"/>
      <c r="N1039" s="4"/>
      <c r="O1039" s="4"/>
    </row>
    <row r="1040" spans="1:15" x14ac:dyDescent="0.2">
      <c r="A1040" s="7"/>
      <c r="B1040" s="7"/>
      <c r="C1040" s="7"/>
      <c r="D1040" s="7"/>
      <c r="E1040" s="7"/>
      <c r="F1040" s="7"/>
      <c r="G1040" s="7"/>
      <c r="H1040" s="7"/>
      <c r="I1040" s="93"/>
      <c r="J1040" s="83"/>
      <c r="K1040" s="25"/>
      <c r="L1040" s="83"/>
      <c r="M1040" s="25"/>
      <c r="N1040" s="4"/>
      <c r="O1040" s="4"/>
    </row>
    <row r="1041" spans="1:15" x14ac:dyDescent="0.2">
      <c r="A1041" s="7"/>
      <c r="B1041" s="7"/>
      <c r="C1041" s="7"/>
      <c r="D1041" s="7"/>
      <c r="E1041" s="7"/>
      <c r="F1041" s="7"/>
      <c r="G1041" s="7"/>
      <c r="H1041" s="7"/>
      <c r="I1041" s="93"/>
      <c r="J1041" s="83"/>
      <c r="K1041" s="25"/>
      <c r="L1041" s="83"/>
      <c r="M1041" s="25"/>
      <c r="N1041" s="4"/>
      <c r="O1041" s="4"/>
    </row>
    <row r="1042" spans="1:15" x14ac:dyDescent="0.2">
      <c r="A1042" s="7"/>
      <c r="B1042" s="7"/>
      <c r="C1042" s="7"/>
      <c r="D1042" s="7"/>
      <c r="E1042" s="7"/>
      <c r="F1042" s="7"/>
      <c r="G1042" s="7"/>
      <c r="H1042" s="7"/>
      <c r="I1042" s="93"/>
      <c r="J1042" s="83"/>
      <c r="K1042" s="25"/>
      <c r="L1042" s="83"/>
      <c r="M1042" s="25"/>
      <c r="N1042" s="4"/>
      <c r="O1042" s="4"/>
    </row>
    <row r="1043" spans="1:15" x14ac:dyDescent="0.2">
      <c r="A1043" s="7"/>
      <c r="B1043" s="7"/>
      <c r="C1043" s="7"/>
      <c r="D1043" s="7"/>
      <c r="E1043" s="7"/>
      <c r="F1043" s="7"/>
      <c r="G1043" s="7"/>
      <c r="H1043" s="7"/>
      <c r="I1043" s="93"/>
      <c r="J1043" s="83"/>
      <c r="K1043" s="25"/>
      <c r="L1043" s="83"/>
      <c r="M1043" s="25"/>
      <c r="N1043" s="4"/>
      <c r="O1043" s="4"/>
    </row>
    <row r="1044" spans="1:15" x14ac:dyDescent="0.2">
      <c r="A1044" s="7"/>
      <c r="B1044" s="7"/>
      <c r="C1044" s="7"/>
      <c r="D1044" s="7"/>
      <c r="E1044" s="7"/>
      <c r="F1044" s="7"/>
      <c r="G1044" s="7"/>
      <c r="H1044" s="7"/>
      <c r="I1044" s="93"/>
      <c r="J1044" s="83"/>
      <c r="K1044" s="25"/>
      <c r="L1044" s="83"/>
      <c r="M1044" s="25"/>
      <c r="N1044" s="4"/>
      <c r="O1044" s="4"/>
    </row>
    <row r="1045" spans="1:15" x14ac:dyDescent="0.2">
      <c r="A1045" s="7"/>
      <c r="B1045" s="7"/>
      <c r="C1045" s="7"/>
      <c r="D1045" s="7"/>
      <c r="E1045" s="7"/>
      <c r="F1045" s="7"/>
      <c r="G1045" s="7"/>
      <c r="H1045" s="7"/>
      <c r="I1045" s="93"/>
      <c r="J1045" s="83"/>
      <c r="K1045" s="25"/>
      <c r="L1045" s="83"/>
      <c r="M1045" s="25"/>
      <c r="N1045" s="4"/>
      <c r="O1045" s="4"/>
    </row>
    <row r="1046" spans="1:15" x14ac:dyDescent="0.2">
      <c r="A1046" s="7"/>
      <c r="B1046" s="7"/>
      <c r="C1046" s="7"/>
      <c r="D1046" s="7"/>
      <c r="E1046" s="7"/>
      <c r="F1046" s="7"/>
      <c r="G1046" s="7"/>
      <c r="H1046" s="7"/>
      <c r="I1046" s="93"/>
      <c r="J1046" s="83"/>
      <c r="K1046" s="25"/>
      <c r="L1046" s="83"/>
      <c r="M1046" s="25"/>
      <c r="N1046" s="4"/>
      <c r="O1046" s="4"/>
    </row>
    <row r="1047" spans="1:15" x14ac:dyDescent="0.2">
      <c r="A1047" s="7"/>
      <c r="B1047" s="7"/>
      <c r="C1047" s="7"/>
      <c r="D1047" s="7"/>
      <c r="E1047" s="7"/>
      <c r="F1047" s="7"/>
      <c r="G1047" s="7"/>
      <c r="H1047" s="7"/>
      <c r="I1047" s="93"/>
      <c r="J1047" s="83"/>
      <c r="K1047" s="25"/>
      <c r="L1047" s="83"/>
      <c r="M1047" s="25"/>
      <c r="N1047" s="4"/>
      <c r="O1047" s="4"/>
    </row>
    <row r="1048" spans="1:15" x14ac:dyDescent="0.2">
      <c r="A1048" s="7"/>
      <c r="B1048" s="7"/>
      <c r="C1048" s="7"/>
      <c r="D1048" s="7"/>
      <c r="E1048" s="7"/>
      <c r="F1048" s="7"/>
      <c r="G1048" s="7"/>
      <c r="H1048" s="7"/>
      <c r="I1048" s="93"/>
      <c r="J1048" s="83"/>
      <c r="K1048" s="25"/>
      <c r="L1048" s="83"/>
      <c r="M1048" s="25"/>
      <c r="N1048" s="4"/>
      <c r="O1048" s="4"/>
    </row>
    <row r="1049" spans="1:15" x14ac:dyDescent="0.2">
      <c r="A1049" s="7"/>
      <c r="B1049" s="7"/>
      <c r="C1049" s="7"/>
      <c r="D1049" s="7"/>
      <c r="E1049" s="7"/>
      <c r="F1049" s="7"/>
      <c r="G1049" s="7"/>
      <c r="H1049" s="7"/>
      <c r="I1049" s="93"/>
      <c r="J1049" s="83"/>
      <c r="K1049" s="25"/>
      <c r="L1049" s="83"/>
      <c r="M1049" s="25"/>
      <c r="N1049" s="4"/>
      <c r="O1049" s="4"/>
    </row>
    <row r="1050" spans="1:15" x14ac:dyDescent="0.2">
      <c r="A1050" s="7"/>
      <c r="B1050" s="7"/>
      <c r="C1050" s="7"/>
      <c r="D1050" s="7"/>
      <c r="E1050" s="7"/>
      <c r="F1050" s="7"/>
      <c r="G1050" s="7"/>
      <c r="H1050" s="7"/>
      <c r="I1050" s="20"/>
      <c r="J1050" s="5"/>
      <c r="K1050" s="25"/>
      <c r="L1050" s="83"/>
      <c r="M1050" s="25"/>
      <c r="N1050" s="4"/>
      <c r="O1050" s="4"/>
    </row>
    <row r="1051" spans="1:15" x14ac:dyDescent="0.2">
      <c r="A1051" s="7"/>
      <c r="B1051" s="7"/>
      <c r="C1051" s="7"/>
      <c r="D1051" s="7"/>
      <c r="E1051" s="7"/>
      <c r="F1051" s="7"/>
      <c r="G1051" s="7"/>
      <c r="H1051" s="7"/>
      <c r="I1051" s="20"/>
      <c r="J1051" s="5"/>
      <c r="K1051" s="25"/>
      <c r="L1051" s="83"/>
      <c r="M1051" s="25"/>
      <c r="N1051" s="4"/>
      <c r="O1051" s="4"/>
    </row>
    <row r="1052" spans="1:15" x14ac:dyDescent="0.2">
      <c r="A1052" s="7"/>
      <c r="B1052" s="7"/>
      <c r="C1052" s="7"/>
      <c r="D1052" s="7"/>
      <c r="E1052" s="7"/>
      <c r="F1052" s="7"/>
      <c r="G1052" s="7"/>
      <c r="H1052" s="7"/>
      <c r="I1052" s="20"/>
      <c r="J1052" s="5"/>
      <c r="K1052" s="25"/>
      <c r="L1052" s="83"/>
      <c r="M1052" s="25"/>
      <c r="N1052" s="4"/>
      <c r="O1052" s="4"/>
    </row>
    <row r="1053" spans="1:15" x14ac:dyDescent="0.2">
      <c r="A1053" s="7"/>
      <c r="B1053" s="7"/>
      <c r="C1053" s="7"/>
      <c r="D1053" s="7"/>
      <c r="E1053" s="7"/>
      <c r="F1053" s="7"/>
      <c r="G1053" s="7"/>
      <c r="H1053" s="7"/>
      <c r="I1053" s="20"/>
      <c r="J1053" s="5"/>
      <c r="K1053" s="25"/>
      <c r="L1053" s="83"/>
      <c r="M1053" s="25"/>
      <c r="N1053" s="4"/>
      <c r="O1053" s="4"/>
    </row>
    <row r="1054" spans="1:15" x14ac:dyDescent="0.2">
      <c r="A1054" s="7"/>
      <c r="B1054" s="7"/>
      <c r="C1054" s="7"/>
      <c r="D1054" s="7"/>
      <c r="E1054" s="7"/>
      <c r="F1054" s="7"/>
      <c r="G1054" s="7"/>
      <c r="H1054" s="7"/>
      <c r="I1054" s="20"/>
      <c r="J1054" s="5"/>
      <c r="K1054" s="25"/>
      <c r="L1054" s="83"/>
      <c r="M1054" s="25"/>
      <c r="N1054" s="4"/>
      <c r="O1054" s="4"/>
    </row>
    <row r="1055" spans="1:15" x14ac:dyDescent="0.2">
      <c r="A1055" s="7"/>
      <c r="B1055" s="7"/>
      <c r="C1055" s="7"/>
      <c r="D1055" s="7"/>
      <c r="E1055" s="7"/>
      <c r="F1055" s="7"/>
      <c r="G1055" s="7"/>
      <c r="H1055" s="7"/>
      <c r="I1055" s="20"/>
      <c r="J1055" s="5"/>
      <c r="K1055" s="25"/>
      <c r="L1055" s="83"/>
      <c r="M1055" s="25"/>
      <c r="N1055" s="4"/>
      <c r="O1055" s="4"/>
    </row>
    <row r="1056" spans="1:15" x14ac:dyDescent="0.2">
      <c r="A1056" s="7"/>
      <c r="B1056" s="7"/>
      <c r="C1056" s="7"/>
      <c r="D1056" s="7"/>
      <c r="E1056" s="7"/>
      <c r="F1056" s="7"/>
      <c r="G1056" s="7"/>
      <c r="H1056" s="7"/>
      <c r="I1056" s="20"/>
      <c r="J1056" s="5"/>
      <c r="K1056" s="25"/>
      <c r="L1056" s="83"/>
      <c r="M1056" s="25"/>
      <c r="N1056" s="4"/>
      <c r="O1056" s="4"/>
    </row>
    <row r="1057" spans="1:15" x14ac:dyDescent="0.2">
      <c r="A1057" s="7"/>
      <c r="B1057" s="7"/>
      <c r="C1057" s="7"/>
      <c r="D1057" s="7"/>
      <c r="E1057" s="7"/>
      <c r="F1057" s="7"/>
      <c r="G1057" s="7"/>
      <c r="H1057" s="7"/>
      <c r="I1057" s="20"/>
      <c r="J1057" s="5"/>
      <c r="K1057" s="25"/>
      <c r="L1057" s="83"/>
      <c r="M1057" s="25"/>
      <c r="N1057" s="4"/>
      <c r="O1057" s="4"/>
    </row>
    <row r="1058" spans="1:15" x14ac:dyDescent="0.2">
      <c r="A1058" s="7"/>
      <c r="B1058" s="7"/>
      <c r="C1058" s="7"/>
      <c r="D1058" s="7"/>
      <c r="E1058" s="7"/>
      <c r="F1058" s="7"/>
      <c r="G1058" s="7"/>
      <c r="H1058" s="7"/>
      <c r="I1058" s="20"/>
      <c r="J1058" s="5"/>
      <c r="K1058" s="25"/>
      <c r="L1058" s="83"/>
      <c r="M1058" s="25"/>
      <c r="N1058" s="4"/>
      <c r="O1058" s="4"/>
    </row>
    <row r="1059" spans="1:15" x14ac:dyDescent="0.2">
      <c r="A1059" s="7"/>
      <c r="B1059" s="7"/>
      <c r="C1059" s="7"/>
      <c r="D1059" s="7"/>
      <c r="E1059" s="7"/>
      <c r="F1059" s="7"/>
      <c r="G1059" s="7"/>
      <c r="H1059" s="7"/>
      <c r="I1059" s="20"/>
      <c r="J1059" s="5"/>
      <c r="K1059" s="25"/>
      <c r="L1059" s="83"/>
      <c r="M1059" s="25"/>
      <c r="N1059" s="4"/>
      <c r="O1059" s="4"/>
    </row>
    <row r="1060" spans="1:15" x14ac:dyDescent="0.2">
      <c r="A1060" s="7"/>
      <c r="B1060" s="7"/>
      <c r="C1060" s="7"/>
      <c r="D1060" s="7"/>
      <c r="E1060" s="7"/>
      <c r="F1060" s="7"/>
      <c r="G1060" s="7"/>
      <c r="H1060" s="7"/>
      <c r="I1060" s="20"/>
      <c r="J1060" s="5"/>
      <c r="K1060" s="25"/>
      <c r="L1060" s="83"/>
      <c r="M1060" s="25"/>
      <c r="N1060" s="4"/>
      <c r="O1060" s="4"/>
    </row>
    <row r="1061" spans="1:15" x14ac:dyDescent="0.2">
      <c r="A1061" s="7"/>
      <c r="B1061" s="7"/>
      <c r="C1061" s="7"/>
      <c r="D1061" s="7"/>
      <c r="E1061" s="7"/>
      <c r="F1061" s="7"/>
      <c r="G1061" s="7"/>
      <c r="H1061" s="7"/>
      <c r="I1061" s="20"/>
      <c r="J1061" s="5"/>
      <c r="K1061" s="25"/>
      <c r="L1061" s="83"/>
      <c r="M1061" s="25"/>
      <c r="N1061" s="4"/>
      <c r="O1061" s="4"/>
    </row>
    <row r="1062" spans="1:15" x14ac:dyDescent="0.2">
      <c r="A1062" s="7"/>
      <c r="B1062" s="7"/>
      <c r="C1062" s="7"/>
      <c r="D1062" s="7"/>
      <c r="E1062" s="7"/>
      <c r="F1062" s="7"/>
      <c r="G1062" s="7"/>
      <c r="H1062" s="7"/>
      <c r="I1062" s="20"/>
      <c r="J1062" s="5"/>
      <c r="K1062" s="25"/>
      <c r="L1062" s="83"/>
      <c r="M1062" s="25"/>
      <c r="N1062" s="4"/>
      <c r="O1062" s="4"/>
    </row>
    <row r="1063" spans="1:15" x14ac:dyDescent="0.2">
      <c r="A1063" s="7"/>
      <c r="B1063" s="7"/>
      <c r="C1063" s="7"/>
      <c r="D1063" s="7"/>
      <c r="E1063" s="7"/>
      <c r="F1063" s="7"/>
      <c r="G1063" s="7"/>
      <c r="H1063" s="7"/>
      <c r="I1063" s="20"/>
      <c r="J1063" s="5"/>
      <c r="K1063" s="25"/>
      <c r="L1063" s="83"/>
      <c r="M1063" s="25"/>
      <c r="N1063" s="4"/>
      <c r="O1063" s="4"/>
    </row>
    <row r="1064" spans="1:15" x14ac:dyDescent="0.2">
      <c r="A1064" s="7"/>
      <c r="B1064" s="7"/>
      <c r="C1064" s="7"/>
      <c r="D1064" s="7"/>
      <c r="E1064" s="7"/>
      <c r="F1064" s="7"/>
      <c r="G1064" s="7"/>
      <c r="H1064" s="7"/>
      <c r="I1064" s="20"/>
      <c r="J1064" s="5"/>
      <c r="K1064" s="25"/>
      <c r="L1064" s="83"/>
      <c r="M1064" s="25"/>
      <c r="N1064" s="4"/>
      <c r="O1064" s="4"/>
    </row>
    <row r="1065" spans="1:15" x14ac:dyDescent="0.2">
      <c r="A1065" s="7"/>
      <c r="B1065" s="7"/>
      <c r="C1065" s="7"/>
      <c r="D1065" s="7"/>
      <c r="E1065" s="7"/>
      <c r="F1065" s="7"/>
      <c r="G1065" s="7"/>
      <c r="H1065" s="7"/>
      <c r="I1065" s="20"/>
      <c r="J1065" s="5"/>
      <c r="K1065" s="25"/>
      <c r="L1065" s="83"/>
      <c r="M1065" s="25"/>
      <c r="N1065" s="4"/>
      <c r="O1065" s="4"/>
    </row>
    <row r="1066" spans="1:15" x14ac:dyDescent="0.2">
      <c r="A1066" s="7"/>
      <c r="B1066" s="7"/>
      <c r="C1066" s="7"/>
      <c r="D1066" s="7"/>
      <c r="E1066" s="7"/>
      <c r="F1066" s="7"/>
      <c r="G1066" s="7"/>
      <c r="H1066" s="7"/>
      <c r="I1066" s="20"/>
      <c r="J1066" s="5"/>
      <c r="K1066" s="25"/>
      <c r="L1066" s="83"/>
      <c r="M1066" s="25"/>
      <c r="N1066" s="4"/>
      <c r="O1066" s="4"/>
    </row>
    <row r="1067" spans="1:15" x14ac:dyDescent="0.2">
      <c r="A1067" s="7"/>
      <c r="B1067" s="7"/>
      <c r="C1067" s="7"/>
      <c r="D1067" s="7"/>
      <c r="E1067" s="7"/>
      <c r="F1067" s="7"/>
      <c r="G1067" s="7"/>
      <c r="H1067" s="7"/>
      <c r="I1067" s="20"/>
      <c r="J1067" s="5"/>
      <c r="K1067" s="25"/>
      <c r="L1067" s="83"/>
      <c r="M1067" s="25"/>
      <c r="N1067" s="4"/>
      <c r="O1067" s="4"/>
    </row>
    <row r="1068" spans="1:15" x14ac:dyDescent="0.2">
      <c r="A1068" s="7"/>
      <c r="B1068" s="7"/>
      <c r="C1068" s="7"/>
      <c r="D1068" s="7"/>
      <c r="E1068" s="7"/>
      <c r="F1068" s="7"/>
      <c r="G1068" s="7"/>
      <c r="H1068" s="7"/>
      <c r="I1068" s="20"/>
      <c r="J1068" s="5"/>
      <c r="K1068" s="25"/>
      <c r="L1068" s="83"/>
      <c r="M1068" s="25"/>
      <c r="N1068" s="4"/>
      <c r="O1068" s="4"/>
    </row>
    <row r="1069" spans="1:15" x14ac:dyDescent="0.2">
      <c r="A1069" s="7"/>
      <c r="B1069" s="7"/>
      <c r="C1069" s="7"/>
      <c r="D1069" s="7"/>
      <c r="E1069" s="7"/>
      <c r="F1069" s="7"/>
      <c r="G1069" s="7"/>
      <c r="H1069" s="7"/>
      <c r="I1069" s="20"/>
      <c r="J1069" s="5"/>
      <c r="K1069" s="25"/>
      <c r="L1069" s="83"/>
      <c r="M1069" s="25"/>
      <c r="N1069" s="4"/>
      <c r="O1069" s="4"/>
    </row>
    <row r="1070" spans="1:15" x14ac:dyDescent="0.2">
      <c r="A1070" s="7"/>
      <c r="B1070" s="7"/>
      <c r="C1070" s="7"/>
      <c r="D1070" s="7"/>
      <c r="E1070" s="7"/>
      <c r="F1070" s="7"/>
      <c r="G1070" s="7"/>
      <c r="H1070" s="7"/>
      <c r="I1070" s="20"/>
      <c r="J1070" s="5"/>
      <c r="K1070" s="25"/>
      <c r="L1070" s="83"/>
      <c r="M1070" s="25"/>
      <c r="N1070" s="4"/>
      <c r="O1070" s="4"/>
    </row>
    <row r="1071" spans="1:15" x14ac:dyDescent="0.2">
      <c r="A1071" s="7"/>
      <c r="B1071" s="7"/>
      <c r="C1071" s="7"/>
      <c r="D1071" s="7"/>
      <c r="E1071" s="7"/>
      <c r="F1071" s="7"/>
      <c r="G1071" s="7"/>
      <c r="H1071" s="7"/>
      <c r="I1071" s="20"/>
      <c r="J1071" s="5"/>
      <c r="K1071" s="25"/>
      <c r="L1071" s="83"/>
      <c r="M1071" s="25"/>
      <c r="N1071" s="4"/>
      <c r="O1071" s="4"/>
    </row>
    <row r="1072" spans="1:15" x14ac:dyDescent="0.2">
      <c r="A1072" s="7"/>
      <c r="B1072" s="7"/>
      <c r="C1072" s="7"/>
      <c r="D1072" s="7"/>
      <c r="E1072" s="7"/>
      <c r="F1072" s="7"/>
      <c r="G1072" s="7"/>
      <c r="H1072" s="7"/>
      <c r="I1072" s="20"/>
      <c r="J1072" s="5"/>
      <c r="K1072" s="25"/>
      <c r="L1072" s="83"/>
      <c r="M1072" s="25"/>
      <c r="N1072" s="4"/>
      <c r="O1072" s="4"/>
    </row>
    <row r="1073" spans="1:15" x14ac:dyDescent="0.2">
      <c r="A1073" s="7"/>
      <c r="B1073" s="7"/>
      <c r="C1073" s="7"/>
      <c r="D1073" s="7"/>
      <c r="E1073" s="7"/>
      <c r="F1073" s="7"/>
      <c r="G1073" s="7"/>
      <c r="H1073" s="7"/>
      <c r="I1073" s="20"/>
      <c r="J1073" s="5"/>
      <c r="K1073" s="25"/>
      <c r="L1073" s="83"/>
      <c r="M1073" s="25"/>
      <c r="N1073" s="4"/>
      <c r="O1073" s="4"/>
    </row>
    <row r="1074" spans="1:15" x14ac:dyDescent="0.2">
      <c r="A1074" s="7"/>
      <c r="B1074" s="7"/>
      <c r="C1074" s="7"/>
      <c r="D1074" s="7"/>
      <c r="E1074" s="7"/>
      <c r="F1074" s="7"/>
      <c r="G1074" s="7"/>
      <c r="H1074" s="7"/>
      <c r="I1074" s="20"/>
      <c r="J1074" s="5"/>
      <c r="K1074" s="25"/>
      <c r="L1074" s="83"/>
      <c r="M1074" s="25"/>
      <c r="N1074" s="4"/>
      <c r="O1074" s="4"/>
    </row>
    <row r="1075" spans="1:15" x14ac:dyDescent="0.2">
      <c r="A1075" s="7"/>
      <c r="B1075" s="7"/>
      <c r="C1075" s="7"/>
      <c r="D1075" s="7"/>
      <c r="E1075" s="7"/>
      <c r="F1075" s="7"/>
      <c r="G1075" s="7"/>
      <c r="H1075" s="7"/>
      <c r="I1075" s="20"/>
      <c r="J1075" s="5"/>
      <c r="K1075" s="25"/>
      <c r="L1075" s="83"/>
      <c r="M1075" s="25"/>
      <c r="N1075" s="4"/>
      <c r="O1075" s="4"/>
    </row>
    <row r="1076" spans="1:15" x14ac:dyDescent="0.2">
      <c r="A1076" s="7"/>
      <c r="B1076" s="7"/>
      <c r="C1076" s="7"/>
      <c r="D1076" s="7"/>
      <c r="E1076" s="7"/>
      <c r="F1076" s="7"/>
      <c r="G1076" s="7"/>
      <c r="H1076" s="7"/>
      <c r="I1076" s="20"/>
      <c r="J1076" s="5"/>
      <c r="K1076" s="25"/>
      <c r="L1076" s="83"/>
      <c r="M1076" s="25"/>
      <c r="N1076" s="4"/>
      <c r="O1076" s="4"/>
    </row>
    <row r="1077" spans="1:15" x14ac:dyDescent="0.2">
      <c r="A1077" s="7"/>
      <c r="B1077" s="7"/>
      <c r="C1077" s="7"/>
      <c r="D1077" s="7"/>
      <c r="E1077" s="7"/>
      <c r="F1077" s="7"/>
      <c r="G1077" s="7"/>
      <c r="H1077" s="7"/>
      <c r="I1077" s="20"/>
      <c r="J1077" s="5"/>
      <c r="K1077" s="25"/>
      <c r="L1077" s="83"/>
      <c r="M1077" s="25"/>
      <c r="N1077" s="4"/>
      <c r="O1077" s="4"/>
    </row>
    <row r="1078" spans="1:15" x14ac:dyDescent="0.2">
      <c r="A1078" s="7"/>
      <c r="B1078" s="7"/>
      <c r="C1078" s="7"/>
      <c r="D1078" s="7"/>
      <c r="E1078" s="7"/>
      <c r="F1078" s="7"/>
      <c r="G1078" s="7"/>
      <c r="H1078" s="7"/>
      <c r="I1078" s="20"/>
      <c r="J1078" s="5"/>
      <c r="K1078" s="25"/>
      <c r="L1078" s="83"/>
      <c r="M1078" s="25"/>
      <c r="N1078" s="4"/>
      <c r="O1078" s="4"/>
    </row>
    <row r="1079" spans="1:15" x14ac:dyDescent="0.2">
      <c r="A1079" s="7"/>
      <c r="B1079" s="7"/>
      <c r="C1079" s="7"/>
      <c r="D1079" s="7"/>
      <c r="E1079" s="7"/>
      <c r="F1079" s="7"/>
      <c r="G1079" s="7"/>
      <c r="H1079" s="7"/>
      <c r="I1079" s="20"/>
      <c r="J1079" s="5"/>
      <c r="K1079" s="25"/>
      <c r="L1079" s="83"/>
      <c r="M1079" s="25"/>
      <c r="N1079" s="4"/>
      <c r="O1079" s="4"/>
    </row>
    <row r="1080" spans="1:15" x14ac:dyDescent="0.2">
      <c r="A1080" s="7"/>
      <c r="B1080" s="7"/>
      <c r="C1080" s="7"/>
      <c r="D1080" s="7"/>
      <c r="E1080" s="7"/>
      <c r="F1080" s="7"/>
      <c r="G1080" s="7"/>
      <c r="H1080" s="7"/>
      <c r="I1080" s="20"/>
      <c r="J1080" s="5"/>
      <c r="K1080" s="25"/>
      <c r="L1080" s="83"/>
      <c r="M1080" s="25"/>
      <c r="N1080" s="4"/>
      <c r="O1080" s="4"/>
    </row>
    <row r="1081" spans="1:15" x14ac:dyDescent="0.2">
      <c r="A1081" s="7"/>
      <c r="B1081" s="7"/>
      <c r="C1081" s="7"/>
      <c r="D1081" s="7"/>
      <c r="E1081" s="7"/>
      <c r="F1081" s="7"/>
      <c r="G1081" s="7"/>
      <c r="H1081" s="7"/>
      <c r="I1081" s="20"/>
      <c r="J1081" s="5"/>
      <c r="K1081" s="25"/>
      <c r="L1081" s="83"/>
      <c r="M1081" s="25"/>
      <c r="N1081" s="4"/>
      <c r="O1081" s="4"/>
    </row>
    <row r="1082" spans="1:15" x14ac:dyDescent="0.2">
      <c r="A1082" s="7"/>
      <c r="B1082" s="7"/>
      <c r="C1082" s="7"/>
      <c r="D1082" s="7"/>
      <c r="E1082" s="7"/>
      <c r="F1082" s="7"/>
      <c r="G1082" s="7"/>
      <c r="H1082" s="7"/>
      <c r="I1082" s="20"/>
      <c r="J1082" s="5"/>
      <c r="K1082" s="25"/>
      <c r="L1082" s="83"/>
      <c r="M1082" s="25"/>
      <c r="N1082" s="4"/>
      <c r="O1082" s="4"/>
    </row>
    <row r="1083" spans="1:15" x14ac:dyDescent="0.2">
      <c r="A1083" s="7"/>
      <c r="B1083" s="7"/>
      <c r="C1083" s="7"/>
      <c r="D1083" s="7"/>
      <c r="E1083" s="7"/>
      <c r="F1083" s="7"/>
      <c r="G1083" s="7"/>
      <c r="H1083" s="7"/>
      <c r="I1083" s="20"/>
      <c r="J1083" s="5"/>
      <c r="K1083" s="25"/>
      <c r="L1083" s="83"/>
      <c r="M1083" s="25"/>
      <c r="N1083" s="4"/>
      <c r="O1083" s="4"/>
    </row>
    <row r="1084" spans="1:15" x14ac:dyDescent="0.2">
      <c r="A1084" s="7"/>
      <c r="B1084" s="7"/>
      <c r="C1084" s="7"/>
      <c r="D1084" s="7"/>
      <c r="E1084" s="7"/>
      <c r="F1084" s="7"/>
      <c r="G1084" s="7"/>
      <c r="H1084" s="7"/>
      <c r="I1084" s="20"/>
      <c r="J1084" s="5"/>
      <c r="K1084" s="25"/>
      <c r="L1084" s="83"/>
      <c r="M1084" s="25"/>
      <c r="N1084" s="4"/>
      <c r="O1084" s="4"/>
    </row>
    <row r="1085" spans="1:15" x14ac:dyDescent="0.2">
      <c r="A1085" s="7"/>
      <c r="B1085" s="7"/>
      <c r="C1085" s="7"/>
      <c r="D1085" s="7"/>
      <c r="E1085" s="7"/>
      <c r="F1085" s="7"/>
      <c r="G1085" s="7"/>
      <c r="H1085" s="7"/>
      <c r="I1085" s="20"/>
      <c r="J1085" s="5"/>
      <c r="K1085" s="25"/>
      <c r="L1085" s="83"/>
      <c r="M1085" s="25"/>
      <c r="N1085" s="4"/>
      <c r="O1085" s="4"/>
    </row>
    <row r="1086" spans="1:15" x14ac:dyDescent="0.2">
      <c r="A1086" s="7"/>
      <c r="B1086" s="7"/>
      <c r="C1086" s="7"/>
      <c r="D1086" s="7"/>
      <c r="E1086" s="7"/>
      <c r="F1086" s="7"/>
      <c r="G1086" s="7"/>
      <c r="H1086" s="7"/>
      <c r="I1086" s="20"/>
      <c r="J1086" s="5"/>
      <c r="K1086" s="25"/>
      <c r="L1086" s="83"/>
      <c r="M1086" s="25"/>
      <c r="N1086" s="4"/>
      <c r="O1086" s="4"/>
    </row>
    <row r="1087" spans="1:15" x14ac:dyDescent="0.2">
      <c r="A1087" s="7"/>
      <c r="B1087" s="7"/>
      <c r="C1087" s="7"/>
      <c r="D1087" s="7"/>
      <c r="E1087" s="7"/>
      <c r="F1087" s="7"/>
      <c r="G1087" s="7"/>
      <c r="H1087" s="7"/>
      <c r="I1087" s="20"/>
      <c r="J1087" s="5"/>
      <c r="K1087" s="25"/>
      <c r="L1087" s="83"/>
      <c r="M1087" s="25"/>
      <c r="N1087" s="4"/>
      <c r="O1087" s="4"/>
    </row>
    <row r="1088" spans="1:15" x14ac:dyDescent="0.2">
      <c r="A1088" s="7"/>
      <c r="B1088" s="7"/>
      <c r="C1088" s="7"/>
      <c r="D1088" s="7"/>
      <c r="E1088" s="7"/>
      <c r="F1088" s="7"/>
      <c r="G1088" s="7"/>
      <c r="H1088" s="7"/>
      <c r="I1088" s="20"/>
      <c r="J1088" s="5"/>
      <c r="K1088" s="25"/>
      <c r="L1088" s="83"/>
      <c r="M1088" s="25"/>
      <c r="N1088" s="4"/>
      <c r="O1088" s="4"/>
    </row>
    <row r="1089" spans="1:15" x14ac:dyDescent="0.2">
      <c r="A1089" s="7"/>
      <c r="B1089" s="7"/>
      <c r="C1089" s="7"/>
      <c r="D1089" s="7"/>
      <c r="E1089" s="7"/>
      <c r="F1089" s="7"/>
      <c r="G1089" s="7"/>
      <c r="H1089" s="7"/>
      <c r="I1089" s="20"/>
      <c r="J1089" s="5"/>
      <c r="K1089" s="25"/>
      <c r="L1089" s="83"/>
      <c r="M1089" s="25"/>
      <c r="N1089" s="4"/>
      <c r="O1089" s="4"/>
    </row>
    <row r="1090" spans="1:15" x14ac:dyDescent="0.2">
      <c r="A1090" s="7"/>
      <c r="B1090" s="7"/>
      <c r="C1090" s="7"/>
      <c r="D1090" s="7"/>
      <c r="E1090" s="7"/>
      <c r="F1090" s="7"/>
      <c r="G1090" s="7"/>
      <c r="H1090" s="7"/>
      <c r="I1090" s="20"/>
      <c r="J1090" s="5"/>
      <c r="K1090" s="25"/>
      <c r="L1090" s="83"/>
      <c r="M1090" s="25"/>
      <c r="N1090" s="4"/>
      <c r="O1090" s="4"/>
    </row>
    <row r="1091" spans="1:15" x14ac:dyDescent="0.2">
      <c r="A1091" s="7"/>
      <c r="B1091" s="7"/>
      <c r="C1091" s="7"/>
      <c r="D1091" s="7"/>
      <c r="E1091" s="7"/>
      <c r="F1091" s="7"/>
      <c r="G1091" s="7"/>
      <c r="H1091" s="7"/>
      <c r="I1091" s="20"/>
      <c r="J1091" s="5"/>
      <c r="K1091" s="25"/>
      <c r="L1091" s="83"/>
      <c r="M1091" s="25"/>
      <c r="N1091" s="4"/>
      <c r="O1091" s="4"/>
    </row>
    <row r="1092" spans="1:15" x14ac:dyDescent="0.2">
      <c r="A1092" s="7"/>
      <c r="B1092" s="7"/>
      <c r="C1092" s="7"/>
      <c r="D1092" s="7"/>
      <c r="E1092" s="7"/>
      <c r="F1092" s="7"/>
      <c r="G1092" s="7"/>
      <c r="H1092" s="7"/>
      <c r="I1092" s="20"/>
      <c r="J1092" s="5"/>
      <c r="K1092" s="7"/>
      <c r="L1092" s="82"/>
      <c r="M1092" s="25"/>
      <c r="N1092" s="4"/>
      <c r="O1092" s="4"/>
    </row>
    <row r="1093" spans="1:15" x14ac:dyDescent="0.2">
      <c r="A1093" s="7"/>
      <c r="B1093" s="7"/>
      <c r="C1093" s="7"/>
      <c r="D1093" s="7"/>
      <c r="E1093" s="7"/>
      <c r="F1093" s="7"/>
      <c r="G1093" s="7"/>
      <c r="H1093" s="7"/>
      <c r="I1093" s="20"/>
      <c r="J1093" s="5"/>
      <c r="K1093" s="7"/>
      <c r="L1093" s="82"/>
      <c r="M1093" s="5"/>
      <c r="N1093" s="4"/>
      <c r="O1093" s="4"/>
    </row>
    <row r="1094" spans="1:15" x14ac:dyDescent="0.2">
      <c r="A1094" s="7"/>
      <c r="B1094" s="7"/>
      <c r="C1094" s="7"/>
      <c r="D1094" s="7"/>
      <c r="E1094" s="7"/>
      <c r="F1094" s="7"/>
      <c r="G1094" s="7"/>
      <c r="H1094" s="7"/>
      <c r="I1094" s="20"/>
      <c r="J1094" s="5"/>
      <c r="K1094" s="7"/>
      <c r="L1094" s="82"/>
      <c r="M1094" s="5"/>
      <c r="N1094" s="4"/>
      <c r="O1094" s="4"/>
    </row>
    <row r="1095" spans="1:15" x14ac:dyDescent="0.2">
      <c r="A1095" s="7"/>
      <c r="B1095" s="7"/>
      <c r="C1095" s="7"/>
      <c r="D1095" s="7"/>
      <c r="E1095" s="7"/>
      <c r="F1095" s="7"/>
      <c r="G1095" s="7"/>
      <c r="H1095" s="7"/>
      <c r="I1095" s="20"/>
      <c r="J1095" s="5"/>
      <c r="K1095" s="7"/>
      <c r="L1095" s="82"/>
      <c r="M1095" s="5"/>
      <c r="N1095" s="4"/>
      <c r="O1095" s="4"/>
    </row>
    <row r="1096" spans="1:15" x14ac:dyDescent="0.2">
      <c r="A1096" s="7"/>
      <c r="B1096" s="7"/>
      <c r="C1096" s="7"/>
      <c r="D1096" s="7"/>
      <c r="E1096" s="7"/>
      <c r="F1096" s="7"/>
      <c r="G1096" s="7"/>
      <c r="H1096" s="7"/>
      <c r="I1096" s="20"/>
      <c r="J1096" s="5"/>
      <c r="K1096" s="7"/>
      <c r="L1096" s="82"/>
      <c r="M1096" s="5"/>
      <c r="N1096" s="4"/>
      <c r="O1096" s="4"/>
    </row>
    <row r="1097" spans="1:15" x14ac:dyDescent="0.2">
      <c r="A1097" s="7"/>
      <c r="B1097" s="7"/>
      <c r="C1097" s="7"/>
      <c r="D1097" s="7"/>
      <c r="E1097" s="7"/>
      <c r="F1097" s="7"/>
      <c r="G1097" s="7"/>
      <c r="H1097" s="7"/>
      <c r="I1097" s="20"/>
      <c r="J1097" s="5"/>
      <c r="K1097" s="7"/>
      <c r="L1097" s="82"/>
      <c r="M1097" s="5"/>
      <c r="N1097" s="4"/>
      <c r="O1097" s="4"/>
    </row>
    <row r="1098" spans="1:15" x14ac:dyDescent="0.2">
      <c r="A1098" s="7"/>
      <c r="B1098" s="7"/>
      <c r="C1098" s="7"/>
      <c r="D1098" s="7"/>
      <c r="E1098" s="7"/>
      <c r="F1098" s="7"/>
      <c r="G1098" s="7"/>
      <c r="H1098" s="7"/>
      <c r="I1098" s="20"/>
      <c r="J1098" s="5"/>
      <c r="K1098" s="7"/>
      <c r="L1098" s="82"/>
      <c r="M1098" s="5"/>
      <c r="N1098" s="4"/>
      <c r="O1098" s="4"/>
    </row>
    <row r="1099" spans="1:15" x14ac:dyDescent="0.2">
      <c r="A1099" s="7"/>
      <c r="B1099" s="7"/>
      <c r="C1099" s="7"/>
      <c r="D1099" s="7"/>
      <c r="E1099" s="7"/>
      <c r="F1099" s="7"/>
      <c r="G1099" s="7"/>
      <c r="H1099" s="7"/>
      <c r="I1099" s="20"/>
      <c r="J1099" s="5"/>
      <c r="K1099" s="7"/>
      <c r="L1099" s="82"/>
      <c r="M1099" s="5"/>
      <c r="N1099" s="4"/>
      <c r="O1099" s="4"/>
    </row>
    <row r="1100" spans="1:15" x14ac:dyDescent="0.2">
      <c r="A1100" s="7"/>
      <c r="B1100" s="7"/>
      <c r="C1100" s="7"/>
      <c r="D1100" s="7"/>
      <c r="E1100" s="7"/>
      <c r="F1100" s="7"/>
      <c r="G1100" s="7"/>
      <c r="H1100" s="7"/>
      <c r="I1100" s="20"/>
      <c r="J1100" s="5"/>
      <c r="K1100" s="7"/>
      <c r="L1100" s="82"/>
      <c r="M1100" s="5"/>
      <c r="N1100" s="4"/>
      <c r="O1100" s="4"/>
    </row>
    <row r="1101" spans="1:15" x14ac:dyDescent="0.2">
      <c r="A1101" s="7"/>
      <c r="B1101" s="7"/>
      <c r="C1101" s="7"/>
      <c r="D1101" s="7"/>
      <c r="E1101" s="7"/>
      <c r="F1101" s="7"/>
      <c r="G1101" s="7"/>
      <c r="H1101" s="7"/>
      <c r="I1101" s="20"/>
      <c r="J1101" s="5"/>
      <c r="K1101" s="7"/>
      <c r="L1101" s="82"/>
      <c r="M1101" s="5"/>
      <c r="N1101" s="4"/>
      <c r="O1101" s="4"/>
    </row>
    <row r="1102" spans="1:15" x14ac:dyDescent="0.2">
      <c r="A1102" s="7"/>
      <c r="B1102" s="7"/>
      <c r="C1102" s="7"/>
      <c r="D1102" s="7"/>
      <c r="E1102" s="7"/>
      <c r="F1102" s="7"/>
      <c r="G1102" s="7"/>
      <c r="H1102" s="7"/>
      <c r="I1102" s="20"/>
      <c r="J1102" s="5"/>
      <c r="K1102" s="7"/>
      <c r="L1102" s="82"/>
      <c r="M1102" s="5"/>
      <c r="N1102" s="4"/>
      <c r="O1102" s="4"/>
    </row>
    <row r="1103" spans="1:15" x14ac:dyDescent="0.2">
      <c r="A1103" s="7"/>
      <c r="B1103" s="7"/>
      <c r="C1103" s="7"/>
      <c r="D1103" s="7"/>
      <c r="E1103" s="7"/>
      <c r="F1103" s="7"/>
      <c r="G1103" s="7"/>
      <c r="H1103" s="7"/>
      <c r="I1103" s="20"/>
      <c r="J1103" s="5"/>
      <c r="K1103" s="7"/>
      <c r="L1103" s="82"/>
      <c r="M1103" s="5"/>
      <c r="N1103" s="4"/>
      <c r="O1103" s="4"/>
    </row>
    <row r="1104" spans="1:15" x14ac:dyDescent="0.2">
      <c r="A1104" s="7"/>
      <c r="B1104" s="7"/>
      <c r="C1104" s="7"/>
      <c r="D1104" s="7"/>
      <c r="E1104" s="7"/>
      <c r="F1104" s="7"/>
      <c r="G1104" s="7"/>
      <c r="H1104" s="7"/>
      <c r="I1104" s="20"/>
      <c r="J1104" s="5"/>
      <c r="K1104" s="7"/>
      <c r="L1104" s="82"/>
      <c r="M1104" s="5"/>
      <c r="N1104" s="4"/>
      <c r="O1104" s="4"/>
    </row>
    <row r="1105" spans="1:15" x14ac:dyDescent="0.2">
      <c r="A1105" s="7"/>
      <c r="B1105" s="7"/>
      <c r="C1105" s="7"/>
      <c r="D1105" s="7"/>
      <c r="E1105" s="7"/>
      <c r="F1105" s="7"/>
      <c r="G1105" s="7"/>
      <c r="H1105" s="7"/>
      <c r="I1105" s="20"/>
      <c r="J1105" s="5"/>
      <c r="K1105" s="7"/>
      <c r="L1105" s="82"/>
      <c r="M1105" s="5"/>
      <c r="N1105" s="4"/>
      <c r="O1105" s="4"/>
    </row>
    <row r="1106" spans="1:15" x14ac:dyDescent="0.2">
      <c r="A1106" s="7"/>
      <c r="B1106" s="7"/>
      <c r="C1106" s="7"/>
      <c r="D1106" s="7"/>
      <c r="E1106" s="7"/>
      <c r="F1106" s="7"/>
      <c r="G1106" s="7"/>
      <c r="H1106" s="7"/>
      <c r="I1106" s="20"/>
      <c r="J1106" s="5"/>
      <c r="K1106" s="7"/>
      <c r="L1106" s="82"/>
      <c r="M1106" s="5"/>
      <c r="N1106" s="4"/>
      <c r="O1106" s="4"/>
    </row>
    <row r="1107" spans="1:15" x14ac:dyDescent="0.2">
      <c r="A1107" s="7"/>
      <c r="B1107" s="7"/>
      <c r="C1107" s="7"/>
      <c r="D1107" s="7"/>
      <c r="E1107" s="7"/>
      <c r="F1107" s="7"/>
      <c r="G1107" s="7"/>
      <c r="H1107" s="7"/>
      <c r="I1107" s="20"/>
      <c r="J1107" s="5"/>
      <c r="K1107" s="7"/>
      <c r="L1107" s="82"/>
      <c r="M1107" s="5"/>
      <c r="N1107" s="4"/>
      <c r="O1107" s="4"/>
    </row>
    <row r="1108" spans="1:15" x14ac:dyDescent="0.2">
      <c r="A1108" s="7"/>
      <c r="B1108" s="7"/>
      <c r="C1108" s="7"/>
      <c r="D1108" s="7"/>
      <c r="E1108" s="7"/>
      <c r="F1108" s="7"/>
      <c r="G1108" s="7"/>
      <c r="H1108" s="7"/>
      <c r="I1108" s="20"/>
      <c r="J1108" s="5"/>
      <c r="K1108" s="7"/>
      <c r="L1108" s="82"/>
      <c r="M1108" s="5"/>
      <c r="N1108" s="4"/>
      <c r="O1108" s="4"/>
    </row>
    <row r="1109" spans="1:15" x14ac:dyDescent="0.2">
      <c r="A1109" s="7"/>
      <c r="B1109" s="7"/>
      <c r="C1109" s="7"/>
      <c r="D1109" s="7"/>
      <c r="E1109" s="7"/>
      <c r="F1109" s="7"/>
      <c r="G1109" s="7"/>
      <c r="H1109" s="7"/>
      <c r="I1109" s="20"/>
      <c r="J1109" s="5"/>
      <c r="K1109" s="7"/>
      <c r="L1109" s="82"/>
      <c r="M1109" s="5"/>
      <c r="N1109" s="4"/>
      <c r="O1109" s="4"/>
    </row>
    <row r="1110" spans="1:15" x14ac:dyDescent="0.2">
      <c r="A1110" s="7"/>
      <c r="B1110" s="7"/>
      <c r="C1110" s="7"/>
      <c r="D1110" s="7"/>
      <c r="E1110" s="7"/>
      <c r="F1110" s="7"/>
      <c r="G1110" s="7"/>
      <c r="H1110" s="7"/>
      <c r="I1110" s="20"/>
      <c r="J1110" s="5"/>
      <c r="K1110" s="7"/>
      <c r="L1110" s="82"/>
      <c r="M1110" s="5"/>
      <c r="N1110" s="4"/>
      <c r="O1110" s="4"/>
    </row>
    <row r="1111" spans="1:15" x14ac:dyDescent="0.2">
      <c r="A1111" s="7"/>
      <c r="B1111" s="7"/>
      <c r="C1111" s="7"/>
      <c r="D1111" s="7"/>
      <c r="E1111" s="7"/>
      <c r="F1111" s="7"/>
      <c r="G1111" s="7"/>
      <c r="H1111" s="7"/>
      <c r="I1111" s="20"/>
      <c r="J1111" s="5"/>
      <c r="K1111" s="7"/>
      <c r="L1111" s="82"/>
      <c r="M1111" s="5"/>
      <c r="N1111" s="4"/>
      <c r="O1111" s="4"/>
    </row>
    <row r="1112" spans="1:15" x14ac:dyDescent="0.2">
      <c r="A1112" s="7"/>
      <c r="B1112" s="7"/>
      <c r="C1112" s="7"/>
      <c r="D1112" s="7"/>
      <c r="E1112" s="7"/>
      <c r="F1112" s="7"/>
      <c r="G1112" s="7"/>
      <c r="H1112" s="7"/>
      <c r="I1112" s="20"/>
      <c r="J1112" s="5"/>
      <c r="K1112" s="7"/>
      <c r="L1112" s="82"/>
      <c r="M1112" s="5"/>
      <c r="N1112" s="4"/>
      <c r="O1112" s="4"/>
    </row>
    <row r="1113" spans="1:15" x14ac:dyDescent="0.2">
      <c r="A1113" s="14"/>
      <c r="B1113" s="15"/>
      <c r="D1113" s="16"/>
      <c r="E1113" s="17"/>
      <c r="F1113" s="14"/>
      <c r="G1113" s="7"/>
      <c r="H1113" s="7"/>
      <c r="I1113" s="20"/>
      <c r="J1113" s="5"/>
      <c r="K1113" s="7"/>
      <c r="L1113" s="82"/>
      <c r="M1113" s="5"/>
      <c r="N1113" s="4"/>
      <c r="O1113" s="4"/>
    </row>
    <row r="1114" spans="1:15" x14ac:dyDescent="0.2">
      <c r="A1114" s="14"/>
      <c r="B1114" s="15"/>
      <c r="D1114" s="16"/>
      <c r="E1114" s="17"/>
      <c r="F1114" s="14"/>
      <c r="G1114" s="7"/>
      <c r="H1114" s="7"/>
      <c r="I1114" s="20"/>
      <c r="J1114" s="5"/>
      <c r="K1114" s="7"/>
      <c r="L1114" s="82"/>
      <c r="M1114" s="5"/>
      <c r="N1114" s="4"/>
      <c r="O1114" s="4"/>
    </row>
    <row r="1115" spans="1:15" x14ac:dyDescent="0.2">
      <c r="A1115" s="14"/>
      <c r="B1115" s="15"/>
      <c r="D1115" s="16"/>
      <c r="E1115" s="17"/>
      <c r="F1115" s="14"/>
      <c r="G1115" s="7"/>
      <c r="H1115" s="7"/>
      <c r="I1115" s="20"/>
      <c r="J1115" s="5"/>
      <c r="K1115" s="7"/>
      <c r="L1115" s="82"/>
      <c r="M1115" s="5"/>
      <c r="N1115" s="4"/>
      <c r="O1115" s="4"/>
    </row>
    <row r="1116" spans="1:15" x14ac:dyDescent="0.2">
      <c r="A1116" s="14"/>
      <c r="B1116" s="15"/>
      <c r="D1116" s="16"/>
      <c r="E1116" s="17"/>
      <c r="F1116" s="14"/>
      <c r="G1116" s="7"/>
      <c r="H1116" s="7"/>
      <c r="I1116" s="20"/>
      <c r="J1116" s="5"/>
      <c r="K1116" s="7"/>
      <c r="L1116" s="82"/>
      <c r="M1116" s="5"/>
      <c r="N1116" s="4"/>
      <c r="O1116" s="4"/>
    </row>
    <row r="1117" spans="1:15" x14ac:dyDescent="0.2">
      <c r="A1117" s="14"/>
      <c r="B1117" s="15"/>
      <c r="D1117" s="16"/>
      <c r="E1117" s="17"/>
      <c r="F1117" s="14"/>
      <c r="G1117" s="7"/>
      <c r="H1117" s="7"/>
      <c r="I1117" s="20"/>
      <c r="J1117" s="5"/>
      <c r="K1117" s="7"/>
      <c r="L1117" s="82"/>
      <c r="M1117" s="5"/>
      <c r="N1117" s="4"/>
      <c r="O1117" s="4"/>
    </row>
    <row r="1118" spans="1:15" x14ac:dyDescent="0.2">
      <c r="A1118" s="14"/>
      <c r="B1118" s="15"/>
      <c r="D1118" s="16"/>
      <c r="E1118" s="17"/>
      <c r="F1118" s="14"/>
      <c r="G1118" s="7"/>
      <c r="H1118" s="7"/>
      <c r="I1118" s="20"/>
      <c r="J1118" s="5"/>
      <c r="K1118" s="7"/>
      <c r="L1118" s="82"/>
      <c r="M1118" s="5"/>
      <c r="N1118" s="4"/>
      <c r="O1118" s="4"/>
    </row>
    <row r="1119" spans="1:15" x14ac:dyDescent="0.2">
      <c r="A1119" s="14"/>
      <c r="B1119" s="15"/>
      <c r="D1119" s="16"/>
      <c r="E1119" s="17"/>
      <c r="F1119" s="14"/>
      <c r="G1119" s="7"/>
      <c r="H1119" s="7"/>
      <c r="I1119" s="20"/>
      <c r="J1119" s="5"/>
      <c r="K1119" s="7"/>
      <c r="L1119" s="82"/>
      <c r="M1119" s="5"/>
      <c r="N1119" s="4"/>
      <c r="O1119" s="4"/>
    </row>
    <row r="1120" spans="1:15" x14ac:dyDescent="0.2">
      <c r="A1120" s="14"/>
      <c r="B1120" s="15"/>
      <c r="D1120" s="16"/>
      <c r="E1120" s="17"/>
      <c r="F1120" s="14"/>
      <c r="G1120" s="7"/>
      <c r="H1120" s="7"/>
      <c r="I1120" s="20"/>
      <c r="J1120" s="5"/>
      <c r="K1120" s="7"/>
      <c r="L1120" s="82"/>
      <c r="M1120" s="5"/>
      <c r="N1120" s="4"/>
      <c r="O1120" s="4"/>
    </row>
    <row r="1121" spans="1:15" x14ac:dyDescent="0.2">
      <c r="A1121" s="14"/>
      <c r="B1121" s="15"/>
      <c r="D1121" s="16"/>
      <c r="E1121" s="17"/>
      <c r="F1121" s="14"/>
      <c r="G1121" s="7"/>
      <c r="H1121" s="7"/>
      <c r="I1121" s="20"/>
      <c r="J1121" s="5"/>
      <c r="K1121" s="7"/>
      <c r="L1121" s="82"/>
      <c r="M1121" s="5"/>
      <c r="N1121" s="4"/>
      <c r="O1121" s="4"/>
    </row>
    <row r="1122" spans="1:15" x14ac:dyDescent="0.2">
      <c r="A1122" s="14"/>
      <c r="B1122" s="15"/>
      <c r="D1122" s="16"/>
      <c r="E1122" s="17"/>
      <c r="F1122" s="14"/>
      <c r="G1122" s="7"/>
      <c r="H1122" s="7"/>
      <c r="I1122" s="20"/>
      <c r="J1122" s="5"/>
      <c r="K1122" s="7"/>
      <c r="L1122" s="82"/>
      <c r="M1122" s="5"/>
      <c r="N1122" s="4"/>
      <c r="O1122" s="4"/>
    </row>
    <row r="1123" spans="1:15" x14ac:dyDescent="0.2">
      <c r="A1123" s="14"/>
      <c r="B1123" s="15"/>
      <c r="D1123" s="16"/>
      <c r="E1123" s="17"/>
      <c r="F1123" s="14"/>
      <c r="G1123" s="7"/>
      <c r="H1123" s="7"/>
      <c r="I1123" s="20"/>
      <c r="J1123" s="5"/>
      <c r="K1123" s="7"/>
      <c r="L1123" s="82"/>
      <c r="M1123" s="5"/>
      <c r="N1123" s="4"/>
      <c r="O1123" s="4"/>
    </row>
    <row r="1124" spans="1:15" x14ac:dyDescent="0.2">
      <c r="A1124" s="14"/>
      <c r="B1124" s="15"/>
      <c r="D1124" s="16"/>
      <c r="E1124" s="17"/>
      <c r="F1124" s="14"/>
      <c r="G1124" s="7"/>
      <c r="H1124" s="7"/>
      <c r="I1124" s="20"/>
      <c r="J1124" s="5"/>
      <c r="K1124" s="7"/>
      <c r="L1124" s="82"/>
      <c r="M1124" s="5"/>
      <c r="N1124" s="4"/>
      <c r="O1124" s="4"/>
    </row>
    <row r="1125" spans="1:15" x14ac:dyDescent="0.2">
      <c r="A1125" s="14"/>
      <c r="B1125" s="15"/>
      <c r="D1125" s="16"/>
      <c r="E1125" s="17"/>
      <c r="F1125" s="14"/>
      <c r="G1125" s="7"/>
      <c r="H1125" s="7"/>
      <c r="I1125" s="20"/>
      <c r="J1125" s="5"/>
      <c r="K1125" s="7"/>
      <c r="L1125" s="82"/>
      <c r="M1125" s="5"/>
      <c r="N1125" s="4"/>
      <c r="O1125" s="4"/>
    </row>
    <row r="1126" spans="1:15" x14ac:dyDescent="0.2">
      <c r="A1126" s="14"/>
      <c r="B1126" s="15"/>
      <c r="D1126" s="16"/>
      <c r="E1126" s="17"/>
      <c r="F1126" s="14"/>
      <c r="G1126" s="7"/>
      <c r="H1126" s="7"/>
      <c r="I1126" s="20"/>
      <c r="J1126" s="5"/>
      <c r="K1126" s="7"/>
      <c r="L1126" s="82"/>
      <c r="M1126" s="5"/>
      <c r="N1126" s="4"/>
      <c r="O1126" s="4"/>
    </row>
    <row r="1127" spans="1:15" x14ac:dyDescent="0.2">
      <c r="A1127" s="14"/>
      <c r="B1127" s="15"/>
      <c r="D1127" s="16"/>
      <c r="E1127" s="17"/>
      <c r="F1127" s="14"/>
      <c r="G1127" s="7"/>
      <c r="H1127" s="7"/>
      <c r="I1127" s="20"/>
      <c r="J1127" s="5"/>
      <c r="K1127" s="7"/>
      <c r="L1127" s="82"/>
      <c r="M1127" s="5"/>
      <c r="N1127" s="4"/>
      <c r="O1127" s="4"/>
    </row>
    <row r="1128" spans="1:15" x14ac:dyDescent="0.2">
      <c r="A1128" s="14"/>
      <c r="B1128" s="15"/>
      <c r="D1128" s="16"/>
      <c r="E1128" s="17"/>
      <c r="F1128" s="14"/>
      <c r="G1128" s="7"/>
      <c r="H1128" s="7"/>
      <c r="I1128" s="20"/>
      <c r="J1128" s="5"/>
      <c r="K1128" s="7"/>
      <c r="L1128" s="82"/>
      <c r="M1128" s="5"/>
      <c r="N1128" s="4"/>
      <c r="O1128" s="4"/>
    </row>
    <row r="1129" spans="1:15" x14ac:dyDescent="0.2">
      <c r="A1129" s="14"/>
      <c r="B1129" s="15"/>
      <c r="D1129" s="16"/>
      <c r="E1129" s="17"/>
      <c r="F1129" s="14"/>
      <c r="G1129" s="7"/>
      <c r="H1129" s="7"/>
      <c r="I1129" s="20"/>
      <c r="J1129" s="5"/>
      <c r="K1129" s="7"/>
      <c r="L1129" s="82"/>
      <c r="M1129" s="5"/>
      <c r="N1129" s="4"/>
      <c r="O1129" s="4"/>
    </row>
    <row r="1130" spans="1:15" x14ac:dyDescent="0.2">
      <c r="A1130" s="14"/>
      <c r="B1130" s="15"/>
      <c r="D1130" s="16"/>
      <c r="E1130" s="17"/>
      <c r="F1130" s="14"/>
      <c r="G1130" s="7"/>
      <c r="H1130" s="7"/>
      <c r="I1130" s="20"/>
      <c r="J1130" s="5"/>
      <c r="K1130" s="7"/>
      <c r="L1130" s="82"/>
      <c r="M1130" s="5"/>
      <c r="N1130" s="4"/>
      <c r="O1130" s="4"/>
    </row>
    <row r="1131" spans="1:15" x14ac:dyDescent="0.2">
      <c r="A1131" s="14"/>
      <c r="B1131" s="15"/>
      <c r="D1131" s="16"/>
      <c r="E1131" s="17"/>
      <c r="F1131" s="14"/>
      <c r="G1131" s="7"/>
      <c r="H1131" s="7"/>
      <c r="I1131" s="20"/>
      <c r="J1131" s="5"/>
      <c r="K1131" s="7"/>
      <c r="L1131" s="82"/>
      <c r="M1131" s="5"/>
      <c r="N1131" s="4"/>
      <c r="O1131" s="4"/>
    </row>
    <row r="1132" spans="1:15" x14ac:dyDescent="0.2">
      <c r="A1132" s="14"/>
      <c r="B1132" s="15"/>
      <c r="D1132" s="16"/>
      <c r="E1132" s="17"/>
      <c r="F1132" s="14"/>
      <c r="G1132" s="7"/>
      <c r="H1132" s="7"/>
      <c r="I1132" s="20"/>
      <c r="J1132" s="5"/>
      <c r="K1132" s="7"/>
      <c r="L1132" s="82"/>
      <c r="M1132" s="5"/>
      <c r="N1132" s="4"/>
      <c r="O1132" s="4"/>
    </row>
    <row r="1133" spans="1:15" x14ac:dyDescent="0.2">
      <c r="A1133" s="14"/>
      <c r="B1133" s="15"/>
      <c r="D1133" s="16"/>
      <c r="E1133" s="17"/>
      <c r="F1133" s="14"/>
      <c r="G1133" s="7"/>
      <c r="H1133" s="7"/>
      <c r="I1133" s="20"/>
      <c r="J1133" s="5"/>
      <c r="K1133" s="7"/>
      <c r="L1133" s="82"/>
      <c r="M1133" s="5"/>
      <c r="N1133" s="4"/>
      <c r="O1133" s="4"/>
    </row>
    <row r="1134" spans="1:15" x14ac:dyDescent="0.2">
      <c r="A1134" s="14"/>
      <c r="B1134" s="15"/>
      <c r="D1134" s="16"/>
      <c r="E1134" s="17"/>
      <c r="F1134" s="14"/>
      <c r="G1134" s="7"/>
      <c r="H1134" s="7"/>
      <c r="I1134" s="20"/>
      <c r="J1134" s="5"/>
      <c r="K1134" s="7"/>
      <c r="L1134" s="82"/>
      <c r="M1134" s="5"/>
      <c r="N1134" s="4"/>
      <c r="O1134" s="4"/>
    </row>
    <row r="1135" spans="1:15" x14ac:dyDescent="0.2">
      <c r="A1135" s="14"/>
      <c r="B1135" s="15"/>
      <c r="D1135" s="16"/>
      <c r="E1135" s="17"/>
      <c r="F1135" s="14"/>
      <c r="G1135" s="7"/>
      <c r="H1135" s="7"/>
      <c r="I1135" s="20"/>
      <c r="J1135" s="5"/>
      <c r="K1135" s="7"/>
      <c r="L1135" s="82"/>
      <c r="M1135" s="5"/>
      <c r="N1135" s="4"/>
      <c r="O1135" s="4"/>
    </row>
    <row r="1136" spans="1:15" x14ac:dyDescent="0.2">
      <c r="A1136" s="14"/>
      <c r="B1136" s="15"/>
      <c r="D1136" s="16"/>
      <c r="E1136" s="17"/>
      <c r="F1136" s="14"/>
      <c r="G1136" s="7"/>
      <c r="H1136" s="7"/>
      <c r="I1136" s="20"/>
      <c r="J1136" s="5"/>
      <c r="K1136" s="7"/>
      <c r="L1136" s="82"/>
      <c r="M1136" s="5"/>
      <c r="N1136" s="4"/>
      <c r="O1136" s="4"/>
    </row>
    <row r="1137" spans="1:15" x14ac:dyDescent="0.2">
      <c r="A1137" s="14"/>
      <c r="B1137" s="15"/>
      <c r="D1137" s="16"/>
      <c r="E1137" s="17"/>
      <c r="F1137" s="14"/>
      <c r="G1137" s="7"/>
      <c r="H1137" s="7"/>
      <c r="I1137" s="20"/>
      <c r="J1137" s="5"/>
      <c r="K1137" s="7"/>
      <c r="L1137" s="82"/>
      <c r="M1137" s="5"/>
      <c r="N1137" s="4"/>
      <c r="O1137" s="4"/>
    </row>
    <row r="1138" spans="1:15" x14ac:dyDescent="0.2">
      <c r="A1138" s="14"/>
      <c r="B1138" s="15"/>
      <c r="D1138" s="16"/>
      <c r="E1138" s="17"/>
      <c r="F1138" s="14"/>
      <c r="G1138" s="7"/>
      <c r="H1138" s="7"/>
      <c r="I1138" s="20"/>
      <c r="J1138" s="5"/>
      <c r="K1138" s="7"/>
      <c r="L1138" s="82"/>
      <c r="M1138" s="5"/>
      <c r="N1138" s="4"/>
      <c r="O1138" s="4"/>
    </row>
    <row r="1139" spans="1:15" x14ac:dyDescent="0.2">
      <c r="A1139" s="14"/>
      <c r="B1139" s="15"/>
      <c r="D1139" s="16"/>
      <c r="E1139" s="17"/>
      <c r="F1139" s="14"/>
      <c r="G1139" s="7"/>
      <c r="H1139" s="7"/>
      <c r="I1139" s="20"/>
      <c r="J1139" s="5"/>
      <c r="K1139" s="7"/>
      <c r="L1139" s="82"/>
      <c r="M1139" s="5"/>
      <c r="N1139" s="4"/>
      <c r="O1139" s="4"/>
    </row>
    <row r="1140" spans="1:15" x14ac:dyDescent="0.2">
      <c r="A1140" s="14"/>
      <c r="B1140" s="15"/>
      <c r="D1140" s="16"/>
      <c r="E1140" s="17"/>
      <c r="F1140" s="14"/>
      <c r="G1140" s="7"/>
      <c r="H1140" s="7"/>
      <c r="I1140" s="20"/>
      <c r="J1140" s="5"/>
      <c r="K1140" s="7"/>
      <c r="L1140" s="82"/>
      <c r="M1140" s="5"/>
      <c r="N1140" s="4"/>
      <c r="O1140" s="4"/>
    </row>
    <row r="1141" spans="1:15" x14ac:dyDescent="0.2">
      <c r="A1141" s="14"/>
      <c r="B1141" s="15"/>
      <c r="D1141" s="16"/>
      <c r="E1141" s="17"/>
      <c r="F1141" s="14"/>
      <c r="G1141" s="7"/>
      <c r="H1141" s="7"/>
      <c r="I1141" s="20"/>
      <c r="J1141" s="5"/>
      <c r="K1141" s="7"/>
      <c r="L1141" s="82"/>
      <c r="M1141" s="5"/>
      <c r="N1141" s="4"/>
      <c r="O1141" s="4"/>
    </row>
    <row r="1142" spans="1:15" x14ac:dyDescent="0.2">
      <c r="A1142" s="14"/>
      <c r="B1142" s="15"/>
      <c r="D1142" s="16"/>
      <c r="E1142" s="17"/>
      <c r="F1142" s="14"/>
      <c r="G1142" s="7"/>
      <c r="H1142" s="7"/>
      <c r="I1142" s="20"/>
      <c r="J1142" s="5"/>
      <c r="K1142" s="7"/>
      <c r="L1142" s="82"/>
      <c r="M1142" s="5"/>
      <c r="N1142" s="4"/>
      <c r="O1142" s="4"/>
    </row>
    <row r="1143" spans="1:15" x14ac:dyDescent="0.2">
      <c r="A1143" s="14"/>
      <c r="B1143" s="15"/>
      <c r="D1143" s="16"/>
      <c r="E1143" s="17"/>
      <c r="F1143" s="14"/>
      <c r="G1143" s="7"/>
      <c r="H1143" s="7"/>
      <c r="I1143" s="20"/>
      <c r="J1143" s="5"/>
      <c r="K1143" s="7"/>
      <c r="L1143" s="82"/>
      <c r="M1143" s="5"/>
      <c r="N1143" s="4"/>
      <c r="O1143" s="4"/>
    </row>
    <row r="1144" spans="1:15" x14ac:dyDescent="0.2">
      <c r="A1144" s="14"/>
      <c r="B1144" s="15"/>
      <c r="D1144" s="16"/>
      <c r="E1144" s="17"/>
      <c r="F1144" s="14"/>
      <c r="G1144" s="7"/>
      <c r="H1144" s="7"/>
      <c r="I1144" s="20"/>
      <c r="J1144" s="5"/>
      <c r="K1144" s="7"/>
      <c r="L1144" s="82"/>
      <c r="M1144" s="5"/>
      <c r="N1144" s="4"/>
      <c r="O1144" s="4"/>
    </row>
    <row r="1145" spans="1:15" x14ac:dyDescent="0.2">
      <c r="A1145" s="14"/>
      <c r="B1145" s="15"/>
      <c r="D1145" s="16"/>
      <c r="E1145" s="17"/>
      <c r="F1145" s="14"/>
      <c r="G1145" s="7"/>
      <c r="H1145" s="7"/>
      <c r="I1145" s="20"/>
      <c r="J1145" s="5"/>
      <c r="K1145" s="7"/>
      <c r="L1145" s="82"/>
      <c r="M1145" s="5"/>
      <c r="N1145" s="4"/>
      <c r="O1145" s="4"/>
    </row>
    <row r="1146" spans="1:15" x14ac:dyDescent="0.2">
      <c r="A1146" s="14"/>
      <c r="B1146" s="15"/>
      <c r="D1146" s="16"/>
      <c r="E1146" s="17"/>
      <c r="F1146" s="14"/>
      <c r="G1146" s="7"/>
      <c r="H1146" s="7"/>
      <c r="I1146" s="20"/>
      <c r="J1146" s="5"/>
      <c r="K1146" s="7"/>
      <c r="L1146" s="82"/>
      <c r="M1146" s="5"/>
      <c r="N1146" s="4"/>
      <c r="O1146" s="4"/>
    </row>
    <row r="1147" spans="1:15" x14ac:dyDescent="0.2">
      <c r="A1147" s="14"/>
      <c r="B1147" s="15"/>
      <c r="D1147" s="16"/>
      <c r="E1147" s="17"/>
      <c r="F1147" s="14"/>
      <c r="G1147" s="7"/>
      <c r="H1147" s="7"/>
      <c r="I1147" s="20"/>
      <c r="J1147" s="5"/>
      <c r="K1147" s="7"/>
      <c r="L1147" s="82"/>
      <c r="M1147" s="5"/>
      <c r="N1147" s="4"/>
      <c r="O1147" s="4"/>
    </row>
    <row r="1148" spans="1:15" x14ac:dyDescent="0.2">
      <c r="A1148" s="14"/>
      <c r="B1148" s="15"/>
      <c r="D1148" s="16"/>
      <c r="E1148" s="17"/>
      <c r="F1148" s="14"/>
      <c r="G1148" s="7"/>
      <c r="H1148" s="7"/>
      <c r="I1148" s="20"/>
      <c r="J1148" s="5"/>
      <c r="K1148" s="7"/>
      <c r="L1148" s="82"/>
      <c r="M1148" s="5"/>
      <c r="N1148" s="4"/>
      <c r="O1148" s="4"/>
    </row>
    <row r="1149" spans="1:15" x14ac:dyDescent="0.2">
      <c r="A1149" s="14"/>
      <c r="B1149" s="15"/>
      <c r="D1149" s="16"/>
      <c r="E1149" s="17"/>
      <c r="F1149" s="14"/>
      <c r="G1149" s="7"/>
      <c r="H1149" s="7"/>
      <c r="I1149" s="20"/>
      <c r="J1149" s="5"/>
      <c r="K1149" s="7"/>
      <c r="L1149" s="82"/>
      <c r="M1149" s="5"/>
      <c r="N1149" s="4"/>
      <c r="O1149" s="4"/>
    </row>
    <row r="1150" spans="1:15" x14ac:dyDescent="0.2">
      <c r="A1150" s="14"/>
      <c r="B1150" s="15"/>
      <c r="D1150" s="16"/>
      <c r="E1150" s="17"/>
      <c r="F1150" s="14"/>
      <c r="G1150" s="7"/>
      <c r="H1150" s="7"/>
      <c r="I1150" s="20"/>
      <c r="J1150" s="5"/>
      <c r="K1150" s="7"/>
      <c r="L1150" s="82"/>
      <c r="M1150" s="5"/>
      <c r="N1150" s="4"/>
      <c r="O1150" s="4"/>
    </row>
    <row r="1151" spans="1:15" x14ac:dyDescent="0.2">
      <c r="A1151" s="14"/>
      <c r="B1151" s="15"/>
      <c r="D1151" s="16"/>
      <c r="E1151" s="17"/>
      <c r="F1151" s="14"/>
      <c r="G1151" s="7"/>
      <c r="H1151" s="7"/>
      <c r="I1151" s="20"/>
      <c r="J1151" s="5"/>
      <c r="K1151" s="7"/>
      <c r="L1151" s="82"/>
      <c r="M1151" s="5"/>
      <c r="N1151" s="4"/>
      <c r="O1151" s="4"/>
    </row>
    <row r="1152" spans="1:15" x14ac:dyDescent="0.2">
      <c r="A1152" s="14"/>
      <c r="B1152" s="15"/>
      <c r="D1152" s="16"/>
      <c r="E1152" s="17"/>
      <c r="F1152" s="14"/>
      <c r="G1152" s="7"/>
      <c r="H1152" s="7"/>
      <c r="I1152" s="20"/>
      <c r="J1152" s="5"/>
      <c r="K1152" s="7"/>
      <c r="L1152" s="82"/>
      <c r="M1152" s="5"/>
      <c r="N1152" s="4"/>
      <c r="O1152" s="4"/>
    </row>
    <row r="1153" spans="1:15" x14ac:dyDescent="0.2">
      <c r="A1153" s="14"/>
      <c r="B1153" s="15"/>
      <c r="D1153" s="16"/>
      <c r="E1153" s="17"/>
      <c r="F1153" s="14"/>
      <c r="G1153" s="7"/>
      <c r="H1153" s="7"/>
      <c r="I1153" s="20"/>
      <c r="J1153" s="5"/>
      <c r="K1153" s="7"/>
      <c r="L1153" s="82"/>
      <c r="M1153" s="5"/>
      <c r="N1153" s="4"/>
      <c r="O1153" s="4"/>
    </row>
    <row r="1154" spans="1:15" x14ac:dyDescent="0.2">
      <c r="A1154" s="14"/>
      <c r="B1154" s="15"/>
      <c r="D1154" s="16"/>
      <c r="E1154" s="17"/>
      <c r="F1154" s="14"/>
      <c r="G1154" s="7"/>
      <c r="H1154" s="7"/>
      <c r="I1154" s="20"/>
      <c r="J1154" s="5"/>
      <c r="K1154" s="7"/>
      <c r="L1154" s="82"/>
      <c r="M1154" s="5"/>
      <c r="N1154" s="4"/>
      <c r="O1154" s="4"/>
    </row>
    <row r="1155" spans="1:15" x14ac:dyDescent="0.2">
      <c r="A1155" s="14"/>
      <c r="B1155" s="15"/>
      <c r="D1155" s="16"/>
      <c r="E1155" s="17"/>
      <c r="F1155" s="14"/>
      <c r="G1155" s="7"/>
      <c r="H1155" s="7"/>
      <c r="I1155" s="20"/>
      <c r="J1155" s="5"/>
      <c r="K1155" s="7"/>
      <c r="L1155" s="82"/>
      <c r="M1155" s="5"/>
      <c r="N1155" s="4"/>
      <c r="O1155" s="4"/>
    </row>
    <row r="1156" spans="1:15" x14ac:dyDescent="0.2">
      <c r="A1156" s="14"/>
      <c r="B1156" s="15"/>
      <c r="D1156" s="16"/>
      <c r="E1156" s="17"/>
      <c r="F1156" s="14"/>
      <c r="G1156" s="7"/>
      <c r="H1156" s="7"/>
      <c r="I1156" s="20"/>
      <c r="J1156" s="5"/>
      <c r="K1156" s="7"/>
      <c r="L1156" s="82"/>
      <c r="M1156" s="5"/>
      <c r="N1156" s="4"/>
      <c r="O1156" s="4"/>
    </row>
    <row r="1157" spans="1:15" x14ac:dyDescent="0.2">
      <c r="A1157" s="14"/>
      <c r="B1157" s="15"/>
      <c r="D1157" s="16"/>
      <c r="E1157" s="17"/>
      <c r="F1157" s="14"/>
      <c r="G1157" s="7"/>
      <c r="H1157" s="7"/>
      <c r="I1157" s="20"/>
      <c r="J1157" s="5"/>
      <c r="K1157" s="7"/>
      <c r="L1157" s="82"/>
      <c r="M1157" s="5"/>
      <c r="N1157" s="4"/>
      <c r="O1157" s="4"/>
    </row>
    <row r="1158" spans="1:15" x14ac:dyDescent="0.2">
      <c r="A1158" s="14"/>
      <c r="B1158" s="15"/>
      <c r="D1158" s="16"/>
      <c r="E1158" s="17"/>
      <c r="F1158" s="14"/>
      <c r="G1158" s="7"/>
      <c r="H1158" s="7"/>
      <c r="I1158" s="20"/>
      <c r="J1158" s="5"/>
      <c r="K1158" s="7"/>
      <c r="L1158" s="82"/>
      <c r="M1158" s="5"/>
      <c r="N1158" s="4"/>
      <c r="O1158" s="4"/>
    </row>
    <row r="1159" spans="1:15" x14ac:dyDescent="0.2">
      <c r="A1159" s="14"/>
      <c r="B1159" s="15"/>
      <c r="D1159" s="16"/>
      <c r="E1159" s="17"/>
      <c r="F1159" s="14"/>
      <c r="G1159" s="7"/>
      <c r="H1159" s="7"/>
      <c r="I1159" s="20"/>
      <c r="J1159" s="5"/>
      <c r="K1159" s="7"/>
      <c r="L1159" s="82"/>
      <c r="M1159" s="5"/>
      <c r="N1159" s="4"/>
      <c r="O1159" s="4"/>
    </row>
    <row r="1160" spans="1:15" x14ac:dyDescent="0.2">
      <c r="A1160" s="14"/>
      <c r="B1160" s="15"/>
      <c r="D1160" s="16"/>
      <c r="E1160" s="17"/>
      <c r="F1160" s="14"/>
      <c r="G1160" s="7"/>
      <c r="H1160" s="7"/>
      <c r="I1160" s="20"/>
      <c r="J1160" s="5"/>
      <c r="K1160" s="7"/>
      <c r="L1160" s="82"/>
      <c r="M1160" s="5"/>
      <c r="N1160" s="4"/>
      <c r="O1160" s="4"/>
    </row>
    <row r="1161" spans="1:15" x14ac:dyDescent="0.2">
      <c r="A1161" s="14"/>
      <c r="B1161" s="15"/>
      <c r="D1161" s="16"/>
      <c r="E1161" s="17"/>
      <c r="F1161" s="14"/>
      <c r="G1161" s="7"/>
      <c r="H1161" s="7"/>
      <c r="I1161" s="20"/>
      <c r="J1161" s="5"/>
      <c r="K1161" s="7"/>
      <c r="L1161" s="82"/>
      <c r="M1161" s="5"/>
      <c r="N1161" s="4"/>
      <c r="O1161" s="4"/>
    </row>
    <row r="1162" spans="1:15" x14ac:dyDescent="0.2">
      <c r="A1162" s="14"/>
      <c r="B1162" s="15"/>
      <c r="D1162" s="16"/>
      <c r="E1162" s="17"/>
      <c r="F1162" s="14"/>
      <c r="G1162" s="7"/>
      <c r="H1162" s="7"/>
      <c r="I1162" s="20"/>
      <c r="J1162" s="5"/>
      <c r="K1162" s="7"/>
      <c r="L1162" s="82"/>
      <c r="M1162" s="5"/>
      <c r="N1162" s="4"/>
      <c r="O1162" s="4"/>
    </row>
    <row r="1163" spans="1:15" x14ac:dyDescent="0.2">
      <c r="A1163" s="14"/>
      <c r="B1163" s="15"/>
      <c r="D1163" s="16"/>
      <c r="E1163" s="17"/>
      <c r="F1163" s="14"/>
      <c r="G1163" s="7"/>
      <c r="H1163" s="7"/>
      <c r="I1163" s="20"/>
      <c r="J1163" s="5"/>
      <c r="K1163" s="7"/>
      <c r="L1163" s="82"/>
      <c r="M1163" s="5"/>
      <c r="N1163" s="4"/>
      <c r="O1163" s="4"/>
    </row>
    <row r="1164" spans="1:15" x14ac:dyDescent="0.2">
      <c r="A1164" s="14"/>
      <c r="B1164" s="15"/>
      <c r="D1164" s="16"/>
      <c r="E1164" s="17"/>
      <c r="F1164" s="14"/>
      <c r="G1164" s="7"/>
      <c r="H1164" s="7"/>
      <c r="I1164" s="20"/>
      <c r="J1164" s="5"/>
      <c r="K1164" s="7"/>
      <c r="L1164" s="82"/>
      <c r="M1164" s="5"/>
      <c r="N1164" s="4"/>
      <c r="O1164" s="4"/>
    </row>
    <row r="1165" spans="1:15" x14ac:dyDescent="0.2">
      <c r="A1165" s="14"/>
      <c r="B1165" s="15"/>
      <c r="D1165" s="16"/>
      <c r="E1165" s="17"/>
      <c r="F1165" s="14"/>
      <c r="G1165" s="7"/>
      <c r="H1165" s="7"/>
      <c r="I1165" s="20"/>
      <c r="J1165" s="5"/>
      <c r="K1165" s="7"/>
      <c r="L1165" s="82"/>
      <c r="M1165" s="5"/>
      <c r="N1165" s="4"/>
      <c r="O1165" s="4"/>
    </row>
    <row r="1166" spans="1:15" x14ac:dyDescent="0.2">
      <c r="A1166" s="14"/>
      <c r="B1166" s="15"/>
      <c r="D1166" s="16"/>
      <c r="E1166" s="17"/>
      <c r="F1166" s="14"/>
      <c r="G1166" s="7"/>
      <c r="H1166" s="7"/>
      <c r="I1166" s="20"/>
      <c r="J1166" s="5"/>
      <c r="K1166" s="7"/>
      <c r="L1166" s="82"/>
      <c r="M1166" s="5"/>
      <c r="N1166" s="4"/>
      <c r="O1166" s="4"/>
    </row>
    <row r="1167" spans="1:15" x14ac:dyDescent="0.2">
      <c r="A1167" s="14"/>
      <c r="B1167" s="15"/>
      <c r="D1167" s="16"/>
      <c r="E1167" s="17"/>
      <c r="F1167" s="14"/>
      <c r="G1167" s="7"/>
      <c r="H1167" s="7"/>
      <c r="I1167" s="20"/>
      <c r="J1167" s="5"/>
      <c r="K1167" s="7"/>
      <c r="L1167" s="82"/>
      <c r="M1167" s="5"/>
      <c r="N1167" s="4"/>
      <c r="O1167" s="4"/>
    </row>
    <row r="1168" spans="1:15" x14ac:dyDescent="0.2">
      <c r="A1168" s="14"/>
      <c r="B1168" s="15"/>
      <c r="D1168" s="16"/>
      <c r="E1168" s="17"/>
      <c r="F1168" s="14"/>
      <c r="G1168" s="7"/>
      <c r="H1168" s="7"/>
      <c r="I1168" s="20"/>
      <c r="J1168" s="5"/>
      <c r="K1168" s="7"/>
      <c r="L1168" s="82"/>
      <c r="M1168" s="5"/>
      <c r="N1168" s="4"/>
      <c r="O1168" s="4"/>
    </row>
    <row r="1169" spans="1:15" x14ac:dyDescent="0.2">
      <c r="A1169" s="14"/>
      <c r="B1169" s="15"/>
      <c r="D1169" s="16"/>
      <c r="E1169" s="17"/>
      <c r="F1169" s="14"/>
      <c r="G1169" s="7"/>
      <c r="H1169" s="7"/>
      <c r="I1169" s="20"/>
      <c r="J1169" s="5"/>
      <c r="K1169" s="7"/>
      <c r="L1169" s="82"/>
      <c r="M1169" s="5"/>
      <c r="N1169" s="4"/>
      <c r="O1169" s="4"/>
    </row>
    <row r="1170" spans="1:15" x14ac:dyDescent="0.2">
      <c r="A1170" s="14"/>
      <c r="B1170" s="15"/>
      <c r="D1170" s="16"/>
      <c r="E1170" s="17"/>
      <c r="F1170" s="14"/>
      <c r="G1170" s="7"/>
      <c r="H1170" s="7"/>
      <c r="I1170" s="20"/>
      <c r="J1170" s="5"/>
      <c r="K1170" s="7"/>
      <c r="L1170" s="82"/>
      <c r="M1170" s="5"/>
      <c r="N1170" s="4"/>
      <c r="O1170" s="4"/>
    </row>
    <row r="1171" spans="1:15" x14ac:dyDescent="0.2">
      <c r="A1171" s="14"/>
      <c r="B1171" s="15"/>
      <c r="D1171" s="16"/>
      <c r="E1171" s="17"/>
      <c r="F1171" s="14"/>
      <c r="G1171" s="7"/>
      <c r="H1171" s="7"/>
      <c r="I1171" s="20"/>
      <c r="J1171" s="5"/>
      <c r="K1171" s="7"/>
      <c r="L1171" s="82"/>
      <c r="M1171" s="5"/>
      <c r="N1171" s="4"/>
      <c r="O1171" s="4"/>
    </row>
    <row r="1172" spans="1:15" x14ac:dyDescent="0.2">
      <c r="A1172" s="14"/>
      <c r="B1172" s="15"/>
      <c r="D1172" s="16"/>
      <c r="E1172" s="17"/>
      <c r="F1172" s="14"/>
      <c r="G1172" s="7"/>
      <c r="H1172" s="7"/>
      <c r="I1172" s="20"/>
      <c r="J1172" s="5"/>
      <c r="K1172" s="7"/>
      <c r="L1172" s="82"/>
      <c r="M1172" s="5"/>
      <c r="N1172" s="4"/>
      <c r="O1172" s="4"/>
    </row>
    <row r="1173" spans="1:15" x14ac:dyDescent="0.2">
      <c r="A1173" s="14"/>
      <c r="B1173" s="15"/>
      <c r="D1173" s="16"/>
      <c r="E1173" s="17"/>
      <c r="F1173" s="14"/>
      <c r="G1173" s="7"/>
      <c r="H1173" s="7"/>
      <c r="I1173" s="20"/>
      <c r="J1173" s="5"/>
      <c r="K1173" s="7"/>
      <c r="L1173" s="82"/>
      <c r="M1173" s="5"/>
      <c r="N1173" s="4"/>
      <c r="O1173" s="4"/>
    </row>
    <row r="1174" spans="1:15" x14ac:dyDescent="0.2">
      <c r="A1174" s="14"/>
      <c r="B1174" s="15"/>
      <c r="D1174" s="16"/>
      <c r="E1174" s="17"/>
      <c r="F1174" s="14"/>
      <c r="G1174" s="7"/>
      <c r="H1174" s="7"/>
      <c r="I1174" s="20"/>
      <c r="J1174" s="5"/>
      <c r="K1174" s="7"/>
      <c r="L1174" s="82"/>
      <c r="M1174" s="5"/>
      <c r="N1174" s="4"/>
      <c r="O1174" s="4"/>
    </row>
    <row r="1175" spans="1:15" x14ac:dyDescent="0.2">
      <c r="A1175" s="14"/>
      <c r="B1175" s="15"/>
      <c r="D1175" s="16"/>
      <c r="E1175" s="17"/>
      <c r="F1175" s="14"/>
      <c r="G1175" s="7"/>
      <c r="H1175" s="7"/>
      <c r="I1175" s="20"/>
      <c r="J1175" s="5"/>
      <c r="K1175" s="7"/>
      <c r="L1175" s="82"/>
      <c r="M1175" s="5"/>
      <c r="N1175" s="4"/>
      <c r="O1175" s="4"/>
    </row>
    <row r="1176" spans="1:15" x14ac:dyDescent="0.2">
      <c r="A1176" s="14"/>
      <c r="B1176" s="15"/>
      <c r="D1176" s="16"/>
      <c r="E1176" s="17"/>
      <c r="F1176" s="14"/>
      <c r="G1176" s="7"/>
      <c r="H1176" s="7"/>
      <c r="I1176" s="20"/>
      <c r="J1176" s="5"/>
      <c r="K1176" s="7"/>
      <c r="L1176" s="82"/>
      <c r="M1176" s="5"/>
      <c r="N1176" s="4"/>
      <c r="O1176" s="4"/>
    </row>
    <row r="1177" spans="1:15" x14ac:dyDescent="0.2">
      <c r="A1177" s="14"/>
      <c r="B1177" s="15"/>
      <c r="D1177" s="16"/>
      <c r="E1177" s="17"/>
      <c r="F1177" s="14"/>
      <c r="G1177" s="7"/>
      <c r="H1177" s="7"/>
      <c r="I1177" s="20"/>
      <c r="J1177" s="5"/>
      <c r="K1177" s="7"/>
      <c r="L1177" s="82"/>
      <c r="M1177" s="5"/>
      <c r="N1177" s="4"/>
      <c r="O1177" s="4"/>
    </row>
    <row r="1178" spans="1:15" x14ac:dyDescent="0.2">
      <c r="A1178" s="14"/>
      <c r="B1178" s="15"/>
      <c r="D1178" s="16"/>
      <c r="E1178" s="17"/>
      <c r="F1178" s="14"/>
      <c r="G1178" s="7"/>
      <c r="H1178" s="7"/>
      <c r="I1178" s="20"/>
      <c r="J1178" s="5"/>
      <c r="K1178" s="7"/>
      <c r="L1178" s="82"/>
      <c r="M1178" s="5"/>
      <c r="N1178" s="4"/>
      <c r="O1178" s="4"/>
    </row>
    <row r="1179" spans="1:15" x14ac:dyDescent="0.2">
      <c r="A1179" s="14"/>
      <c r="B1179" s="15"/>
      <c r="D1179" s="16"/>
      <c r="E1179" s="17"/>
      <c r="F1179" s="14"/>
      <c r="G1179" s="7"/>
      <c r="H1179" s="7"/>
      <c r="I1179" s="20"/>
      <c r="J1179" s="5"/>
      <c r="K1179" s="7"/>
      <c r="L1179" s="82"/>
      <c r="M1179" s="5"/>
      <c r="N1179" s="4"/>
      <c r="O1179" s="4"/>
    </row>
    <row r="1180" spans="1:15" x14ac:dyDescent="0.2">
      <c r="A1180" s="14"/>
      <c r="B1180" s="15"/>
      <c r="D1180" s="16"/>
      <c r="E1180" s="17"/>
      <c r="F1180" s="14"/>
      <c r="G1180" s="7"/>
      <c r="H1180" s="7"/>
      <c r="I1180" s="20"/>
      <c r="J1180" s="5"/>
      <c r="K1180" s="7"/>
      <c r="L1180" s="82"/>
      <c r="M1180" s="5"/>
      <c r="N1180" s="4"/>
      <c r="O1180" s="4"/>
    </row>
    <row r="1181" spans="1:15" x14ac:dyDescent="0.2">
      <c r="A1181" s="14"/>
      <c r="B1181" s="15"/>
      <c r="D1181" s="16"/>
      <c r="E1181" s="17"/>
      <c r="F1181" s="14"/>
      <c r="G1181" s="7"/>
      <c r="H1181" s="7"/>
      <c r="I1181" s="20"/>
      <c r="J1181" s="5"/>
      <c r="K1181" s="7"/>
      <c r="L1181" s="82"/>
      <c r="M1181" s="5"/>
      <c r="N1181" s="4"/>
      <c r="O1181" s="4"/>
    </row>
    <row r="1182" spans="1:15" x14ac:dyDescent="0.2">
      <c r="A1182" s="14"/>
      <c r="B1182" s="15"/>
      <c r="D1182" s="16"/>
      <c r="E1182" s="17"/>
      <c r="F1182" s="14"/>
      <c r="G1182" s="7"/>
      <c r="H1182" s="7"/>
      <c r="I1182" s="20"/>
      <c r="J1182" s="5"/>
      <c r="K1182" s="7"/>
      <c r="L1182" s="82"/>
      <c r="M1182" s="5"/>
      <c r="N1182" s="4"/>
      <c r="O1182" s="4"/>
    </row>
    <row r="1183" spans="1:15" x14ac:dyDescent="0.2">
      <c r="A1183" s="14"/>
      <c r="B1183" s="15"/>
      <c r="D1183" s="16"/>
      <c r="E1183" s="17"/>
      <c r="F1183" s="14"/>
      <c r="G1183" s="7"/>
      <c r="H1183" s="7"/>
      <c r="I1183" s="20"/>
      <c r="J1183" s="5"/>
      <c r="K1183" s="7"/>
      <c r="L1183" s="82"/>
      <c r="M1183" s="5"/>
      <c r="N1183" s="4"/>
      <c r="O1183" s="4"/>
    </row>
    <row r="1184" spans="1:15" x14ac:dyDescent="0.2">
      <c r="A1184" s="14"/>
      <c r="B1184" s="15"/>
      <c r="D1184" s="16"/>
      <c r="E1184" s="17"/>
      <c r="F1184" s="14"/>
      <c r="G1184" s="7"/>
      <c r="H1184" s="7"/>
      <c r="I1184" s="20"/>
      <c r="J1184" s="5"/>
      <c r="K1184" s="7"/>
      <c r="L1184" s="82"/>
      <c r="M1184" s="5"/>
      <c r="N1184" s="4"/>
      <c r="O1184" s="4"/>
    </row>
    <row r="1185" spans="1:15" x14ac:dyDescent="0.2">
      <c r="A1185" s="14"/>
      <c r="B1185" s="15"/>
      <c r="D1185" s="16"/>
      <c r="E1185" s="17"/>
      <c r="F1185" s="14"/>
      <c r="G1185" s="7"/>
      <c r="H1185" s="7"/>
      <c r="I1185" s="20"/>
      <c r="J1185" s="5"/>
      <c r="K1185" s="7"/>
      <c r="L1185" s="82"/>
      <c r="M1185" s="5"/>
      <c r="N1185" s="4"/>
      <c r="O1185" s="4"/>
    </row>
    <row r="1186" spans="1:15" x14ac:dyDescent="0.2">
      <c r="A1186" s="14"/>
      <c r="B1186" s="15"/>
      <c r="D1186" s="16"/>
      <c r="E1186" s="17"/>
      <c r="F1186" s="14"/>
      <c r="G1186" s="7"/>
      <c r="H1186" s="7"/>
      <c r="I1186" s="20"/>
      <c r="J1186" s="5"/>
      <c r="K1186" s="7"/>
      <c r="L1186" s="82"/>
      <c r="M1186" s="5"/>
      <c r="N1186" s="4"/>
      <c r="O1186" s="4"/>
    </row>
    <row r="1187" spans="1:15" x14ac:dyDescent="0.2">
      <c r="A1187" s="14"/>
      <c r="B1187" s="15"/>
      <c r="D1187" s="16"/>
      <c r="E1187" s="17"/>
      <c r="F1187" s="14"/>
      <c r="G1187" s="7"/>
      <c r="H1187" s="7"/>
      <c r="I1187" s="20"/>
      <c r="J1187" s="5"/>
      <c r="K1187" s="7"/>
      <c r="L1187" s="82"/>
      <c r="M1187" s="5"/>
      <c r="N1187" s="4"/>
      <c r="O1187" s="4"/>
    </row>
    <row r="1188" spans="1:15" x14ac:dyDescent="0.2">
      <c r="A1188" s="14"/>
      <c r="B1188" s="15"/>
      <c r="D1188" s="16"/>
      <c r="E1188" s="17"/>
      <c r="F1188" s="14"/>
      <c r="G1188" s="7"/>
      <c r="H1188" s="7"/>
      <c r="I1188" s="20"/>
      <c r="J1188" s="5"/>
      <c r="K1188" s="7"/>
      <c r="L1188" s="82"/>
      <c r="M1188" s="5"/>
      <c r="N1188" s="4"/>
      <c r="O1188" s="4"/>
    </row>
    <row r="1189" spans="1:15" x14ac:dyDescent="0.2">
      <c r="A1189" s="14"/>
      <c r="B1189" s="15"/>
      <c r="D1189" s="16"/>
      <c r="E1189" s="17"/>
      <c r="F1189" s="14"/>
      <c r="G1189" s="7"/>
      <c r="H1189" s="7"/>
      <c r="I1189" s="20"/>
      <c r="J1189" s="5"/>
      <c r="K1189" s="7"/>
      <c r="L1189" s="82"/>
      <c r="M1189" s="5"/>
      <c r="N1189" s="4"/>
      <c r="O1189" s="4"/>
    </row>
    <row r="1190" spans="1:15" x14ac:dyDescent="0.2">
      <c r="A1190" s="14"/>
      <c r="B1190" s="15"/>
      <c r="D1190" s="16"/>
      <c r="E1190" s="17"/>
      <c r="F1190" s="14"/>
      <c r="G1190" s="7"/>
      <c r="H1190" s="7"/>
      <c r="I1190" s="20"/>
      <c r="J1190" s="5"/>
      <c r="K1190" s="7"/>
      <c r="L1190" s="82"/>
      <c r="M1190" s="5"/>
      <c r="N1190" s="4"/>
      <c r="O1190" s="4"/>
    </row>
    <row r="1191" spans="1:15" x14ac:dyDescent="0.2">
      <c r="A1191" s="14"/>
      <c r="B1191" s="15"/>
      <c r="D1191" s="16"/>
      <c r="E1191" s="17"/>
      <c r="F1191" s="14"/>
      <c r="G1191" s="7"/>
      <c r="H1191" s="7"/>
      <c r="I1191" s="20"/>
      <c r="J1191" s="5"/>
      <c r="K1191" s="7"/>
      <c r="L1191" s="82"/>
      <c r="M1191" s="5"/>
      <c r="N1191" s="4"/>
      <c r="O1191" s="4"/>
    </row>
    <row r="1192" spans="1:15" x14ac:dyDescent="0.2">
      <c r="A1192" s="14"/>
      <c r="B1192" s="15"/>
      <c r="D1192" s="16"/>
      <c r="E1192" s="17"/>
      <c r="F1192" s="14"/>
      <c r="G1192" s="7"/>
      <c r="H1192" s="7"/>
      <c r="I1192" s="20"/>
      <c r="J1192" s="5"/>
      <c r="K1192" s="7"/>
      <c r="L1192" s="82"/>
      <c r="M1192" s="5"/>
      <c r="N1192" s="4"/>
      <c r="O1192" s="4"/>
    </row>
    <row r="1193" spans="1:15" x14ac:dyDescent="0.2">
      <c r="A1193" s="14"/>
      <c r="B1193" s="15"/>
      <c r="D1193" s="16"/>
      <c r="E1193" s="17"/>
      <c r="F1193" s="14"/>
      <c r="G1193" s="7"/>
      <c r="H1193" s="7"/>
      <c r="I1193" s="20"/>
      <c r="J1193" s="5"/>
      <c r="K1193" s="7"/>
      <c r="L1193" s="82"/>
      <c r="M1193" s="5"/>
      <c r="N1193" s="4"/>
      <c r="O1193" s="4"/>
    </row>
    <row r="1194" spans="1:15" x14ac:dyDescent="0.2">
      <c r="A1194" s="14"/>
      <c r="B1194" s="15"/>
      <c r="D1194" s="16"/>
      <c r="E1194" s="17"/>
      <c r="F1194" s="14"/>
      <c r="G1194" s="7"/>
      <c r="H1194" s="7"/>
      <c r="I1194" s="20"/>
      <c r="J1194" s="5"/>
      <c r="K1194" s="7"/>
      <c r="L1194" s="82"/>
      <c r="M1194" s="5"/>
      <c r="N1194" s="4"/>
      <c r="O1194" s="4"/>
    </row>
    <row r="1195" spans="1:15" x14ac:dyDescent="0.2">
      <c r="A1195" s="14"/>
      <c r="B1195" s="15"/>
      <c r="D1195" s="16"/>
      <c r="E1195" s="17"/>
      <c r="F1195" s="14"/>
      <c r="G1195" s="7"/>
      <c r="H1195" s="7"/>
      <c r="I1195" s="20"/>
      <c r="J1195" s="5"/>
      <c r="K1195" s="7"/>
      <c r="L1195" s="82"/>
      <c r="M1195" s="5"/>
      <c r="N1195" s="4"/>
      <c r="O1195" s="4"/>
    </row>
    <row r="1196" spans="1:15" x14ac:dyDescent="0.2">
      <c r="A1196" s="14"/>
      <c r="B1196" s="15"/>
      <c r="D1196" s="16"/>
      <c r="E1196" s="17"/>
      <c r="F1196" s="14"/>
      <c r="G1196" s="7"/>
      <c r="H1196" s="7"/>
      <c r="I1196" s="20"/>
      <c r="J1196" s="5"/>
      <c r="K1196" s="7"/>
      <c r="L1196" s="82"/>
      <c r="M1196" s="5"/>
      <c r="N1196" s="4"/>
      <c r="O1196" s="4"/>
    </row>
    <row r="1197" spans="1:15" x14ac:dyDescent="0.2">
      <c r="A1197" s="14"/>
      <c r="B1197" s="15"/>
      <c r="D1197" s="16"/>
      <c r="E1197" s="17"/>
      <c r="F1197" s="14"/>
      <c r="G1197" s="7"/>
      <c r="H1197" s="7"/>
      <c r="I1197" s="20"/>
      <c r="J1197" s="5"/>
      <c r="K1197" s="7"/>
      <c r="L1197" s="82"/>
      <c r="M1197" s="5"/>
      <c r="N1197" s="4"/>
      <c r="O1197" s="4"/>
    </row>
    <row r="1198" spans="1:15" x14ac:dyDescent="0.2">
      <c r="A1198" s="14"/>
      <c r="B1198" s="15"/>
      <c r="D1198" s="16"/>
      <c r="E1198" s="17"/>
      <c r="F1198" s="14"/>
      <c r="G1198" s="7"/>
      <c r="H1198" s="7"/>
      <c r="I1198" s="20"/>
      <c r="J1198" s="5"/>
      <c r="K1198" s="7"/>
      <c r="L1198" s="82"/>
      <c r="M1198" s="5"/>
      <c r="N1198" s="4"/>
      <c r="O1198" s="4"/>
    </row>
    <row r="1199" spans="1:15" x14ac:dyDescent="0.2">
      <c r="A1199" s="14"/>
      <c r="B1199" s="15"/>
      <c r="D1199" s="16"/>
      <c r="E1199" s="17"/>
      <c r="F1199" s="14"/>
      <c r="G1199" s="7"/>
      <c r="H1199" s="7"/>
      <c r="I1199" s="20"/>
      <c r="J1199" s="5"/>
      <c r="K1199" s="7"/>
      <c r="L1199" s="82"/>
      <c r="M1199" s="5"/>
      <c r="N1199" s="4"/>
      <c r="O1199" s="4"/>
    </row>
    <row r="1200" spans="1:15" x14ac:dyDescent="0.2">
      <c r="A1200" s="14"/>
      <c r="B1200" s="15"/>
      <c r="D1200" s="16"/>
      <c r="E1200" s="17"/>
      <c r="F1200" s="14"/>
      <c r="G1200" s="7"/>
      <c r="H1200" s="7"/>
      <c r="I1200" s="20"/>
      <c r="J1200" s="5"/>
      <c r="K1200" s="7"/>
      <c r="L1200" s="82"/>
      <c r="M1200" s="5"/>
      <c r="N1200" s="4"/>
      <c r="O1200" s="4"/>
    </row>
    <row r="1201" spans="1:15" x14ac:dyDescent="0.2">
      <c r="A1201" s="14"/>
      <c r="B1201" s="15"/>
      <c r="D1201" s="16"/>
      <c r="E1201" s="17"/>
      <c r="F1201" s="14"/>
      <c r="G1201" s="7"/>
      <c r="H1201" s="7"/>
      <c r="I1201" s="20"/>
      <c r="J1201" s="5"/>
      <c r="K1201" s="7"/>
      <c r="L1201" s="82"/>
      <c r="M1201" s="5"/>
      <c r="N1201" s="4"/>
      <c r="O1201" s="4"/>
    </row>
    <row r="1202" spans="1:15" x14ac:dyDescent="0.2">
      <c r="A1202" s="14"/>
      <c r="B1202" s="15"/>
      <c r="D1202" s="16"/>
      <c r="E1202" s="17"/>
      <c r="F1202" s="14"/>
      <c r="G1202" s="7"/>
      <c r="H1202" s="7"/>
      <c r="I1202" s="20"/>
      <c r="J1202" s="5"/>
      <c r="K1202" s="7"/>
      <c r="L1202" s="82"/>
      <c r="M1202" s="5"/>
      <c r="N1202" s="4"/>
      <c r="O1202" s="4"/>
    </row>
    <row r="1203" spans="1:15" x14ac:dyDescent="0.2">
      <c r="A1203" s="14"/>
      <c r="B1203" s="15"/>
      <c r="D1203" s="16"/>
      <c r="E1203" s="17"/>
      <c r="F1203" s="14"/>
      <c r="G1203" s="7"/>
      <c r="H1203" s="7"/>
      <c r="I1203" s="20"/>
      <c r="J1203" s="5"/>
      <c r="K1203" s="7"/>
      <c r="L1203" s="82"/>
      <c r="M1203" s="5"/>
      <c r="N1203" s="4"/>
      <c r="O1203" s="4"/>
    </row>
    <row r="1204" spans="1:15" x14ac:dyDescent="0.2">
      <c r="A1204" s="14"/>
      <c r="B1204" s="15"/>
      <c r="D1204" s="16"/>
      <c r="E1204" s="17"/>
      <c r="F1204" s="14"/>
      <c r="G1204" s="7"/>
      <c r="H1204" s="7"/>
      <c r="I1204" s="20"/>
      <c r="J1204" s="5"/>
      <c r="K1204" s="7"/>
      <c r="L1204" s="82"/>
      <c r="M1204" s="5"/>
      <c r="N1204" s="4"/>
      <c r="O1204" s="4"/>
    </row>
    <row r="1205" spans="1:15" x14ac:dyDescent="0.2">
      <c r="A1205" s="14"/>
      <c r="B1205" s="15"/>
      <c r="D1205" s="16"/>
      <c r="E1205" s="17"/>
      <c r="F1205" s="14"/>
      <c r="G1205" s="7"/>
      <c r="H1205" s="7"/>
      <c r="I1205" s="20"/>
      <c r="J1205" s="5"/>
      <c r="K1205" s="7"/>
      <c r="L1205" s="82"/>
      <c r="M1205" s="5"/>
      <c r="N1205" s="4"/>
      <c r="O1205" s="4"/>
    </row>
    <row r="1206" spans="1:15" x14ac:dyDescent="0.2">
      <c r="A1206" s="14"/>
      <c r="B1206" s="15"/>
      <c r="D1206" s="16"/>
      <c r="E1206" s="17"/>
      <c r="F1206" s="14"/>
      <c r="G1206" s="7"/>
      <c r="H1206" s="7"/>
      <c r="I1206" s="20"/>
      <c r="J1206" s="5"/>
      <c r="K1206" s="7"/>
      <c r="L1206" s="82"/>
      <c r="M1206" s="5"/>
      <c r="N1206" s="4"/>
      <c r="O1206" s="4"/>
    </row>
    <row r="1207" spans="1:15" x14ac:dyDescent="0.2">
      <c r="A1207" s="14"/>
      <c r="B1207" s="15"/>
      <c r="D1207" s="16"/>
      <c r="E1207" s="17"/>
      <c r="F1207" s="14"/>
      <c r="G1207" s="7"/>
      <c r="H1207" s="7"/>
      <c r="I1207" s="20"/>
      <c r="J1207" s="5"/>
      <c r="K1207" s="7"/>
      <c r="L1207" s="82"/>
      <c r="M1207" s="5"/>
      <c r="N1207" s="4"/>
      <c r="O1207" s="4"/>
    </row>
    <row r="1208" spans="1:15" x14ac:dyDescent="0.2">
      <c r="A1208" s="14"/>
      <c r="B1208" s="15"/>
      <c r="D1208" s="16"/>
      <c r="E1208" s="17"/>
      <c r="F1208" s="14"/>
      <c r="G1208" s="7"/>
      <c r="H1208" s="7"/>
      <c r="I1208" s="20"/>
      <c r="J1208" s="5"/>
      <c r="K1208" s="7"/>
      <c r="L1208" s="82"/>
      <c r="M1208" s="5"/>
      <c r="N1208" s="4"/>
      <c r="O1208" s="4"/>
    </row>
    <row r="1209" spans="1:15" x14ac:dyDescent="0.2">
      <c r="A1209" s="14"/>
      <c r="B1209" s="15"/>
      <c r="D1209" s="16"/>
      <c r="E1209" s="17"/>
      <c r="F1209" s="14"/>
      <c r="G1209" s="7"/>
      <c r="H1209" s="7"/>
      <c r="I1209" s="20"/>
      <c r="J1209" s="5"/>
      <c r="K1209" s="7"/>
      <c r="L1209" s="82"/>
      <c r="M1209" s="5"/>
      <c r="N1209" s="4"/>
      <c r="O1209" s="4"/>
    </row>
    <row r="1210" spans="1:15" x14ac:dyDescent="0.2">
      <c r="A1210" s="14"/>
      <c r="B1210" s="15"/>
      <c r="D1210" s="16"/>
      <c r="E1210" s="17"/>
      <c r="F1210" s="14"/>
      <c r="G1210" s="7"/>
      <c r="H1210" s="7"/>
      <c r="I1210" s="20"/>
      <c r="J1210" s="5"/>
      <c r="K1210" s="7"/>
      <c r="L1210" s="82"/>
      <c r="M1210" s="5"/>
      <c r="N1210" s="4"/>
      <c r="O1210" s="4"/>
    </row>
    <row r="1211" spans="1:15" x14ac:dyDescent="0.2">
      <c r="A1211" s="14"/>
      <c r="B1211" s="15"/>
      <c r="D1211" s="16"/>
      <c r="E1211" s="17"/>
      <c r="F1211" s="14"/>
      <c r="G1211" s="7"/>
      <c r="H1211" s="7"/>
      <c r="I1211" s="20"/>
      <c r="J1211" s="5"/>
      <c r="K1211" s="7"/>
      <c r="L1211" s="82"/>
      <c r="M1211" s="5"/>
      <c r="N1211" s="4"/>
      <c r="O1211" s="4"/>
    </row>
    <row r="1212" spans="1:15" x14ac:dyDescent="0.2">
      <c r="A1212" s="14"/>
      <c r="B1212" s="15"/>
      <c r="D1212" s="16"/>
      <c r="E1212" s="17"/>
      <c r="F1212" s="14"/>
      <c r="G1212" s="7"/>
      <c r="H1212" s="7"/>
      <c r="I1212" s="20"/>
      <c r="J1212" s="5"/>
      <c r="K1212" s="7"/>
      <c r="L1212" s="82"/>
      <c r="M1212" s="5"/>
      <c r="N1212" s="4"/>
      <c r="O1212" s="4"/>
    </row>
    <row r="1213" spans="1:15" x14ac:dyDescent="0.2">
      <c r="A1213" s="14"/>
      <c r="B1213" s="15"/>
      <c r="D1213" s="16"/>
      <c r="E1213" s="17"/>
      <c r="F1213" s="14"/>
      <c r="G1213" s="7"/>
      <c r="H1213" s="7"/>
      <c r="I1213" s="20"/>
      <c r="J1213" s="5"/>
      <c r="K1213" s="7"/>
      <c r="L1213" s="82"/>
      <c r="M1213" s="5"/>
      <c r="N1213" s="4"/>
      <c r="O1213" s="4"/>
    </row>
    <row r="1214" spans="1:15" x14ac:dyDescent="0.2">
      <c r="A1214" s="14"/>
      <c r="B1214" s="15"/>
      <c r="D1214" s="16"/>
      <c r="E1214" s="17"/>
      <c r="F1214" s="14"/>
      <c r="G1214" s="7"/>
      <c r="H1214" s="7"/>
      <c r="I1214" s="20"/>
      <c r="J1214" s="5"/>
      <c r="K1214" s="7"/>
      <c r="L1214" s="82"/>
      <c r="M1214" s="5"/>
      <c r="N1214" s="4"/>
      <c r="O1214" s="4"/>
    </row>
    <row r="1215" spans="1:15" x14ac:dyDescent="0.2">
      <c r="A1215" s="14"/>
      <c r="B1215" s="15"/>
      <c r="D1215" s="16"/>
      <c r="E1215" s="17"/>
      <c r="F1215" s="14"/>
      <c r="G1215" s="7"/>
      <c r="H1215" s="7"/>
      <c r="I1215" s="20"/>
      <c r="J1215" s="5"/>
      <c r="K1215" s="7"/>
      <c r="L1215" s="82"/>
      <c r="M1215" s="5"/>
      <c r="N1215" s="4"/>
      <c r="O1215" s="4"/>
    </row>
    <row r="1216" spans="1:15" x14ac:dyDescent="0.2">
      <c r="A1216" s="14"/>
      <c r="B1216" s="15"/>
      <c r="D1216" s="16"/>
      <c r="E1216" s="17"/>
      <c r="F1216" s="14"/>
      <c r="G1216" s="7"/>
      <c r="H1216" s="7"/>
      <c r="I1216" s="20"/>
      <c r="J1216" s="5"/>
      <c r="K1216" s="7"/>
      <c r="L1216" s="82"/>
      <c r="M1216" s="5"/>
      <c r="N1216" s="4"/>
      <c r="O1216" s="4"/>
    </row>
    <row r="1217" spans="1:15" x14ac:dyDescent="0.2">
      <c r="A1217" s="14"/>
      <c r="B1217" s="15"/>
      <c r="D1217" s="16"/>
      <c r="E1217" s="17"/>
      <c r="F1217" s="14"/>
      <c r="G1217" s="7"/>
      <c r="H1217" s="7"/>
      <c r="I1217" s="20"/>
      <c r="J1217" s="5"/>
      <c r="K1217" s="7"/>
      <c r="L1217" s="82"/>
      <c r="M1217" s="5"/>
      <c r="N1217" s="4"/>
      <c r="O1217" s="4"/>
    </row>
    <row r="1218" spans="1:15" x14ac:dyDescent="0.2">
      <c r="A1218" s="14"/>
      <c r="B1218" s="15"/>
      <c r="D1218" s="16"/>
      <c r="E1218" s="17"/>
      <c r="F1218" s="14"/>
      <c r="G1218" s="7"/>
      <c r="H1218" s="7"/>
      <c r="I1218" s="20"/>
      <c r="J1218" s="5"/>
      <c r="K1218" s="7"/>
      <c r="L1218" s="82"/>
      <c r="M1218" s="5"/>
      <c r="N1218" s="4"/>
      <c r="O1218" s="4"/>
    </row>
    <row r="1219" spans="1:15" x14ac:dyDescent="0.2">
      <c r="A1219" s="14"/>
      <c r="B1219" s="15"/>
      <c r="D1219" s="16"/>
      <c r="E1219" s="17"/>
      <c r="F1219" s="14"/>
      <c r="G1219" s="7"/>
      <c r="H1219" s="7"/>
      <c r="I1219" s="20"/>
      <c r="J1219" s="5"/>
      <c r="K1219" s="7"/>
      <c r="L1219" s="82"/>
      <c r="M1219" s="5"/>
      <c r="N1219" s="4"/>
      <c r="O1219" s="4"/>
    </row>
    <row r="1220" spans="1:15" x14ac:dyDescent="0.2">
      <c r="A1220" s="14"/>
      <c r="B1220" s="15"/>
      <c r="D1220" s="16"/>
      <c r="E1220" s="17"/>
      <c r="F1220" s="14"/>
      <c r="G1220" s="7"/>
      <c r="H1220" s="7"/>
      <c r="I1220" s="20"/>
      <c r="J1220" s="5"/>
      <c r="K1220" s="7"/>
      <c r="L1220" s="82"/>
      <c r="M1220" s="5"/>
      <c r="N1220" s="4"/>
      <c r="O1220" s="4"/>
    </row>
    <row r="1221" spans="1:15" x14ac:dyDescent="0.2">
      <c r="A1221" s="14"/>
      <c r="B1221" s="15"/>
      <c r="D1221" s="16"/>
      <c r="E1221" s="17"/>
      <c r="F1221" s="14"/>
      <c r="G1221" s="7"/>
      <c r="H1221" s="7"/>
      <c r="I1221" s="20"/>
      <c r="J1221" s="5"/>
      <c r="K1221" s="7"/>
      <c r="L1221" s="82"/>
      <c r="M1221" s="5"/>
      <c r="N1221" s="4"/>
      <c r="O1221" s="4"/>
    </row>
    <row r="1222" spans="1:15" x14ac:dyDescent="0.2">
      <c r="A1222" s="14"/>
      <c r="B1222" s="15"/>
      <c r="D1222" s="16"/>
      <c r="E1222" s="17"/>
      <c r="F1222" s="14"/>
      <c r="G1222" s="7"/>
      <c r="H1222" s="7"/>
      <c r="I1222" s="20"/>
      <c r="J1222" s="5"/>
      <c r="K1222" s="7"/>
      <c r="L1222" s="82"/>
      <c r="M1222" s="5"/>
      <c r="N1222" s="4"/>
      <c r="O1222" s="4"/>
    </row>
    <row r="1223" spans="1:15" x14ac:dyDescent="0.2">
      <c r="A1223" s="14"/>
      <c r="B1223" s="15"/>
      <c r="D1223" s="16"/>
      <c r="E1223" s="17"/>
      <c r="F1223" s="14"/>
      <c r="G1223" s="7"/>
      <c r="H1223" s="7"/>
      <c r="I1223" s="20"/>
      <c r="J1223" s="5"/>
      <c r="K1223" s="7"/>
      <c r="L1223" s="82"/>
      <c r="M1223" s="5"/>
      <c r="N1223" s="4"/>
      <c r="O1223" s="4"/>
    </row>
    <row r="1224" spans="1:15" x14ac:dyDescent="0.2">
      <c r="A1224" s="14"/>
      <c r="B1224" s="15"/>
      <c r="D1224" s="16"/>
      <c r="E1224" s="17"/>
      <c r="F1224" s="14"/>
      <c r="G1224" s="7"/>
      <c r="H1224" s="7"/>
      <c r="I1224" s="20"/>
      <c r="J1224" s="5"/>
      <c r="K1224" s="7"/>
      <c r="L1224" s="82"/>
      <c r="M1224" s="5"/>
      <c r="N1224" s="4"/>
      <c r="O1224" s="4"/>
    </row>
    <row r="1225" spans="1:15" x14ac:dyDescent="0.2">
      <c r="A1225" s="14"/>
      <c r="B1225" s="15"/>
      <c r="D1225" s="16"/>
      <c r="E1225" s="17"/>
      <c r="F1225" s="14"/>
      <c r="G1225" s="7"/>
      <c r="H1225" s="7"/>
      <c r="I1225" s="20"/>
      <c r="J1225" s="5"/>
      <c r="K1225" s="7"/>
      <c r="L1225" s="82"/>
      <c r="M1225" s="5"/>
      <c r="N1225" s="4"/>
      <c r="O1225" s="4"/>
    </row>
    <row r="1226" spans="1:15" x14ac:dyDescent="0.2">
      <c r="A1226" s="14"/>
      <c r="B1226" s="15"/>
      <c r="D1226" s="16"/>
      <c r="E1226" s="17"/>
      <c r="F1226" s="14"/>
      <c r="G1226" s="7"/>
      <c r="H1226" s="7"/>
      <c r="I1226" s="20"/>
      <c r="J1226" s="5"/>
      <c r="K1226" s="7"/>
      <c r="L1226" s="82"/>
      <c r="M1226" s="5"/>
      <c r="N1226" s="4"/>
      <c r="O1226" s="4"/>
    </row>
    <row r="1227" spans="1:15" x14ac:dyDescent="0.2">
      <c r="A1227" s="14"/>
      <c r="B1227" s="15"/>
      <c r="D1227" s="16"/>
      <c r="E1227" s="17"/>
      <c r="F1227" s="14"/>
      <c r="G1227" s="7"/>
      <c r="H1227" s="7"/>
      <c r="I1227" s="20"/>
      <c r="J1227" s="5"/>
      <c r="K1227" s="7"/>
      <c r="L1227" s="82"/>
      <c r="M1227" s="5"/>
      <c r="N1227" s="4"/>
      <c r="O1227" s="4"/>
    </row>
    <row r="1228" spans="1:15" x14ac:dyDescent="0.2">
      <c r="A1228" s="14"/>
      <c r="B1228" s="15"/>
      <c r="D1228" s="16"/>
      <c r="E1228" s="17"/>
      <c r="F1228" s="14"/>
      <c r="G1228" s="7"/>
      <c r="H1228" s="7"/>
      <c r="I1228" s="20"/>
      <c r="J1228" s="5"/>
      <c r="K1228" s="7"/>
      <c r="L1228" s="82"/>
      <c r="M1228" s="5"/>
      <c r="N1228" s="4"/>
      <c r="O1228" s="4"/>
    </row>
    <row r="1229" spans="1:15" x14ac:dyDescent="0.2">
      <c r="A1229" s="14"/>
      <c r="B1229" s="15"/>
      <c r="D1229" s="16"/>
      <c r="E1229" s="17"/>
      <c r="F1229" s="14"/>
      <c r="G1229" s="7"/>
      <c r="H1229" s="7"/>
      <c r="I1229" s="20"/>
      <c r="J1229" s="5"/>
      <c r="K1229" s="7"/>
      <c r="L1229" s="82"/>
      <c r="M1229" s="5"/>
      <c r="N1229" s="4"/>
      <c r="O1229" s="4"/>
    </row>
    <row r="1230" spans="1:15" x14ac:dyDescent="0.2">
      <c r="A1230" s="14"/>
      <c r="B1230" s="15"/>
      <c r="D1230" s="16"/>
      <c r="E1230" s="17"/>
      <c r="F1230" s="14"/>
      <c r="G1230" s="7"/>
      <c r="H1230" s="7"/>
      <c r="I1230" s="20"/>
      <c r="J1230" s="5"/>
      <c r="K1230" s="7"/>
      <c r="L1230" s="82"/>
      <c r="M1230" s="5"/>
      <c r="N1230" s="4"/>
      <c r="O1230" s="4"/>
    </row>
    <row r="1231" spans="1:15" x14ac:dyDescent="0.2">
      <c r="A1231" s="14"/>
      <c r="B1231" s="15"/>
      <c r="D1231" s="16"/>
      <c r="E1231" s="17"/>
      <c r="F1231" s="14"/>
      <c r="G1231" s="7"/>
      <c r="H1231" s="7"/>
      <c r="I1231" s="20"/>
      <c r="J1231" s="5"/>
      <c r="K1231" s="7"/>
      <c r="L1231" s="82"/>
      <c r="M1231" s="5"/>
      <c r="N1231" s="4"/>
      <c r="O1231" s="4"/>
    </row>
    <row r="1232" spans="1:15" x14ac:dyDescent="0.2">
      <c r="A1232" s="14"/>
      <c r="B1232" s="15"/>
      <c r="D1232" s="16"/>
      <c r="E1232" s="17"/>
      <c r="F1232" s="14"/>
      <c r="G1232" s="7"/>
      <c r="H1232" s="7"/>
      <c r="I1232" s="20"/>
      <c r="J1232" s="5"/>
      <c r="K1232" s="7"/>
      <c r="L1232" s="82"/>
      <c r="M1232" s="5"/>
      <c r="N1232" s="4"/>
      <c r="O1232" s="4"/>
    </row>
    <row r="1233" spans="1:15" x14ac:dyDescent="0.2">
      <c r="A1233" s="14"/>
      <c r="B1233" s="15"/>
      <c r="D1233" s="16"/>
      <c r="E1233" s="17"/>
      <c r="F1233" s="14"/>
      <c r="G1233" s="7"/>
      <c r="H1233" s="7"/>
      <c r="I1233" s="20"/>
      <c r="J1233" s="5"/>
      <c r="K1233" s="7"/>
      <c r="L1233" s="82"/>
      <c r="M1233" s="5"/>
      <c r="N1233" s="4"/>
      <c r="O1233" s="4"/>
    </row>
    <row r="1234" spans="1:15" x14ac:dyDescent="0.2">
      <c r="A1234" s="14"/>
      <c r="B1234" s="15"/>
      <c r="D1234" s="16"/>
      <c r="E1234" s="17"/>
      <c r="F1234" s="14"/>
      <c r="G1234" s="7"/>
      <c r="H1234" s="7"/>
      <c r="I1234" s="20"/>
      <c r="J1234" s="5"/>
      <c r="K1234" s="7"/>
      <c r="L1234" s="82"/>
      <c r="M1234" s="5"/>
      <c r="N1234" s="4"/>
      <c r="O1234" s="4"/>
    </row>
    <row r="1235" spans="1:15" x14ac:dyDescent="0.2">
      <c r="A1235" s="14"/>
      <c r="B1235" s="15"/>
      <c r="D1235" s="16"/>
      <c r="E1235" s="17"/>
      <c r="F1235" s="14"/>
      <c r="G1235" s="7"/>
      <c r="H1235" s="7"/>
      <c r="I1235" s="20"/>
      <c r="J1235" s="5"/>
      <c r="K1235" s="7"/>
      <c r="L1235" s="82"/>
      <c r="M1235" s="5"/>
      <c r="N1235" s="4"/>
      <c r="O1235" s="4"/>
    </row>
    <row r="1236" spans="1:15" x14ac:dyDescent="0.2">
      <c r="A1236" s="14"/>
      <c r="B1236" s="15"/>
      <c r="D1236" s="16"/>
      <c r="E1236" s="17"/>
      <c r="F1236" s="14"/>
      <c r="G1236" s="7"/>
      <c r="H1236" s="7"/>
      <c r="I1236" s="20"/>
      <c r="J1236" s="5"/>
      <c r="K1236" s="7"/>
      <c r="L1236" s="82"/>
      <c r="M1236" s="5"/>
      <c r="N1236" s="4"/>
      <c r="O1236" s="4"/>
    </row>
    <row r="1237" spans="1:15" x14ac:dyDescent="0.2">
      <c r="A1237" s="14"/>
      <c r="B1237" s="15"/>
      <c r="D1237" s="16"/>
      <c r="E1237" s="17"/>
      <c r="F1237" s="14"/>
      <c r="G1237" s="7"/>
      <c r="H1237" s="7"/>
      <c r="I1237" s="20"/>
      <c r="J1237" s="5"/>
      <c r="K1237" s="7"/>
      <c r="L1237" s="82"/>
      <c r="M1237" s="5"/>
      <c r="N1237" s="4"/>
      <c r="O1237" s="4"/>
    </row>
    <row r="1238" spans="1:15" x14ac:dyDescent="0.2">
      <c r="A1238" s="14"/>
      <c r="B1238" s="15"/>
      <c r="D1238" s="16"/>
      <c r="E1238" s="17"/>
      <c r="F1238" s="14"/>
      <c r="G1238" s="7"/>
      <c r="H1238" s="7"/>
      <c r="I1238" s="20"/>
      <c r="J1238" s="5"/>
      <c r="K1238" s="7"/>
      <c r="L1238" s="82"/>
      <c r="M1238" s="5"/>
      <c r="N1238" s="4"/>
      <c r="O1238" s="4"/>
    </row>
    <row r="1239" spans="1:15" x14ac:dyDescent="0.2">
      <c r="A1239" s="14"/>
      <c r="B1239" s="15"/>
      <c r="D1239" s="16"/>
      <c r="E1239" s="17"/>
      <c r="F1239" s="14"/>
      <c r="G1239" s="7"/>
      <c r="H1239" s="7"/>
      <c r="I1239" s="20"/>
      <c r="J1239" s="5"/>
      <c r="K1239" s="7"/>
      <c r="L1239" s="82"/>
      <c r="M1239" s="5"/>
      <c r="N1239" s="4"/>
      <c r="O1239" s="4"/>
    </row>
    <row r="1240" spans="1:15" x14ac:dyDescent="0.2">
      <c r="A1240" s="14"/>
      <c r="B1240" s="15"/>
      <c r="D1240" s="16"/>
      <c r="E1240" s="17"/>
      <c r="F1240" s="14"/>
      <c r="G1240" s="7"/>
      <c r="H1240" s="7"/>
      <c r="I1240" s="20"/>
      <c r="J1240" s="5"/>
      <c r="K1240" s="7"/>
      <c r="L1240" s="82"/>
      <c r="M1240" s="5"/>
      <c r="N1240" s="4"/>
      <c r="O1240" s="4"/>
    </row>
    <row r="1241" spans="1:15" x14ac:dyDescent="0.2">
      <c r="A1241" s="14"/>
      <c r="B1241" s="15"/>
      <c r="D1241" s="16"/>
      <c r="E1241" s="17"/>
      <c r="F1241" s="14"/>
      <c r="G1241" s="7"/>
      <c r="H1241" s="7"/>
      <c r="I1241" s="20"/>
      <c r="J1241" s="5"/>
      <c r="K1241" s="7"/>
      <c r="L1241" s="82"/>
      <c r="M1241" s="5"/>
      <c r="N1241" s="4"/>
      <c r="O1241" s="4"/>
    </row>
    <row r="1242" spans="1:15" x14ac:dyDescent="0.2">
      <c r="A1242" s="14"/>
      <c r="B1242" s="15"/>
      <c r="D1242" s="16"/>
      <c r="E1242" s="17"/>
      <c r="F1242" s="14"/>
      <c r="G1242" s="7"/>
      <c r="H1242" s="7"/>
      <c r="I1242" s="20"/>
      <c r="J1242" s="5"/>
      <c r="K1242" s="7"/>
      <c r="L1242" s="82"/>
      <c r="M1242" s="5"/>
      <c r="N1242" s="4"/>
      <c r="O1242" s="4"/>
    </row>
    <row r="1243" spans="1:15" x14ac:dyDescent="0.2">
      <c r="A1243" s="14"/>
      <c r="B1243" s="15"/>
      <c r="D1243" s="16"/>
      <c r="E1243" s="17"/>
      <c r="F1243" s="14"/>
      <c r="G1243" s="7"/>
      <c r="H1243" s="7"/>
      <c r="I1243" s="20"/>
      <c r="J1243" s="5"/>
      <c r="K1243" s="7"/>
      <c r="L1243" s="82"/>
      <c r="M1243" s="5"/>
      <c r="N1243" s="4"/>
      <c r="O1243" s="4"/>
    </row>
    <row r="1244" spans="1:15" x14ac:dyDescent="0.2">
      <c r="A1244" s="14"/>
      <c r="B1244" s="15"/>
      <c r="D1244" s="16"/>
      <c r="E1244" s="17"/>
      <c r="F1244" s="14"/>
      <c r="G1244" s="7"/>
      <c r="H1244" s="7"/>
      <c r="I1244" s="20"/>
      <c r="J1244" s="5"/>
      <c r="K1244" s="7"/>
      <c r="L1244" s="82"/>
      <c r="M1244" s="5"/>
      <c r="N1244" s="4"/>
      <c r="O1244" s="4"/>
    </row>
    <row r="1245" spans="1:15" x14ac:dyDescent="0.2">
      <c r="A1245" s="14"/>
      <c r="B1245" s="15"/>
      <c r="D1245" s="16"/>
      <c r="E1245" s="17"/>
      <c r="F1245" s="14"/>
      <c r="G1245" s="7"/>
      <c r="H1245" s="7"/>
      <c r="I1245" s="20"/>
      <c r="J1245" s="5"/>
      <c r="K1245" s="7"/>
      <c r="L1245" s="82"/>
      <c r="M1245" s="5"/>
      <c r="N1245" s="4"/>
      <c r="O1245" s="4"/>
    </row>
    <row r="1246" spans="1:15" x14ac:dyDescent="0.2">
      <c r="A1246" s="14"/>
      <c r="B1246" s="15"/>
      <c r="D1246" s="16"/>
      <c r="E1246" s="17"/>
      <c r="F1246" s="14"/>
      <c r="G1246" s="7"/>
      <c r="H1246" s="7"/>
      <c r="I1246" s="20"/>
      <c r="J1246" s="5"/>
      <c r="K1246" s="7"/>
      <c r="L1246" s="82"/>
      <c r="M1246" s="5"/>
      <c r="N1246" s="4"/>
      <c r="O1246" s="4"/>
    </row>
    <row r="1247" spans="1:15" x14ac:dyDescent="0.2">
      <c r="A1247" s="14"/>
      <c r="B1247" s="15"/>
      <c r="D1247" s="16"/>
      <c r="E1247" s="17"/>
      <c r="F1247" s="14"/>
      <c r="G1247" s="7"/>
      <c r="H1247" s="7"/>
      <c r="I1247" s="20"/>
      <c r="J1247" s="5"/>
      <c r="K1247" s="7"/>
      <c r="L1247" s="82"/>
      <c r="M1247" s="5"/>
      <c r="N1247" s="4"/>
      <c r="O1247" s="4"/>
    </row>
    <row r="1248" spans="1:15" x14ac:dyDescent="0.2">
      <c r="A1248" s="14"/>
      <c r="B1248" s="15"/>
      <c r="D1248" s="16"/>
      <c r="E1248" s="17"/>
      <c r="F1248" s="14"/>
      <c r="G1248" s="7"/>
      <c r="H1248" s="7"/>
      <c r="I1248" s="20"/>
      <c r="J1248" s="5"/>
      <c r="K1248" s="7"/>
      <c r="L1248" s="82"/>
      <c r="M1248" s="5"/>
      <c r="N1248" s="4"/>
      <c r="O1248" s="4"/>
    </row>
    <row r="1249" spans="1:15" x14ac:dyDescent="0.2">
      <c r="A1249" s="14"/>
      <c r="B1249" s="15"/>
      <c r="D1249" s="16"/>
      <c r="E1249" s="17"/>
      <c r="F1249" s="14"/>
      <c r="G1249" s="7"/>
      <c r="H1249" s="7"/>
      <c r="I1249" s="20"/>
      <c r="J1249" s="5"/>
      <c r="K1249" s="7"/>
      <c r="L1249" s="82"/>
      <c r="M1249" s="5"/>
      <c r="N1249" s="4"/>
      <c r="O1249" s="4"/>
    </row>
    <row r="1250" spans="1:15" x14ac:dyDescent="0.2">
      <c r="A1250" s="14"/>
      <c r="B1250" s="15"/>
      <c r="D1250" s="16"/>
      <c r="E1250" s="17"/>
      <c r="F1250" s="14"/>
      <c r="G1250" s="7"/>
      <c r="H1250" s="7"/>
      <c r="I1250" s="20"/>
      <c r="J1250" s="5"/>
      <c r="K1250" s="7"/>
      <c r="L1250" s="82"/>
      <c r="M1250" s="5"/>
      <c r="N1250" s="4"/>
      <c r="O1250" s="4"/>
    </row>
    <row r="1251" spans="1:15" x14ac:dyDescent="0.2">
      <c r="A1251" s="14"/>
      <c r="B1251" s="15"/>
      <c r="D1251" s="16"/>
      <c r="E1251" s="17"/>
      <c r="F1251" s="14"/>
      <c r="G1251" s="7"/>
      <c r="H1251" s="7"/>
      <c r="I1251" s="20"/>
      <c r="J1251" s="5"/>
      <c r="K1251" s="7"/>
      <c r="L1251" s="82"/>
      <c r="M1251" s="5"/>
      <c r="N1251" s="4"/>
      <c r="O1251" s="4"/>
    </row>
    <row r="1252" spans="1:15" x14ac:dyDescent="0.2">
      <c r="A1252" s="14"/>
      <c r="B1252" s="15"/>
      <c r="D1252" s="16"/>
      <c r="E1252" s="17"/>
      <c r="F1252" s="14"/>
      <c r="G1252" s="7"/>
      <c r="H1252" s="7"/>
      <c r="I1252" s="20"/>
      <c r="J1252" s="5"/>
      <c r="K1252" s="7"/>
      <c r="L1252" s="82"/>
      <c r="M1252" s="5"/>
      <c r="N1252" s="4"/>
      <c r="O1252" s="4"/>
    </row>
    <row r="1253" spans="1:15" x14ac:dyDescent="0.2">
      <c r="A1253" s="14"/>
      <c r="B1253" s="15"/>
      <c r="D1253" s="16"/>
      <c r="E1253" s="17"/>
      <c r="F1253" s="14"/>
      <c r="G1253" s="7"/>
      <c r="H1253" s="7"/>
      <c r="I1253" s="20"/>
      <c r="J1253" s="5"/>
      <c r="K1253" s="7"/>
      <c r="L1253" s="82"/>
      <c r="M1253" s="5"/>
      <c r="N1253" s="4"/>
      <c r="O1253" s="4"/>
    </row>
    <row r="1254" spans="1:15" x14ac:dyDescent="0.2">
      <c r="A1254" s="14"/>
      <c r="B1254" s="15"/>
      <c r="D1254" s="16"/>
      <c r="E1254" s="17"/>
      <c r="F1254" s="14"/>
      <c r="G1254" s="7"/>
      <c r="H1254" s="7"/>
      <c r="I1254" s="20"/>
      <c r="J1254" s="5"/>
      <c r="K1254" s="7"/>
      <c r="L1254" s="82"/>
      <c r="M1254" s="5"/>
      <c r="N1254" s="4"/>
      <c r="O1254" s="4"/>
    </row>
    <row r="1255" spans="1:15" x14ac:dyDescent="0.2">
      <c r="A1255" s="14"/>
      <c r="B1255" s="15"/>
      <c r="D1255" s="16"/>
      <c r="E1255" s="17"/>
      <c r="F1255" s="14"/>
      <c r="G1255" s="7"/>
      <c r="H1255" s="7"/>
      <c r="I1255" s="20"/>
      <c r="J1255" s="5"/>
      <c r="K1255" s="7"/>
      <c r="L1255" s="82"/>
      <c r="M1255" s="5"/>
      <c r="N1255" s="4"/>
      <c r="O1255" s="4"/>
    </row>
    <row r="1256" spans="1:15" x14ac:dyDescent="0.2">
      <c r="A1256" s="14"/>
      <c r="B1256" s="15"/>
      <c r="D1256" s="16"/>
      <c r="E1256" s="17"/>
      <c r="F1256" s="14"/>
      <c r="G1256" s="7"/>
      <c r="H1256" s="7"/>
      <c r="I1256" s="20"/>
      <c r="J1256" s="5"/>
      <c r="K1256" s="7"/>
      <c r="L1256" s="82"/>
      <c r="M1256" s="5"/>
      <c r="N1256" s="4"/>
      <c r="O1256" s="4"/>
    </row>
    <row r="1257" spans="1:15" x14ac:dyDescent="0.2">
      <c r="A1257" s="14"/>
      <c r="B1257" s="15"/>
      <c r="D1257" s="16"/>
      <c r="E1257" s="17"/>
      <c r="F1257" s="14"/>
      <c r="G1257" s="7"/>
      <c r="H1257" s="7"/>
      <c r="I1257" s="20"/>
      <c r="J1257" s="5"/>
      <c r="K1257" s="7"/>
      <c r="L1257" s="82"/>
      <c r="M1257" s="5"/>
      <c r="N1257" s="4"/>
      <c r="O1257" s="4"/>
    </row>
    <row r="1258" spans="1:15" x14ac:dyDescent="0.2">
      <c r="A1258" s="14"/>
      <c r="B1258" s="15"/>
      <c r="D1258" s="16"/>
      <c r="E1258" s="17"/>
      <c r="F1258" s="14"/>
      <c r="G1258" s="7"/>
      <c r="H1258" s="7"/>
      <c r="I1258" s="20"/>
      <c r="J1258" s="5"/>
      <c r="K1258" s="7"/>
      <c r="L1258" s="82"/>
      <c r="M1258" s="5"/>
      <c r="N1258" s="4"/>
      <c r="O1258" s="4"/>
    </row>
    <row r="1259" spans="1:15" x14ac:dyDescent="0.2">
      <c r="A1259" s="14"/>
      <c r="B1259" s="15"/>
      <c r="D1259" s="16"/>
      <c r="E1259" s="17"/>
      <c r="F1259" s="14"/>
      <c r="G1259" s="7"/>
      <c r="H1259" s="7"/>
      <c r="I1259" s="20"/>
      <c r="J1259" s="5"/>
      <c r="K1259" s="7"/>
      <c r="L1259" s="82"/>
      <c r="M1259" s="5"/>
      <c r="N1259" s="4"/>
      <c r="O1259" s="4"/>
    </row>
    <row r="1260" spans="1:15" x14ac:dyDescent="0.2">
      <c r="A1260" s="14"/>
      <c r="B1260" s="15"/>
      <c r="D1260" s="16"/>
      <c r="E1260" s="17"/>
      <c r="F1260" s="14"/>
      <c r="G1260" s="7"/>
      <c r="H1260" s="7"/>
      <c r="I1260" s="20"/>
      <c r="J1260" s="5"/>
      <c r="K1260" s="7"/>
      <c r="L1260" s="82"/>
      <c r="M1260" s="5"/>
      <c r="N1260" s="4"/>
      <c r="O1260" s="4"/>
    </row>
    <row r="1261" spans="1:15" x14ac:dyDescent="0.2">
      <c r="A1261" s="14"/>
      <c r="B1261" s="15"/>
      <c r="D1261" s="16"/>
      <c r="E1261" s="17"/>
      <c r="F1261" s="14"/>
      <c r="G1261" s="7"/>
      <c r="H1261" s="7"/>
      <c r="I1261" s="20"/>
      <c r="J1261" s="5"/>
      <c r="K1261" s="7"/>
      <c r="L1261" s="82"/>
      <c r="M1261" s="5"/>
      <c r="N1261" s="4"/>
      <c r="O1261" s="4"/>
    </row>
    <row r="1262" spans="1:15" x14ac:dyDescent="0.2">
      <c r="A1262" s="14"/>
      <c r="B1262" s="15"/>
      <c r="D1262" s="16"/>
      <c r="E1262" s="17"/>
      <c r="F1262" s="14"/>
      <c r="G1262" s="7"/>
      <c r="H1262" s="7"/>
      <c r="I1262" s="20"/>
      <c r="J1262" s="5"/>
      <c r="K1262" s="7"/>
      <c r="L1262" s="82"/>
      <c r="M1262" s="5"/>
      <c r="N1262" s="4"/>
      <c r="O1262" s="4"/>
    </row>
    <row r="1263" spans="1:15" x14ac:dyDescent="0.2">
      <c r="A1263" s="14"/>
      <c r="B1263" s="15"/>
      <c r="D1263" s="16"/>
      <c r="E1263" s="17"/>
      <c r="F1263" s="14"/>
      <c r="G1263" s="7"/>
      <c r="H1263" s="7"/>
      <c r="I1263" s="20"/>
      <c r="J1263" s="5"/>
      <c r="K1263" s="7"/>
      <c r="L1263" s="82"/>
      <c r="M1263" s="5"/>
      <c r="N1263" s="4"/>
      <c r="O1263" s="4"/>
    </row>
    <row r="1264" spans="1:15" x14ac:dyDescent="0.2">
      <c r="A1264" s="14"/>
      <c r="B1264" s="15"/>
      <c r="D1264" s="16"/>
      <c r="E1264" s="17"/>
      <c r="F1264" s="14"/>
      <c r="G1264" s="7"/>
      <c r="H1264" s="7"/>
      <c r="I1264" s="20"/>
      <c r="J1264" s="5"/>
      <c r="K1264" s="7"/>
      <c r="L1264" s="82"/>
      <c r="M1264" s="5"/>
      <c r="N1264" s="4"/>
      <c r="O1264" s="4"/>
    </row>
    <row r="1265" spans="1:15" x14ac:dyDescent="0.2">
      <c r="A1265" s="14"/>
      <c r="B1265" s="15"/>
      <c r="D1265" s="16"/>
      <c r="E1265" s="17"/>
      <c r="F1265" s="14"/>
      <c r="G1265" s="7"/>
      <c r="H1265" s="7"/>
      <c r="I1265" s="20"/>
      <c r="J1265" s="5"/>
      <c r="K1265" s="7"/>
      <c r="L1265" s="82"/>
      <c r="M1265" s="5"/>
      <c r="N1265" s="4"/>
      <c r="O1265" s="4"/>
    </row>
    <row r="1266" spans="1:15" x14ac:dyDescent="0.2">
      <c r="A1266" s="14"/>
      <c r="B1266" s="15"/>
      <c r="D1266" s="16"/>
      <c r="E1266" s="17"/>
      <c r="F1266" s="14"/>
      <c r="G1266" s="7"/>
      <c r="H1266" s="7"/>
      <c r="I1266" s="20"/>
      <c r="J1266" s="5"/>
      <c r="K1266" s="7"/>
      <c r="L1266" s="82"/>
      <c r="M1266" s="5"/>
      <c r="N1266" s="4"/>
      <c r="O1266" s="4"/>
    </row>
    <row r="1267" spans="1:15" x14ac:dyDescent="0.2">
      <c r="A1267" s="14"/>
      <c r="B1267" s="15"/>
      <c r="D1267" s="16"/>
      <c r="E1267" s="17"/>
      <c r="F1267" s="14"/>
      <c r="G1267" s="7"/>
      <c r="H1267" s="7"/>
      <c r="I1267" s="20"/>
      <c r="J1267" s="5"/>
      <c r="K1267" s="7"/>
      <c r="L1267" s="82"/>
      <c r="M1267" s="5"/>
      <c r="N1267" s="4"/>
      <c r="O1267" s="4"/>
    </row>
    <row r="1268" spans="1:15" x14ac:dyDescent="0.2">
      <c r="A1268" s="14"/>
      <c r="B1268" s="15"/>
      <c r="D1268" s="16"/>
      <c r="E1268" s="17"/>
      <c r="F1268" s="14"/>
      <c r="G1268" s="7"/>
      <c r="H1268" s="7"/>
      <c r="I1268" s="20"/>
      <c r="J1268" s="5"/>
      <c r="K1268" s="7"/>
      <c r="L1268" s="82"/>
      <c r="M1268" s="5"/>
      <c r="N1268" s="4"/>
      <c r="O1268" s="4"/>
    </row>
    <row r="1269" spans="1:15" x14ac:dyDescent="0.2">
      <c r="A1269" s="14"/>
      <c r="B1269" s="15"/>
      <c r="D1269" s="16"/>
      <c r="E1269" s="17"/>
      <c r="F1269" s="14"/>
      <c r="G1269" s="7"/>
      <c r="H1269" s="7"/>
      <c r="I1269" s="20"/>
      <c r="J1269" s="5"/>
      <c r="K1269" s="7"/>
      <c r="L1269" s="82"/>
      <c r="M1269" s="5"/>
      <c r="N1269" s="4"/>
      <c r="O1269" s="4"/>
    </row>
    <row r="1270" spans="1:15" x14ac:dyDescent="0.2">
      <c r="A1270" s="14"/>
      <c r="B1270" s="15"/>
      <c r="D1270" s="16"/>
      <c r="E1270" s="17"/>
      <c r="F1270" s="14"/>
      <c r="G1270" s="7"/>
      <c r="H1270" s="7"/>
      <c r="I1270" s="20"/>
      <c r="J1270" s="5"/>
      <c r="K1270" s="7"/>
      <c r="L1270" s="82"/>
      <c r="M1270" s="5"/>
      <c r="N1270" s="4"/>
      <c r="O1270" s="4"/>
    </row>
    <row r="1271" spans="1:15" x14ac:dyDescent="0.2">
      <c r="A1271" s="14"/>
      <c r="B1271" s="15"/>
      <c r="D1271" s="16"/>
      <c r="E1271" s="17"/>
      <c r="F1271" s="14"/>
      <c r="G1271" s="7"/>
      <c r="H1271" s="7"/>
      <c r="I1271" s="20"/>
      <c r="J1271" s="5"/>
      <c r="K1271" s="7"/>
      <c r="L1271" s="82"/>
      <c r="M1271" s="5"/>
      <c r="N1271" s="4"/>
      <c r="O1271" s="4"/>
    </row>
    <row r="1272" spans="1:15" x14ac:dyDescent="0.2">
      <c r="A1272" s="14"/>
      <c r="B1272" s="15"/>
      <c r="D1272" s="16"/>
      <c r="E1272" s="17"/>
      <c r="F1272" s="14"/>
      <c r="G1272" s="7"/>
      <c r="H1272" s="7"/>
      <c r="I1272" s="20"/>
      <c r="J1272" s="5"/>
      <c r="K1272" s="7"/>
      <c r="L1272" s="82"/>
      <c r="M1272" s="5"/>
      <c r="N1272" s="4"/>
      <c r="O1272" s="4"/>
    </row>
    <row r="1273" spans="1:15" x14ac:dyDescent="0.2">
      <c r="A1273" s="14"/>
      <c r="B1273" s="15"/>
      <c r="D1273" s="16"/>
      <c r="E1273" s="17"/>
      <c r="F1273" s="14"/>
      <c r="G1273" s="7"/>
      <c r="H1273" s="7"/>
      <c r="I1273" s="20"/>
      <c r="J1273" s="5"/>
      <c r="K1273" s="7"/>
      <c r="L1273" s="82"/>
      <c r="M1273" s="5"/>
      <c r="N1273" s="4"/>
      <c r="O1273" s="4"/>
    </row>
    <row r="1274" spans="1:15" x14ac:dyDescent="0.2">
      <c r="A1274" s="14"/>
      <c r="B1274" s="15"/>
      <c r="D1274" s="16"/>
      <c r="E1274" s="17"/>
      <c r="F1274" s="14"/>
      <c r="G1274" s="7"/>
      <c r="H1274" s="7"/>
      <c r="I1274" s="20"/>
      <c r="J1274" s="5"/>
      <c r="K1274" s="7"/>
      <c r="L1274" s="82"/>
      <c r="M1274" s="5"/>
      <c r="N1274" s="4"/>
      <c r="O1274" s="4"/>
    </row>
    <row r="1275" spans="1:15" x14ac:dyDescent="0.2">
      <c r="A1275" s="14"/>
      <c r="B1275" s="15"/>
      <c r="D1275" s="16"/>
      <c r="E1275" s="17"/>
      <c r="F1275" s="14"/>
      <c r="G1275" s="7"/>
      <c r="H1275" s="7"/>
      <c r="I1275" s="20"/>
      <c r="J1275" s="5"/>
      <c r="K1275" s="7"/>
      <c r="L1275" s="82"/>
      <c r="M1275" s="5"/>
      <c r="N1275" s="4"/>
      <c r="O1275" s="4"/>
    </row>
    <row r="1276" spans="1:15" x14ac:dyDescent="0.2">
      <c r="A1276" s="14"/>
      <c r="B1276" s="15"/>
      <c r="D1276" s="16"/>
      <c r="E1276" s="17"/>
      <c r="F1276" s="14"/>
      <c r="G1276" s="7"/>
      <c r="H1276" s="7"/>
      <c r="I1276" s="20"/>
      <c r="J1276" s="5"/>
      <c r="K1276" s="7"/>
      <c r="L1276" s="82"/>
      <c r="M1276" s="5"/>
      <c r="N1276" s="4"/>
      <c r="O1276" s="4"/>
    </row>
    <row r="1277" spans="1:15" x14ac:dyDescent="0.2">
      <c r="A1277" s="14"/>
      <c r="B1277" s="15"/>
      <c r="D1277" s="16"/>
      <c r="E1277" s="17"/>
      <c r="F1277" s="14"/>
      <c r="G1277" s="7"/>
      <c r="H1277" s="7"/>
      <c r="I1277" s="20"/>
      <c r="J1277" s="5"/>
      <c r="K1277" s="7"/>
      <c r="L1277" s="82"/>
      <c r="M1277" s="5"/>
      <c r="N1277" s="4"/>
      <c r="O1277" s="4"/>
    </row>
    <row r="1278" spans="1:15" x14ac:dyDescent="0.2">
      <c r="A1278" s="14"/>
      <c r="B1278" s="15"/>
      <c r="D1278" s="16"/>
      <c r="E1278" s="17"/>
      <c r="F1278" s="14"/>
      <c r="G1278" s="7"/>
      <c r="H1278" s="7"/>
      <c r="I1278" s="20"/>
      <c r="J1278" s="5"/>
      <c r="K1278" s="7"/>
      <c r="L1278" s="82"/>
      <c r="M1278" s="5"/>
      <c r="N1278" s="4"/>
      <c r="O1278" s="4"/>
    </row>
    <row r="1279" spans="1:15" x14ac:dyDescent="0.2">
      <c r="A1279" s="14"/>
      <c r="B1279" s="15"/>
      <c r="D1279" s="16"/>
      <c r="E1279" s="17"/>
      <c r="F1279" s="14"/>
      <c r="G1279" s="7"/>
      <c r="H1279" s="7"/>
      <c r="I1279" s="20"/>
      <c r="J1279" s="5"/>
      <c r="K1279" s="7"/>
      <c r="L1279" s="82"/>
      <c r="M1279" s="5"/>
      <c r="N1279" s="4"/>
      <c r="O1279" s="4"/>
    </row>
    <row r="1280" spans="1:15" x14ac:dyDescent="0.2">
      <c r="A1280" s="14"/>
      <c r="B1280" s="15"/>
      <c r="D1280" s="16"/>
      <c r="E1280" s="17"/>
      <c r="F1280" s="14"/>
      <c r="G1280" s="7"/>
      <c r="H1280" s="7"/>
      <c r="I1280" s="20"/>
      <c r="J1280" s="5"/>
      <c r="K1280" s="7"/>
      <c r="L1280" s="82"/>
      <c r="M1280" s="5"/>
      <c r="N1280" s="4"/>
      <c r="O1280" s="4"/>
    </row>
    <row r="1281" spans="1:15" x14ac:dyDescent="0.2">
      <c r="A1281" s="14"/>
      <c r="B1281" s="15"/>
      <c r="D1281" s="16"/>
      <c r="E1281" s="17"/>
      <c r="F1281" s="14"/>
      <c r="G1281" s="7"/>
      <c r="H1281" s="7"/>
      <c r="I1281" s="20"/>
      <c r="J1281" s="5"/>
      <c r="K1281" s="7"/>
      <c r="L1281" s="82"/>
      <c r="M1281" s="5"/>
      <c r="N1281" s="4"/>
      <c r="O1281" s="4"/>
    </row>
    <row r="1282" spans="1:15" x14ac:dyDescent="0.2">
      <c r="A1282" s="14"/>
      <c r="B1282" s="15"/>
      <c r="D1282" s="16"/>
      <c r="E1282" s="17"/>
      <c r="F1282" s="14"/>
      <c r="G1282" s="7"/>
      <c r="H1282" s="7"/>
      <c r="I1282" s="20"/>
      <c r="J1282" s="5"/>
      <c r="K1282" s="7"/>
      <c r="L1282" s="82"/>
      <c r="M1282" s="5"/>
      <c r="N1282" s="4"/>
      <c r="O1282" s="4"/>
    </row>
    <row r="1283" spans="1:15" x14ac:dyDescent="0.2">
      <c r="A1283" s="14"/>
      <c r="B1283" s="15"/>
      <c r="D1283" s="16"/>
      <c r="E1283" s="17"/>
      <c r="F1283" s="14"/>
      <c r="G1283" s="7"/>
      <c r="H1283" s="7"/>
      <c r="I1283" s="20"/>
      <c r="J1283" s="5"/>
      <c r="K1283" s="7"/>
      <c r="L1283" s="82"/>
      <c r="M1283" s="5"/>
      <c r="N1283" s="4"/>
      <c r="O1283" s="4"/>
    </row>
    <row r="1284" spans="1:15" x14ac:dyDescent="0.2">
      <c r="A1284" s="14"/>
      <c r="B1284" s="15"/>
      <c r="D1284" s="16"/>
      <c r="E1284" s="17"/>
      <c r="F1284" s="14"/>
      <c r="G1284" s="7"/>
      <c r="H1284" s="7"/>
      <c r="I1284" s="20"/>
      <c r="J1284" s="5"/>
      <c r="K1284" s="7"/>
      <c r="L1284" s="82"/>
      <c r="M1284" s="5"/>
      <c r="N1284" s="4"/>
      <c r="O1284" s="4"/>
    </row>
    <row r="1285" spans="1:15" x14ac:dyDescent="0.2">
      <c r="A1285" s="14"/>
      <c r="B1285" s="15"/>
      <c r="D1285" s="16"/>
      <c r="E1285" s="17"/>
      <c r="F1285" s="14"/>
      <c r="G1285" s="7"/>
      <c r="H1285" s="7"/>
      <c r="I1285" s="20"/>
      <c r="J1285" s="5"/>
      <c r="K1285" s="7"/>
      <c r="L1285" s="82"/>
      <c r="M1285" s="5"/>
      <c r="N1285" s="4"/>
      <c r="O1285" s="4"/>
    </row>
    <row r="1286" spans="1:15" x14ac:dyDescent="0.2">
      <c r="A1286" s="14"/>
      <c r="B1286" s="15"/>
      <c r="D1286" s="16"/>
      <c r="E1286" s="17"/>
      <c r="F1286" s="14"/>
      <c r="G1286" s="7"/>
      <c r="H1286" s="7"/>
      <c r="I1286" s="20"/>
      <c r="J1286" s="5"/>
      <c r="K1286" s="7"/>
      <c r="L1286" s="82"/>
      <c r="M1286" s="5"/>
      <c r="N1286" s="4"/>
      <c r="O1286" s="4"/>
    </row>
    <row r="1287" spans="1:15" x14ac:dyDescent="0.2">
      <c r="A1287" s="14"/>
      <c r="B1287" s="15"/>
      <c r="D1287" s="16"/>
      <c r="E1287" s="17"/>
      <c r="F1287" s="14"/>
      <c r="G1287" s="7"/>
      <c r="H1287" s="7"/>
      <c r="I1287" s="20"/>
      <c r="J1287" s="5"/>
      <c r="K1287" s="7"/>
      <c r="L1287" s="82"/>
      <c r="M1287" s="5"/>
      <c r="N1287" s="4"/>
      <c r="O1287" s="4"/>
    </row>
    <row r="1288" spans="1:15" x14ac:dyDescent="0.2">
      <c r="A1288" s="14"/>
      <c r="B1288" s="15"/>
      <c r="D1288" s="16"/>
      <c r="E1288" s="17"/>
      <c r="F1288" s="14"/>
      <c r="G1288" s="7"/>
      <c r="H1288" s="7"/>
      <c r="I1288" s="20"/>
      <c r="J1288" s="5"/>
      <c r="K1288" s="7"/>
      <c r="L1288" s="82"/>
      <c r="M1288" s="5"/>
      <c r="N1288" s="4"/>
      <c r="O1288" s="4"/>
    </row>
    <row r="1289" spans="1:15" x14ac:dyDescent="0.2">
      <c r="A1289" s="14"/>
      <c r="B1289" s="15"/>
      <c r="D1289" s="16"/>
      <c r="E1289" s="17"/>
      <c r="F1289" s="14"/>
      <c r="G1289" s="7"/>
      <c r="H1289" s="7"/>
      <c r="I1289" s="20"/>
      <c r="J1289" s="5"/>
      <c r="K1289" s="7"/>
      <c r="L1289" s="82"/>
      <c r="M1289" s="5"/>
      <c r="N1289" s="4"/>
      <c r="O1289" s="4"/>
    </row>
    <row r="1290" spans="1:15" x14ac:dyDescent="0.2">
      <c r="A1290" s="14"/>
      <c r="B1290" s="15"/>
      <c r="D1290" s="16"/>
      <c r="E1290" s="17"/>
      <c r="F1290" s="14"/>
      <c r="G1290" s="7"/>
      <c r="H1290" s="7"/>
      <c r="I1290" s="20"/>
      <c r="J1290" s="5"/>
      <c r="K1290" s="7"/>
      <c r="L1290" s="82"/>
      <c r="M1290" s="5"/>
      <c r="N1290" s="4"/>
      <c r="O1290" s="4"/>
    </row>
    <row r="1291" spans="1:15" x14ac:dyDescent="0.2">
      <c r="A1291" s="14"/>
      <c r="B1291" s="15"/>
      <c r="D1291" s="16"/>
      <c r="E1291" s="17"/>
      <c r="F1291" s="14"/>
      <c r="G1291" s="7"/>
      <c r="H1291" s="7"/>
      <c r="I1291" s="20"/>
      <c r="J1291" s="5"/>
      <c r="K1291" s="7"/>
      <c r="L1291" s="82"/>
      <c r="M1291" s="5"/>
      <c r="N1291" s="4"/>
      <c r="O1291" s="4"/>
    </row>
    <row r="1292" spans="1:15" x14ac:dyDescent="0.2">
      <c r="A1292" s="14"/>
      <c r="B1292" s="15"/>
      <c r="D1292" s="16"/>
      <c r="E1292" s="17"/>
      <c r="F1292" s="14"/>
      <c r="G1292" s="7"/>
      <c r="H1292" s="7"/>
      <c r="I1292" s="20"/>
      <c r="J1292" s="5"/>
      <c r="K1292" s="7"/>
      <c r="L1292" s="82"/>
      <c r="M1292" s="5"/>
      <c r="N1292" s="4"/>
      <c r="O1292" s="4"/>
    </row>
    <row r="1293" spans="1:15" x14ac:dyDescent="0.2">
      <c r="A1293" s="14"/>
      <c r="B1293" s="15"/>
      <c r="D1293" s="16"/>
      <c r="E1293" s="17"/>
      <c r="F1293" s="14"/>
      <c r="G1293" s="7"/>
      <c r="H1293" s="7"/>
      <c r="I1293" s="20"/>
      <c r="J1293" s="5"/>
      <c r="K1293" s="7"/>
      <c r="L1293" s="82"/>
      <c r="M1293" s="5"/>
      <c r="N1293" s="4"/>
      <c r="O1293" s="4"/>
    </row>
    <row r="1294" spans="1:15" x14ac:dyDescent="0.2">
      <c r="A1294" s="14"/>
      <c r="B1294" s="15"/>
      <c r="D1294" s="16"/>
      <c r="E1294" s="17"/>
      <c r="F1294" s="14"/>
      <c r="G1294" s="7"/>
      <c r="H1294" s="7"/>
      <c r="I1294" s="20"/>
      <c r="J1294" s="5"/>
      <c r="K1294" s="7"/>
      <c r="L1294" s="82"/>
      <c r="M1294" s="5"/>
      <c r="N1294" s="4"/>
      <c r="O1294" s="4"/>
    </row>
    <row r="1295" spans="1:15" x14ac:dyDescent="0.2">
      <c r="A1295" s="14"/>
      <c r="B1295" s="15"/>
      <c r="D1295" s="16"/>
      <c r="E1295" s="17"/>
      <c r="F1295" s="14"/>
      <c r="G1295" s="7"/>
      <c r="H1295" s="7"/>
      <c r="I1295" s="20"/>
      <c r="J1295" s="5"/>
      <c r="K1295" s="7"/>
      <c r="L1295" s="82"/>
      <c r="M1295" s="5"/>
      <c r="N1295" s="4"/>
      <c r="O1295" s="4"/>
    </row>
    <row r="1296" spans="1:15" x14ac:dyDescent="0.2">
      <c r="A1296" s="14"/>
      <c r="B1296" s="15"/>
      <c r="D1296" s="16"/>
      <c r="E1296" s="17"/>
      <c r="F1296" s="14"/>
      <c r="G1296" s="7"/>
      <c r="H1296" s="7"/>
      <c r="I1296" s="20"/>
      <c r="J1296" s="5"/>
      <c r="K1296" s="7"/>
      <c r="L1296" s="82"/>
      <c r="M1296" s="5"/>
      <c r="N1296" s="4"/>
      <c r="O1296" s="4"/>
    </row>
    <row r="1297" spans="1:15" x14ac:dyDescent="0.2">
      <c r="A1297" s="14"/>
      <c r="B1297" s="15"/>
      <c r="D1297" s="16"/>
      <c r="E1297" s="17"/>
      <c r="F1297" s="14"/>
      <c r="G1297" s="7"/>
      <c r="H1297" s="7"/>
      <c r="I1297" s="20"/>
      <c r="J1297" s="5"/>
      <c r="K1297" s="7"/>
      <c r="L1297" s="82"/>
      <c r="M1297" s="5"/>
      <c r="N1297" s="4"/>
      <c r="O1297" s="4"/>
    </row>
    <row r="1298" spans="1:15" x14ac:dyDescent="0.2">
      <c r="A1298" s="14"/>
      <c r="B1298" s="15"/>
      <c r="D1298" s="16"/>
      <c r="E1298" s="17"/>
      <c r="F1298" s="14"/>
      <c r="G1298" s="7"/>
      <c r="H1298" s="7"/>
      <c r="I1298" s="20"/>
      <c r="J1298" s="5"/>
      <c r="K1298" s="7"/>
      <c r="L1298" s="82"/>
      <c r="M1298" s="5"/>
      <c r="N1298" s="4"/>
      <c r="O1298" s="4"/>
    </row>
    <row r="1299" spans="1:15" x14ac:dyDescent="0.2">
      <c r="A1299" s="14"/>
      <c r="B1299" s="15"/>
      <c r="D1299" s="16"/>
      <c r="E1299" s="17"/>
      <c r="F1299" s="14"/>
      <c r="G1299" s="7"/>
      <c r="H1299" s="7"/>
      <c r="I1299" s="20"/>
      <c r="J1299" s="5"/>
      <c r="K1299" s="7"/>
      <c r="L1299" s="82"/>
      <c r="M1299" s="5"/>
      <c r="N1299" s="4"/>
      <c r="O1299" s="4"/>
    </row>
    <row r="1300" spans="1:15" x14ac:dyDescent="0.2">
      <c r="A1300" s="14"/>
      <c r="B1300" s="15"/>
      <c r="D1300" s="16"/>
      <c r="E1300" s="17"/>
      <c r="F1300" s="14"/>
      <c r="G1300" s="7"/>
      <c r="H1300" s="7"/>
      <c r="I1300" s="20"/>
      <c r="J1300" s="5"/>
      <c r="K1300" s="7"/>
      <c r="L1300" s="82"/>
      <c r="M1300" s="5"/>
      <c r="N1300" s="4"/>
      <c r="O1300" s="4"/>
    </row>
    <row r="1301" spans="1:15" x14ac:dyDescent="0.2">
      <c r="A1301" s="14"/>
      <c r="B1301" s="15"/>
      <c r="D1301" s="16"/>
      <c r="E1301" s="17"/>
      <c r="F1301" s="14"/>
      <c r="G1301" s="7"/>
      <c r="H1301" s="7"/>
      <c r="I1301" s="20"/>
      <c r="J1301" s="5"/>
      <c r="K1301" s="7"/>
      <c r="L1301" s="82"/>
      <c r="M1301" s="5"/>
      <c r="N1301" s="4"/>
      <c r="O1301" s="4"/>
    </row>
    <row r="1302" spans="1:15" x14ac:dyDescent="0.2">
      <c r="A1302" s="14"/>
      <c r="B1302" s="15"/>
      <c r="D1302" s="16"/>
      <c r="E1302" s="17"/>
      <c r="F1302" s="14"/>
      <c r="G1302" s="7"/>
      <c r="H1302" s="7"/>
      <c r="I1302" s="20"/>
      <c r="J1302" s="5"/>
      <c r="K1302" s="7"/>
      <c r="L1302" s="82"/>
      <c r="M1302" s="5"/>
      <c r="N1302" s="4"/>
      <c r="O1302" s="4"/>
    </row>
    <row r="1303" spans="1:15" x14ac:dyDescent="0.2">
      <c r="A1303" s="14"/>
      <c r="B1303" s="15"/>
      <c r="D1303" s="16"/>
      <c r="E1303" s="17"/>
      <c r="F1303" s="14"/>
      <c r="G1303" s="7"/>
      <c r="H1303" s="7"/>
      <c r="I1303" s="20"/>
      <c r="J1303" s="5"/>
      <c r="K1303" s="7"/>
      <c r="L1303" s="82"/>
      <c r="M1303" s="5"/>
      <c r="N1303" s="4"/>
      <c r="O1303" s="4"/>
    </row>
    <row r="1304" spans="1:15" x14ac:dyDescent="0.2">
      <c r="A1304" s="14"/>
      <c r="B1304" s="15"/>
      <c r="D1304" s="16"/>
      <c r="E1304" s="17"/>
      <c r="F1304" s="14"/>
      <c r="G1304" s="7"/>
      <c r="H1304" s="7"/>
      <c r="I1304" s="20"/>
      <c r="J1304" s="5"/>
      <c r="K1304" s="7"/>
      <c r="L1304" s="82"/>
      <c r="M1304" s="5"/>
      <c r="N1304" s="4"/>
      <c r="O1304" s="4"/>
    </row>
    <row r="1305" spans="1:15" x14ac:dyDescent="0.2">
      <c r="A1305" s="14"/>
      <c r="B1305" s="15"/>
      <c r="D1305" s="16"/>
      <c r="E1305" s="17"/>
      <c r="F1305" s="14"/>
      <c r="G1305" s="7"/>
      <c r="H1305" s="7"/>
      <c r="I1305" s="20"/>
      <c r="J1305" s="5"/>
      <c r="K1305" s="7"/>
      <c r="L1305" s="82"/>
      <c r="M1305" s="5"/>
      <c r="N1305" s="4"/>
      <c r="O1305" s="4"/>
    </row>
    <row r="1306" spans="1:15" x14ac:dyDescent="0.2">
      <c r="A1306" s="14"/>
      <c r="B1306" s="15"/>
      <c r="D1306" s="16"/>
      <c r="E1306" s="17"/>
      <c r="F1306" s="14"/>
      <c r="G1306" s="7"/>
      <c r="H1306" s="7"/>
      <c r="I1306" s="20"/>
      <c r="J1306" s="5"/>
      <c r="K1306" s="7"/>
      <c r="L1306" s="82"/>
      <c r="M1306" s="5"/>
      <c r="N1306" s="4"/>
      <c r="O1306" s="4"/>
    </row>
    <row r="1307" spans="1:15" x14ac:dyDescent="0.2">
      <c r="A1307" s="14"/>
      <c r="B1307" s="15"/>
      <c r="D1307" s="16"/>
      <c r="E1307" s="17"/>
      <c r="F1307" s="14"/>
      <c r="G1307" s="7"/>
      <c r="H1307" s="7"/>
      <c r="I1307" s="20"/>
      <c r="J1307" s="5"/>
      <c r="K1307" s="7"/>
      <c r="L1307" s="82"/>
      <c r="M1307" s="5"/>
      <c r="N1307" s="4"/>
      <c r="O1307" s="4"/>
    </row>
    <row r="1308" spans="1:15" x14ac:dyDescent="0.2">
      <c r="A1308" s="14"/>
      <c r="B1308" s="15"/>
      <c r="D1308" s="16"/>
      <c r="E1308" s="17"/>
      <c r="F1308" s="14"/>
      <c r="G1308" s="7"/>
      <c r="H1308" s="7"/>
      <c r="I1308" s="20"/>
      <c r="J1308" s="5"/>
      <c r="K1308" s="7"/>
      <c r="L1308" s="82"/>
      <c r="M1308" s="5"/>
      <c r="N1308" s="4"/>
      <c r="O1308" s="4"/>
    </row>
    <row r="1309" spans="1:15" x14ac:dyDescent="0.2">
      <c r="A1309" s="14"/>
      <c r="B1309" s="15"/>
      <c r="D1309" s="16"/>
      <c r="E1309" s="17"/>
      <c r="F1309" s="14"/>
      <c r="G1309" s="7"/>
      <c r="H1309" s="7"/>
      <c r="I1309" s="20"/>
      <c r="J1309" s="5"/>
      <c r="K1309" s="7"/>
      <c r="L1309" s="82"/>
      <c r="M1309" s="5"/>
      <c r="N1309" s="4"/>
      <c r="O1309" s="4"/>
    </row>
    <row r="1310" spans="1:15" x14ac:dyDescent="0.2">
      <c r="A1310" s="14"/>
      <c r="B1310" s="15"/>
      <c r="D1310" s="16"/>
      <c r="E1310" s="17"/>
      <c r="F1310" s="14"/>
      <c r="G1310" s="7"/>
      <c r="H1310" s="7"/>
      <c r="I1310" s="20"/>
      <c r="J1310" s="5"/>
      <c r="K1310" s="7"/>
      <c r="L1310" s="82"/>
      <c r="M1310" s="5"/>
      <c r="N1310" s="4"/>
      <c r="O1310" s="4"/>
    </row>
    <row r="1311" spans="1:15" x14ac:dyDescent="0.2">
      <c r="A1311" s="14"/>
      <c r="B1311" s="15"/>
      <c r="D1311" s="16"/>
      <c r="E1311" s="17"/>
      <c r="F1311" s="14"/>
      <c r="G1311" s="7"/>
      <c r="H1311" s="7"/>
      <c r="I1311" s="20"/>
      <c r="J1311" s="5"/>
      <c r="K1311" s="7"/>
      <c r="L1311" s="82"/>
      <c r="M1311" s="5"/>
      <c r="N1311" s="4"/>
      <c r="O1311" s="4"/>
    </row>
    <row r="1312" spans="1:15" x14ac:dyDescent="0.2">
      <c r="A1312" s="14"/>
      <c r="B1312" s="15"/>
      <c r="D1312" s="16"/>
      <c r="E1312" s="17"/>
      <c r="F1312" s="14"/>
      <c r="G1312" s="7"/>
      <c r="H1312" s="7"/>
      <c r="I1312" s="20"/>
      <c r="J1312" s="5"/>
      <c r="K1312" s="7"/>
      <c r="L1312" s="82"/>
      <c r="M1312" s="5"/>
      <c r="N1312" s="4"/>
      <c r="O1312" s="4"/>
    </row>
    <row r="1313" spans="1:15" x14ac:dyDescent="0.2">
      <c r="A1313" s="14"/>
      <c r="B1313" s="15"/>
      <c r="D1313" s="16"/>
      <c r="E1313" s="17"/>
      <c r="F1313" s="14"/>
      <c r="G1313" s="7"/>
      <c r="H1313" s="7"/>
      <c r="I1313" s="20"/>
      <c r="J1313" s="5"/>
      <c r="K1313" s="7"/>
      <c r="L1313" s="82"/>
      <c r="M1313" s="5"/>
      <c r="N1313" s="4"/>
      <c r="O1313" s="4"/>
    </row>
    <row r="1314" spans="1:15" x14ac:dyDescent="0.2">
      <c r="A1314" s="14"/>
      <c r="B1314" s="15"/>
      <c r="D1314" s="16"/>
      <c r="E1314" s="17"/>
      <c r="F1314" s="14"/>
      <c r="G1314" s="7"/>
      <c r="H1314" s="7"/>
      <c r="I1314" s="20"/>
      <c r="J1314" s="5"/>
      <c r="K1314" s="7"/>
      <c r="L1314" s="82"/>
      <c r="M1314" s="5"/>
      <c r="N1314" s="4"/>
      <c r="O1314" s="4"/>
    </row>
    <row r="1315" spans="1:15" x14ac:dyDescent="0.2">
      <c r="A1315" s="14"/>
      <c r="B1315" s="15"/>
      <c r="D1315" s="16"/>
      <c r="E1315" s="17"/>
      <c r="F1315" s="14"/>
      <c r="G1315" s="7"/>
      <c r="H1315" s="7"/>
      <c r="I1315" s="20"/>
      <c r="J1315" s="5"/>
      <c r="K1315" s="7"/>
      <c r="L1315" s="82"/>
      <c r="M1315" s="5"/>
      <c r="N1315" s="4"/>
      <c r="O1315" s="4"/>
    </row>
    <row r="1316" spans="1:15" x14ac:dyDescent="0.2">
      <c r="A1316" s="14"/>
      <c r="B1316" s="15"/>
      <c r="D1316" s="16"/>
      <c r="E1316" s="17"/>
      <c r="F1316" s="14"/>
      <c r="G1316" s="7"/>
      <c r="H1316" s="7"/>
      <c r="I1316" s="20"/>
      <c r="J1316" s="5"/>
      <c r="K1316" s="7"/>
      <c r="L1316" s="82"/>
      <c r="M1316" s="5"/>
      <c r="N1316" s="4"/>
      <c r="O1316" s="4"/>
    </row>
    <row r="1317" spans="1:15" x14ac:dyDescent="0.2">
      <c r="A1317" s="14"/>
      <c r="B1317" s="15"/>
      <c r="D1317" s="16"/>
      <c r="E1317" s="17"/>
      <c r="F1317" s="14"/>
      <c r="G1317" s="7"/>
      <c r="H1317" s="7"/>
      <c r="I1317" s="20"/>
      <c r="J1317" s="5"/>
      <c r="K1317" s="7"/>
      <c r="L1317" s="82"/>
      <c r="M1317" s="5"/>
      <c r="N1317" s="4"/>
      <c r="O1317" s="4"/>
    </row>
    <row r="1318" spans="1:15" x14ac:dyDescent="0.2">
      <c r="A1318" s="14"/>
      <c r="B1318" s="15"/>
      <c r="D1318" s="16"/>
      <c r="E1318" s="17"/>
      <c r="F1318" s="14"/>
      <c r="G1318" s="7"/>
      <c r="H1318" s="7"/>
      <c r="I1318" s="20"/>
      <c r="J1318" s="5"/>
      <c r="K1318" s="7"/>
      <c r="L1318" s="82"/>
      <c r="M1318" s="5"/>
      <c r="N1318" s="4"/>
      <c r="O1318" s="4"/>
    </row>
    <row r="1319" spans="1:15" x14ac:dyDescent="0.2">
      <c r="A1319" s="14"/>
      <c r="B1319" s="15"/>
      <c r="D1319" s="16"/>
      <c r="E1319" s="17"/>
      <c r="F1319" s="14"/>
      <c r="G1319" s="7"/>
      <c r="H1319" s="7"/>
      <c r="I1319" s="20"/>
      <c r="J1319" s="5"/>
      <c r="K1319" s="7"/>
      <c r="L1319" s="82"/>
      <c r="M1319" s="5"/>
      <c r="N1319" s="4"/>
      <c r="O1319" s="4"/>
    </row>
    <row r="1320" spans="1:15" x14ac:dyDescent="0.2">
      <c r="A1320" s="14"/>
      <c r="B1320" s="15"/>
      <c r="D1320" s="16"/>
      <c r="E1320" s="17"/>
      <c r="F1320" s="14"/>
      <c r="G1320" s="7"/>
      <c r="H1320" s="7"/>
      <c r="I1320" s="20"/>
      <c r="J1320" s="5"/>
      <c r="K1320" s="7"/>
      <c r="L1320" s="82"/>
      <c r="M1320" s="5"/>
      <c r="N1320" s="4"/>
      <c r="O1320" s="4"/>
    </row>
    <row r="1321" spans="1:15" x14ac:dyDescent="0.2">
      <c r="A1321" s="14"/>
      <c r="B1321" s="15"/>
      <c r="D1321" s="16"/>
      <c r="E1321" s="17"/>
      <c r="F1321" s="14"/>
      <c r="G1321" s="7"/>
      <c r="H1321" s="7"/>
      <c r="I1321" s="20"/>
      <c r="J1321" s="5"/>
      <c r="K1321" s="7"/>
      <c r="L1321" s="82"/>
      <c r="M1321" s="5"/>
      <c r="N1321" s="4"/>
      <c r="O1321" s="4"/>
    </row>
    <row r="1322" spans="1:15" x14ac:dyDescent="0.2">
      <c r="A1322" s="14"/>
      <c r="B1322" s="15"/>
      <c r="D1322" s="16"/>
      <c r="E1322" s="17"/>
      <c r="F1322" s="14"/>
      <c r="G1322" s="7"/>
      <c r="H1322" s="7"/>
      <c r="I1322" s="20"/>
      <c r="J1322" s="5"/>
      <c r="K1322" s="7"/>
      <c r="L1322" s="82"/>
      <c r="M1322" s="5"/>
      <c r="N1322" s="4"/>
      <c r="O1322" s="4"/>
    </row>
    <row r="1323" spans="1:15" x14ac:dyDescent="0.2">
      <c r="A1323" s="14"/>
      <c r="B1323" s="15"/>
      <c r="D1323" s="16"/>
      <c r="E1323" s="17"/>
      <c r="F1323" s="14"/>
      <c r="G1323" s="7"/>
      <c r="H1323" s="7"/>
      <c r="I1323" s="20"/>
      <c r="J1323" s="5"/>
      <c r="K1323" s="7"/>
      <c r="L1323" s="82"/>
      <c r="M1323" s="5"/>
      <c r="N1323" s="4"/>
      <c r="O1323" s="4"/>
    </row>
    <row r="1324" spans="1:15" x14ac:dyDescent="0.2">
      <c r="A1324" s="14"/>
      <c r="B1324" s="15"/>
      <c r="D1324" s="16"/>
      <c r="E1324" s="17"/>
      <c r="F1324" s="14"/>
      <c r="G1324" s="7"/>
      <c r="H1324" s="7"/>
      <c r="I1324" s="20"/>
      <c r="J1324" s="5"/>
      <c r="K1324" s="7"/>
      <c r="L1324" s="82"/>
      <c r="M1324" s="5"/>
      <c r="N1324" s="4"/>
      <c r="O1324" s="4"/>
    </row>
    <row r="1325" spans="1:15" x14ac:dyDescent="0.2">
      <c r="A1325" s="14"/>
      <c r="B1325" s="15"/>
      <c r="D1325" s="16"/>
      <c r="E1325" s="17"/>
      <c r="F1325" s="14"/>
      <c r="G1325" s="7"/>
      <c r="H1325" s="7"/>
      <c r="I1325" s="20"/>
      <c r="J1325" s="5"/>
      <c r="K1325" s="7"/>
      <c r="L1325" s="82"/>
      <c r="M1325" s="5"/>
      <c r="N1325" s="4"/>
      <c r="O1325" s="4"/>
    </row>
    <row r="1326" spans="1:15" x14ac:dyDescent="0.2">
      <c r="A1326" s="14"/>
      <c r="B1326" s="15"/>
      <c r="D1326" s="16"/>
      <c r="E1326" s="17"/>
      <c r="F1326" s="14"/>
      <c r="G1326" s="7"/>
      <c r="H1326" s="7"/>
      <c r="I1326" s="20"/>
      <c r="J1326" s="5"/>
      <c r="K1326" s="7"/>
      <c r="L1326" s="82"/>
      <c r="M1326" s="5"/>
      <c r="N1326" s="4"/>
      <c r="O1326" s="4"/>
    </row>
    <row r="1327" spans="1:15" x14ac:dyDescent="0.2">
      <c r="A1327" s="14"/>
      <c r="B1327" s="15"/>
      <c r="D1327" s="16"/>
      <c r="E1327" s="17"/>
      <c r="F1327" s="14"/>
      <c r="G1327" s="7"/>
      <c r="H1327" s="7"/>
      <c r="I1327" s="20"/>
      <c r="J1327" s="5"/>
      <c r="K1327" s="7"/>
      <c r="L1327" s="82"/>
      <c r="M1327" s="5"/>
      <c r="N1327" s="4"/>
      <c r="O1327" s="4"/>
    </row>
    <row r="1328" spans="1:15" x14ac:dyDescent="0.2">
      <c r="A1328" s="14"/>
      <c r="B1328" s="15"/>
      <c r="D1328" s="16"/>
      <c r="E1328" s="17"/>
      <c r="F1328" s="14"/>
      <c r="G1328" s="7"/>
      <c r="H1328" s="7"/>
      <c r="I1328" s="20"/>
      <c r="J1328" s="5"/>
      <c r="K1328" s="7"/>
      <c r="L1328" s="82"/>
      <c r="M1328" s="5"/>
      <c r="N1328" s="4"/>
      <c r="O1328" s="4"/>
    </row>
    <row r="1329" spans="1:15" x14ac:dyDescent="0.2">
      <c r="A1329" s="14"/>
      <c r="B1329" s="15"/>
      <c r="D1329" s="16"/>
      <c r="E1329" s="17"/>
      <c r="F1329" s="14"/>
      <c r="G1329" s="7"/>
      <c r="H1329" s="7"/>
      <c r="I1329" s="20"/>
      <c r="J1329" s="5"/>
      <c r="K1329" s="7"/>
      <c r="L1329" s="82"/>
      <c r="M1329" s="5"/>
      <c r="N1329" s="4"/>
      <c r="O1329" s="4"/>
    </row>
    <row r="1330" spans="1:15" x14ac:dyDescent="0.2">
      <c r="A1330" s="14"/>
      <c r="B1330" s="15"/>
      <c r="D1330" s="16"/>
      <c r="E1330" s="17"/>
      <c r="F1330" s="14"/>
      <c r="G1330" s="7"/>
      <c r="H1330" s="7"/>
      <c r="I1330" s="20"/>
      <c r="J1330" s="5"/>
      <c r="K1330" s="7"/>
      <c r="L1330" s="82"/>
      <c r="M1330" s="5"/>
      <c r="N1330" s="4"/>
      <c r="O1330" s="4"/>
    </row>
    <row r="1331" spans="1:15" x14ac:dyDescent="0.2">
      <c r="A1331" s="14"/>
      <c r="B1331" s="15"/>
      <c r="D1331" s="16"/>
      <c r="E1331" s="17"/>
      <c r="F1331" s="14"/>
      <c r="G1331" s="7"/>
      <c r="H1331" s="7"/>
      <c r="I1331" s="20"/>
      <c r="J1331" s="5"/>
      <c r="K1331" s="7"/>
      <c r="L1331" s="82"/>
      <c r="M1331" s="5"/>
      <c r="N1331" s="4"/>
      <c r="O1331" s="4"/>
    </row>
    <row r="1332" spans="1:15" x14ac:dyDescent="0.2">
      <c r="A1332" s="14"/>
      <c r="B1332" s="15"/>
      <c r="D1332" s="16"/>
      <c r="E1332" s="17"/>
      <c r="F1332" s="14"/>
      <c r="G1332" s="7"/>
      <c r="H1332" s="7"/>
      <c r="I1332" s="20"/>
      <c r="J1332" s="5"/>
      <c r="K1332" s="7"/>
      <c r="L1332" s="82"/>
      <c r="M1332" s="5"/>
      <c r="N1332" s="4"/>
      <c r="O1332" s="4"/>
    </row>
    <row r="1333" spans="1:15" x14ac:dyDescent="0.2">
      <c r="A1333" s="14"/>
      <c r="B1333" s="15"/>
      <c r="D1333" s="16"/>
      <c r="E1333" s="17"/>
      <c r="F1333" s="14"/>
      <c r="G1333" s="7"/>
      <c r="H1333" s="7"/>
      <c r="I1333" s="20"/>
      <c r="J1333" s="5"/>
      <c r="K1333" s="7"/>
      <c r="L1333" s="82"/>
      <c r="M1333" s="5"/>
      <c r="N1333" s="4"/>
      <c r="O1333" s="4"/>
    </row>
    <row r="1334" spans="1:15" x14ac:dyDescent="0.2">
      <c r="A1334" s="14"/>
      <c r="B1334" s="15"/>
      <c r="D1334" s="16"/>
      <c r="E1334" s="17"/>
      <c r="F1334" s="14"/>
      <c r="G1334" s="7"/>
      <c r="H1334" s="7"/>
      <c r="I1334" s="20"/>
      <c r="J1334" s="5"/>
      <c r="K1334" s="7"/>
      <c r="L1334" s="82"/>
      <c r="M1334" s="5"/>
      <c r="N1334" s="4"/>
      <c r="O1334" s="4"/>
    </row>
    <row r="1335" spans="1:15" x14ac:dyDescent="0.2">
      <c r="A1335" s="14"/>
      <c r="B1335" s="15"/>
      <c r="D1335" s="16"/>
      <c r="E1335" s="17"/>
      <c r="F1335" s="14"/>
      <c r="G1335" s="7"/>
      <c r="H1335" s="7"/>
      <c r="I1335" s="20"/>
      <c r="J1335" s="5"/>
      <c r="K1335" s="7"/>
      <c r="L1335" s="82"/>
      <c r="M1335" s="5"/>
      <c r="N1335" s="4"/>
      <c r="O1335" s="4"/>
    </row>
    <row r="1336" spans="1:15" x14ac:dyDescent="0.2">
      <c r="A1336" s="14"/>
      <c r="B1336" s="15"/>
      <c r="D1336" s="16"/>
      <c r="E1336" s="17"/>
      <c r="F1336" s="14"/>
      <c r="G1336" s="7"/>
      <c r="H1336" s="7"/>
      <c r="I1336" s="20"/>
      <c r="J1336" s="5"/>
      <c r="K1336" s="7"/>
      <c r="L1336" s="82"/>
      <c r="M1336" s="5"/>
      <c r="N1336" s="4"/>
      <c r="O1336" s="4"/>
    </row>
    <row r="1337" spans="1:15" x14ac:dyDescent="0.2">
      <c r="A1337" s="14"/>
      <c r="B1337" s="15"/>
      <c r="D1337" s="16"/>
      <c r="E1337" s="17"/>
      <c r="F1337" s="14"/>
      <c r="G1337" s="7"/>
      <c r="H1337" s="7"/>
      <c r="I1337" s="20"/>
      <c r="J1337" s="5"/>
      <c r="K1337" s="7"/>
      <c r="L1337" s="82"/>
      <c r="M1337" s="5"/>
      <c r="N1337" s="4"/>
      <c r="O1337" s="4"/>
    </row>
    <row r="1338" spans="1:15" x14ac:dyDescent="0.2">
      <c r="A1338" s="14"/>
      <c r="B1338" s="15"/>
      <c r="D1338" s="16"/>
      <c r="E1338" s="17"/>
      <c r="F1338" s="14"/>
      <c r="G1338" s="7"/>
      <c r="H1338" s="7"/>
      <c r="I1338" s="20"/>
      <c r="J1338" s="5"/>
      <c r="K1338" s="7"/>
      <c r="L1338" s="82"/>
      <c r="M1338" s="5"/>
      <c r="N1338" s="4"/>
      <c r="O1338" s="4"/>
    </row>
    <row r="1339" spans="1:15" x14ac:dyDescent="0.2">
      <c r="A1339" s="14"/>
      <c r="B1339" s="15"/>
      <c r="D1339" s="16"/>
      <c r="E1339" s="17"/>
      <c r="F1339" s="14"/>
      <c r="G1339" s="7"/>
      <c r="H1339" s="7"/>
      <c r="I1339" s="20"/>
      <c r="J1339" s="5"/>
      <c r="K1339" s="7"/>
      <c r="L1339" s="82"/>
      <c r="M1339" s="5"/>
      <c r="N1339" s="4"/>
      <c r="O1339" s="4"/>
    </row>
    <row r="1340" spans="1:15" x14ac:dyDescent="0.2">
      <c r="A1340" s="14"/>
      <c r="B1340" s="15"/>
      <c r="D1340" s="16"/>
      <c r="E1340" s="17"/>
      <c r="F1340" s="14"/>
      <c r="G1340" s="7"/>
      <c r="H1340" s="7"/>
      <c r="I1340" s="20"/>
      <c r="J1340" s="5"/>
      <c r="K1340" s="7"/>
      <c r="L1340" s="7"/>
      <c r="M1340" s="5"/>
      <c r="N1340" s="4"/>
      <c r="O1340" s="4"/>
    </row>
    <row r="1341" spans="1:15" x14ac:dyDescent="0.2">
      <c r="A1341" s="14"/>
      <c r="B1341" s="15"/>
      <c r="D1341" s="16"/>
      <c r="E1341" s="17"/>
      <c r="F1341" s="14"/>
      <c r="G1341" s="7"/>
      <c r="H1341" s="7"/>
      <c r="I1341" s="20"/>
      <c r="J1341" s="5"/>
      <c r="K1341" s="7"/>
      <c r="L1341" s="7"/>
      <c r="M1341" s="5"/>
      <c r="N1341" s="4"/>
      <c r="O1341" s="4"/>
    </row>
    <row r="1342" spans="1:15" x14ac:dyDescent="0.2">
      <c r="A1342" s="14"/>
      <c r="B1342" s="15"/>
      <c r="D1342" s="16"/>
      <c r="E1342" s="17"/>
      <c r="F1342" s="14"/>
      <c r="G1342" s="7"/>
      <c r="H1342" s="7"/>
      <c r="I1342" s="20"/>
      <c r="J1342" s="5"/>
      <c r="K1342" s="7"/>
      <c r="L1342" s="7"/>
      <c r="M1342" s="5"/>
      <c r="N1342" s="4"/>
      <c r="O1342" s="4"/>
    </row>
    <row r="1343" spans="1:15" x14ac:dyDescent="0.2">
      <c r="A1343" s="14"/>
      <c r="B1343" s="15"/>
      <c r="D1343" s="16"/>
      <c r="E1343" s="17"/>
      <c r="F1343" s="14"/>
      <c r="G1343" s="7"/>
      <c r="H1343" s="7"/>
      <c r="I1343" s="20"/>
      <c r="J1343" s="5"/>
      <c r="K1343" s="7"/>
      <c r="L1343" s="7"/>
      <c r="M1343" s="5"/>
      <c r="N1343" s="4"/>
      <c r="O1343" s="4"/>
    </row>
    <row r="1344" spans="1:15" x14ac:dyDescent="0.2">
      <c r="A1344" s="14"/>
      <c r="B1344" s="15"/>
      <c r="D1344" s="16"/>
      <c r="E1344" s="17"/>
      <c r="F1344" s="14"/>
      <c r="G1344" s="7"/>
      <c r="H1344" s="7"/>
      <c r="I1344" s="20"/>
      <c r="J1344" s="5"/>
      <c r="K1344" s="7"/>
      <c r="L1344" s="7"/>
      <c r="M1344" s="5"/>
      <c r="N1344" s="4"/>
      <c r="O1344" s="4"/>
    </row>
    <row r="1345" spans="1:15" x14ac:dyDescent="0.2">
      <c r="A1345" s="14"/>
      <c r="B1345" s="15"/>
      <c r="D1345" s="16"/>
      <c r="E1345" s="17"/>
      <c r="F1345" s="14"/>
      <c r="G1345" s="7"/>
      <c r="H1345" s="7"/>
      <c r="I1345" s="20"/>
      <c r="J1345" s="5"/>
      <c r="K1345" s="7"/>
      <c r="L1345" s="7"/>
      <c r="M1345" s="5"/>
      <c r="N1345" s="4"/>
      <c r="O1345" s="4"/>
    </row>
    <row r="1346" spans="1:15" x14ac:dyDescent="0.2">
      <c r="A1346" s="14"/>
      <c r="B1346" s="15"/>
      <c r="D1346" s="16"/>
      <c r="E1346" s="17"/>
      <c r="F1346" s="14"/>
      <c r="G1346" s="7"/>
      <c r="H1346" s="7"/>
      <c r="I1346" s="20"/>
      <c r="J1346" s="5"/>
      <c r="K1346" s="7"/>
      <c r="L1346" s="7"/>
      <c r="M1346" s="5"/>
      <c r="N1346" s="4"/>
      <c r="O1346" s="4"/>
    </row>
    <row r="1347" spans="1:15" x14ac:dyDescent="0.2">
      <c r="A1347" s="14"/>
      <c r="B1347" s="15"/>
      <c r="D1347" s="16"/>
      <c r="E1347" s="17"/>
      <c r="F1347" s="14"/>
      <c r="G1347" s="7"/>
      <c r="H1347" s="7"/>
      <c r="I1347" s="20"/>
      <c r="J1347" s="5"/>
      <c r="K1347" s="7"/>
      <c r="L1347" s="7"/>
      <c r="M1347" s="5"/>
      <c r="N1347" s="4"/>
      <c r="O1347" s="4"/>
    </row>
    <row r="1348" spans="1:15" x14ac:dyDescent="0.2">
      <c r="A1348" s="14"/>
      <c r="B1348" s="15"/>
      <c r="D1348" s="16"/>
      <c r="E1348" s="17"/>
      <c r="F1348" s="14"/>
      <c r="G1348" s="7"/>
      <c r="H1348" s="7"/>
      <c r="I1348" s="20"/>
      <c r="J1348" s="5"/>
      <c r="K1348" s="7"/>
      <c r="L1348" s="7"/>
      <c r="M1348" s="5"/>
      <c r="N1348" s="4"/>
      <c r="O1348" s="4"/>
    </row>
    <row r="1349" spans="1:15" x14ac:dyDescent="0.2">
      <c r="A1349" s="14"/>
      <c r="B1349" s="15"/>
      <c r="D1349" s="16"/>
      <c r="E1349" s="17"/>
      <c r="F1349" s="14"/>
      <c r="G1349" s="7"/>
      <c r="H1349" s="7"/>
      <c r="I1349" s="20"/>
      <c r="J1349" s="5"/>
      <c r="K1349" s="7"/>
      <c r="L1349" s="7"/>
      <c r="M1349" s="5"/>
      <c r="N1349" s="4"/>
      <c r="O1349" s="4"/>
    </row>
    <row r="1350" spans="1:15" x14ac:dyDescent="0.2">
      <c r="A1350" s="14"/>
      <c r="B1350" s="15"/>
      <c r="D1350" s="16"/>
      <c r="E1350" s="17"/>
      <c r="F1350" s="14"/>
      <c r="G1350" s="7"/>
      <c r="H1350" s="7"/>
      <c r="I1350" s="20"/>
      <c r="J1350" s="5"/>
      <c r="K1350" s="7"/>
      <c r="L1350" s="7"/>
      <c r="M1350" s="5"/>
      <c r="N1350" s="4"/>
      <c r="O1350" s="4"/>
    </row>
    <row r="1351" spans="1:15" x14ac:dyDescent="0.2">
      <c r="A1351" s="14"/>
      <c r="B1351" s="15"/>
      <c r="D1351" s="16"/>
      <c r="E1351" s="17"/>
      <c r="F1351" s="14"/>
      <c r="G1351" s="7"/>
      <c r="H1351" s="7"/>
      <c r="I1351" s="20"/>
      <c r="J1351" s="5"/>
      <c r="K1351" s="7"/>
      <c r="L1351" s="7"/>
      <c r="M1351" s="5"/>
      <c r="N1351" s="4"/>
      <c r="O1351" s="4"/>
    </row>
    <row r="1352" spans="1:15" x14ac:dyDescent="0.2">
      <c r="A1352" s="14"/>
      <c r="B1352" s="15"/>
      <c r="D1352" s="16"/>
      <c r="E1352" s="17"/>
      <c r="F1352" s="14"/>
      <c r="G1352" s="7"/>
      <c r="H1352" s="7"/>
      <c r="I1352" s="20"/>
      <c r="J1352" s="5"/>
      <c r="K1352" s="7"/>
      <c r="L1352" s="7"/>
      <c r="M1352" s="5"/>
      <c r="N1352" s="4"/>
      <c r="O1352" s="4"/>
    </row>
    <row r="1353" spans="1:15" x14ac:dyDescent="0.2">
      <c r="A1353" s="14"/>
      <c r="B1353" s="15"/>
      <c r="D1353" s="16"/>
      <c r="E1353" s="17"/>
      <c r="F1353" s="14"/>
      <c r="G1353" s="7"/>
      <c r="H1353" s="7"/>
      <c r="I1353" s="20"/>
      <c r="J1353" s="5"/>
      <c r="K1353" s="7"/>
      <c r="L1353" s="7"/>
      <c r="M1353" s="5"/>
      <c r="N1353" s="4"/>
      <c r="O1353" s="4"/>
    </row>
    <row r="1354" spans="1:15" x14ac:dyDescent="0.2">
      <c r="A1354" s="14"/>
      <c r="B1354" s="15"/>
      <c r="D1354" s="16"/>
      <c r="E1354" s="17"/>
      <c r="F1354" s="14"/>
      <c r="G1354" s="7"/>
      <c r="H1354" s="7"/>
      <c r="I1354" s="20"/>
      <c r="J1354" s="5"/>
      <c r="K1354" s="7"/>
      <c r="L1354" s="7"/>
      <c r="M1354" s="5"/>
      <c r="N1354" s="4"/>
      <c r="O1354" s="4"/>
    </row>
    <row r="1355" spans="1:15" x14ac:dyDescent="0.2">
      <c r="A1355" s="14"/>
      <c r="B1355" s="15"/>
      <c r="D1355" s="16"/>
      <c r="E1355" s="17"/>
      <c r="F1355" s="14"/>
      <c r="G1355" s="7"/>
      <c r="H1355" s="7"/>
      <c r="I1355" s="20"/>
      <c r="J1355" s="5"/>
      <c r="K1355" s="7"/>
      <c r="L1355" s="7"/>
      <c r="M1355" s="5"/>
      <c r="N1355" s="4"/>
      <c r="O1355" s="4"/>
    </row>
    <row r="1356" spans="1:15" x14ac:dyDescent="0.2">
      <c r="A1356" s="14"/>
      <c r="B1356" s="15"/>
      <c r="D1356" s="16"/>
      <c r="E1356" s="17"/>
      <c r="F1356" s="14"/>
      <c r="G1356" s="7"/>
      <c r="H1356" s="7"/>
      <c r="I1356" s="20"/>
      <c r="J1356" s="5"/>
      <c r="K1356" s="7"/>
      <c r="L1356" s="7"/>
      <c r="M1356" s="5"/>
      <c r="N1356" s="4"/>
      <c r="O1356" s="4"/>
    </row>
    <row r="1357" spans="1:15" x14ac:dyDescent="0.2">
      <c r="A1357" s="14"/>
      <c r="B1357" s="15"/>
      <c r="D1357" s="16"/>
      <c r="E1357" s="17"/>
      <c r="F1357" s="14"/>
      <c r="G1357" s="7"/>
      <c r="H1357" s="7"/>
      <c r="I1357" s="20"/>
      <c r="J1357" s="5"/>
      <c r="K1357" s="7"/>
      <c r="L1357" s="7"/>
      <c r="M1357" s="5"/>
      <c r="N1357" s="4"/>
      <c r="O1357" s="4"/>
    </row>
    <row r="1358" spans="1:15" x14ac:dyDescent="0.2">
      <c r="A1358" s="14"/>
      <c r="B1358" s="15"/>
      <c r="D1358" s="16"/>
      <c r="E1358" s="17"/>
      <c r="F1358" s="14"/>
      <c r="G1358" s="7"/>
      <c r="H1358" s="7"/>
      <c r="I1358" s="20"/>
      <c r="J1358" s="5"/>
      <c r="K1358" s="7"/>
      <c r="L1358" s="7"/>
      <c r="M1358" s="5"/>
      <c r="N1358" s="4"/>
      <c r="O1358" s="4"/>
    </row>
    <row r="1359" spans="1:15" x14ac:dyDescent="0.2">
      <c r="A1359" s="14"/>
      <c r="B1359" s="15"/>
      <c r="D1359" s="16"/>
      <c r="E1359" s="17"/>
      <c r="F1359" s="14"/>
      <c r="G1359" s="7"/>
      <c r="H1359" s="7"/>
      <c r="I1359" s="20"/>
      <c r="J1359" s="5"/>
      <c r="K1359" s="7"/>
      <c r="L1359" s="7"/>
      <c r="M1359" s="5"/>
      <c r="N1359" s="4"/>
      <c r="O1359" s="4"/>
    </row>
    <row r="1360" spans="1:15" x14ac:dyDescent="0.2">
      <c r="A1360" s="14"/>
      <c r="B1360" s="15"/>
      <c r="D1360" s="16"/>
      <c r="E1360" s="17"/>
      <c r="F1360" s="14"/>
      <c r="G1360" s="7"/>
      <c r="H1360" s="7"/>
      <c r="I1360" s="20"/>
      <c r="J1360" s="5"/>
      <c r="K1360" s="7"/>
      <c r="L1360" s="7"/>
      <c r="M1360" s="5"/>
      <c r="N1360" s="4"/>
      <c r="O1360" s="4"/>
    </row>
    <row r="1361" spans="1:15" x14ac:dyDescent="0.2">
      <c r="A1361" s="14"/>
      <c r="B1361" s="15"/>
      <c r="D1361" s="16"/>
      <c r="E1361" s="17"/>
      <c r="F1361" s="14"/>
      <c r="G1361" s="7"/>
      <c r="H1361" s="7"/>
      <c r="I1361" s="20"/>
      <c r="J1361" s="5"/>
      <c r="K1361" s="7"/>
      <c r="L1361" s="7"/>
      <c r="M1361" s="5"/>
      <c r="N1361" s="4"/>
      <c r="O1361" s="4"/>
    </row>
    <row r="1362" spans="1:15" x14ac:dyDescent="0.2">
      <c r="A1362" s="14"/>
      <c r="B1362" s="15"/>
      <c r="D1362" s="16"/>
      <c r="E1362" s="17"/>
      <c r="F1362" s="14"/>
      <c r="G1362" s="7"/>
      <c r="H1362" s="7"/>
      <c r="I1362" s="20"/>
      <c r="J1362" s="5"/>
      <c r="K1362" s="7"/>
      <c r="L1362" s="7"/>
      <c r="M1362" s="5"/>
      <c r="N1362" s="4"/>
      <c r="O1362" s="4"/>
    </row>
    <row r="1363" spans="1:15" x14ac:dyDescent="0.2">
      <c r="A1363" s="14"/>
      <c r="B1363" s="15"/>
      <c r="D1363" s="16"/>
      <c r="E1363" s="17"/>
      <c r="F1363" s="14"/>
      <c r="G1363" s="7"/>
      <c r="H1363" s="7"/>
      <c r="I1363" s="20"/>
      <c r="J1363" s="5"/>
      <c r="K1363" s="7"/>
      <c r="L1363" s="7"/>
      <c r="M1363" s="5"/>
      <c r="N1363" s="4"/>
      <c r="O1363" s="4"/>
    </row>
    <row r="1364" spans="1:15" x14ac:dyDescent="0.2">
      <c r="A1364" s="14"/>
      <c r="B1364" s="15"/>
      <c r="D1364" s="16"/>
      <c r="E1364" s="17"/>
      <c r="F1364" s="14"/>
      <c r="G1364" s="7"/>
      <c r="H1364" s="7"/>
      <c r="I1364" s="20"/>
      <c r="J1364" s="5"/>
      <c r="K1364" s="7"/>
      <c r="L1364" s="7"/>
      <c r="M1364" s="5"/>
      <c r="N1364" s="4"/>
      <c r="O1364" s="4"/>
    </row>
    <row r="1365" spans="1:15" x14ac:dyDescent="0.2">
      <c r="A1365" s="14"/>
      <c r="B1365" s="15"/>
      <c r="D1365" s="16"/>
      <c r="E1365" s="17"/>
      <c r="F1365" s="14"/>
      <c r="G1365" s="7"/>
      <c r="H1365" s="7"/>
      <c r="I1365" s="20"/>
      <c r="J1365" s="5"/>
      <c r="K1365" s="7"/>
      <c r="L1365" s="7"/>
      <c r="M1365" s="5"/>
      <c r="N1365" s="4"/>
      <c r="O1365" s="4"/>
    </row>
    <row r="1366" spans="1:15" x14ac:dyDescent="0.2">
      <c r="A1366" s="14"/>
      <c r="B1366" s="15"/>
      <c r="D1366" s="16"/>
      <c r="E1366" s="17"/>
      <c r="F1366" s="14"/>
      <c r="G1366" s="7"/>
      <c r="H1366" s="7"/>
      <c r="I1366" s="20"/>
      <c r="J1366" s="5"/>
      <c r="K1366" s="7"/>
      <c r="L1366" s="7"/>
      <c r="M1366" s="5"/>
      <c r="N1366" s="4"/>
      <c r="O1366" s="4"/>
    </row>
    <row r="1367" spans="1:15" x14ac:dyDescent="0.2">
      <c r="A1367" s="14"/>
      <c r="B1367" s="15"/>
      <c r="D1367" s="16"/>
      <c r="E1367" s="17"/>
      <c r="F1367" s="14"/>
      <c r="G1367" s="7"/>
      <c r="H1367" s="7"/>
      <c r="I1367" s="20"/>
      <c r="J1367" s="5"/>
      <c r="K1367" s="7"/>
      <c r="L1367" s="7"/>
      <c r="M1367" s="5"/>
      <c r="N1367" s="4"/>
      <c r="O1367" s="4"/>
    </row>
    <row r="1368" spans="1:15" x14ac:dyDescent="0.2">
      <c r="A1368" s="14"/>
      <c r="B1368" s="15"/>
      <c r="D1368" s="16"/>
      <c r="E1368" s="17"/>
      <c r="F1368" s="14"/>
      <c r="G1368" s="7"/>
      <c r="H1368" s="7"/>
      <c r="I1368" s="20"/>
      <c r="J1368" s="5"/>
      <c r="K1368" s="7"/>
      <c r="L1368" s="7"/>
      <c r="M1368" s="5"/>
      <c r="N1368" s="4"/>
      <c r="O1368" s="4"/>
    </row>
    <row r="1369" spans="1:15" x14ac:dyDescent="0.2">
      <c r="A1369" s="14"/>
      <c r="B1369" s="15"/>
      <c r="D1369" s="16"/>
      <c r="E1369" s="17"/>
      <c r="F1369" s="14"/>
      <c r="G1369" s="7"/>
      <c r="H1369" s="7"/>
      <c r="I1369" s="20"/>
      <c r="J1369" s="5"/>
      <c r="K1369" s="7"/>
      <c r="L1369" s="7"/>
      <c r="M1369" s="5"/>
      <c r="N1369" s="4"/>
      <c r="O1369" s="4"/>
    </row>
    <row r="1370" spans="1:15" x14ac:dyDescent="0.2">
      <c r="A1370" s="14"/>
      <c r="B1370" s="15"/>
      <c r="D1370" s="16"/>
      <c r="E1370" s="17"/>
      <c r="F1370" s="14"/>
      <c r="G1370" s="7"/>
      <c r="H1370" s="7"/>
      <c r="I1370" s="20"/>
      <c r="J1370" s="5"/>
      <c r="K1370" s="7"/>
      <c r="L1370" s="7"/>
      <c r="M1370" s="5"/>
      <c r="N1370" s="4"/>
      <c r="O1370" s="4"/>
    </row>
    <row r="1371" spans="1:15" x14ac:dyDescent="0.2">
      <c r="A1371" s="14"/>
      <c r="B1371" s="15"/>
      <c r="D1371" s="16"/>
      <c r="E1371" s="17"/>
      <c r="F1371" s="14"/>
      <c r="G1371" s="7"/>
      <c r="H1371" s="7"/>
      <c r="I1371" s="20"/>
      <c r="J1371" s="5"/>
      <c r="K1371" s="7"/>
      <c r="L1371" s="7"/>
      <c r="M1371" s="5"/>
      <c r="N1371" s="4"/>
      <c r="O1371" s="4"/>
    </row>
    <row r="1372" spans="1:15" x14ac:dyDescent="0.2">
      <c r="A1372" s="14"/>
      <c r="B1372" s="15"/>
      <c r="D1372" s="16"/>
      <c r="E1372" s="17"/>
      <c r="F1372" s="14"/>
      <c r="G1372" s="7"/>
      <c r="H1372" s="7"/>
      <c r="I1372" s="20"/>
      <c r="J1372" s="5"/>
      <c r="K1372" s="7"/>
      <c r="L1372" s="7"/>
      <c r="M1372" s="5"/>
      <c r="N1372" s="4"/>
      <c r="O1372" s="4"/>
    </row>
    <row r="1373" spans="1:15" x14ac:dyDescent="0.2">
      <c r="A1373" s="14"/>
      <c r="B1373" s="15"/>
      <c r="D1373" s="16"/>
      <c r="E1373" s="17"/>
      <c r="F1373" s="14"/>
      <c r="G1373" s="7"/>
      <c r="H1373" s="7"/>
      <c r="I1373" s="20"/>
      <c r="J1373" s="5"/>
      <c r="K1373" s="7"/>
      <c r="L1373" s="7"/>
      <c r="M1373" s="5"/>
      <c r="N1373" s="4"/>
      <c r="O1373" s="4"/>
    </row>
    <row r="1374" spans="1:15" x14ac:dyDescent="0.2">
      <c r="A1374" s="14"/>
      <c r="B1374" s="15"/>
      <c r="D1374" s="16"/>
      <c r="E1374" s="17"/>
      <c r="F1374" s="14"/>
      <c r="G1374" s="7"/>
      <c r="H1374" s="7"/>
      <c r="I1374" s="20"/>
      <c r="J1374" s="5"/>
      <c r="K1374" s="7"/>
      <c r="L1374" s="7"/>
      <c r="M1374" s="5"/>
      <c r="N1374" s="4"/>
      <c r="O1374" s="4"/>
    </row>
    <row r="1375" spans="1:15" x14ac:dyDescent="0.2">
      <c r="A1375" s="14"/>
      <c r="B1375" s="15"/>
      <c r="D1375" s="16"/>
      <c r="E1375" s="17"/>
      <c r="F1375" s="14"/>
      <c r="G1375" s="7"/>
      <c r="H1375" s="7"/>
      <c r="I1375" s="20"/>
      <c r="J1375" s="5"/>
      <c r="K1375" s="7"/>
      <c r="L1375" s="7"/>
      <c r="M1375" s="5"/>
      <c r="N1375" s="4"/>
      <c r="O1375" s="4"/>
    </row>
    <row r="1376" spans="1:15" x14ac:dyDescent="0.2">
      <c r="A1376" s="14"/>
      <c r="B1376" s="15"/>
      <c r="D1376" s="16"/>
      <c r="E1376" s="17"/>
      <c r="F1376" s="14"/>
      <c r="G1376" s="7"/>
      <c r="H1376" s="7"/>
      <c r="I1376" s="20"/>
      <c r="J1376" s="5"/>
      <c r="K1376" s="7"/>
      <c r="L1376" s="7"/>
      <c r="M1376" s="5"/>
      <c r="N1376" s="4"/>
      <c r="O1376" s="4"/>
    </row>
    <row r="1377" spans="1:15" x14ac:dyDescent="0.2">
      <c r="A1377" s="14"/>
      <c r="B1377" s="15"/>
      <c r="D1377" s="16"/>
      <c r="E1377" s="17"/>
      <c r="F1377" s="14"/>
      <c r="G1377" s="7"/>
      <c r="H1377" s="7"/>
      <c r="I1377" s="20"/>
      <c r="J1377" s="5"/>
      <c r="K1377" s="7"/>
      <c r="L1377" s="7"/>
      <c r="M1377" s="5"/>
      <c r="N1377" s="4"/>
      <c r="O1377" s="4"/>
    </row>
    <row r="1378" spans="1:15" x14ac:dyDescent="0.2">
      <c r="A1378" s="14"/>
      <c r="B1378" s="15"/>
      <c r="D1378" s="16"/>
      <c r="E1378" s="17"/>
      <c r="F1378" s="14"/>
      <c r="G1378" s="7"/>
      <c r="H1378" s="7"/>
      <c r="I1378" s="20"/>
      <c r="J1378" s="5"/>
      <c r="K1378" s="7"/>
      <c r="L1378" s="7"/>
      <c r="M1378" s="5"/>
      <c r="N1378" s="4"/>
      <c r="O1378" s="4"/>
    </row>
    <row r="1379" spans="1:15" x14ac:dyDescent="0.2">
      <c r="A1379" s="14"/>
      <c r="B1379" s="15"/>
      <c r="D1379" s="16"/>
      <c r="E1379" s="17"/>
      <c r="F1379" s="14"/>
      <c r="G1379" s="7"/>
      <c r="H1379" s="7"/>
      <c r="I1379" s="20"/>
      <c r="J1379" s="5"/>
      <c r="K1379" s="7"/>
      <c r="L1379" s="7"/>
      <c r="M1379" s="5"/>
      <c r="N1379" s="4"/>
      <c r="O1379" s="4"/>
    </row>
    <row r="1380" spans="1:15" x14ac:dyDescent="0.2">
      <c r="A1380" s="14"/>
      <c r="B1380" s="15"/>
      <c r="D1380" s="16"/>
      <c r="E1380" s="17"/>
      <c r="F1380" s="14"/>
      <c r="G1380" s="7"/>
      <c r="H1380" s="7"/>
      <c r="I1380" s="20"/>
      <c r="J1380" s="5"/>
      <c r="K1380" s="7"/>
      <c r="L1380" s="7"/>
      <c r="M1380" s="5"/>
      <c r="N1380" s="4"/>
      <c r="O1380" s="4"/>
    </row>
    <row r="1381" spans="1:15" x14ac:dyDescent="0.2">
      <c r="A1381" s="14"/>
      <c r="B1381" s="15"/>
      <c r="D1381" s="16"/>
      <c r="E1381" s="17"/>
      <c r="F1381" s="14"/>
      <c r="G1381" s="7"/>
      <c r="H1381" s="7"/>
      <c r="I1381" s="20"/>
      <c r="J1381" s="5"/>
      <c r="K1381" s="7"/>
      <c r="L1381" s="7"/>
      <c r="M1381" s="5"/>
      <c r="N1381" s="4"/>
      <c r="O1381" s="4"/>
    </row>
    <row r="1382" spans="1:15" x14ac:dyDescent="0.2">
      <c r="A1382" s="14"/>
      <c r="B1382" s="15"/>
      <c r="D1382" s="16"/>
      <c r="E1382" s="17"/>
      <c r="F1382" s="14"/>
      <c r="G1382" s="7"/>
      <c r="H1382" s="7"/>
      <c r="I1382" s="20"/>
      <c r="J1382" s="5"/>
      <c r="K1382" s="7"/>
      <c r="L1382" s="7"/>
      <c r="M1382" s="5"/>
      <c r="N1382" s="4"/>
      <c r="O1382" s="4"/>
    </row>
    <row r="1383" spans="1:15" x14ac:dyDescent="0.2">
      <c r="A1383" s="14"/>
      <c r="B1383" s="15"/>
      <c r="D1383" s="16"/>
      <c r="E1383" s="17"/>
      <c r="F1383" s="14"/>
      <c r="G1383" s="7"/>
      <c r="H1383" s="7"/>
      <c r="I1383" s="20"/>
      <c r="J1383" s="5"/>
      <c r="K1383" s="7"/>
      <c r="L1383" s="7"/>
      <c r="M1383" s="5"/>
      <c r="N1383" s="4"/>
      <c r="O1383" s="4"/>
    </row>
    <row r="1384" spans="1:15" x14ac:dyDescent="0.2">
      <c r="A1384" s="14"/>
      <c r="B1384" s="15"/>
      <c r="D1384" s="16"/>
      <c r="E1384" s="17"/>
      <c r="F1384" s="14"/>
      <c r="G1384" s="7"/>
      <c r="H1384" s="7"/>
      <c r="I1384" s="20"/>
      <c r="J1384" s="5"/>
      <c r="K1384" s="7"/>
      <c r="L1384" s="7"/>
      <c r="M1384" s="5"/>
      <c r="N1384" s="4"/>
      <c r="O1384" s="4"/>
    </row>
    <row r="1385" spans="1:15" x14ac:dyDescent="0.2">
      <c r="A1385" s="14"/>
      <c r="B1385" s="15"/>
      <c r="D1385" s="16"/>
      <c r="E1385" s="17"/>
      <c r="F1385" s="14"/>
      <c r="G1385" s="7"/>
      <c r="H1385" s="7"/>
      <c r="I1385" s="20"/>
      <c r="J1385" s="5"/>
      <c r="K1385" s="7"/>
      <c r="L1385" s="7"/>
      <c r="M1385" s="5"/>
      <c r="N1385" s="4"/>
      <c r="O1385" s="4"/>
    </row>
    <row r="1386" spans="1:15" x14ac:dyDescent="0.2">
      <c r="A1386" s="14"/>
      <c r="B1386" s="15"/>
      <c r="D1386" s="16"/>
      <c r="E1386" s="17"/>
      <c r="F1386" s="14"/>
      <c r="G1386" s="7"/>
      <c r="H1386" s="7"/>
      <c r="I1386" s="20"/>
      <c r="J1386" s="5"/>
      <c r="K1386" s="7"/>
      <c r="L1386" s="7"/>
      <c r="M1386" s="5"/>
      <c r="N1386" s="4"/>
      <c r="O1386" s="4"/>
    </row>
    <row r="1387" spans="1:15" x14ac:dyDescent="0.2">
      <c r="A1387" s="14"/>
      <c r="B1387" s="15"/>
      <c r="D1387" s="16"/>
      <c r="E1387" s="17"/>
      <c r="F1387" s="14"/>
      <c r="G1387" s="7"/>
      <c r="H1387" s="7"/>
      <c r="I1387" s="20"/>
      <c r="J1387" s="5"/>
      <c r="K1387" s="7"/>
      <c r="L1387" s="7"/>
      <c r="M1387" s="5"/>
      <c r="N1387" s="4"/>
      <c r="O1387" s="4"/>
    </row>
    <row r="1388" spans="1:15" x14ac:dyDescent="0.2">
      <c r="A1388" s="14"/>
      <c r="B1388" s="15"/>
      <c r="D1388" s="16"/>
      <c r="E1388" s="17"/>
      <c r="F1388" s="14"/>
      <c r="G1388" s="7"/>
      <c r="H1388" s="7"/>
      <c r="I1388" s="20"/>
      <c r="J1388" s="5"/>
      <c r="K1388" s="7"/>
      <c r="L1388" s="7"/>
      <c r="M1388" s="5"/>
      <c r="N1388" s="4"/>
      <c r="O1388" s="4"/>
    </row>
    <row r="1389" spans="1:15" x14ac:dyDescent="0.2">
      <c r="A1389" s="14"/>
      <c r="B1389" s="15"/>
      <c r="D1389" s="16"/>
      <c r="E1389" s="17"/>
      <c r="F1389" s="14"/>
      <c r="G1389" s="7"/>
      <c r="H1389" s="7"/>
      <c r="I1389" s="20"/>
      <c r="J1389" s="5"/>
      <c r="K1389" s="7"/>
      <c r="L1389" s="7"/>
      <c r="M1389" s="5"/>
      <c r="N1389" s="4"/>
      <c r="O1389" s="4"/>
    </row>
    <row r="1390" spans="1:15" x14ac:dyDescent="0.2">
      <c r="A1390" s="14"/>
      <c r="B1390" s="15"/>
      <c r="D1390" s="16"/>
      <c r="E1390" s="17"/>
      <c r="F1390" s="14"/>
      <c r="G1390" s="7"/>
      <c r="H1390" s="7"/>
      <c r="I1390" s="20"/>
      <c r="J1390" s="5"/>
      <c r="K1390" s="7"/>
      <c r="L1390" s="7"/>
      <c r="M1390" s="5"/>
      <c r="N1390" s="4"/>
      <c r="O1390" s="4"/>
    </row>
    <row r="1391" spans="1:15" x14ac:dyDescent="0.2">
      <c r="A1391" s="14"/>
      <c r="B1391" s="15"/>
      <c r="D1391" s="16"/>
      <c r="E1391" s="17"/>
      <c r="F1391" s="14"/>
      <c r="G1391" s="7"/>
      <c r="H1391" s="7"/>
      <c r="I1391" s="20"/>
      <c r="J1391" s="5"/>
      <c r="K1391" s="7"/>
      <c r="L1391" s="7"/>
      <c r="M1391" s="5"/>
      <c r="N1391" s="4"/>
      <c r="O1391" s="4"/>
    </row>
    <row r="1392" spans="1:15" x14ac:dyDescent="0.2">
      <c r="A1392" s="14"/>
      <c r="B1392" s="15"/>
      <c r="D1392" s="16"/>
      <c r="E1392" s="17"/>
      <c r="F1392" s="14"/>
      <c r="G1392" s="7"/>
      <c r="H1392" s="7"/>
      <c r="I1392" s="20"/>
      <c r="J1392" s="5"/>
      <c r="K1392" s="7"/>
      <c r="L1392" s="7"/>
      <c r="M1392" s="5"/>
      <c r="N1392" s="4"/>
      <c r="O1392" s="4"/>
    </row>
    <row r="1393" spans="1:15" x14ac:dyDescent="0.2">
      <c r="A1393" s="14"/>
      <c r="B1393" s="15"/>
      <c r="D1393" s="16"/>
      <c r="E1393" s="17"/>
      <c r="F1393" s="14"/>
      <c r="G1393" s="7"/>
      <c r="H1393" s="7"/>
      <c r="I1393" s="20"/>
      <c r="J1393" s="5"/>
      <c r="K1393" s="7"/>
      <c r="L1393" s="7"/>
      <c r="M1393" s="5"/>
      <c r="N1393" s="4"/>
      <c r="O1393" s="4"/>
    </row>
    <row r="1394" spans="1:15" x14ac:dyDescent="0.2">
      <c r="A1394" s="14"/>
      <c r="B1394" s="15"/>
      <c r="D1394" s="16"/>
      <c r="E1394" s="17"/>
      <c r="F1394" s="14"/>
      <c r="G1394" s="7"/>
      <c r="H1394" s="7"/>
      <c r="I1394" s="20"/>
      <c r="J1394" s="5"/>
      <c r="K1394" s="7"/>
      <c r="L1394" s="7"/>
      <c r="M1394" s="5"/>
      <c r="N1394" s="4"/>
      <c r="O1394" s="4"/>
    </row>
    <row r="1395" spans="1:15" x14ac:dyDescent="0.2">
      <c r="A1395" s="14"/>
      <c r="B1395" s="15"/>
      <c r="D1395" s="16"/>
      <c r="E1395" s="17"/>
      <c r="F1395" s="14"/>
      <c r="G1395" s="7"/>
      <c r="H1395" s="7"/>
      <c r="I1395" s="20"/>
      <c r="J1395" s="5"/>
      <c r="K1395" s="7"/>
      <c r="L1395" s="7"/>
      <c r="M1395" s="5"/>
      <c r="N1395" s="4"/>
      <c r="O1395" s="4"/>
    </row>
    <row r="1396" spans="1:15" x14ac:dyDescent="0.2">
      <c r="A1396" s="14"/>
      <c r="B1396" s="15"/>
      <c r="D1396" s="16"/>
      <c r="E1396" s="17"/>
      <c r="F1396" s="14"/>
      <c r="G1396" s="7"/>
      <c r="H1396" s="7"/>
      <c r="I1396" s="20"/>
      <c r="J1396" s="5"/>
      <c r="K1396" s="7"/>
      <c r="L1396" s="7"/>
      <c r="M1396" s="5"/>
      <c r="N1396" s="4"/>
      <c r="O1396" s="4"/>
    </row>
    <row r="1397" spans="1:15" x14ac:dyDescent="0.2">
      <c r="A1397" s="14"/>
      <c r="B1397" s="15"/>
      <c r="D1397" s="16"/>
      <c r="E1397" s="17"/>
      <c r="F1397" s="14"/>
      <c r="G1397" s="7"/>
      <c r="H1397" s="7"/>
      <c r="I1397" s="20"/>
      <c r="J1397" s="5"/>
      <c r="K1397" s="7"/>
      <c r="L1397" s="7"/>
      <c r="M1397" s="5"/>
      <c r="N1397" s="4"/>
      <c r="O1397" s="4"/>
    </row>
    <row r="1398" spans="1:15" x14ac:dyDescent="0.2">
      <c r="A1398" s="14"/>
      <c r="B1398" s="15"/>
      <c r="D1398" s="16"/>
      <c r="E1398" s="17"/>
      <c r="F1398" s="14"/>
      <c r="G1398" s="7"/>
      <c r="H1398" s="7"/>
      <c r="I1398" s="20"/>
      <c r="J1398" s="5"/>
      <c r="K1398" s="7"/>
      <c r="L1398" s="7"/>
      <c r="M1398" s="5"/>
      <c r="N1398" s="4"/>
      <c r="O1398" s="4"/>
    </row>
    <row r="1399" spans="1:15" x14ac:dyDescent="0.2">
      <c r="A1399" s="14"/>
      <c r="B1399" s="15"/>
      <c r="D1399" s="16"/>
      <c r="E1399" s="17"/>
      <c r="F1399" s="14"/>
      <c r="G1399" s="7"/>
      <c r="H1399" s="7"/>
      <c r="I1399" s="20"/>
      <c r="J1399" s="5"/>
      <c r="K1399" s="7"/>
      <c r="L1399" s="7"/>
      <c r="M1399" s="5"/>
      <c r="N1399" s="4"/>
      <c r="O1399" s="4"/>
    </row>
    <row r="1400" spans="1:15" x14ac:dyDescent="0.2">
      <c r="A1400" s="14"/>
      <c r="B1400" s="15"/>
      <c r="D1400" s="16"/>
      <c r="E1400" s="17"/>
      <c r="F1400" s="14"/>
      <c r="G1400" s="7"/>
      <c r="H1400" s="7"/>
      <c r="I1400" s="20"/>
      <c r="J1400" s="5"/>
      <c r="K1400" s="7"/>
      <c r="L1400" s="7"/>
      <c r="M1400" s="5"/>
      <c r="N1400" s="4"/>
      <c r="O1400" s="4"/>
    </row>
    <row r="1401" spans="1:15" x14ac:dyDescent="0.2">
      <c r="A1401" s="14"/>
      <c r="B1401" s="15"/>
      <c r="D1401" s="16"/>
      <c r="E1401" s="17"/>
      <c r="F1401" s="14"/>
      <c r="G1401" s="7"/>
      <c r="H1401" s="7"/>
      <c r="I1401" s="20"/>
      <c r="J1401" s="5"/>
      <c r="K1401" s="7"/>
      <c r="L1401" s="7"/>
      <c r="M1401" s="5"/>
      <c r="N1401" s="4"/>
      <c r="O1401" s="4"/>
    </row>
    <row r="1402" spans="1:15" x14ac:dyDescent="0.2">
      <c r="A1402" s="14"/>
      <c r="B1402" s="15"/>
      <c r="D1402" s="16"/>
      <c r="E1402" s="17"/>
      <c r="F1402" s="14"/>
      <c r="G1402" s="7"/>
      <c r="H1402" s="7"/>
      <c r="I1402" s="20"/>
      <c r="J1402" s="5"/>
      <c r="K1402" s="7"/>
      <c r="L1402" s="7"/>
      <c r="M1402" s="5"/>
      <c r="N1402" s="4"/>
      <c r="O1402" s="4"/>
    </row>
    <row r="1403" spans="1:15" x14ac:dyDescent="0.2">
      <c r="A1403" s="14"/>
      <c r="B1403" s="15"/>
      <c r="D1403" s="16"/>
      <c r="E1403" s="17"/>
      <c r="F1403" s="14"/>
      <c r="G1403" s="7"/>
      <c r="H1403" s="7"/>
      <c r="I1403" s="20"/>
      <c r="J1403" s="5"/>
      <c r="K1403" s="7"/>
      <c r="L1403" s="7"/>
      <c r="M1403" s="5"/>
      <c r="N1403" s="4"/>
      <c r="O1403" s="4"/>
    </row>
    <row r="1404" spans="1:15" x14ac:dyDescent="0.2">
      <c r="A1404" s="14"/>
      <c r="B1404" s="15"/>
      <c r="D1404" s="16"/>
      <c r="E1404" s="17"/>
      <c r="F1404" s="14"/>
      <c r="G1404" s="7"/>
      <c r="H1404" s="7"/>
      <c r="I1404" s="20"/>
      <c r="J1404" s="5"/>
      <c r="K1404" s="7"/>
      <c r="L1404" s="7"/>
      <c r="M1404" s="5"/>
      <c r="N1404" s="4"/>
      <c r="O1404" s="4"/>
    </row>
    <row r="1405" spans="1:15" x14ac:dyDescent="0.2">
      <c r="A1405" s="14"/>
      <c r="B1405" s="15"/>
      <c r="D1405" s="16"/>
      <c r="E1405" s="17"/>
      <c r="F1405" s="14"/>
      <c r="G1405" s="7"/>
      <c r="H1405" s="7"/>
      <c r="I1405" s="20"/>
      <c r="J1405" s="5"/>
      <c r="K1405" s="7"/>
      <c r="L1405" s="7"/>
      <c r="M1405" s="5"/>
      <c r="N1405" s="4"/>
      <c r="O1405" s="4"/>
    </row>
    <row r="1406" spans="1:15" x14ac:dyDescent="0.2">
      <c r="A1406" s="14"/>
      <c r="B1406" s="15"/>
      <c r="D1406" s="16"/>
      <c r="E1406" s="17"/>
      <c r="F1406" s="14"/>
      <c r="G1406" s="7"/>
      <c r="H1406" s="7"/>
      <c r="I1406" s="20"/>
      <c r="J1406" s="5"/>
      <c r="K1406" s="7"/>
      <c r="L1406" s="7"/>
      <c r="M1406" s="5"/>
      <c r="N1406" s="4"/>
      <c r="O1406" s="4"/>
    </row>
    <row r="1407" spans="1:15" x14ac:dyDescent="0.2">
      <c r="A1407" s="14"/>
      <c r="B1407" s="15"/>
      <c r="D1407" s="16"/>
      <c r="E1407" s="17"/>
      <c r="F1407" s="14"/>
      <c r="G1407" s="7"/>
      <c r="H1407" s="7"/>
      <c r="I1407" s="20"/>
      <c r="J1407" s="5"/>
      <c r="K1407" s="7"/>
      <c r="L1407" s="7"/>
      <c r="M1407" s="5"/>
      <c r="N1407" s="4"/>
      <c r="O1407" s="4"/>
    </row>
    <row r="1408" spans="1:15" x14ac:dyDescent="0.2">
      <c r="A1408" s="14"/>
      <c r="B1408" s="15"/>
      <c r="D1408" s="16"/>
      <c r="E1408" s="17"/>
      <c r="F1408" s="14"/>
      <c r="G1408" s="7"/>
      <c r="H1408" s="7"/>
      <c r="I1408" s="20"/>
      <c r="J1408" s="5"/>
      <c r="K1408" s="7"/>
      <c r="L1408" s="7"/>
      <c r="M1408" s="5"/>
      <c r="N1408" s="4"/>
      <c r="O1408" s="4"/>
    </row>
    <row r="1409" spans="1:15" x14ac:dyDescent="0.2">
      <c r="A1409" s="14"/>
      <c r="B1409" s="15"/>
      <c r="D1409" s="16"/>
      <c r="E1409" s="17"/>
      <c r="F1409" s="14"/>
      <c r="G1409" s="7"/>
      <c r="H1409" s="7"/>
      <c r="I1409" s="20"/>
      <c r="J1409" s="5"/>
      <c r="K1409" s="7"/>
      <c r="L1409" s="7"/>
      <c r="M1409" s="5"/>
      <c r="N1409" s="4"/>
      <c r="O1409" s="4"/>
    </row>
    <row r="1410" spans="1:15" x14ac:dyDescent="0.2">
      <c r="A1410" s="14"/>
      <c r="B1410" s="15"/>
      <c r="D1410" s="16"/>
      <c r="E1410" s="17"/>
      <c r="F1410" s="14"/>
      <c r="G1410" s="7"/>
      <c r="H1410" s="7"/>
      <c r="I1410" s="20"/>
      <c r="J1410" s="5"/>
      <c r="K1410" s="7"/>
      <c r="L1410" s="7"/>
      <c r="M1410" s="5"/>
      <c r="N1410" s="4"/>
      <c r="O1410" s="4"/>
    </row>
    <row r="1411" spans="1:15" x14ac:dyDescent="0.2">
      <c r="A1411" s="14"/>
      <c r="B1411" s="15"/>
      <c r="D1411" s="16"/>
      <c r="E1411" s="17"/>
      <c r="F1411" s="14"/>
      <c r="G1411" s="7"/>
      <c r="H1411" s="7"/>
      <c r="I1411" s="20"/>
      <c r="J1411" s="5"/>
      <c r="K1411" s="7"/>
      <c r="L1411" s="7"/>
      <c r="M1411" s="5"/>
      <c r="N1411" s="4"/>
      <c r="O1411" s="4"/>
    </row>
    <row r="1412" spans="1:15" x14ac:dyDescent="0.2">
      <c r="A1412" s="14"/>
      <c r="B1412" s="15"/>
      <c r="D1412" s="16"/>
      <c r="E1412" s="17"/>
      <c r="F1412" s="14"/>
      <c r="G1412" s="7"/>
      <c r="H1412" s="7"/>
      <c r="I1412" s="20"/>
      <c r="J1412" s="5"/>
      <c r="K1412" s="7"/>
      <c r="L1412" s="7"/>
      <c r="M1412" s="5"/>
      <c r="N1412" s="4"/>
      <c r="O1412" s="4"/>
    </row>
    <row r="1413" spans="1:15" x14ac:dyDescent="0.2">
      <c r="A1413" s="14"/>
      <c r="B1413" s="15"/>
      <c r="D1413" s="16"/>
      <c r="E1413" s="17"/>
      <c r="F1413" s="14"/>
      <c r="G1413" s="7"/>
      <c r="H1413" s="7"/>
      <c r="I1413" s="20"/>
      <c r="J1413" s="5"/>
      <c r="K1413" s="7"/>
      <c r="L1413" s="7"/>
      <c r="M1413" s="5"/>
      <c r="N1413" s="4"/>
      <c r="O1413" s="4"/>
    </row>
    <row r="1414" spans="1:15" x14ac:dyDescent="0.2">
      <c r="A1414" s="14"/>
      <c r="B1414" s="15"/>
      <c r="D1414" s="16"/>
      <c r="E1414" s="17"/>
      <c r="F1414" s="14"/>
      <c r="G1414" s="7"/>
      <c r="H1414" s="7"/>
      <c r="I1414" s="20"/>
      <c r="J1414" s="5"/>
      <c r="K1414" s="7"/>
      <c r="L1414" s="7"/>
      <c r="M1414" s="5"/>
      <c r="N1414" s="4"/>
      <c r="O1414" s="4"/>
    </row>
    <row r="1415" spans="1:15" x14ac:dyDescent="0.2">
      <c r="A1415" s="14"/>
      <c r="B1415" s="15"/>
      <c r="D1415" s="16"/>
      <c r="E1415" s="17"/>
      <c r="F1415" s="14"/>
      <c r="G1415" s="7"/>
      <c r="H1415" s="7"/>
      <c r="I1415" s="20"/>
      <c r="J1415" s="5"/>
      <c r="K1415" s="7"/>
      <c r="L1415" s="7"/>
      <c r="M1415" s="5"/>
      <c r="N1415" s="4"/>
      <c r="O1415" s="4"/>
    </row>
    <row r="1416" spans="1:15" x14ac:dyDescent="0.2">
      <c r="A1416" s="14"/>
      <c r="B1416" s="15"/>
      <c r="D1416" s="16"/>
      <c r="E1416" s="17"/>
      <c r="F1416" s="14"/>
      <c r="G1416" s="7"/>
      <c r="H1416" s="7"/>
      <c r="I1416" s="20"/>
      <c r="J1416" s="5"/>
      <c r="K1416" s="7"/>
      <c r="L1416" s="7"/>
      <c r="M1416" s="5"/>
      <c r="N1416" s="4"/>
      <c r="O1416" s="4"/>
    </row>
    <row r="1417" spans="1:15" x14ac:dyDescent="0.2">
      <c r="A1417" s="14"/>
      <c r="B1417" s="15"/>
      <c r="D1417" s="16"/>
      <c r="E1417" s="17"/>
      <c r="F1417" s="14"/>
      <c r="G1417" s="7"/>
      <c r="H1417" s="7"/>
      <c r="I1417" s="20"/>
      <c r="J1417" s="5"/>
      <c r="K1417" s="7"/>
      <c r="L1417" s="7"/>
      <c r="M1417" s="5"/>
      <c r="N1417" s="4"/>
      <c r="O1417" s="4"/>
    </row>
    <row r="1418" spans="1:15" x14ac:dyDescent="0.2">
      <c r="A1418" s="14"/>
      <c r="B1418" s="15"/>
      <c r="D1418" s="16"/>
      <c r="E1418" s="17"/>
      <c r="F1418" s="14"/>
      <c r="G1418" s="7"/>
      <c r="H1418" s="7"/>
      <c r="I1418" s="20"/>
      <c r="J1418" s="5"/>
      <c r="K1418" s="7"/>
      <c r="L1418" s="7"/>
      <c r="M1418" s="5"/>
      <c r="N1418" s="4"/>
      <c r="O1418" s="4"/>
    </row>
    <row r="1419" spans="1:15" x14ac:dyDescent="0.2">
      <c r="A1419" s="14"/>
      <c r="B1419" s="15"/>
      <c r="D1419" s="16"/>
      <c r="E1419" s="17"/>
      <c r="F1419" s="14"/>
      <c r="G1419" s="7"/>
      <c r="H1419" s="7"/>
      <c r="I1419" s="20"/>
      <c r="J1419" s="5"/>
      <c r="K1419" s="7"/>
      <c r="L1419" s="7"/>
      <c r="M1419" s="5"/>
      <c r="N1419" s="4"/>
      <c r="O1419" s="4"/>
    </row>
    <row r="1420" spans="1:15" x14ac:dyDescent="0.2">
      <c r="A1420" s="14"/>
      <c r="B1420" s="15"/>
      <c r="D1420" s="16"/>
      <c r="E1420" s="17"/>
      <c r="F1420" s="14"/>
      <c r="G1420" s="7"/>
      <c r="H1420" s="7"/>
      <c r="I1420" s="20"/>
      <c r="J1420" s="5"/>
      <c r="K1420" s="7"/>
      <c r="L1420" s="7"/>
      <c r="M1420" s="5"/>
      <c r="N1420" s="4"/>
      <c r="O1420" s="4"/>
    </row>
    <row r="1421" spans="1:15" x14ac:dyDescent="0.2">
      <c r="A1421" s="14"/>
      <c r="B1421" s="15"/>
      <c r="D1421" s="16"/>
      <c r="E1421" s="17"/>
      <c r="F1421" s="14"/>
      <c r="G1421" s="7"/>
      <c r="H1421" s="7"/>
      <c r="I1421" s="20"/>
      <c r="J1421" s="5"/>
      <c r="K1421" s="7"/>
      <c r="L1421" s="7"/>
      <c r="M1421" s="5"/>
      <c r="N1421" s="4"/>
      <c r="O1421" s="4"/>
    </row>
    <row r="1422" spans="1:15" x14ac:dyDescent="0.2">
      <c r="A1422" s="14"/>
      <c r="B1422" s="15"/>
      <c r="D1422" s="16"/>
      <c r="E1422" s="17"/>
      <c r="F1422" s="14"/>
      <c r="G1422" s="7"/>
      <c r="H1422" s="7"/>
      <c r="I1422" s="20"/>
      <c r="J1422" s="5"/>
      <c r="K1422" s="7"/>
      <c r="L1422" s="7"/>
      <c r="M1422" s="5"/>
      <c r="N1422" s="4"/>
      <c r="O1422" s="4"/>
    </row>
    <row r="1423" spans="1:15" x14ac:dyDescent="0.2">
      <c r="A1423" s="14"/>
      <c r="B1423" s="15"/>
      <c r="D1423" s="16"/>
      <c r="E1423" s="17"/>
      <c r="F1423" s="14"/>
      <c r="G1423" s="7"/>
      <c r="H1423" s="7"/>
      <c r="I1423" s="20"/>
      <c r="J1423" s="5"/>
      <c r="K1423" s="7"/>
      <c r="L1423" s="7"/>
      <c r="M1423" s="5"/>
      <c r="N1423" s="4"/>
      <c r="O1423" s="4"/>
    </row>
    <row r="1424" spans="1:15" x14ac:dyDescent="0.2">
      <c r="A1424" s="14"/>
      <c r="B1424" s="15"/>
      <c r="D1424" s="16"/>
      <c r="E1424" s="17"/>
      <c r="F1424" s="14"/>
      <c r="G1424" s="7"/>
      <c r="H1424" s="7"/>
      <c r="I1424" s="20"/>
      <c r="J1424" s="5"/>
      <c r="K1424" s="7"/>
      <c r="L1424" s="7"/>
      <c r="M1424" s="5"/>
      <c r="N1424" s="4"/>
      <c r="O1424" s="4"/>
    </row>
    <row r="1425" spans="1:15" x14ac:dyDescent="0.2">
      <c r="A1425" s="14"/>
      <c r="B1425" s="15"/>
      <c r="D1425" s="16"/>
      <c r="E1425" s="17"/>
      <c r="F1425" s="14"/>
      <c r="G1425" s="7"/>
      <c r="H1425" s="7"/>
      <c r="I1425" s="20"/>
      <c r="J1425" s="5"/>
      <c r="K1425" s="7"/>
      <c r="L1425" s="7"/>
      <c r="M1425" s="5"/>
      <c r="N1425" s="4"/>
      <c r="O1425" s="4"/>
    </row>
    <row r="1426" spans="1:15" x14ac:dyDescent="0.2">
      <c r="A1426" s="14"/>
      <c r="B1426" s="15"/>
      <c r="D1426" s="16"/>
      <c r="E1426" s="17"/>
      <c r="F1426" s="14"/>
      <c r="G1426" s="7"/>
      <c r="H1426" s="7"/>
      <c r="I1426" s="20"/>
      <c r="J1426" s="5"/>
      <c r="K1426" s="7"/>
      <c r="L1426" s="7"/>
      <c r="M1426" s="5"/>
      <c r="N1426" s="4"/>
      <c r="O1426" s="4"/>
    </row>
    <row r="1427" spans="1:15" x14ac:dyDescent="0.2">
      <c r="A1427" s="14"/>
      <c r="B1427" s="15"/>
      <c r="D1427" s="16"/>
      <c r="E1427" s="17"/>
      <c r="F1427" s="14"/>
      <c r="G1427" s="7"/>
      <c r="H1427" s="7"/>
      <c r="I1427" s="20"/>
      <c r="J1427" s="5"/>
      <c r="K1427" s="7"/>
      <c r="L1427" s="7"/>
      <c r="M1427" s="5"/>
      <c r="N1427" s="4"/>
      <c r="O1427" s="4"/>
    </row>
    <row r="1428" spans="1:15" x14ac:dyDescent="0.2">
      <c r="A1428" s="14"/>
      <c r="B1428" s="15"/>
      <c r="D1428" s="16"/>
      <c r="E1428" s="17"/>
      <c r="F1428" s="14"/>
      <c r="G1428" s="7"/>
      <c r="H1428" s="7"/>
      <c r="I1428" s="20"/>
      <c r="J1428" s="5"/>
      <c r="K1428" s="7"/>
      <c r="L1428" s="7"/>
      <c r="M1428" s="5"/>
      <c r="N1428" s="4"/>
      <c r="O1428" s="4"/>
    </row>
    <row r="1429" spans="1:15" x14ac:dyDescent="0.2">
      <c r="A1429" s="14"/>
      <c r="B1429" s="15"/>
      <c r="D1429" s="16"/>
      <c r="E1429" s="17"/>
      <c r="F1429" s="14"/>
      <c r="G1429" s="7"/>
      <c r="H1429" s="7"/>
      <c r="I1429" s="20"/>
      <c r="J1429" s="5"/>
      <c r="K1429" s="7"/>
      <c r="L1429" s="7"/>
      <c r="M1429" s="5"/>
      <c r="N1429" s="4"/>
      <c r="O1429" s="4"/>
    </row>
    <row r="1430" spans="1:15" x14ac:dyDescent="0.2">
      <c r="A1430" s="14"/>
      <c r="B1430" s="15"/>
      <c r="D1430" s="16"/>
      <c r="E1430" s="17"/>
      <c r="F1430" s="14"/>
      <c r="G1430" s="7"/>
      <c r="H1430" s="7"/>
      <c r="I1430" s="20"/>
      <c r="J1430" s="5"/>
      <c r="K1430" s="7"/>
      <c r="L1430" s="7"/>
      <c r="M1430" s="5"/>
      <c r="N1430" s="4"/>
      <c r="O1430" s="4"/>
    </row>
    <row r="1431" spans="1:15" x14ac:dyDescent="0.2">
      <c r="A1431" s="14"/>
      <c r="B1431" s="15"/>
      <c r="D1431" s="16"/>
      <c r="E1431" s="17"/>
      <c r="F1431" s="14"/>
      <c r="G1431" s="7"/>
      <c r="H1431" s="7"/>
      <c r="I1431" s="20"/>
      <c r="J1431" s="5"/>
      <c r="K1431" s="7"/>
      <c r="L1431" s="7"/>
      <c r="M1431" s="5"/>
      <c r="N1431" s="4"/>
      <c r="O1431" s="4"/>
    </row>
    <row r="1432" spans="1:15" x14ac:dyDescent="0.2">
      <c r="A1432" s="14"/>
      <c r="B1432" s="15"/>
      <c r="D1432" s="16"/>
      <c r="E1432" s="17"/>
      <c r="F1432" s="14"/>
      <c r="G1432" s="7"/>
      <c r="H1432" s="7"/>
      <c r="I1432" s="20"/>
      <c r="J1432" s="5"/>
      <c r="K1432" s="7"/>
      <c r="L1432" s="7"/>
      <c r="M1432" s="5"/>
      <c r="N1432" s="4"/>
      <c r="O1432" s="4"/>
    </row>
    <row r="1433" spans="1:15" x14ac:dyDescent="0.2">
      <c r="A1433" s="14"/>
      <c r="B1433" s="15"/>
      <c r="D1433" s="16"/>
      <c r="E1433" s="17"/>
      <c r="F1433" s="14"/>
      <c r="G1433" s="7"/>
      <c r="H1433" s="7"/>
      <c r="I1433" s="20"/>
      <c r="J1433" s="5"/>
      <c r="K1433" s="7"/>
      <c r="L1433" s="7"/>
      <c r="M1433" s="5"/>
      <c r="N1433" s="4"/>
      <c r="O1433" s="4"/>
    </row>
    <row r="1434" spans="1:15" x14ac:dyDescent="0.2">
      <c r="A1434" s="14"/>
      <c r="B1434" s="15"/>
      <c r="D1434" s="16"/>
      <c r="E1434" s="17"/>
      <c r="F1434" s="14"/>
      <c r="G1434" s="7"/>
      <c r="H1434" s="7"/>
      <c r="I1434" s="20"/>
      <c r="J1434" s="5"/>
      <c r="K1434" s="7"/>
      <c r="L1434" s="7"/>
      <c r="M1434" s="5"/>
      <c r="N1434" s="4"/>
      <c r="O1434" s="4"/>
    </row>
    <row r="1435" spans="1:15" x14ac:dyDescent="0.2">
      <c r="A1435" s="14"/>
      <c r="B1435" s="15"/>
      <c r="D1435" s="16"/>
      <c r="E1435" s="17"/>
      <c r="F1435" s="14"/>
      <c r="G1435" s="7"/>
      <c r="H1435" s="7"/>
      <c r="I1435" s="20"/>
      <c r="J1435" s="5"/>
      <c r="K1435" s="7"/>
      <c r="L1435" s="7"/>
      <c r="M1435" s="5"/>
      <c r="N1435" s="4"/>
      <c r="O1435" s="4"/>
    </row>
    <row r="1436" spans="1:15" x14ac:dyDescent="0.2">
      <c r="A1436" s="14"/>
      <c r="B1436" s="15"/>
      <c r="D1436" s="16"/>
      <c r="E1436" s="17"/>
      <c r="F1436" s="14"/>
      <c r="G1436" s="7"/>
      <c r="H1436" s="7"/>
      <c r="I1436" s="20"/>
      <c r="J1436" s="5"/>
      <c r="K1436" s="7"/>
      <c r="L1436" s="7"/>
      <c r="M1436" s="5"/>
      <c r="N1436" s="4"/>
      <c r="O1436" s="4"/>
    </row>
    <row r="1437" spans="1:15" x14ac:dyDescent="0.2">
      <c r="A1437" s="14"/>
      <c r="B1437" s="15"/>
      <c r="D1437" s="16"/>
      <c r="E1437" s="17"/>
      <c r="F1437" s="14"/>
      <c r="G1437" s="7"/>
      <c r="H1437" s="7"/>
      <c r="I1437" s="20"/>
      <c r="J1437" s="5"/>
      <c r="K1437" s="7"/>
      <c r="L1437" s="7"/>
      <c r="M1437" s="5"/>
      <c r="N1437" s="4"/>
      <c r="O1437" s="4"/>
    </row>
    <row r="1438" spans="1:15" x14ac:dyDescent="0.2">
      <c r="A1438" s="14"/>
      <c r="B1438" s="15"/>
      <c r="D1438" s="16"/>
      <c r="E1438" s="17"/>
      <c r="F1438" s="14"/>
      <c r="G1438" s="7"/>
      <c r="H1438" s="7"/>
      <c r="I1438" s="20"/>
      <c r="J1438" s="5"/>
      <c r="K1438" s="7"/>
      <c r="L1438" s="7"/>
      <c r="M1438" s="5"/>
      <c r="N1438" s="4"/>
      <c r="O1438" s="4"/>
    </row>
    <row r="1439" spans="1:15" x14ac:dyDescent="0.2">
      <c r="A1439" s="14"/>
      <c r="B1439" s="15"/>
      <c r="D1439" s="16"/>
      <c r="E1439" s="17"/>
      <c r="F1439" s="14"/>
      <c r="G1439" s="7"/>
      <c r="H1439" s="7"/>
      <c r="I1439" s="20"/>
      <c r="J1439" s="5"/>
      <c r="K1439" s="7"/>
      <c r="L1439" s="7"/>
      <c r="M1439" s="5"/>
      <c r="N1439" s="4"/>
      <c r="O1439" s="4"/>
    </row>
    <row r="1440" spans="1:15" x14ac:dyDescent="0.2">
      <c r="A1440" s="14"/>
      <c r="B1440" s="15"/>
      <c r="D1440" s="16"/>
      <c r="E1440" s="17"/>
      <c r="F1440" s="14"/>
      <c r="G1440" s="7"/>
      <c r="H1440" s="7"/>
      <c r="I1440" s="20"/>
      <c r="J1440" s="5"/>
      <c r="K1440" s="7"/>
      <c r="L1440" s="7"/>
      <c r="M1440" s="5"/>
      <c r="N1440" s="4"/>
      <c r="O1440" s="4"/>
    </row>
    <row r="1441" spans="1:15" x14ac:dyDescent="0.2">
      <c r="A1441" s="14"/>
      <c r="B1441" s="15"/>
      <c r="D1441" s="16"/>
      <c r="E1441" s="17"/>
      <c r="F1441" s="14"/>
      <c r="G1441" s="7"/>
      <c r="H1441" s="7"/>
      <c r="I1441" s="20"/>
      <c r="J1441" s="5"/>
      <c r="K1441" s="7"/>
      <c r="L1441" s="7"/>
      <c r="M1441" s="5"/>
      <c r="N1441" s="4"/>
      <c r="O1441" s="4"/>
    </row>
    <row r="1442" spans="1:15" x14ac:dyDescent="0.2">
      <c r="A1442" s="14"/>
      <c r="B1442" s="15"/>
      <c r="D1442" s="16"/>
      <c r="E1442" s="17"/>
      <c r="F1442" s="14"/>
      <c r="G1442" s="7"/>
      <c r="H1442" s="7"/>
      <c r="I1442" s="20"/>
      <c r="J1442" s="5"/>
      <c r="K1442" s="7"/>
      <c r="L1442" s="7"/>
      <c r="M1442" s="5"/>
      <c r="N1442" s="4"/>
      <c r="O1442" s="4"/>
    </row>
    <row r="1443" spans="1:15" x14ac:dyDescent="0.2">
      <c r="A1443" s="14"/>
      <c r="B1443" s="15"/>
      <c r="D1443" s="16"/>
      <c r="E1443" s="17"/>
      <c r="F1443" s="14"/>
      <c r="G1443" s="7"/>
      <c r="H1443" s="7"/>
      <c r="I1443" s="20"/>
      <c r="J1443" s="5"/>
      <c r="K1443" s="7"/>
      <c r="L1443" s="7"/>
      <c r="M1443" s="5"/>
      <c r="N1443" s="4"/>
      <c r="O1443" s="4"/>
    </row>
    <row r="1444" spans="1:15" x14ac:dyDescent="0.2">
      <c r="A1444" s="14"/>
      <c r="B1444" s="15"/>
      <c r="D1444" s="16"/>
      <c r="E1444" s="17"/>
      <c r="F1444" s="14"/>
      <c r="G1444" s="7"/>
      <c r="H1444" s="7"/>
      <c r="I1444" s="20"/>
      <c r="J1444" s="5"/>
      <c r="K1444" s="7"/>
      <c r="L1444" s="7"/>
      <c r="M1444" s="5"/>
      <c r="N1444" s="4"/>
      <c r="O1444" s="4"/>
    </row>
    <row r="1445" spans="1:15" x14ac:dyDescent="0.2">
      <c r="A1445" s="14"/>
      <c r="B1445" s="15"/>
      <c r="D1445" s="16"/>
      <c r="E1445" s="17"/>
      <c r="F1445" s="14"/>
      <c r="G1445" s="7"/>
      <c r="H1445" s="7"/>
      <c r="I1445" s="20"/>
      <c r="J1445" s="5"/>
      <c r="K1445" s="7"/>
      <c r="L1445" s="7"/>
      <c r="M1445" s="5"/>
      <c r="N1445" s="4"/>
      <c r="O1445" s="4"/>
    </row>
    <row r="1446" spans="1:15" x14ac:dyDescent="0.2">
      <c r="A1446" s="14"/>
      <c r="B1446" s="15"/>
      <c r="D1446" s="16"/>
      <c r="E1446" s="17"/>
      <c r="F1446" s="14"/>
      <c r="G1446" s="7"/>
      <c r="H1446" s="7"/>
      <c r="I1446" s="20"/>
      <c r="J1446" s="5"/>
      <c r="K1446" s="7"/>
      <c r="L1446" s="7"/>
      <c r="M1446" s="5"/>
      <c r="N1446" s="4"/>
      <c r="O1446" s="4"/>
    </row>
    <row r="1447" spans="1:15" x14ac:dyDescent="0.2">
      <c r="A1447" s="14"/>
      <c r="B1447" s="15"/>
      <c r="D1447" s="16"/>
      <c r="E1447" s="17"/>
      <c r="F1447" s="14"/>
      <c r="G1447" s="7"/>
      <c r="H1447" s="7"/>
      <c r="I1447" s="20"/>
      <c r="J1447" s="5"/>
      <c r="K1447" s="7"/>
      <c r="L1447" s="7"/>
      <c r="M1447" s="5"/>
      <c r="N1447" s="4"/>
      <c r="O1447" s="4"/>
    </row>
    <row r="1448" spans="1:15" x14ac:dyDescent="0.2">
      <c r="A1448" s="14"/>
      <c r="B1448" s="15"/>
      <c r="D1448" s="16"/>
      <c r="E1448" s="17"/>
      <c r="F1448" s="14"/>
      <c r="G1448" s="7"/>
      <c r="H1448" s="7"/>
      <c r="I1448" s="20"/>
      <c r="J1448" s="5"/>
      <c r="K1448" s="7"/>
      <c r="L1448" s="7"/>
      <c r="M1448" s="5"/>
      <c r="N1448" s="4"/>
      <c r="O1448" s="4"/>
    </row>
    <row r="1449" spans="1:15" x14ac:dyDescent="0.2">
      <c r="A1449" s="14"/>
      <c r="B1449" s="15"/>
      <c r="D1449" s="16"/>
      <c r="E1449" s="17"/>
      <c r="F1449" s="14"/>
      <c r="G1449" s="7"/>
      <c r="H1449" s="7"/>
      <c r="I1449" s="20"/>
      <c r="J1449" s="5"/>
      <c r="K1449" s="7"/>
      <c r="L1449" s="7"/>
      <c r="M1449" s="5"/>
      <c r="N1449" s="4"/>
      <c r="O1449" s="4"/>
    </row>
    <row r="1450" spans="1:15" x14ac:dyDescent="0.2">
      <c r="A1450" s="14"/>
      <c r="B1450" s="15"/>
      <c r="D1450" s="16"/>
      <c r="E1450" s="17"/>
      <c r="F1450" s="14"/>
      <c r="G1450" s="7"/>
      <c r="H1450" s="7"/>
      <c r="I1450" s="20"/>
      <c r="J1450" s="5"/>
      <c r="K1450" s="7"/>
      <c r="L1450" s="7"/>
      <c r="M1450" s="5"/>
      <c r="N1450" s="4"/>
      <c r="O1450" s="4"/>
    </row>
    <row r="1451" spans="1:15" x14ac:dyDescent="0.2">
      <c r="A1451" s="14"/>
      <c r="B1451" s="15"/>
      <c r="D1451" s="16"/>
      <c r="E1451" s="17"/>
      <c r="F1451" s="14"/>
      <c r="G1451" s="7"/>
      <c r="H1451" s="7"/>
      <c r="I1451" s="20"/>
      <c r="J1451" s="5"/>
      <c r="K1451" s="7"/>
      <c r="L1451" s="7"/>
      <c r="M1451" s="5"/>
      <c r="N1451" s="4"/>
      <c r="O1451" s="4"/>
    </row>
    <row r="1452" spans="1:15" x14ac:dyDescent="0.2">
      <c r="A1452" s="14"/>
      <c r="B1452" s="15"/>
      <c r="D1452" s="16"/>
      <c r="E1452" s="17"/>
      <c r="F1452" s="14"/>
      <c r="G1452" s="7"/>
      <c r="H1452" s="7"/>
      <c r="I1452" s="20"/>
      <c r="J1452" s="5"/>
      <c r="K1452" s="7"/>
      <c r="L1452" s="7"/>
      <c r="M1452" s="5"/>
      <c r="N1452" s="4"/>
      <c r="O1452" s="4"/>
    </row>
    <row r="1453" spans="1:15" x14ac:dyDescent="0.2">
      <c r="A1453" s="14"/>
      <c r="B1453" s="15"/>
      <c r="D1453" s="16"/>
      <c r="E1453" s="17"/>
      <c r="F1453" s="14"/>
      <c r="G1453" s="7"/>
      <c r="H1453" s="7"/>
      <c r="I1453" s="20"/>
      <c r="J1453" s="5"/>
      <c r="K1453" s="7"/>
      <c r="L1453" s="7"/>
      <c r="M1453" s="5"/>
      <c r="N1453" s="4"/>
      <c r="O1453" s="4"/>
    </row>
    <row r="1454" spans="1:15" x14ac:dyDescent="0.2">
      <c r="A1454" s="14"/>
      <c r="B1454" s="15"/>
      <c r="D1454" s="16"/>
      <c r="E1454" s="17"/>
      <c r="F1454" s="14"/>
      <c r="G1454" s="7"/>
      <c r="H1454" s="7"/>
      <c r="I1454" s="20"/>
      <c r="J1454" s="5"/>
      <c r="K1454" s="7"/>
      <c r="L1454" s="7"/>
      <c r="M1454" s="5"/>
      <c r="N1454" s="4"/>
      <c r="O1454" s="4"/>
    </row>
    <row r="1455" spans="1:15" x14ac:dyDescent="0.2">
      <c r="A1455" s="14"/>
      <c r="B1455" s="15"/>
      <c r="D1455" s="16"/>
      <c r="E1455" s="17"/>
      <c r="F1455" s="14"/>
      <c r="G1455" s="7"/>
      <c r="H1455" s="7"/>
      <c r="I1455" s="20"/>
      <c r="J1455" s="5"/>
      <c r="K1455" s="7"/>
      <c r="L1455" s="7"/>
      <c r="M1455" s="5"/>
      <c r="N1455" s="4"/>
      <c r="O1455" s="4"/>
    </row>
    <row r="1456" spans="1:15" x14ac:dyDescent="0.2">
      <c r="A1456" s="14"/>
      <c r="B1456" s="15"/>
      <c r="D1456" s="16"/>
      <c r="E1456" s="17"/>
      <c r="F1456" s="14"/>
      <c r="G1456" s="7"/>
      <c r="H1456" s="7"/>
      <c r="I1456" s="20"/>
      <c r="J1456" s="5"/>
      <c r="K1456" s="7"/>
      <c r="L1456" s="7"/>
      <c r="M1456" s="5"/>
      <c r="N1456" s="4"/>
      <c r="O1456" s="4"/>
    </row>
    <row r="1457" spans="1:15" x14ac:dyDescent="0.2">
      <c r="A1457" s="14"/>
      <c r="B1457" s="15"/>
      <c r="D1457" s="16"/>
      <c r="E1457" s="17"/>
      <c r="F1457" s="14"/>
      <c r="G1457" s="7"/>
      <c r="H1457" s="7"/>
      <c r="I1457" s="20"/>
      <c r="J1457" s="5"/>
      <c r="K1457" s="7"/>
      <c r="L1457" s="7"/>
      <c r="M1457" s="5"/>
      <c r="N1457" s="4"/>
      <c r="O1457" s="4"/>
    </row>
    <row r="1458" spans="1:15" x14ac:dyDescent="0.2">
      <c r="A1458" s="14"/>
      <c r="B1458" s="15"/>
      <c r="D1458" s="16"/>
      <c r="E1458" s="17"/>
      <c r="F1458" s="14"/>
      <c r="G1458" s="7"/>
      <c r="H1458" s="7"/>
      <c r="I1458" s="20"/>
      <c r="J1458" s="5"/>
      <c r="K1458" s="7"/>
      <c r="L1458" s="7"/>
      <c r="M1458" s="5"/>
      <c r="N1458" s="4"/>
      <c r="O1458" s="4"/>
    </row>
    <row r="1459" spans="1:15" x14ac:dyDescent="0.2">
      <c r="A1459" s="14"/>
      <c r="B1459" s="15"/>
      <c r="D1459" s="16"/>
      <c r="E1459" s="17"/>
      <c r="F1459" s="14"/>
      <c r="G1459" s="7"/>
      <c r="H1459" s="7"/>
      <c r="I1459" s="20"/>
      <c r="J1459" s="5"/>
      <c r="K1459" s="7"/>
      <c r="L1459" s="7"/>
      <c r="M1459" s="5"/>
      <c r="N1459" s="4"/>
      <c r="O1459" s="4"/>
    </row>
    <row r="1460" spans="1:15" x14ac:dyDescent="0.2">
      <c r="A1460" s="14"/>
      <c r="B1460" s="15"/>
      <c r="D1460" s="16"/>
      <c r="E1460" s="17"/>
      <c r="F1460" s="14"/>
      <c r="G1460" s="7"/>
      <c r="H1460" s="7"/>
      <c r="I1460" s="20"/>
      <c r="J1460" s="5"/>
      <c r="K1460" s="7"/>
      <c r="L1460" s="7"/>
      <c r="M1460" s="5"/>
      <c r="N1460" s="4"/>
      <c r="O1460" s="4"/>
    </row>
    <row r="1461" spans="1:15" x14ac:dyDescent="0.2">
      <c r="A1461" s="14"/>
      <c r="B1461" s="15"/>
      <c r="D1461" s="16"/>
      <c r="E1461" s="17"/>
      <c r="F1461" s="14"/>
      <c r="G1461" s="7"/>
      <c r="H1461" s="7"/>
      <c r="I1461" s="20"/>
      <c r="J1461" s="5"/>
      <c r="K1461" s="7"/>
      <c r="L1461" s="7"/>
      <c r="M1461" s="5"/>
      <c r="N1461" s="4"/>
      <c r="O1461" s="4"/>
    </row>
    <row r="1462" spans="1:15" x14ac:dyDescent="0.2">
      <c r="A1462" s="14"/>
      <c r="B1462" s="15"/>
      <c r="D1462" s="16"/>
      <c r="E1462" s="17"/>
      <c r="F1462" s="14"/>
      <c r="G1462" s="7"/>
      <c r="H1462" s="7"/>
      <c r="I1462" s="20"/>
      <c r="J1462" s="5"/>
      <c r="K1462" s="7"/>
      <c r="L1462" s="7"/>
      <c r="M1462" s="5"/>
      <c r="N1462" s="4"/>
      <c r="O1462" s="4"/>
    </row>
    <row r="1463" spans="1:15" x14ac:dyDescent="0.2">
      <c r="A1463" s="14"/>
      <c r="B1463" s="15"/>
      <c r="D1463" s="16"/>
      <c r="E1463" s="17"/>
      <c r="F1463" s="14"/>
      <c r="G1463" s="7"/>
      <c r="H1463" s="7"/>
      <c r="I1463" s="20"/>
      <c r="J1463" s="5"/>
      <c r="K1463" s="7"/>
      <c r="L1463" s="7"/>
      <c r="M1463" s="5"/>
      <c r="N1463" s="4"/>
      <c r="O1463" s="4"/>
    </row>
    <row r="1464" spans="1:15" x14ac:dyDescent="0.2">
      <c r="A1464" s="14"/>
      <c r="B1464" s="15"/>
      <c r="D1464" s="16"/>
      <c r="E1464" s="17"/>
      <c r="F1464" s="14"/>
      <c r="G1464" s="7"/>
      <c r="H1464" s="7"/>
      <c r="I1464" s="20"/>
      <c r="J1464" s="5"/>
      <c r="K1464" s="7"/>
      <c r="L1464" s="7"/>
      <c r="M1464" s="5"/>
      <c r="N1464" s="4"/>
      <c r="O1464" s="4"/>
    </row>
    <row r="1465" spans="1:15" x14ac:dyDescent="0.2">
      <c r="A1465" s="14"/>
      <c r="B1465" s="15"/>
      <c r="D1465" s="16"/>
      <c r="E1465" s="17"/>
      <c r="F1465" s="14"/>
      <c r="G1465" s="7"/>
      <c r="H1465" s="7"/>
      <c r="I1465" s="20"/>
      <c r="J1465" s="5"/>
      <c r="K1465" s="7"/>
      <c r="L1465" s="7"/>
      <c r="M1465" s="5"/>
      <c r="N1465" s="4"/>
      <c r="O1465" s="4"/>
    </row>
    <row r="1466" spans="1:15" x14ac:dyDescent="0.2">
      <c r="A1466" s="14"/>
      <c r="B1466" s="15"/>
      <c r="D1466" s="16"/>
      <c r="E1466" s="17"/>
      <c r="F1466" s="14"/>
      <c r="G1466" s="7"/>
      <c r="H1466" s="7"/>
      <c r="I1466" s="20"/>
      <c r="J1466" s="5"/>
      <c r="K1466" s="7"/>
      <c r="L1466" s="7"/>
      <c r="M1466" s="5"/>
      <c r="N1466" s="4"/>
      <c r="O1466" s="4"/>
    </row>
    <row r="1467" spans="1:15" x14ac:dyDescent="0.2">
      <c r="A1467" s="14"/>
      <c r="B1467" s="15"/>
      <c r="D1467" s="16"/>
      <c r="E1467" s="17"/>
      <c r="F1467" s="14"/>
      <c r="G1467" s="7"/>
      <c r="H1467" s="7"/>
      <c r="I1467" s="20"/>
      <c r="J1467" s="5"/>
      <c r="K1467" s="7"/>
      <c r="L1467" s="7"/>
      <c r="M1467" s="5"/>
      <c r="N1467" s="4"/>
      <c r="O1467" s="4"/>
    </row>
    <row r="1468" spans="1:15" x14ac:dyDescent="0.2">
      <c r="A1468" s="14"/>
      <c r="B1468" s="15"/>
      <c r="D1468" s="16"/>
      <c r="E1468" s="17"/>
      <c r="F1468" s="14"/>
      <c r="G1468" s="7"/>
      <c r="H1468" s="7"/>
      <c r="I1468" s="20"/>
      <c r="J1468" s="5"/>
      <c r="K1468" s="7"/>
      <c r="L1468" s="7"/>
      <c r="M1468" s="5"/>
      <c r="N1468" s="4"/>
      <c r="O1468" s="4"/>
    </row>
    <row r="1469" spans="1:15" x14ac:dyDescent="0.2">
      <c r="A1469" s="14"/>
      <c r="B1469" s="15"/>
      <c r="D1469" s="16"/>
      <c r="E1469" s="17"/>
      <c r="F1469" s="14"/>
      <c r="G1469" s="7"/>
      <c r="H1469" s="7"/>
      <c r="I1469" s="20"/>
      <c r="J1469" s="5"/>
      <c r="K1469" s="7"/>
      <c r="L1469" s="7"/>
      <c r="M1469" s="5"/>
      <c r="N1469" s="4"/>
      <c r="O1469" s="4"/>
    </row>
    <row r="1470" spans="1:15" x14ac:dyDescent="0.2">
      <c r="A1470" s="14"/>
      <c r="B1470" s="15"/>
      <c r="D1470" s="16"/>
      <c r="E1470" s="17"/>
      <c r="F1470" s="14"/>
      <c r="G1470" s="7"/>
      <c r="H1470" s="7"/>
      <c r="I1470" s="20"/>
      <c r="J1470" s="5"/>
      <c r="K1470" s="7"/>
      <c r="L1470" s="7"/>
      <c r="M1470" s="5"/>
      <c r="N1470" s="4"/>
      <c r="O1470" s="4"/>
    </row>
    <row r="1471" spans="1:15" x14ac:dyDescent="0.2">
      <c r="A1471" s="14"/>
      <c r="B1471" s="15"/>
      <c r="D1471" s="16"/>
      <c r="E1471" s="17"/>
      <c r="F1471" s="14"/>
      <c r="G1471" s="7"/>
      <c r="H1471" s="7"/>
      <c r="I1471" s="20"/>
      <c r="J1471" s="5"/>
      <c r="K1471" s="7"/>
      <c r="L1471" s="7"/>
      <c r="M1471" s="5"/>
      <c r="N1471" s="4"/>
      <c r="O1471" s="4"/>
    </row>
    <row r="1472" spans="1:15" x14ac:dyDescent="0.2">
      <c r="A1472" s="14"/>
      <c r="B1472" s="15"/>
      <c r="D1472" s="16"/>
      <c r="E1472" s="17"/>
      <c r="F1472" s="14"/>
      <c r="G1472" s="7"/>
      <c r="H1472" s="7"/>
      <c r="I1472" s="20"/>
      <c r="J1472" s="5"/>
      <c r="K1472" s="7"/>
      <c r="L1472" s="7"/>
      <c r="M1472" s="5"/>
      <c r="N1472" s="4"/>
      <c r="O1472" s="4"/>
    </row>
    <row r="1473" spans="1:15" x14ac:dyDescent="0.2">
      <c r="A1473" s="14"/>
      <c r="B1473" s="15"/>
      <c r="D1473" s="16"/>
      <c r="E1473" s="17"/>
      <c r="F1473" s="14"/>
      <c r="G1473" s="7"/>
      <c r="H1473" s="7"/>
      <c r="I1473" s="20"/>
      <c r="J1473" s="5"/>
      <c r="K1473" s="7"/>
      <c r="L1473" s="7"/>
      <c r="M1473" s="5"/>
      <c r="N1473" s="4"/>
      <c r="O1473" s="4"/>
    </row>
    <row r="1474" spans="1:15" x14ac:dyDescent="0.2">
      <c r="A1474" s="14"/>
      <c r="B1474" s="15"/>
      <c r="D1474" s="16"/>
      <c r="E1474" s="17"/>
      <c r="F1474" s="14"/>
      <c r="G1474" s="7"/>
      <c r="H1474" s="7"/>
      <c r="I1474" s="20"/>
      <c r="J1474" s="5"/>
      <c r="K1474" s="7"/>
      <c r="L1474" s="7"/>
      <c r="M1474" s="5"/>
      <c r="N1474" s="4"/>
      <c r="O1474" s="4"/>
    </row>
    <row r="1475" spans="1:15" x14ac:dyDescent="0.2">
      <c r="A1475" s="14"/>
      <c r="B1475" s="15"/>
      <c r="D1475" s="16"/>
      <c r="E1475" s="17"/>
      <c r="F1475" s="14"/>
      <c r="G1475" s="7"/>
      <c r="H1475" s="7"/>
      <c r="I1475" s="20"/>
      <c r="J1475" s="5"/>
      <c r="K1475" s="7"/>
      <c r="L1475" s="7"/>
      <c r="M1475" s="5"/>
      <c r="N1475" s="4"/>
      <c r="O1475" s="4"/>
    </row>
    <row r="1476" spans="1:15" x14ac:dyDescent="0.2">
      <c r="A1476" s="14"/>
      <c r="B1476" s="15"/>
      <c r="D1476" s="16"/>
      <c r="E1476" s="17"/>
      <c r="F1476" s="14"/>
      <c r="G1476" s="7"/>
      <c r="H1476" s="7"/>
      <c r="I1476" s="20"/>
      <c r="J1476" s="5"/>
      <c r="K1476" s="7"/>
      <c r="L1476" s="7"/>
      <c r="M1476" s="5"/>
      <c r="N1476" s="4"/>
      <c r="O1476" s="4"/>
    </row>
    <row r="1477" spans="1:15" x14ac:dyDescent="0.2">
      <c r="A1477" s="14"/>
      <c r="B1477" s="15"/>
      <c r="D1477" s="16"/>
      <c r="E1477" s="17"/>
      <c r="F1477" s="14"/>
      <c r="G1477" s="7"/>
      <c r="H1477" s="7"/>
      <c r="I1477" s="20"/>
      <c r="J1477" s="5"/>
      <c r="K1477" s="7"/>
      <c r="L1477" s="7"/>
      <c r="M1477" s="5"/>
      <c r="N1477" s="4"/>
      <c r="O1477" s="4"/>
    </row>
    <row r="1478" spans="1:15" x14ac:dyDescent="0.2">
      <c r="A1478" s="14"/>
      <c r="B1478" s="15"/>
      <c r="D1478" s="16"/>
      <c r="E1478" s="17"/>
      <c r="F1478" s="14"/>
      <c r="G1478" s="7"/>
      <c r="H1478" s="7"/>
      <c r="I1478" s="20"/>
      <c r="J1478" s="5"/>
      <c r="K1478" s="7"/>
      <c r="L1478" s="7"/>
      <c r="M1478" s="5"/>
      <c r="N1478" s="4"/>
      <c r="O1478" s="4"/>
    </row>
    <row r="1479" spans="1:15" x14ac:dyDescent="0.2">
      <c r="A1479" s="14"/>
      <c r="B1479" s="15"/>
      <c r="D1479" s="16"/>
      <c r="E1479" s="17"/>
      <c r="F1479" s="14"/>
      <c r="G1479" s="7"/>
      <c r="H1479" s="7"/>
      <c r="I1479" s="20"/>
      <c r="J1479" s="5"/>
      <c r="K1479" s="7"/>
      <c r="L1479" s="7"/>
      <c r="M1479" s="5"/>
      <c r="N1479" s="4"/>
      <c r="O1479" s="4"/>
    </row>
    <row r="1480" spans="1:15" x14ac:dyDescent="0.2">
      <c r="A1480" s="14"/>
      <c r="B1480" s="15"/>
      <c r="D1480" s="16"/>
      <c r="E1480" s="17"/>
      <c r="F1480" s="14"/>
      <c r="G1480" s="7"/>
      <c r="H1480" s="7"/>
      <c r="I1480" s="20"/>
      <c r="J1480" s="5"/>
      <c r="K1480" s="7"/>
      <c r="L1480" s="7"/>
      <c r="M1480" s="5"/>
      <c r="N1480" s="4"/>
      <c r="O1480" s="4"/>
    </row>
    <row r="1481" spans="1:15" x14ac:dyDescent="0.2">
      <c r="A1481" s="14"/>
      <c r="B1481" s="15"/>
      <c r="D1481" s="16"/>
      <c r="E1481" s="17"/>
      <c r="F1481" s="14"/>
      <c r="G1481" s="7"/>
      <c r="H1481" s="7"/>
      <c r="I1481" s="20"/>
      <c r="J1481" s="5"/>
      <c r="K1481" s="7"/>
      <c r="L1481" s="7"/>
      <c r="M1481" s="5"/>
      <c r="N1481" s="4"/>
      <c r="O1481" s="4"/>
    </row>
    <row r="1482" spans="1:15" x14ac:dyDescent="0.2">
      <c r="A1482" s="14"/>
      <c r="B1482" s="15"/>
      <c r="D1482" s="16"/>
      <c r="E1482" s="17"/>
      <c r="F1482" s="14"/>
      <c r="G1482" s="7"/>
      <c r="H1482" s="7"/>
      <c r="I1482" s="20"/>
      <c r="J1482" s="5"/>
      <c r="K1482" s="7"/>
      <c r="L1482" s="7"/>
      <c r="M1482" s="5"/>
      <c r="N1482" s="4"/>
      <c r="O1482" s="4"/>
    </row>
    <row r="1483" spans="1:15" x14ac:dyDescent="0.2">
      <c r="A1483" s="14"/>
      <c r="B1483" s="15"/>
      <c r="D1483" s="16"/>
      <c r="E1483" s="17"/>
      <c r="F1483" s="14"/>
      <c r="G1483" s="7"/>
      <c r="H1483" s="7"/>
      <c r="I1483" s="20"/>
      <c r="J1483" s="5"/>
      <c r="K1483" s="7"/>
      <c r="L1483" s="7"/>
      <c r="M1483" s="5"/>
      <c r="N1483" s="4"/>
      <c r="O1483" s="4"/>
    </row>
    <row r="1484" spans="1:15" x14ac:dyDescent="0.2">
      <c r="A1484" s="14"/>
      <c r="B1484" s="15"/>
      <c r="D1484" s="16"/>
      <c r="E1484" s="17"/>
      <c r="F1484" s="14"/>
      <c r="G1484" s="7"/>
      <c r="H1484" s="7"/>
      <c r="I1484" s="20"/>
      <c r="J1484" s="5"/>
      <c r="K1484" s="7"/>
      <c r="L1484" s="7"/>
      <c r="M1484" s="5"/>
      <c r="N1484" s="4"/>
      <c r="O1484" s="4"/>
    </row>
    <row r="1485" spans="1:15" x14ac:dyDescent="0.2">
      <c r="A1485" s="14"/>
      <c r="B1485" s="15"/>
      <c r="D1485" s="16"/>
      <c r="E1485" s="17"/>
      <c r="F1485" s="14"/>
      <c r="G1485" s="7"/>
      <c r="H1485" s="7"/>
      <c r="I1485" s="20"/>
      <c r="J1485" s="5"/>
      <c r="K1485" s="7"/>
      <c r="L1485" s="7"/>
      <c r="M1485" s="5"/>
      <c r="N1485" s="4"/>
      <c r="O1485" s="4"/>
    </row>
    <row r="1486" spans="1:15" x14ac:dyDescent="0.2">
      <c r="A1486" s="14"/>
      <c r="B1486" s="15"/>
      <c r="D1486" s="16"/>
      <c r="E1486" s="17"/>
      <c r="F1486" s="14"/>
      <c r="G1486" s="7"/>
      <c r="H1486" s="7"/>
      <c r="I1486" s="20"/>
      <c r="J1486" s="5"/>
      <c r="K1486" s="7"/>
      <c r="L1486" s="7"/>
      <c r="M1486" s="5"/>
      <c r="N1486" s="4"/>
      <c r="O1486" s="4"/>
    </row>
    <row r="1487" spans="1:15" x14ac:dyDescent="0.2">
      <c r="A1487" s="14"/>
      <c r="B1487" s="15"/>
      <c r="D1487" s="16"/>
      <c r="E1487" s="17"/>
      <c r="F1487" s="14"/>
      <c r="G1487" s="7"/>
      <c r="H1487" s="7"/>
      <c r="I1487" s="20"/>
      <c r="J1487" s="5"/>
      <c r="K1487" s="7"/>
      <c r="L1487" s="7"/>
      <c r="M1487" s="5"/>
      <c r="N1487" s="4"/>
      <c r="O1487" s="4"/>
    </row>
    <row r="1488" spans="1:15" x14ac:dyDescent="0.2">
      <c r="A1488" s="14"/>
      <c r="B1488" s="15"/>
      <c r="D1488" s="16"/>
      <c r="E1488" s="17"/>
      <c r="F1488" s="14"/>
      <c r="G1488" s="7"/>
      <c r="H1488" s="7"/>
      <c r="I1488" s="20"/>
      <c r="J1488" s="5"/>
      <c r="K1488" s="7"/>
      <c r="L1488" s="7"/>
      <c r="M1488" s="5"/>
      <c r="N1488" s="4"/>
      <c r="O1488" s="4"/>
    </row>
    <row r="1489" spans="1:15" x14ac:dyDescent="0.2">
      <c r="A1489" s="14"/>
      <c r="B1489" s="15"/>
      <c r="D1489" s="16"/>
      <c r="E1489" s="17"/>
      <c r="F1489" s="14"/>
      <c r="G1489" s="7"/>
      <c r="H1489" s="7"/>
      <c r="I1489" s="20"/>
      <c r="J1489" s="5"/>
      <c r="K1489" s="7"/>
      <c r="L1489" s="7"/>
      <c r="M1489" s="5"/>
      <c r="N1489" s="4"/>
      <c r="O1489" s="4"/>
    </row>
    <row r="1490" spans="1:15" x14ac:dyDescent="0.2">
      <c r="A1490" s="14"/>
      <c r="B1490" s="15"/>
      <c r="D1490" s="16"/>
      <c r="E1490" s="17"/>
      <c r="F1490" s="14"/>
      <c r="G1490" s="7"/>
      <c r="H1490" s="7"/>
      <c r="I1490" s="20"/>
      <c r="J1490" s="5"/>
      <c r="K1490" s="7"/>
      <c r="L1490" s="7"/>
      <c r="M1490" s="5"/>
      <c r="N1490" s="4"/>
      <c r="O1490" s="4"/>
    </row>
    <row r="1491" spans="1:15" x14ac:dyDescent="0.2">
      <c r="A1491" s="14"/>
      <c r="B1491" s="15"/>
      <c r="D1491" s="16"/>
      <c r="E1491" s="17"/>
      <c r="F1491" s="14"/>
      <c r="G1491" s="7"/>
      <c r="H1491" s="7"/>
      <c r="I1491" s="20"/>
      <c r="J1491" s="5"/>
      <c r="K1491" s="7"/>
      <c r="L1491" s="7"/>
      <c r="M1491" s="5"/>
      <c r="N1491" s="4"/>
      <c r="O1491" s="4"/>
    </row>
    <row r="1492" spans="1:15" x14ac:dyDescent="0.2">
      <c r="A1492" s="14"/>
      <c r="B1492" s="15"/>
      <c r="D1492" s="16"/>
      <c r="E1492" s="17"/>
      <c r="F1492" s="14"/>
      <c r="G1492" s="7"/>
      <c r="H1492" s="7"/>
      <c r="I1492" s="20"/>
      <c r="J1492" s="5"/>
      <c r="K1492" s="7"/>
      <c r="L1492" s="7"/>
      <c r="M1492" s="5"/>
      <c r="N1492" s="4"/>
      <c r="O1492" s="4"/>
    </row>
    <row r="1493" spans="1:15" x14ac:dyDescent="0.2">
      <c r="A1493" s="14"/>
      <c r="B1493" s="15"/>
      <c r="D1493" s="16"/>
      <c r="E1493" s="17"/>
      <c r="F1493" s="14"/>
      <c r="G1493" s="7"/>
      <c r="H1493" s="7"/>
      <c r="I1493" s="20"/>
      <c r="J1493" s="5"/>
      <c r="K1493" s="7"/>
      <c r="L1493" s="7"/>
      <c r="M1493" s="5"/>
      <c r="N1493" s="4"/>
      <c r="O1493" s="4"/>
    </row>
    <row r="1494" spans="1:15" x14ac:dyDescent="0.2">
      <c r="A1494" s="14"/>
      <c r="B1494" s="15"/>
      <c r="D1494" s="16"/>
      <c r="E1494" s="17"/>
      <c r="F1494" s="14"/>
      <c r="G1494" s="7"/>
      <c r="H1494" s="7"/>
      <c r="I1494" s="20"/>
      <c r="J1494" s="5"/>
      <c r="K1494" s="7"/>
      <c r="L1494" s="7"/>
      <c r="M1494" s="5"/>
      <c r="N1494" s="4"/>
      <c r="O1494" s="4"/>
    </row>
    <row r="1495" spans="1:15" x14ac:dyDescent="0.2">
      <c r="A1495" s="14"/>
      <c r="B1495" s="15"/>
      <c r="D1495" s="16"/>
      <c r="E1495" s="17"/>
      <c r="F1495" s="14"/>
      <c r="G1495" s="7"/>
      <c r="H1495" s="7"/>
      <c r="I1495" s="20"/>
      <c r="J1495" s="5"/>
      <c r="K1495" s="7"/>
      <c r="L1495" s="7"/>
      <c r="M1495" s="5"/>
      <c r="N1495" s="4"/>
      <c r="O1495" s="4"/>
    </row>
    <row r="1496" spans="1:15" x14ac:dyDescent="0.2">
      <c r="A1496" s="14"/>
      <c r="B1496" s="15"/>
      <c r="D1496" s="16"/>
      <c r="E1496" s="17"/>
      <c r="F1496" s="14"/>
      <c r="G1496" s="7"/>
      <c r="H1496" s="7"/>
      <c r="I1496" s="20"/>
      <c r="J1496" s="5"/>
      <c r="K1496" s="7"/>
      <c r="L1496" s="7"/>
      <c r="M1496" s="5"/>
      <c r="N1496" s="4"/>
      <c r="O1496" s="4"/>
    </row>
    <row r="1497" spans="1:15" x14ac:dyDescent="0.2">
      <c r="A1497" s="14"/>
      <c r="B1497" s="15"/>
      <c r="D1497" s="16"/>
      <c r="E1497" s="17"/>
      <c r="F1497" s="14"/>
      <c r="G1497" s="7"/>
      <c r="H1497" s="7"/>
      <c r="I1497" s="20"/>
      <c r="J1497" s="5"/>
      <c r="K1497" s="7"/>
      <c r="L1497" s="7"/>
      <c r="M1497" s="5"/>
      <c r="N1497" s="4"/>
      <c r="O1497" s="4"/>
    </row>
    <row r="1498" spans="1:15" x14ac:dyDescent="0.2">
      <c r="A1498" s="14"/>
      <c r="B1498" s="15"/>
      <c r="D1498" s="16"/>
      <c r="E1498" s="17"/>
      <c r="F1498" s="14"/>
      <c r="G1498" s="7"/>
      <c r="H1498" s="7"/>
      <c r="I1498" s="20"/>
      <c r="J1498" s="5"/>
      <c r="K1498" s="7"/>
      <c r="L1498" s="7"/>
      <c r="M1498" s="5"/>
      <c r="N1498" s="4"/>
      <c r="O1498" s="4"/>
    </row>
    <row r="1499" spans="1:15" x14ac:dyDescent="0.2">
      <c r="A1499" s="14"/>
      <c r="B1499" s="15"/>
      <c r="D1499" s="16"/>
      <c r="E1499" s="17"/>
      <c r="F1499" s="14"/>
      <c r="G1499" s="7"/>
      <c r="H1499" s="7"/>
      <c r="I1499" s="20"/>
      <c r="J1499" s="5"/>
      <c r="K1499" s="7"/>
      <c r="L1499" s="7"/>
      <c r="M1499" s="5"/>
      <c r="N1499" s="4"/>
      <c r="O1499" s="4"/>
    </row>
    <row r="1500" spans="1:15" x14ac:dyDescent="0.2">
      <c r="A1500" s="14"/>
      <c r="B1500" s="15"/>
      <c r="D1500" s="16"/>
      <c r="E1500" s="17"/>
      <c r="F1500" s="14"/>
      <c r="G1500" s="7"/>
      <c r="H1500" s="7"/>
      <c r="I1500" s="20"/>
      <c r="J1500" s="5"/>
      <c r="K1500" s="7"/>
      <c r="L1500" s="7"/>
      <c r="M1500" s="5"/>
      <c r="N1500" s="4"/>
      <c r="O1500" s="4"/>
    </row>
    <row r="1501" spans="1:15" x14ac:dyDescent="0.2">
      <c r="A1501" s="14"/>
      <c r="B1501" s="15"/>
      <c r="D1501" s="16"/>
      <c r="E1501" s="17"/>
      <c r="F1501" s="14"/>
      <c r="G1501" s="7"/>
      <c r="H1501" s="7"/>
      <c r="I1501" s="20"/>
      <c r="J1501" s="5"/>
      <c r="K1501" s="7"/>
      <c r="L1501" s="7"/>
      <c r="M1501" s="5"/>
      <c r="N1501" s="4"/>
      <c r="O1501" s="4"/>
    </row>
    <row r="1502" spans="1:15" x14ac:dyDescent="0.2">
      <c r="A1502" s="14"/>
      <c r="B1502" s="15"/>
      <c r="D1502" s="16"/>
      <c r="E1502" s="17"/>
      <c r="F1502" s="14"/>
      <c r="G1502" s="7"/>
      <c r="H1502" s="7"/>
      <c r="I1502" s="20"/>
      <c r="J1502" s="5"/>
      <c r="K1502" s="7"/>
      <c r="L1502" s="7"/>
      <c r="M1502" s="5"/>
      <c r="N1502" s="4"/>
      <c r="O1502" s="4"/>
    </row>
    <row r="1503" spans="1:15" x14ac:dyDescent="0.2">
      <c r="A1503" s="14"/>
      <c r="B1503" s="15"/>
      <c r="D1503" s="16"/>
      <c r="E1503" s="17"/>
      <c r="F1503" s="14"/>
      <c r="G1503" s="7"/>
      <c r="H1503" s="7"/>
      <c r="I1503" s="20"/>
      <c r="J1503" s="5"/>
      <c r="K1503" s="7"/>
      <c r="L1503" s="7"/>
      <c r="M1503" s="5"/>
      <c r="N1503" s="4"/>
      <c r="O1503" s="4"/>
    </row>
    <row r="1504" spans="1:15" x14ac:dyDescent="0.2">
      <c r="A1504" s="14"/>
      <c r="B1504" s="15"/>
      <c r="D1504" s="16"/>
      <c r="E1504" s="17"/>
      <c r="F1504" s="14"/>
      <c r="G1504" s="7"/>
      <c r="H1504" s="7"/>
      <c r="I1504" s="20"/>
      <c r="J1504" s="5"/>
      <c r="K1504" s="7"/>
      <c r="L1504" s="7"/>
      <c r="M1504" s="5"/>
      <c r="N1504" s="4"/>
      <c r="O1504" s="4"/>
    </row>
    <row r="1505" spans="1:15" x14ac:dyDescent="0.2">
      <c r="A1505" s="14"/>
      <c r="B1505" s="15"/>
      <c r="D1505" s="16"/>
      <c r="E1505" s="17"/>
      <c r="F1505" s="14"/>
      <c r="G1505" s="7"/>
      <c r="H1505" s="7"/>
      <c r="I1505" s="20"/>
      <c r="J1505" s="5"/>
      <c r="K1505" s="7"/>
      <c r="L1505" s="7"/>
      <c r="M1505" s="5"/>
      <c r="N1505" s="4"/>
      <c r="O1505" s="4"/>
    </row>
    <row r="1506" spans="1:15" x14ac:dyDescent="0.2">
      <c r="A1506" s="14"/>
      <c r="B1506" s="15"/>
      <c r="D1506" s="16"/>
      <c r="E1506" s="17"/>
      <c r="F1506" s="14"/>
      <c r="G1506" s="7"/>
      <c r="H1506" s="7"/>
      <c r="I1506" s="20"/>
      <c r="J1506" s="5"/>
      <c r="K1506" s="7"/>
      <c r="L1506" s="7"/>
      <c r="M1506" s="5"/>
      <c r="N1506" s="4"/>
      <c r="O1506" s="4"/>
    </row>
    <row r="1507" spans="1:15" x14ac:dyDescent="0.2">
      <c r="A1507" s="14"/>
      <c r="B1507" s="15"/>
      <c r="D1507" s="16"/>
      <c r="E1507" s="17"/>
      <c r="F1507" s="14"/>
      <c r="G1507" s="7"/>
      <c r="H1507" s="7"/>
      <c r="I1507" s="20"/>
      <c r="J1507" s="5"/>
      <c r="K1507" s="7"/>
      <c r="L1507" s="7"/>
      <c r="M1507" s="5"/>
      <c r="N1507" s="4"/>
      <c r="O1507" s="4"/>
    </row>
    <row r="1508" spans="1:15" x14ac:dyDescent="0.2">
      <c r="A1508" s="14"/>
      <c r="B1508" s="15"/>
      <c r="D1508" s="16"/>
      <c r="E1508" s="17"/>
      <c r="F1508" s="14"/>
      <c r="G1508" s="7"/>
      <c r="H1508" s="7"/>
      <c r="I1508" s="20"/>
      <c r="J1508" s="5"/>
      <c r="K1508" s="7"/>
      <c r="L1508" s="7"/>
      <c r="M1508" s="5"/>
      <c r="N1508" s="4"/>
      <c r="O1508" s="4"/>
    </row>
    <row r="1509" spans="1:15" x14ac:dyDescent="0.2">
      <c r="A1509" s="14"/>
      <c r="B1509" s="15"/>
      <c r="D1509" s="16"/>
      <c r="E1509" s="17"/>
      <c r="F1509" s="14"/>
      <c r="G1509" s="7"/>
      <c r="H1509" s="7"/>
      <c r="I1509" s="20"/>
      <c r="J1509" s="5"/>
      <c r="K1509" s="7"/>
      <c r="L1509" s="7"/>
      <c r="M1509" s="5"/>
      <c r="N1509" s="4"/>
      <c r="O1509" s="4"/>
    </row>
    <row r="1510" spans="1:15" x14ac:dyDescent="0.2">
      <c r="A1510" s="14"/>
      <c r="B1510" s="15"/>
      <c r="D1510" s="16"/>
      <c r="E1510" s="17"/>
      <c r="F1510" s="14"/>
      <c r="G1510" s="7"/>
      <c r="H1510" s="7"/>
      <c r="I1510" s="20"/>
      <c r="J1510" s="5"/>
      <c r="K1510" s="7"/>
      <c r="L1510" s="7"/>
      <c r="M1510" s="5"/>
      <c r="N1510" s="4"/>
      <c r="O1510" s="4"/>
    </row>
    <row r="1511" spans="1:15" x14ac:dyDescent="0.2">
      <c r="A1511" s="14"/>
      <c r="B1511" s="15"/>
      <c r="D1511" s="16"/>
      <c r="E1511" s="17"/>
      <c r="F1511" s="14"/>
      <c r="G1511" s="7"/>
      <c r="H1511" s="7"/>
      <c r="I1511" s="20"/>
      <c r="J1511" s="5"/>
      <c r="K1511" s="7"/>
      <c r="L1511" s="7"/>
      <c r="M1511" s="5"/>
      <c r="N1511" s="4"/>
      <c r="O1511" s="4"/>
    </row>
    <row r="1512" spans="1:15" x14ac:dyDescent="0.2">
      <c r="A1512" s="14"/>
      <c r="B1512" s="15"/>
      <c r="D1512" s="16"/>
      <c r="E1512" s="17"/>
      <c r="F1512" s="14"/>
      <c r="G1512" s="7"/>
      <c r="H1512" s="7"/>
      <c r="I1512" s="20"/>
      <c r="J1512" s="5"/>
      <c r="K1512" s="7"/>
      <c r="L1512" s="7"/>
      <c r="M1512" s="5"/>
      <c r="N1512" s="4"/>
      <c r="O1512" s="4"/>
    </row>
    <row r="1513" spans="1:15" x14ac:dyDescent="0.2">
      <c r="A1513" s="14"/>
      <c r="B1513" s="15"/>
      <c r="D1513" s="16"/>
      <c r="E1513" s="17"/>
      <c r="F1513" s="14"/>
      <c r="G1513" s="7"/>
      <c r="H1513" s="7"/>
      <c r="I1513" s="20"/>
      <c r="J1513" s="5"/>
      <c r="K1513" s="7"/>
      <c r="L1513" s="7"/>
      <c r="M1513" s="5"/>
      <c r="N1513" s="4"/>
      <c r="O1513" s="4"/>
    </row>
    <row r="1514" spans="1:15" x14ac:dyDescent="0.2">
      <c r="A1514" s="14"/>
      <c r="B1514" s="15"/>
      <c r="D1514" s="16"/>
      <c r="E1514" s="17"/>
      <c r="F1514" s="14"/>
      <c r="G1514" s="7"/>
      <c r="H1514" s="7"/>
      <c r="I1514" s="20"/>
      <c r="J1514" s="5"/>
      <c r="K1514" s="7"/>
      <c r="L1514" s="7"/>
      <c r="M1514" s="5"/>
      <c r="N1514" s="4"/>
      <c r="O1514" s="4"/>
    </row>
    <row r="1515" spans="1:15" x14ac:dyDescent="0.2">
      <c r="A1515" s="14"/>
      <c r="B1515" s="15"/>
      <c r="D1515" s="16"/>
      <c r="E1515" s="17"/>
      <c r="F1515" s="14"/>
      <c r="G1515" s="7"/>
      <c r="H1515" s="7"/>
      <c r="I1515" s="20"/>
      <c r="J1515" s="5"/>
      <c r="K1515" s="7"/>
      <c r="L1515" s="7"/>
      <c r="M1515" s="5"/>
      <c r="N1515" s="4"/>
      <c r="O1515" s="4"/>
    </row>
    <row r="1516" spans="1:15" x14ac:dyDescent="0.2">
      <c r="A1516" s="14"/>
      <c r="B1516" s="15"/>
      <c r="D1516" s="16"/>
      <c r="E1516" s="17"/>
      <c r="F1516" s="14"/>
      <c r="G1516" s="7"/>
      <c r="H1516" s="7"/>
      <c r="I1516" s="20"/>
      <c r="J1516" s="5"/>
      <c r="K1516" s="7"/>
      <c r="L1516" s="7"/>
      <c r="M1516" s="5"/>
      <c r="N1516" s="4"/>
      <c r="O1516" s="4"/>
    </row>
    <row r="1517" spans="1:15" x14ac:dyDescent="0.2">
      <c r="A1517" s="14"/>
      <c r="B1517" s="15"/>
      <c r="D1517" s="16"/>
      <c r="E1517" s="17"/>
      <c r="F1517" s="14"/>
      <c r="G1517" s="7"/>
      <c r="H1517" s="7"/>
      <c r="I1517" s="20"/>
      <c r="J1517" s="5"/>
      <c r="K1517" s="7"/>
      <c r="L1517" s="7"/>
      <c r="M1517" s="5"/>
      <c r="N1517" s="4"/>
      <c r="O1517" s="4"/>
    </row>
    <row r="1518" spans="1:15" x14ac:dyDescent="0.2">
      <c r="A1518" s="14"/>
      <c r="B1518" s="15"/>
      <c r="D1518" s="16"/>
      <c r="E1518" s="17"/>
      <c r="F1518" s="14"/>
      <c r="G1518" s="7"/>
      <c r="H1518" s="7"/>
      <c r="I1518" s="20"/>
      <c r="J1518" s="5"/>
      <c r="K1518" s="7"/>
      <c r="L1518" s="7"/>
      <c r="M1518" s="5"/>
      <c r="N1518" s="4"/>
      <c r="O1518" s="4"/>
    </row>
    <row r="1519" spans="1:15" x14ac:dyDescent="0.2">
      <c r="A1519" s="14"/>
      <c r="B1519" s="15"/>
      <c r="D1519" s="16"/>
      <c r="E1519" s="17"/>
      <c r="F1519" s="14"/>
      <c r="G1519" s="7"/>
      <c r="H1519" s="7"/>
      <c r="I1519" s="20"/>
      <c r="J1519" s="5"/>
      <c r="K1519" s="7"/>
      <c r="L1519" s="7"/>
      <c r="M1519" s="5"/>
      <c r="N1519" s="4"/>
      <c r="O1519" s="4"/>
    </row>
    <row r="1520" spans="1:15" x14ac:dyDescent="0.2">
      <c r="A1520" s="14"/>
      <c r="B1520" s="15"/>
      <c r="D1520" s="16"/>
      <c r="E1520" s="17"/>
      <c r="F1520" s="14"/>
      <c r="G1520" s="7"/>
      <c r="H1520" s="7"/>
      <c r="I1520" s="20"/>
      <c r="J1520" s="5"/>
      <c r="K1520" s="7"/>
      <c r="L1520" s="7"/>
      <c r="M1520" s="5"/>
      <c r="N1520" s="4"/>
      <c r="O1520" s="4"/>
    </row>
    <row r="1521" spans="1:15" x14ac:dyDescent="0.2">
      <c r="A1521" s="14"/>
      <c r="B1521" s="15"/>
      <c r="D1521" s="16"/>
      <c r="E1521" s="17"/>
      <c r="F1521" s="14"/>
      <c r="G1521" s="7"/>
      <c r="H1521" s="7"/>
      <c r="I1521" s="20"/>
      <c r="J1521" s="5"/>
      <c r="K1521" s="7"/>
      <c r="L1521" s="7"/>
      <c r="M1521" s="5"/>
      <c r="N1521" s="4"/>
      <c r="O1521" s="4"/>
    </row>
    <row r="1522" spans="1:15" x14ac:dyDescent="0.2">
      <c r="A1522" s="14"/>
      <c r="B1522" s="15"/>
      <c r="D1522" s="16"/>
      <c r="E1522" s="17"/>
      <c r="F1522" s="14"/>
      <c r="G1522" s="7"/>
      <c r="H1522" s="7"/>
      <c r="I1522" s="20"/>
      <c r="J1522" s="5"/>
      <c r="K1522" s="7"/>
      <c r="L1522" s="7"/>
      <c r="M1522" s="5"/>
      <c r="N1522" s="4"/>
      <c r="O1522" s="4"/>
    </row>
    <row r="1523" spans="1:15" x14ac:dyDescent="0.2">
      <c r="A1523" s="14"/>
      <c r="B1523" s="15"/>
      <c r="D1523" s="16"/>
      <c r="E1523" s="17"/>
      <c r="F1523" s="14"/>
      <c r="G1523" s="7"/>
      <c r="H1523" s="7"/>
      <c r="I1523" s="20"/>
      <c r="J1523" s="5"/>
      <c r="K1523" s="7"/>
      <c r="L1523" s="7"/>
      <c r="M1523" s="5"/>
      <c r="N1523" s="4"/>
      <c r="O1523" s="4"/>
    </row>
    <row r="1524" spans="1:15" x14ac:dyDescent="0.2">
      <c r="A1524" s="14"/>
      <c r="B1524" s="15"/>
      <c r="D1524" s="16"/>
      <c r="E1524" s="17"/>
      <c r="F1524" s="14"/>
      <c r="G1524" s="7"/>
      <c r="H1524" s="7"/>
      <c r="I1524" s="20"/>
      <c r="J1524" s="5"/>
      <c r="K1524" s="7"/>
      <c r="L1524" s="7"/>
      <c r="M1524" s="5"/>
      <c r="N1524" s="4"/>
      <c r="O1524" s="4"/>
    </row>
    <row r="1525" spans="1:15" x14ac:dyDescent="0.2">
      <c r="A1525" s="14"/>
      <c r="B1525" s="15"/>
      <c r="D1525" s="16"/>
      <c r="E1525" s="17"/>
      <c r="F1525" s="14"/>
      <c r="G1525" s="7"/>
      <c r="H1525" s="7"/>
      <c r="I1525" s="20"/>
      <c r="J1525" s="5"/>
      <c r="K1525" s="7"/>
      <c r="L1525" s="7"/>
      <c r="M1525" s="5"/>
      <c r="N1525" s="4"/>
      <c r="O1525" s="4"/>
    </row>
    <row r="1526" spans="1:15" x14ac:dyDescent="0.2">
      <c r="A1526" s="14"/>
      <c r="B1526" s="15"/>
      <c r="D1526" s="16"/>
      <c r="E1526" s="17"/>
      <c r="F1526" s="14"/>
      <c r="G1526" s="7"/>
      <c r="H1526" s="7"/>
      <c r="I1526" s="20"/>
      <c r="J1526" s="5"/>
      <c r="K1526" s="7"/>
      <c r="L1526" s="7"/>
      <c r="M1526" s="5"/>
      <c r="N1526" s="4"/>
      <c r="O1526" s="4"/>
    </row>
    <row r="1527" spans="1:15" x14ac:dyDescent="0.2">
      <c r="A1527" s="14"/>
      <c r="B1527" s="15"/>
      <c r="D1527" s="16"/>
      <c r="E1527" s="17"/>
      <c r="F1527" s="14"/>
      <c r="G1527" s="7"/>
      <c r="H1527" s="7"/>
      <c r="I1527" s="20"/>
      <c r="J1527" s="5"/>
      <c r="K1527" s="7"/>
      <c r="L1527" s="7"/>
      <c r="M1527" s="5"/>
      <c r="N1527" s="4"/>
      <c r="O1527" s="4"/>
    </row>
    <row r="1528" spans="1:15" x14ac:dyDescent="0.2">
      <c r="A1528" s="14"/>
      <c r="B1528" s="15"/>
      <c r="D1528" s="16"/>
      <c r="E1528" s="17"/>
      <c r="F1528" s="14"/>
      <c r="G1528" s="7"/>
      <c r="H1528" s="7"/>
      <c r="I1528" s="20"/>
      <c r="J1528" s="5"/>
      <c r="K1528" s="7"/>
      <c r="L1528" s="7"/>
      <c r="M1528" s="5"/>
      <c r="N1528" s="4"/>
      <c r="O1528" s="4"/>
    </row>
    <row r="1529" spans="1:15" x14ac:dyDescent="0.2">
      <c r="A1529" s="14"/>
      <c r="B1529" s="15"/>
      <c r="D1529" s="16"/>
      <c r="E1529" s="17"/>
      <c r="F1529" s="14"/>
      <c r="G1529" s="7"/>
      <c r="H1529" s="7"/>
      <c r="I1529" s="20"/>
      <c r="J1529" s="5"/>
      <c r="K1529" s="7"/>
      <c r="L1529" s="7"/>
      <c r="M1529" s="5"/>
      <c r="N1529" s="4"/>
      <c r="O1529" s="4"/>
    </row>
    <row r="1530" spans="1:15" x14ac:dyDescent="0.2">
      <c r="A1530" s="14"/>
      <c r="B1530" s="15"/>
      <c r="D1530" s="16"/>
      <c r="E1530" s="17"/>
      <c r="F1530" s="14"/>
      <c r="G1530" s="7"/>
      <c r="H1530" s="7"/>
      <c r="I1530" s="20"/>
      <c r="J1530" s="5"/>
      <c r="K1530" s="7"/>
      <c r="L1530" s="7"/>
      <c r="M1530" s="5"/>
      <c r="N1530" s="4"/>
      <c r="O1530" s="4"/>
    </row>
    <row r="1531" spans="1:15" x14ac:dyDescent="0.2">
      <c r="A1531" s="14"/>
      <c r="B1531" s="15"/>
      <c r="D1531" s="16"/>
      <c r="E1531" s="17"/>
      <c r="F1531" s="14"/>
      <c r="G1531" s="7"/>
      <c r="H1531" s="7"/>
      <c r="I1531" s="20"/>
      <c r="J1531" s="5"/>
      <c r="K1531" s="7"/>
      <c r="L1531" s="7"/>
      <c r="M1531" s="5"/>
      <c r="N1531" s="4"/>
      <c r="O1531" s="4"/>
    </row>
    <row r="1532" spans="1:15" x14ac:dyDescent="0.2">
      <c r="A1532" s="14"/>
      <c r="B1532" s="15"/>
      <c r="D1532" s="16"/>
      <c r="E1532" s="17"/>
      <c r="F1532" s="14"/>
      <c r="G1532" s="7"/>
      <c r="H1532" s="7"/>
      <c r="I1532" s="20"/>
      <c r="J1532" s="5"/>
      <c r="K1532" s="7"/>
      <c r="L1532" s="7"/>
      <c r="M1532" s="5"/>
      <c r="N1532" s="4"/>
      <c r="O1532" s="4"/>
    </row>
    <row r="1533" spans="1:15" x14ac:dyDescent="0.2">
      <c r="A1533" s="14"/>
      <c r="B1533" s="15"/>
      <c r="D1533" s="16"/>
      <c r="E1533" s="17"/>
      <c r="F1533" s="14"/>
      <c r="G1533" s="7"/>
      <c r="H1533" s="7"/>
      <c r="I1533" s="20"/>
      <c r="J1533" s="5"/>
      <c r="K1533" s="7"/>
      <c r="L1533" s="7"/>
      <c r="M1533" s="5"/>
      <c r="N1533" s="4"/>
      <c r="O1533" s="4"/>
    </row>
    <row r="1534" spans="1:15" x14ac:dyDescent="0.2">
      <c r="A1534" s="14"/>
      <c r="B1534" s="15"/>
      <c r="D1534" s="16"/>
      <c r="E1534" s="17"/>
      <c r="F1534" s="14"/>
      <c r="G1534" s="7"/>
      <c r="H1534" s="7"/>
      <c r="I1534" s="20"/>
      <c r="J1534" s="5"/>
      <c r="K1534" s="7"/>
      <c r="L1534" s="7"/>
      <c r="M1534" s="5"/>
      <c r="N1534" s="4"/>
      <c r="O1534" s="4"/>
    </row>
    <row r="1535" spans="1:15" x14ac:dyDescent="0.2">
      <c r="A1535" s="14"/>
      <c r="B1535" s="15"/>
      <c r="D1535" s="16"/>
      <c r="E1535" s="17"/>
      <c r="F1535" s="14"/>
      <c r="G1535" s="7"/>
      <c r="H1535" s="7"/>
      <c r="I1535" s="20"/>
      <c r="J1535" s="5"/>
      <c r="K1535" s="7"/>
      <c r="L1535" s="7"/>
      <c r="M1535" s="5"/>
      <c r="N1535" s="4"/>
      <c r="O1535" s="4"/>
    </row>
    <row r="1536" spans="1:15" x14ac:dyDescent="0.2">
      <c r="A1536" s="14"/>
      <c r="B1536" s="15"/>
      <c r="D1536" s="16"/>
      <c r="E1536" s="17"/>
      <c r="F1536" s="14"/>
      <c r="G1536" s="7"/>
      <c r="H1536" s="7"/>
      <c r="I1536" s="20"/>
      <c r="J1536" s="5"/>
      <c r="K1536" s="7"/>
      <c r="L1536" s="7"/>
      <c r="M1536" s="5"/>
      <c r="N1536" s="4"/>
      <c r="O1536" s="4"/>
    </row>
    <row r="1537" spans="1:15" x14ac:dyDescent="0.2">
      <c r="A1537" s="14"/>
      <c r="B1537" s="15"/>
      <c r="D1537" s="16"/>
      <c r="E1537" s="17"/>
      <c r="F1537" s="14"/>
      <c r="G1537" s="7"/>
      <c r="H1537" s="7"/>
      <c r="I1537" s="20"/>
      <c r="J1537" s="5"/>
      <c r="K1537" s="7"/>
      <c r="L1537" s="7"/>
      <c r="M1537" s="5"/>
      <c r="N1537" s="4"/>
      <c r="O1537" s="4"/>
    </row>
    <row r="1538" spans="1:15" x14ac:dyDescent="0.2">
      <c r="A1538" s="14"/>
      <c r="B1538" s="15"/>
      <c r="D1538" s="16"/>
      <c r="E1538" s="17"/>
      <c r="F1538" s="14"/>
      <c r="G1538" s="7"/>
      <c r="H1538" s="7"/>
      <c r="I1538" s="20"/>
      <c r="J1538" s="5"/>
      <c r="K1538" s="7"/>
      <c r="L1538" s="7"/>
      <c r="M1538" s="5"/>
      <c r="N1538" s="4"/>
      <c r="O1538" s="4"/>
    </row>
    <row r="1539" spans="1:15" x14ac:dyDescent="0.2">
      <c r="A1539" s="14"/>
      <c r="B1539" s="15"/>
      <c r="D1539" s="16"/>
      <c r="E1539" s="17"/>
      <c r="F1539" s="14"/>
      <c r="G1539" s="7"/>
      <c r="H1539" s="7"/>
      <c r="I1539" s="20"/>
      <c r="J1539" s="5"/>
      <c r="K1539" s="7"/>
      <c r="L1539" s="7"/>
      <c r="M1539" s="5"/>
      <c r="N1539" s="4"/>
      <c r="O1539" s="4"/>
    </row>
    <row r="1540" spans="1:15" x14ac:dyDescent="0.2">
      <c r="A1540" s="14"/>
      <c r="B1540" s="15"/>
      <c r="D1540" s="16"/>
      <c r="E1540" s="17"/>
      <c r="F1540" s="14"/>
      <c r="G1540" s="7"/>
      <c r="H1540" s="7"/>
      <c r="I1540" s="20"/>
      <c r="J1540" s="5"/>
      <c r="K1540" s="7"/>
      <c r="L1540" s="7"/>
      <c r="M1540" s="5"/>
      <c r="N1540" s="4"/>
      <c r="O1540" s="4"/>
    </row>
    <row r="1541" spans="1:15" x14ac:dyDescent="0.2">
      <c r="A1541" s="14"/>
      <c r="B1541" s="15"/>
      <c r="D1541" s="16"/>
      <c r="E1541" s="17"/>
      <c r="F1541" s="14"/>
      <c r="G1541" s="7"/>
      <c r="H1541" s="7"/>
      <c r="I1541" s="20"/>
      <c r="J1541" s="5"/>
      <c r="K1541" s="7"/>
      <c r="L1541" s="7"/>
      <c r="M1541" s="5"/>
      <c r="N1541" s="4"/>
      <c r="O1541" s="4"/>
    </row>
    <row r="1542" spans="1:15" x14ac:dyDescent="0.2">
      <c r="A1542" s="14"/>
      <c r="B1542" s="15"/>
      <c r="D1542" s="16"/>
      <c r="E1542" s="17"/>
      <c r="F1542" s="14"/>
      <c r="G1542" s="7"/>
      <c r="H1542" s="7"/>
      <c r="I1542" s="20"/>
      <c r="J1542" s="5"/>
      <c r="K1542" s="7"/>
      <c r="L1542" s="7"/>
      <c r="M1542" s="5"/>
      <c r="N1542" s="4"/>
      <c r="O1542" s="4"/>
    </row>
    <row r="1543" spans="1:15" x14ac:dyDescent="0.2">
      <c r="A1543" s="14"/>
      <c r="B1543" s="15"/>
      <c r="D1543" s="16"/>
      <c r="E1543" s="17"/>
      <c r="F1543" s="14"/>
      <c r="G1543" s="7"/>
      <c r="H1543" s="7"/>
      <c r="I1543" s="20"/>
      <c r="J1543" s="5"/>
      <c r="K1543" s="7"/>
      <c r="L1543" s="7"/>
      <c r="M1543" s="5"/>
      <c r="N1543" s="4"/>
      <c r="O1543" s="4"/>
    </row>
    <row r="1544" spans="1:15" x14ac:dyDescent="0.2">
      <c r="A1544" s="14"/>
      <c r="B1544" s="15"/>
      <c r="D1544" s="16"/>
      <c r="E1544" s="17"/>
      <c r="F1544" s="14"/>
      <c r="G1544" s="7"/>
      <c r="H1544" s="7"/>
      <c r="I1544" s="20"/>
      <c r="J1544" s="5"/>
      <c r="K1544" s="7"/>
      <c r="L1544" s="7"/>
      <c r="M1544" s="5"/>
      <c r="N1544" s="4"/>
      <c r="O1544" s="4"/>
    </row>
    <row r="1545" spans="1:15" x14ac:dyDescent="0.2">
      <c r="A1545" s="14"/>
      <c r="B1545" s="15"/>
      <c r="D1545" s="16"/>
      <c r="E1545" s="17"/>
      <c r="F1545" s="14"/>
      <c r="G1545" s="7"/>
      <c r="H1545" s="7"/>
      <c r="I1545" s="20"/>
      <c r="J1545" s="5"/>
      <c r="K1545" s="7"/>
      <c r="L1545" s="7"/>
      <c r="M1545" s="5"/>
      <c r="N1545" s="4"/>
      <c r="O1545" s="4"/>
    </row>
    <row r="1546" spans="1:15" x14ac:dyDescent="0.2">
      <c r="A1546" s="14"/>
      <c r="B1546" s="15"/>
      <c r="D1546" s="16"/>
      <c r="E1546" s="17"/>
      <c r="F1546" s="14"/>
      <c r="G1546" s="7"/>
      <c r="H1546" s="7"/>
      <c r="I1546" s="20"/>
      <c r="J1546" s="5"/>
      <c r="K1546" s="7"/>
      <c r="L1546" s="7"/>
      <c r="M1546" s="5"/>
      <c r="N1546" s="4"/>
      <c r="O1546" s="4"/>
    </row>
    <row r="1547" spans="1:15" x14ac:dyDescent="0.2">
      <c r="A1547" s="14"/>
      <c r="B1547" s="15"/>
      <c r="D1547" s="16"/>
      <c r="E1547" s="17"/>
      <c r="F1547" s="14"/>
      <c r="G1547" s="7"/>
      <c r="H1547" s="7"/>
      <c r="I1547" s="20"/>
      <c r="J1547" s="5"/>
      <c r="K1547" s="7"/>
      <c r="L1547" s="7"/>
      <c r="M1547" s="5"/>
      <c r="N1547" s="4"/>
      <c r="O1547" s="4"/>
    </row>
    <row r="1548" spans="1:15" x14ac:dyDescent="0.2">
      <c r="A1548" s="14"/>
      <c r="B1548" s="15"/>
      <c r="D1548" s="16"/>
      <c r="E1548" s="17"/>
      <c r="F1548" s="14"/>
      <c r="G1548" s="7"/>
      <c r="H1548" s="7"/>
      <c r="I1548" s="20"/>
      <c r="J1548" s="5"/>
      <c r="K1548" s="7"/>
      <c r="L1548" s="7"/>
      <c r="M1548" s="5"/>
      <c r="N1548" s="4"/>
      <c r="O1548" s="4"/>
    </row>
    <row r="1549" spans="1:15" x14ac:dyDescent="0.2">
      <c r="A1549" s="14"/>
      <c r="B1549" s="15"/>
      <c r="D1549" s="16"/>
      <c r="E1549" s="17"/>
      <c r="F1549" s="14"/>
      <c r="G1549" s="7"/>
      <c r="H1549" s="7"/>
      <c r="I1549" s="20"/>
      <c r="J1549" s="5"/>
      <c r="K1549" s="7"/>
      <c r="L1549" s="7"/>
      <c r="M1549" s="5"/>
      <c r="N1549" s="4"/>
      <c r="O1549" s="4"/>
    </row>
    <row r="1550" spans="1:15" x14ac:dyDescent="0.2">
      <c r="A1550" s="14"/>
      <c r="B1550" s="15"/>
      <c r="D1550" s="16"/>
      <c r="E1550" s="17"/>
      <c r="F1550" s="14"/>
      <c r="G1550" s="7"/>
      <c r="H1550" s="7"/>
      <c r="I1550" s="20"/>
      <c r="J1550" s="5"/>
      <c r="K1550" s="7"/>
      <c r="L1550" s="7"/>
      <c r="M1550" s="5"/>
      <c r="N1550" s="4"/>
      <c r="O1550" s="4"/>
    </row>
    <row r="1551" spans="1:15" x14ac:dyDescent="0.2">
      <c r="A1551" s="14"/>
      <c r="B1551" s="15"/>
      <c r="D1551" s="16"/>
      <c r="E1551" s="17"/>
      <c r="F1551" s="14"/>
      <c r="G1551" s="7"/>
      <c r="H1551" s="7"/>
      <c r="I1551" s="20"/>
      <c r="J1551" s="5"/>
      <c r="K1551" s="7"/>
      <c r="L1551" s="7"/>
      <c r="M1551" s="5"/>
      <c r="N1551" s="4"/>
      <c r="O1551" s="4"/>
    </row>
    <row r="1552" spans="1:15" x14ac:dyDescent="0.2">
      <c r="A1552" s="14"/>
      <c r="B1552" s="15"/>
      <c r="D1552" s="16"/>
      <c r="E1552" s="17"/>
      <c r="F1552" s="14"/>
      <c r="G1552" s="7"/>
      <c r="H1552" s="7"/>
      <c r="I1552" s="20"/>
      <c r="J1552" s="5"/>
      <c r="K1552" s="7"/>
      <c r="L1552" s="7"/>
      <c r="M1552" s="5"/>
      <c r="N1552" s="4"/>
      <c r="O1552" s="4"/>
    </row>
    <row r="1553" spans="1:15" x14ac:dyDescent="0.2">
      <c r="A1553" s="14"/>
      <c r="B1553" s="15"/>
      <c r="D1553" s="16"/>
      <c r="E1553" s="17"/>
      <c r="F1553" s="14"/>
      <c r="G1553" s="7"/>
      <c r="H1553" s="7"/>
      <c r="I1553" s="20"/>
      <c r="J1553" s="5"/>
      <c r="K1553" s="7"/>
      <c r="L1553" s="7"/>
      <c r="M1553" s="5"/>
      <c r="N1553" s="4"/>
      <c r="O1553" s="4"/>
    </row>
    <row r="1554" spans="1:15" x14ac:dyDescent="0.2">
      <c r="A1554" s="14"/>
      <c r="B1554" s="15"/>
      <c r="D1554" s="16"/>
      <c r="E1554" s="17"/>
      <c r="F1554" s="14"/>
      <c r="G1554" s="7"/>
      <c r="H1554" s="7"/>
      <c r="I1554" s="20"/>
      <c r="J1554" s="5"/>
      <c r="K1554" s="7"/>
      <c r="L1554" s="7"/>
      <c r="M1554" s="5"/>
      <c r="N1554" s="4"/>
      <c r="O1554" s="4"/>
    </row>
    <row r="1555" spans="1:15" x14ac:dyDescent="0.2">
      <c r="A1555" s="14"/>
      <c r="B1555" s="15"/>
      <c r="D1555" s="16"/>
      <c r="E1555" s="17"/>
      <c r="F1555" s="14"/>
      <c r="G1555" s="7"/>
      <c r="H1555" s="7"/>
      <c r="I1555" s="20"/>
      <c r="J1555" s="5"/>
      <c r="K1555" s="7"/>
      <c r="L1555" s="7"/>
      <c r="M1555" s="5"/>
      <c r="N1555" s="4"/>
      <c r="O1555" s="4"/>
    </row>
    <row r="1556" spans="1:15" x14ac:dyDescent="0.2">
      <c r="A1556" s="14"/>
      <c r="B1556" s="15"/>
      <c r="D1556" s="16"/>
      <c r="E1556" s="17"/>
      <c r="F1556" s="14"/>
      <c r="G1556" s="7"/>
      <c r="H1556" s="7"/>
      <c r="I1556" s="20"/>
      <c r="J1556" s="5"/>
      <c r="K1556" s="7"/>
      <c r="L1556" s="7"/>
      <c r="M1556" s="5"/>
      <c r="N1556" s="4"/>
      <c r="O1556" s="4"/>
    </row>
    <row r="1557" spans="1:15" x14ac:dyDescent="0.2">
      <c r="A1557" s="14"/>
      <c r="B1557" s="15"/>
      <c r="D1557" s="16"/>
      <c r="E1557" s="17"/>
      <c r="F1557" s="14"/>
      <c r="G1557" s="7"/>
      <c r="H1557" s="7"/>
      <c r="I1557" s="20"/>
      <c r="J1557" s="5"/>
      <c r="K1557" s="7"/>
      <c r="L1557" s="7"/>
      <c r="M1557" s="5"/>
      <c r="N1557" s="4"/>
      <c r="O1557" s="4"/>
    </row>
    <row r="1558" spans="1:15" x14ac:dyDescent="0.2">
      <c r="A1558" s="14"/>
      <c r="B1558" s="15"/>
      <c r="D1558" s="16"/>
      <c r="E1558" s="17"/>
      <c r="F1558" s="14"/>
      <c r="G1558" s="7"/>
      <c r="H1558" s="7"/>
      <c r="I1558" s="20"/>
      <c r="J1558" s="5"/>
      <c r="K1558" s="7"/>
      <c r="L1558" s="7"/>
      <c r="M1558" s="5"/>
      <c r="N1558" s="4"/>
      <c r="O1558" s="4"/>
    </row>
    <row r="1559" spans="1:15" x14ac:dyDescent="0.2">
      <c r="A1559" s="14"/>
      <c r="B1559" s="15"/>
      <c r="D1559" s="16"/>
      <c r="E1559" s="17"/>
      <c r="F1559" s="14"/>
      <c r="G1559" s="7"/>
      <c r="H1559" s="7"/>
      <c r="I1559" s="20"/>
      <c r="J1559" s="5"/>
      <c r="K1559" s="7"/>
      <c r="L1559" s="7"/>
      <c r="M1559" s="5"/>
      <c r="N1559" s="4"/>
      <c r="O1559" s="4"/>
    </row>
    <row r="1560" spans="1:15" x14ac:dyDescent="0.2">
      <c r="A1560" s="14"/>
      <c r="B1560" s="15"/>
      <c r="D1560" s="16"/>
      <c r="E1560" s="17"/>
      <c r="F1560" s="14"/>
      <c r="G1560" s="7"/>
      <c r="H1560" s="7"/>
      <c r="I1560" s="20"/>
      <c r="J1560" s="5"/>
      <c r="K1560" s="7"/>
      <c r="L1560" s="7"/>
      <c r="M1560" s="5"/>
      <c r="N1560" s="4"/>
      <c r="O1560" s="4"/>
    </row>
    <row r="1561" spans="1:15" x14ac:dyDescent="0.2">
      <c r="A1561" s="14"/>
      <c r="B1561" s="15"/>
      <c r="D1561" s="16"/>
      <c r="E1561" s="17"/>
      <c r="F1561" s="14"/>
      <c r="G1561" s="7"/>
      <c r="H1561" s="7"/>
      <c r="I1561" s="20"/>
      <c r="J1561" s="5"/>
      <c r="K1561" s="7"/>
      <c r="L1561" s="7"/>
      <c r="M1561" s="5"/>
      <c r="N1561" s="4"/>
      <c r="O1561" s="4"/>
    </row>
    <row r="1562" spans="1:15" x14ac:dyDescent="0.2">
      <c r="A1562" s="14"/>
      <c r="B1562" s="15"/>
      <c r="D1562" s="16"/>
      <c r="E1562" s="17"/>
      <c r="F1562" s="14"/>
      <c r="G1562" s="7"/>
      <c r="H1562" s="7"/>
      <c r="I1562" s="20"/>
      <c r="J1562" s="5"/>
      <c r="K1562" s="7"/>
      <c r="L1562" s="7"/>
      <c r="M1562" s="5"/>
      <c r="N1562" s="4"/>
      <c r="O1562" s="4"/>
    </row>
    <row r="1563" spans="1:15" x14ac:dyDescent="0.2">
      <c r="A1563" s="14"/>
      <c r="B1563" s="15"/>
      <c r="D1563" s="16"/>
      <c r="E1563" s="17"/>
      <c r="F1563" s="14"/>
      <c r="G1563" s="7"/>
      <c r="H1563" s="7"/>
      <c r="I1563" s="20"/>
      <c r="J1563" s="5"/>
      <c r="K1563" s="7"/>
      <c r="L1563" s="7"/>
      <c r="M1563" s="5"/>
      <c r="N1563" s="4"/>
      <c r="O1563" s="4"/>
    </row>
    <row r="1564" spans="1:15" x14ac:dyDescent="0.2">
      <c r="A1564" s="14"/>
      <c r="B1564" s="15"/>
      <c r="D1564" s="16"/>
      <c r="E1564" s="17"/>
      <c r="F1564" s="14"/>
      <c r="G1564" s="7"/>
      <c r="H1564" s="7"/>
      <c r="I1564" s="20"/>
      <c r="J1564" s="5"/>
      <c r="K1564" s="7"/>
      <c r="L1564" s="7"/>
      <c r="M1564" s="5"/>
      <c r="N1564" s="4"/>
      <c r="O1564" s="4"/>
    </row>
    <row r="1565" spans="1:15" x14ac:dyDescent="0.2">
      <c r="A1565" s="14"/>
      <c r="B1565" s="15"/>
      <c r="D1565" s="16"/>
      <c r="E1565" s="17"/>
      <c r="F1565" s="14"/>
      <c r="G1565" s="7"/>
      <c r="H1565" s="7"/>
      <c r="I1565" s="20"/>
      <c r="J1565" s="5"/>
      <c r="K1565" s="7"/>
      <c r="L1565" s="7"/>
      <c r="M1565" s="5"/>
      <c r="N1565" s="4"/>
      <c r="O1565" s="4"/>
    </row>
    <row r="1566" spans="1:15" x14ac:dyDescent="0.2">
      <c r="A1566" s="14"/>
      <c r="B1566" s="15"/>
      <c r="D1566" s="16"/>
      <c r="E1566" s="17"/>
      <c r="F1566" s="14"/>
      <c r="G1566" s="7"/>
      <c r="H1566" s="7"/>
      <c r="I1566" s="20"/>
      <c r="J1566" s="5"/>
      <c r="K1566" s="7"/>
      <c r="L1566" s="7"/>
      <c r="M1566" s="5"/>
      <c r="N1566" s="4"/>
      <c r="O1566" s="4"/>
    </row>
    <row r="1567" spans="1:15" x14ac:dyDescent="0.2">
      <c r="A1567" s="14"/>
      <c r="B1567" s="15"/>
      <c r="D1567" s="16"/>
      <c r="E1567" s="17"/>
      <c r="F1567" s="14"/>
      <c r="G1567" s="7"/>
      <c r="H1567" s="7"/>
      <c r="I1567" s="20"/>
      <c r="J1567" s="5"/>
      <c r="K1567" s="7"/>
      <c r="L1567" s="7"/>
      <c r="M1567" s="5"/>
      <c r="N1567" s="4"/>
      <c r="O1567" s="4"/>
    </row>
    <row r="1568" spans="1:15" x14ac:dyDescent="0.2">
      <c r="A1568" s="14"/>
      <c r="B1568" s="15"/>
      <c r="D1568" s="16"/>
      <c r="E1568" s="17"/>
      <c r="F1568" s="14"/>
      <c r="G1568" s="7"/>
      <c r="H1568" s="7"/>
      <c r="I1568" s="20"/>
      <c r="J1568" s="5"/>
      <c r="K1568" s="7"/>
      <c r="L1568" s="7"/>
      <c r="M1568" s="5"/>
      <c r="N1568" s="4"/>
      <c r="O1568" s="4"/>
    </row>
    <row r="1569" spans="1:15" x14ac:dyDescent="0.2">
      <c r="A1569" s="14"/>
      <c r="B1569" s="15"/>
      <c r="D1569" s="16"/>
      <c r="E1569" s="17"/>
      <c r="F1569" s="14"/>
      <c r="G1569" s="7"/>
      <c r="H1569" s="7"/>
      <c r="I1569" s="20"/>
      <c r="J1569" s="5"/>
      <c r="K1569" s="7"/>
      <c r="L1569" s="7"/>
      <c r="M1569" s="5"/>
      <c r="N1569" s="4"/>
      <c r="O1569" s="4"/>
    </row>
    <row r="1570" spans="1:15" x14ac:dyDescent="0.2">
      <c r="A1570" s="14"/>
      <c r="B1570" s="15"/>
      <c r="D1570" s="16"/>
      <c r="E1570" s="17"/>
      <c r="F1570" s="14"/>
      <c r="G1570" s="7"/>
      <c r="H1570" s="7"/>
      <c r="I1570" s="20"/>
      <c r="J1570" s="5"/>
      <c r="K1570" s="7"/>
      <c r="L1570" s="7"/>
      <c r="M1570" s="5"/>
      <c r="N1570" s="4"/>
      <c r="O1570" s="4"/>
    </row>
    <row r="1571" spans="1:15" x14ac:dyDescent="0.2">
      <c r="A1571" s="14"/>
      <c r="B1571" s="15"/>
      <c r="D1571" s="16"/>
      <c r="E1571" s="17"/>
      <c r="F1571" s="14"/>
      <c r="G1571" s="7"/>
      <c r="H1571" s="7"/>
      <c r="I1571" s="20"/>
      <c r="J1571" s="5"/>
      <c r="K1571" s="7"/>
      <c r="L1571" s="7"/>
      <c r="M1571" s="5"/>
      <c r="N1571" s="4"/>
      <c r="O1571" s="4"/>
    </row>
    <row r="1572" spans="1:15" x14ac:dyDescent="0.2">
      <c r="A1572" s="14"/>
      <c r="B1572" s="15"/>
      <c r="D1572" s="16"/>
      <c r="E1572" s="17"/>
      <c r="F1572" s="14"/>
      <c r="G1572" s="7"/>
      <c r="H1572" s="7"/>
      <c r="I1572" s="20"/>
      <c r="J1572" s="5"/>
      <c r="K1572" s="7"/>
      <c r="L1572" s="7"/>
      <c r="M1572" s="5"/>
      <c r="N1572" s="4"/>
      <c r="O1572" s="4"/>
    </row>
    <row r="1573" spans="1:15" x14ac:dyDescent="0.2">
      <c r="A1573" s="14"/>
      <c r="B1573" s="15"/>
      <c r="D1573" s="16"/>
      <c r="E1573" s="17"/>
      <c r="F1573" s="14"/>
      <c r="G1573" s="7"/>
      <c r="H1573" s="7"/>
      <c r="I1573" s="20"/>
      <c r="J1573" s="5"/>
      <c r="K1573" s="7"/>
      <c r="L1573" s="7"/>
      <c r="M1573" s="5"/>
      <c r="N1573" s="4"/>
      <c r="O1573" s="4"/>
    </row>
    <row r="1574" spans="1:15" x14ac:dyDescent="0.2">
      <c r="A1574" s="14"/>
      <c r="B1574" s="15"/>
      <c r="D1574" s="16"/>
      <c r="E1574" s="17"/>
      <c r="F1574" s="14"/>
      <c r="G1574" s="7"/>
      <c r="H1574" s="7"/>
      <c r="I1574" s="20"/>
      <c r="J1574" s="5"/>
      <c r="K1574" s="7"/>
      <c r="L1574" s="7"/>
      <c r="M1574" s="5"/>
      <c r="N1574" s="4"/>
      <c r="O1574" s="4"/>
    </row>
    <row r="1575" spans="1:15" x14ac:dyDescent="0.2">
      <c r="A1575" s="14"/>
      <c r="B1575" s="15"/>
      <c r="D1575" s="16"/>
      <c r="E1575" s="17"/>
      <c r="F1575" s="14"/>
      <c r="G1575" s="7"/>
      <c r="H1575" s="7"/>
      <c r="I1575" s="20"/>
      <c r="J1575" s="5"/>
      <c r="K1575" s="7"/>
      <c r="L1575" s="7"/>
      <c r="M1575" s="5"/>
      <c r="N1575" s="4"/>
      <c r="O1575" s="4"/>
    </row>
    <row r="1576" spans="1:15" x14ac:dyDescent="0.2">
      <c r="A1576" s="14"/>
      <c r="B1576" s="15"/>
      <c r="D1576" s="16"/>
      <c r="E1576" s="17"/>
      <c r="F1576" s="14"/>
      <c r="G1576" s="7"/>
      <c r="H1576" s="7"/>
      <c r="I1576" s="20"/>
      <c r="J1576" s="5"/>
      <c r="K1576" s="7"/>
      <c r="L1576" s="7"/>
      <c r="M1576" s="5"/>
      <c r="N1576" s="4"/>
      <c r="O1576" s="4"/>
    </row>
    <row r="1577" spans="1:15" x14ac:dyDescent="0.2">
      <c r="A1577" s="14"/>
      <c r="B1577" s="15"/>
      <c r="D1577" s="16"/>
      <c r="E1577" s="17"/>
      <c r="F1577" s="14"/>
      <c r="G1577" s="7"/>
      <c r="H1577" s="7"/>
      <c r="I1577" s="20"/>
      <c r="J1577" s="5"/>
      <c r="K1577" s="7"/>
      <c r="L1577" s="7"/>
      <c r="M1577" s="5"/>
      <c r="N1577" s="4"/>
      <c r="O1577" s="4"/>
    </row>
    <row r="1578" spans="1:15" x14ac:dyDescent="0.2">
      <c r="A1578" s="14"/>
      <c r="B1578" s="15"/>
      <c r="D1578" s="16"/>
      <c r="E1578" s="17"/>
      <c r="F1578" s="14"/>
      <c r="G1578" s="7"/>
      <c r="H1578" s="7"/>
      <c r="I1578" s="20"/>
      <c r="J1578" s="5"/>
      <c r="K1578" s="7"/>
      <c r="L1578" s="7"/>
      <c r="M1578" s="5"/>
      <c r="N1578" s="4"/>
      <c r="O1578" s="4"/>
    </row>
    <row r="1579" spans="1:15" x14ac:dyDescent="0.2">
      <c r="A1579" s="14"/>
      <c r="B1579" s="15"/>
      <c r="D1579" s="16"/>
      <c r="E1579" s="17"/>
      <c r="F1579" s="14"/>
      <c r="G1579" s="7"/>
      <c r="H1579" s="7"/>
      <c r="I1579" s="20"/>
      <c r="J1579" s="5"/>
      <c r="K1579" s="7"/>
      <c r="L1579" s="7"/>
      <c r="M1579" s="5"/>
      <c r="N1579" s="4"/>
      <c r="O1579" s="4"/>
    </row>
    <row r="1580" spans="1:15" x14ac:dyDescent="0.2">
      <c r="A1580" s="14"/>
      <c r="B1580" s="15"/>
      <c r="D1580" s="16"/>
      <c r="E1580" s="17"/>
      <c r="F1580" s="14"/>
      <c r="G1580" s="7"/>
      <c r="H1580" s="7"/>
      <c r="I1580" s="20"/>
      <c r="J1580" s="5"/>
      <c r="K1580" s="7"/>
      <c r="L1580" s="7"/>
      <c r="M1580" s="5"/>
      <c r="N1580" s="4"/>
      <c r="O1580" s="4"/>
    </row>
    <row r="1581" spans="1:15" x14ac:dyDescent="0.2">
      <c r="A1581" s="14"/>
      <c r="B1581" s="15"/>
      <c r="D1581" s="16"/>
      <c r="E1581" s="17"/>
      <c r="F1581" s="14"/>
      <c r="G1581" s="7"/>
      <c r="H1581" s="7"/>
      <c r="I1581" s="20"/>
      <c r="J1581" s="5"/>
      <c r="K1581" s="7"/>
      <c r="L1581" s="7"/>
      <c r="M1581" s="5"/>
      <c r="N1581" s="4"/>
      <c r="O1581" s="4"/>
    </row>
    <row r="1582" spans="1:15" x14ac:dyDescent="0.2">
      <c r="A1582" s="14"/>
      <c r="B1582" s="15"/>
      <c r="D1582" s="16"/>
      <c r="E1582" s="17"/>
      <c r="F1582" s="14"/>
      <c r="G1582" s="7"/>
      <c r="H1582" s="7"/>
      <c r="I1582" s="20"/>
      <c r="J1582" s="5"/>
      <c r="K1582" s="7"/>
      <c r="L1582" s="7"/>
      <c r="M1582" s="5"/>
      <c r="N1582" s="4"/>
      <c r="O1582" s="4"/>
    </row>
    <row r="1583" spans="1:15" x14ac:dyDescent="0.2">
      <c r="A1583" s="14"/>
      <c r="B1583" s="15"/>
      <c r="D1583" s="16"/>
      <c r="E1583" s="17"/>
      <c r="F1583" s="14"/>
      <c r="G1583" s="7"/>
      <c r="H1583" s="7"/>
      <c r="I1583" s="20"/>
      <c r="J1583" s="5"/>
      <c r="K1583" s="7"/>
      <c r="L1583" s="7"/>
      <c r="M1583" s="5"/>
      <c r="N1583" s="4"/>
      <c r="O1583" s="4"/>
    </row>
    <row r="1584" spans="1:15" x14ac:dyDescent="0.2">
      <c r="A1584" s="14"/>
      <c r="B1584" s="15"/>
      <c r="D1584" s="16"/>
      <c r="E1584" s="17"/>
      <c r="F1584" s="14"/>
      <c r="G1584" s="7"/>
      <c r="H1584" s="7"/>
      <c r="I1584" s="20"/>
      <c r="J1584" s="5"/>
      <c r="K1584" s="7"/>
      <c r="L1584" s="7"/>
      <c r="M1584" s="5"/>
      <c r="N1584" s="4"/>
      <c r="O1584" s="4"/>
    </row>
    <row r="1585" spans="1:15" x14ac:dyDescent="0.2">
      <c r="A1585" s="14"/>
      <c r="B1585" s="15"/>
      <c r="D1585" s="16"/>
      <c r="E1585" s="17"/>
      <c r="F1585" s="14"/>
      <c r="G1585" s="7"/>
      <c r="H1585" s="7"/>
      <c r="I1585" s="20"/>
      <c r="J1585" s="5"/>
      <c r="K1585" s="7"/>
      <c r="L1585" s="7"/>
      <c r="M1585" s="5"/>
      <c r="N1585" s="4"/>
      <c r="O1585" s="4"/>
    </row>
    <row r="1586" spans="1:15" x14ac:dyDescent="0.2">
      <c r="A1586" s="14"/>
      <c r="B1586" s="15"/>
      <c r="D1586" s="16"/>
      <c r="E1586" s="17"/>
      <c r="F1586" s="14"/>
      <c r="G1586" s="7"/>
      <c r="H1586" s="7"/>
      <c r="I1586" s="20"/>
      <c r="J1586" s="5"/>
      <c r="K1586" s="7"/>
      <c r="L1586" s="7"/>
      <c r="M1586" s="5"/>
      <c r="N1586" s="4"/>
      <c r="O1586" s="4"/>
    </row>
    <row r="1587" spans="1:15" x14ac:dyDescent="0.2">
      <c r="A1587" s="14"/>
      <c r="B1587" s="15"/>
      <c r="D1587" s="16"/>
      <c r="E1587" s="17"/>
      <c r="F1587" s="14"/>
      <c r="G1587" s="7"/>
      <c r="H1587" s="7"/>
      <c r="I1587" s="20"/>
      <c r="J1587" s="5"/>
      <c r="K1587" s="7"/>
      <c r="L1587" s="7"/>
      <c r="M1587" s="5"/>
      <c r="N1587" s="4"/>
      <c r="O1587" s="4"/>
    </row>
    <row r="1588" spans="1:15" x14ac:dyDescent="0.2">
      <c r="A1588" s="14"/>
      <c r="B1588" s="15"/>
      <c r="D1588" s="16"/>
      <c r="E1588" s="17"/>
      <c r="F1588" s="14"/>
      <c r="G1588" s="7"/>
      <c r="H1588" s="7"/>
      <c r="I1588" s="20"/>
      <c r="J1588" s="5"/>
      <c r="K1588" s="7"/>
      <c r="L1588" s="7"/>
      <c r="M1588" s="5"/>
      <c r="N1588" s="4"/>
      <c r="O1588" s="4"/>
    </row>
    <row r="1589" spans="1:15" x14ac:dyDescent="0.2">
      <c r="A1589" s="14"/>
      <c r="B1589" s="15"/>
      <c r="D1589" s="16"/>
      <c r="E1589" s="17"/>
      <c r="F1589" s="14"/>
      <c r="G1589" s="7"/>
      <c r="H1589" s="7"/>
      <c r="I1589" s="20"/>
      <c r="J1589" s="5"/>
      <c r="K1589" s="7"/>
      <c r="L1589" s="7"/>
      <c r="M1589" s="5"/>
      <c r="N1589" s="4"/>
      <c r="O1589" s="4"/>
    </row>
    <row r="1590" spans="1:15" x14ac:dyDescent="0.2">
      <c r="A1590" s="14"/>
      <c r="B1590" s="15"/>
      <c r="D1590" s="16"/>
      <c r="E1590" s="17"/>
      <c r="F1590" s="14"/>
      <c r="G1590" s="7"/>
      <c r="H1590" s="7"/>
      <c r="I1590" s="20"/>
      <c r="J1590" s="5"/>
      <c r="K1590" s="7"/>
      <c r="L1590" s="7"/>
      <c r="M1590" s="5"/>
      <c r="N1590" s="4"/>
      <c r="O1590" s="4"/>
    </row>
    <row r="1591" spans="1:15" x14ac:dyDescent="0.2">
      <c r="A1591" s="14"/>
      <c r="B1591" s="15"/>
      <c r="D1591" s="16"/>
      <c r="E1591" s="17"/>
      <c r="F1591" s="14"/>
      <c r="G1591" s="7"/>
      <c r="H1591" s="7"/>
      <c r="I1591" s="20"/>
      <c r="J1591" s="5"/>
      <c r="K1591" s="7"/>
      <c r="L1591" s="7"/>
      <c r="M1591" s="5"/>
      <c r="N1591" s="4"/>
      <c r="O1591" s="4"/>
    </row>
    <row r="1592" spans="1:15" x14ac:dyDescent="0.2">
      <c r="A1592" s="14"/>
      <c r="B1592" s="15"/>
      <c r="D1592" s="16"/>
      <c r="E1592" s="17"/>
      <c r="F1592" s="14"/>
      <c r="G1592" s="7"/>
      <c r="H1592" s="7"/>
      <c r="I1592" s="20"/>
      <c r="J1592" s="5"/>
      <c r="K1592" s="7"/>
      <c r="L1592" s="7"/>
      <c r="M1592" s="5"/>
      <c r="N1592" s="4"/>
      <c r="O1592" s="4"/>
    </row>
    <row r="1593" spans="1:15" x14ac:dyDescent="0.2">
      <c r="A1593" s="14"/>
      <c r="B1593" s="15"/>
      <c r="D1593" s="16"/>
      <c r="E1593" s="17"/>
      <c r="F1593" s="14"/>
      <c r="G1593" s="7"/>
      <c r="H1593" s="7"/>
      <c r="I1593" s="20"/>
      <c r="J1593" s="5"/>
      <c r="K1593" s="7"/>
      <c r="L1593" s="7"/>
      <c r="M1593" s="5"/>
      <c r="N1593" s="4"/>
      <c r="O1593" s="4"/>
    </row>
    <row r="1594" spans="1:15" x14ac:dyDescent="0.2">
      <c r="A1594" s="14"/>
      <c r="B1594" s="15"/>
      <c r="D1594" s="16"/>
      <c r="E1594" s="17"/>
      <c r="F1594" s="14"/>
      <c r="G1594" s="7"/>
      <c r="H1594" s="7"/>
      <c r="I1594" s="20"/>
      <c r="J1594" s="5"/>
      <c r="K1594" s="7"/>
      <c r="L1594" s="7"/>
      <c r="M1594" s="5"/>
      <c r="N1594" s="4"/>
      <c r="O1594" s="4"/>
    </row>
    <row r="1595" spans="1:15" x14ac:dyDescent="0.2">
      <c r="A1595" s="14"/>
      <c r="B1595" s="15"/>
      <c r="D1595" s="16"/>
      <c r="E1595" s="17"/>
      <c r="F1595" s="14"/>
      <c r="G1595" s="7"/>
      <c r="H1595" s="7"/>
      <c r="I1595" s="20"/>
      <c r="J1595" s="5"/>
      <c r="K1595" s="7"/>
      <c r="L1595" s="7"/>
      <c r="M1595" s="5"/>
      <c r="N1595" s="4"/>
      <c r="O1595" s="4"/>
    </row>
    <row r="1596" spans="1:15" x14ac:dyDescent="0.2">
      <c r="A1596" s="14"/>
      <c r="B1596" s="15"/>
      <c r="D1596" s="16"/>
      <c r="E1596" s="17"/>
      <c r="F1596" s="14"/>
      <c r="G1596" s="7"/>
      <c r="H1596" s="7"/>
      <c r="I1596" s="20"/>
      <c r="J1596" s="5"/>
      <c r="K1596" s="7"/>
      <c r="L1596" s="7"/>
      <c r="M1596" s="5"/>
      <c r="N1596" s="4"/>
      <c r="O1596" s="4"/>
    </row>
    <row r="1597" spans="1:15" x14ac:dyDescent="0.2">
      <c r="A1597" s="14"/>
      <c r="B1597" s="15"/>
      <c r="D1597" s="16"/>
      <c r="E1597" s="17"/>
      <c r="F1597" s="14"/>
      <c r="G1597" s="7"/>
      <c r="H1597" s="7"/>
      <c r="I1597" s="20"/>
      <c r="J1597" s="5"/>
      <c r="K1597" s="7"/>
      <c r="L1597" s="7"/>
      <c r="M1597" s="5"/>
      <c r="N1597" s="4"/>
      <c r="O1597" s="4"/>
    </row>
    <row r="1598" spans="1:15" x14ac:dyDescent="0.2">
      <c r="A1598" s="14"/>
      <c r="B1598" s="15"/>
      <c r="D1598" s="16"/>
      <c r="E1598" s="17"/>
      <c r="F1598" s="14"/>
      <c r="G1598" s="7"/>
      <c r="H1598" s="7"/>
      <c r="I1598" s="20"/>
      <c r="J1598" s="5"/>
      <c r="K1598" s="7"/>
      <c r="L1598" s="7"/>
      <c r="M1598" s="5"/>
      <c r="N1598" s="4"/>
      <c r="O1598" s="4"/>
    </row>
    <row r="1599" spans="1:15" x14ac:dyDescent="0.2">
      <c r="A1599" s="14"/>
      <c r="B1599" s="15"/>
      <c r="D1599" s="16"/>
      <c r="E1599" s="17"/>
      <c r="F1599" s="14"/>
      <c r="G1599" s="7"/>
      <c r="H1599" s="7"/>
      <c r="I1599" s="20"/>
      <c r="J1599" s="5"/>
      <c r="K1599" s="7"/>
      <c r="L1599" s="7"/>
      <c r="M1599" s="5"/>
      <c r="N1599" s="4"/>
      <c r="O1599" s="4"/>
    </row>
    <row r="1600" spans="1:15" x14ac:dyDescent="0.2">
      <c r="A1600" s="14"/>
      <c r="B1600" s="15"/>
      <c r="D1600" s="16"/>
      <c r="E1600" s="17"/>
      <c r="F1600" s="14"/>
      <c r="G1600" s="7"/>
      <c r="H1600" s="7"/>
      <c r="I1600" s="20"/>
      <c r="J1600" s="5"/>
      <c r="K1600" s="7"/>
      <c r="L1600" s="7"/>
      <c r="M1600" s="5"/>
      <c r="N1600" s="4"/>
      <c r="O1600" s="4"/>
    </row>
    <row r="1601" spans="1:15" x14ac:dyDescent="0.2">
      <c r="A1601" s="14"/>
      <c r="B1601" s="15"/>
      <c r="D1601" s="16"/>
      <c r="E1601" s="17"/>
      <c r="F1601" s="14"/>
      <c r="G1601" s="7"/>
      <c r="H1601" s="7"/>
      <c r="I1601" s="20"/>
      <c r="J1601" s="5"/>
      <c r="K1601" s="7"/>
      <c r="L1601" s="7"/>
      <c r="M1601" s="5"/>
      <c r="N1601" s="4"/>
      <c r="O1601" s="4"/>
    </row>
    <row r="1602" spans="1:15" x14ac:dyDescent="0.2">
      <c r="A1602" s="14"/>
      <c r="B1602" s="15"/>
      <c r="D1602" s="16"/>
      <c r="E1602" s="17"/>
      <c r="F1602" s="14"/>
      <c r="G1602" s="7"/>
      <c r="H1602" s="7"/>
      <c r="I1602" s="20"/>
      <c r="J1602" s="5"/>
      <c r="K1602" s="7"/>
      <c r="L1602" s="7"/>
      <c r="M1602" s="5"/>
      <c r="N1602" s="4"/>
      <c r="O1602" s="4"/>
    </row>
    <row r="1603" spans="1:15" x14ac:dyDescent="0.2">
      <c r="A1603" s="14"/>
      <c r="B1603" s="15"/>
      <c r="D1603" s="16"/>
      <c r="E1603" s="17"/>
      <c r="F1603" s="14"/>
      <c r="G1603" s="7"/>
      <c r="H1603" s="7"/>
      <c r="I1603" s="20"/>
      <c r="J1603" s="5"/>
      <c r="K1603" s="7"/>
      <c r="L1603" s="7"/>
      <c r="M1603" s="5"/>
      <c r="N1603" s="4"/>
      <c r="O1603" s="4"/>
    </row>
    <row r="1604" spans="1:15" x14ac:dyDescent="0.2">
      <c r="A1604" s="14"/>
      <c r="B1604" s="15"/>
      <c r="D1604" s="16"/>
      <c r="E1604" s="17"/>
      <c r="F1604" s="14"/>
      <c r="G1604" s="7"/>
      <c r="H1604" s="7"/>
      <c r="I1604" s="20"/>
      <c r="J1604" s="5"/>
      <c r="K1604" s="7"/>
      <c r="L1604" s="7"/>
      <c r="M1604" s="5"/>
      <c r="N1604" s="4"/>
      <c r="O1604" s="4"/>
    </row>
    <row r="1605" spans="1:15" x14ac:dyDescent="0.2">
      <c r="A1605" s="14"/>
      <c r="B1605" s="15"/>
      <c r="D1605" s="16"/>
      <c r="E1605" s="17"/>
      <c r="F1605" s="14"/>
      <c r="G1605" s="7"/>
      <c r="H1605" s="7"/>
      <c r="I1605" s="20"/>
      <c r="J1605" s="5"/>
      <c r="K1605" s="7"/>
      <c r="L1605" s="7"/>
      <c r="M1605" s="5"/>
      <c r="N1605" s="4"/>
      <c r="O1605" s="4"/>
    </row>
    <row r="1606" spans="1:15" x14ac:dyDescent="0.2">
      <c r="A1606" s="14"/>
      <c r="B1606" s="15"/>
      <c r="D1606" s="16"/>
      <c r="E1606" s="17"/>
      <c r="F1606" s="14"/>
      <c r="G1606" s="7"/>
      <c r="H1606" s="7"/>
      <c r="I1606" s="20"/>
      <c r="J1606" s="5"/>
      <c r="K1606" s="7"/>
      <c r="L1606" s="7"/>
      <c r="M1606" s="5"/>
      <c r="N1606" s="4"/>
      <c r="O1606" s="4"/>
    </row>
    <row r="1607" spans="1:15" x14ac:dyDescent="0.2">
      <c r="A1607" s="14"/>
      <c r="B1607" s="15"/>
      <c r="D1607" s="16"/>
      <c r="E1607" s="17"/>
      <c r="F1607" s="14"/>
      <c r="G1607" s="7"/>
      <c r="H1607" s="7"/>
      <c r="I1607" s="20"/>
      <c r="J1607" s="5"/>
      <c r="K1607" s="7"/>
      <c r="L1607" s="7"/>
      <c r="M1607" s="5"/>
      <c r="N1607" s="4"/>
      <c r="O1607" s="4"/>
    </row>
    <row r="1608" spans="1:15" x14ac:dyDescent="0.2">
      <c r="A1608" s="14"/>
      <c r="B1608" s="15"/>
      <c r="D1608" s="16"/>
      <c r="E1608" s="17"/>
      <c r="F1608" s="14"/>
      <c r="G1608" s="7"/>
      <c r="H1608" s="7"/>
      <c r="I1608" s="20"/>
      <c r="J1608" s="5"/>
      <c r="K1608" s="7"/>
      <c r="L1608" s="7"/>
      <c r="M1608" s="5"/>
      <c r="N1608" s="4"/>
      <c r="O1608" s="4"/>
    </row>
    <row r="1609" spans="1:15" x14ac:dyDescent="0.2">
      <c r="A1609" s="14"/>
      <c r="B1609" s="15"/>
      <c r="D1609" s="16"/>
      <c r="E1609" s="17"/>
      <c r="F1609" s="14"/>
      <c r="G1609" s="7"/>
      <c r="H1609" s="7"/>
      <c r="I1609" s="20"/>
      <c r="J1609" s="5"/>
      <c r="K1609" s="7"/>
      <c r="L1609" s="7"/>
      <c r="M1609" s="5"/>
      <c r="N1609" s="4"/>
      <c r="O1609" s="4"/>
    </row>
    <row r="1610" spans="1:15" x14ac:dyDescent="0.2">
      <c r="A1610" s="14"/>
      <c r="B1610" s="15"/>
      <c r="D1610" s="16"/>
      <c r="E1610" s="17"/>
      <c r="F1610" s="14"/>
      <c r="G1610" s="7"/>
      <c r="H1610" s="7"/>
      <c r="I1610" s="20"/>
      <c r="J1610" s="5"/>
      <c r="K1610" s="7"/>
      <c r="L1610" s="7"/>
      <c r="M1610" s="5"/>
      <c r="N1610" s="4"/>
      <c r="O1610" s="4"/>
    </row>
    <row r="1611" spans="1:15" x14ac:dyDescent="0.2">
      <c r="A1611" s="14"/>
      <c r="B1611" s="15"/>
      <c r="D1611" s="16"/>
      <c r="E1611" s="17"/>
      <c r="F1611" s="14"/>
      <c r="G1611" s="7"/>
      <c r="H1611" s="7"/>
      <c r="I1611" s="20"/>
      <c r="J1611" s="5"/>
      <c r="K1611" s="7"/>
      <c r="L1611" s="7"/>
      <c r="M1611" s="5"/>
      <c r="N1611" s="4"/>
      <c r="O1611" s="4"/>
    </row>
    <row r="1612" spans="1:15" x14ac:dyDescent="0.2">
      <c r="A1612" s="14"/>
      <c r="B1612" s="15"/>
      <c r="D1612" s="16"/>
      <c r="E1612" s="17"/>
      <c r="F1612" s="14"/>
      <c r="G1612" s="7"/>
      <c r="H1612" s="7"/>
      <c r="I1612" s="20"/>
      <c r="J1612" s="5"/>
      <c r="K1612" s="7"/>
      <c r="L1612" s="7"/>
      <c r="M1612" s="5"/>
      <c r="N1612" s="4"/>
      <c r="O1612" s="4"/>
    </row>
    <row r="1613" spans="1:15" x14ac:dyDescent="0.2">
      <c r="A1613" s="14"/>
      <c r="B1613" s="15"/>
      <c r="D1613" s="16"/>
      <c r="E1613" s="17"/>
      <c r="F1613" s="14"/>
      <c r="G1613" s="7"/>
      <c r="H1613" s="7"/>
      <c r="I1613" s="20"/>
      <c r="J1613" s="5"/>
      <c r="K1613" s="7"/>
      <c r="L1613" s="7"/>
      <c r="M1613" s="5"/>
      <c r="N1613" s="4"/>
      <c r="O1613" s="4"/>
    </row>
    <row r="1614" spans="1:15" x14ac:dyDescent="0.2">
      <c r="A1614" s="14"/>
      <c r="B1614" s="15"/>
      <c r="D1614" s="16"/>
      <c r="E1614" s="17"/>
      <c r="F1614" s="14"/>
      <c r="G1614" s="7"/>
      <c r="H1614" s="7"/>
      <c r="I1614" s="20"/>
      <c r="J1614" s="5"/>
      <c r="K1614" s="7"/>
      <c r="L1614" s="7"/>
      <c r="M1614" s="5"/>
      <c r="N1614" s="4"/>
      <c r="O1614" s="4"/>
    </row>
    <row r="1615" spans="1:15" x14ac:dyDescent="0.2">
      <c r="A1615" s="14"/>
      <c r="B1615" s="15"/>
      <c r="D1615" s="16"/>
      <c r="E1615" s="17"/>
      <c r="F1615" s="14"/>
      <c r="G1615" s="7"/>
      <c r="H1615" s="7"/>
      <c r="I1615" s="20"/>
      <c r="J1615" s="5"/>
      <c r="K1615" s="7"/>
      <c r="L1615" s="7"/>
      <c r="M1615" s="5"/>
      <c r="N1615" s="4"/>
      <c r="O1615" s="4"/>
    </row>
    <row r="1616" spans="1:15" x14ac:dyDescent="0.2">
      <c r="A1616" s="14"/>
      <c r="B1616" s="15"/>
      <c r="D1616" s="16"/>
      <c r="E1616" s="17"/>
      <c r="F1616" s="14"/>
      <c r="G1616" s="7"/>
      <c r="H1616" s="7"/>
      <c r="I1616" s="20"/>
      <c r="J1616" s="5"/>
      <c r="K1616" s="7"/>
      <c r="L1616" s="7"/>
      <c r="M1616" s="5"/>
      <c r="N1616" s="4"/>
      <c r="O1616" s="4"/>
    </row>
    <row r="1617" spans="1:15" x14ac:dyDescent="0.2">
      <c r="A1617" s="14"/>
      <c r="B1617" s="15"/>
      <c r="D1617" s="16"/>
      <c r="E1617" s="17"/>
      <c r="F1617" s="14"/>
      <c r="G1617" s="7"/>
      <c r="H1617" s="7"/>
      <c r="I1617" s="20"/>
      <c r="J1617" s="5"/>
      <c r="K1617" s="7"/>
      <c r="L1617" s="7"/>
      <c r="M1617" s="5"/>
      <c r="N1617" s="4"/>
      <c r="O1617" s="4"/>
    </row>
    <row r="1618" spans="1:15" x14ac:dyDescent="0.2">
      <c r="A1618" s="14"/>
      <c r="B1618" s="15"/>
      <c r="D1618" s="16"/>
      <c r="E1618" s="17"/>
      <c r="F1618" s="14"/>
      <c r="G1618" s="7"/>
      <c r="H1618" s="7"/>
      <c r="I1618" s="20"/>
      <c r="J1618" s="5"/>
      <c r="K1618" s="7"/>
      <c r="L1618" s="7"/>
      <c r="M1618" s="5"/>
      <c r="N1618" s="4"/>
      <c r="O1618" s="4"/>
    </row>
    <row r="1619" spans="1:15" x14ac:dyDescent="0.2">
      <c r="A1619" s="14"/>
      <c r="B1619" s="15"/>
      <c r="D1619" s="16"/>
      <c r="E1619" s="17"/>
      <c r="F1619" s="14"/>
      <c r="G1619" s="7"/>
      <c r="H1619" s="7"/>
      <c r="I1619" s="20"/>
      <c r="J1619" s="5"/>
      <c r="K1619" s="7"/>
      <c r="L1619" s="7"/>
      <c r="M1619" s="5"/>
      <c r="N1619" s="4"/>
      <c r="O1619" s="4"/>
    </row>
    <row r="1620" spans="1:15" x14ac:dyDescent="0.2">
      <c r="A1620" s="14"/>
      <c r="B1620" s="15"/>
      <c r="D1620" s="16"/>
      <c r="E1620" s="17"/>
      <c r="F1620" s="14"/>
      <c r="G1620" s="7"/>
      <c r="H1620" s="7"/>
      <c r="I1620" s="20"/>
      <c r="J1620" s="5"/>
      <c r="K1620" s="7"/>
      <c r="L1620" s="7"/>
      <c r="M1620" s="5"/>
      <c r="N1620" s="4"/>
      <c r="O1620" s="4"/>
    </row>
    <row r="1621" spans="1:15" x14ac:dyDescent="0.2">
      <c r="A1621" s="14"/>
      <c r="B1621" s="15"/>
      <c r="D1621" s="16"/>
      <c r="E1621" s="17"/>
      <c r="F1621" s="14"/>
      <c r="G1621" s="7"/>
      <c r="H1621" s="7"/>
      <c r="I1621" s="20"/>
      <c r="J1621" s="5"/>
      <c r="K1621" s="7"/>
      <c r="L1621" s="7"/>
      <c r="M1621" s="5"/>
      <c r="N1621" s="4"/>
      <c r="O1621" s="4"/>
    </row>
    <row r="1622" spans="1:15" x14ac:dyDescent="0.2">
      <c r="A1622" s="14"/>
      <c r="B1622" s="15"/>
      <c r="D1622" s="16"/>
      <c r="E1622" s="17"/>
      <c r="F1622" s="14"/>
      <c r="G1622" s="7"/>
      <c r="H1622" s="7"/>
      <c r="I1622" s="20"/>
      <c r="J1622" s="5"/>
      <c r="K1622" s="7"/>
      <c r="L1622" s="7"/>
      <c r="M1622" s="5"/>
      <c r="N1622" s="4"/>
      <c r="O1622" s="4"/>
    </row>
    <row r="1623" spans="1:15" x14ac:dyDescent="0.2">
      <c r="A1623" s="14"/>
      <c r="B1623" s="15"/>
      <c r="D1623" s="16"/>
      <c r="E1623" s="17"/>
      <c r="F1623" s="14"/>
      <c r="G1623" s="7"/>
      <c r="H1623" s="7"/>
      <c r="I1623" s="20"/>
      <c r="J1623" s="5"/>
      <c r="K1623" s="7"/>
      <c r="L1623" s="7"/>
      <c r="M1623" s="5"/>
      <c r="N1623" s="4"/>
      <c r="O1623" s="4"/>
    </row>
    <row r="1624" spans="1:15" x14ac:dyDescent="0.2">
      <c r="A1624" s="14"/>
      <c r="B1624" s="15"/>
      <c r="D1624" s="16"/>
      <c r="E1624" s="17"/>
      <c r="F1624" s="14"/>
      <c r="G1624" s="7"/>
      <c r="H1624" s="7"/>
      <c r="I1624" s="20"/>
      <c r="J1624" s="5"/>
      <c r="K1624" s="7"/>
      <c r="L1624" s="7"/>
      <c r="M1624" s="5"/>
      <c r="N1624" s="4"/>
      <c r="O1624" s="4"/>
    </row>
    <row r="1625" spans="1:15" x14ac:dyDescent="0.2">
      <c r="A1625" s="14"/>
      <c r="B1625" s="15"/>
      <c r="D1625" s="16"/>
      <c r="E1625" s="17"/>
      <c r="F1625" s="14"/>
      <c r="G1625" s="7"/>
      <c r="H1625" s="7"/>
      <c r="I1625" s="20"/>
      <c r="J1625" s="5"/>
      <c r="K1625" s="7"/>
      <c r="L1625" s="7"/>
      <c r="M1625" s="5"/>
      <c r="N1625" s="4"/>
      <c r="O1625" s="4"/>
    </row>
    <row r="1626" spans="1:15" x14ac:dyDescent="0.2">
      <c r="A1626" s="14"/>
      <c r="B1626" s="15"/>
      <c r="D1626" s="16"/>
      <c r="E1626" s="17"/>
      <c r="F1626" s="14"/>
      <c r="G1626" s="7"/>
      <c r="H1626" s="7"/>
      <c r="I1626" s="20"/>
      <c r="J1626" s="5"/>
      <c r="K1626" s="7"/>
      <c r="L1626" s="7"/>
      <c r="M1626" s="5"/>
      <c r="N1626" s="4"/>
      <c r="O1626" s="4"/>
    </row>
    <row r="1627" spans="1:15" x14ac:dyDescent="0.2">
      <c r="A1627" s="14"/>
      <c r="B1627" s="15"/>
      <c r="D1627" s="16"/>
      <c r="E1627" s="17"/>
      <c r="F1627" s="14"/>
      <c r="G1627" s="7"/>
      <c r="H1627" s="7"/>
      <c r="I1627" s="20"/>
      <c r="J1627" s="5"/>
      <c r="K1627" s="7"/>
      <c r="L1627" s="7"/>
      <c r="M1627" s="5"/>
      <c r="N1627" s="4"/>
      <c r="O1627" s="4"/>
    </row>
    <row r="1628" spans="1:15" x14ac:dyDescent="0.2">
      <c r="A1628" s="14"/>
      <c r="B1628" s="15"/>
      <c r="D1628" s="16"/>
      <c r="E1628" s="17"/>
      <c r="F1628" s="14"/>
      <c r="G1628" s="7"/>
      <c r="H1628" s="7"/>
      <c r="I1628" s="20"/>
      <c r="J1628" s="5"/>
      <c r="K1628" s="7"/>
      <c r="L1628" s="7"/>
      <c r="M1628" s="5"/>
      <c r="N1628" s="4"/>
      <c r="O1628" s="4"/>
    </row>
    <row r="1629" spans="1:15" x14ac:dyDescent="0.2">
      <c r="A1629" s="14"/>
      <c r="B1629" s="15"/>
      <c r="D1629" s="16"/>
      <c r="E1629" s="17"/>
      <c r="F1629" s="14"/>
      <c r="G1629" s="7"/>
      <c r="H1629" s="7"/>
      <c r="I1629" s="20"/>
      <c r="J1629" s="5"/>
      <c r="K1629" s="7"/>
      <c r="L1629" s="7"/>
      <c r="M1629" s="5"/>
      <c r="N1629" s="4"/>
      <c r="O1629" s="4"/>
    </row>
    <row r="1630" spans="1:15" x14ac:dyDescent="0.2">
      <c r="A1630" s="14"/>
      <c r="B1630" s="15"/>
      <c r="D1630" s="16"/>
      <c r="E1630" s="17"/>
      <c r="F1630" s="14"/>
      <c r="G1630" s="7"/>
      <c r="H1630" s="7"/>
      <c r="I1630" s="20"/>
      <c r="J1630" s="5"/>
      <c r="K1630" s="7"/>
      <c r="L1630" s="7"/>
      <c r="M1630" s="5"/>
      <c r="N1630" s="4"/>
      <c r="O1630" s="4"/>
    </row>
    <row r="1631" spans="1:15" x14ac:dyDescent="0.2">
      <c r="A1631" s="14"/>
      <c r="B1631" s="15"/>
      <c r="D1631" s="16"/>
      <c r="E1631" s="17"/>
      <c r="F1631" s="14"/>
      <c r="G1631" s="7"/>
      <c r="H1631" s="7"/>
      <c r="I1631" s="20"/>
      <c r="J1631" s="5"/>
      <c r="K1631" s="7"/>
      <c r="L1631" s="7"/>
      <c r="M1631" s="5"/>
      <c r="N1631" s="4"/>
      <c r="O1631" s="4"/>
    </row>
    <row r="1632" spans="1:15" x14ac:dyDescent="0.2">
      <c r="A1632" s="14"/>
      <c r="B1632" s="15"/>
      <c r="D1632" s="16"/>
      <c r="E1632" s="17"/>
      <c r="F1632" s="14"/>
      <c r="G1632" s="7"/>
      <c r="H1632" s="7"/>
      <c r="I1632" s="20"/>
      <c r="J1632" s="5"/>
      <c r="K1632" s="7"/>
      <c r="L1632" s="7"/>
      <c r="M1632" s="5"/>
      <c r="N1632" s="4"/>
      <c r="O1632" s="4"/>
    </row>
    <row r="1633" spans="1:15" x14ac:dyDescent="0.2">
      <c r="A1633" s="14"/>
      <c r="B1633" s="15"/>
      <c r="D1633" s="16"/>
      <c r="E1633" s="17"/>
      <c r="F1633" s="14"/>
      <c r="G1633" s="7"/>
      <c r="H1633" s="7"/>
      <c r="I1633" s="20"/>
      <c r="J1633" s="5"/>
      <c r="K1633" s="7"/>
      <c r="L1633" s="7"/>
      <c r="M1633" s="5"/>
      <c r="N1633" s="4"/>
      <c r="O1633" s="4"/>
    </row>
    <row r="1634" spans="1:15" x14ac:dyDescent="0.2">
      <c r="A1634" s="14"/>
      <c r="B1634" s="15"/>
      <c r="D1634" s="16"/>
      <c r="E1634" s="17"/>
      <c r="F1634" s="14"/>
      <c r="G1634" s="7"/>
      <c r="H1634" s="7"/>
      <c r="I1634" s="20"/>
      <c r="J1634" s="5"/>
      <c r="K1634" s="7"/>
      <c r="L1634" s="7"/>
      <c r="M1634" s="5"/>
      <c r="N1634" s="4"/>
      <c r="O1634" s="4"/>
    </row>
    <row r="1635" spans="1:15" x14ac:dyDescent="0.2">
      <c r="A1635" s="14"/>
      <c r="B1635" s="15"/>
      <c r="D1635" s="16"/>
      <c r="E1635" s="17"/>
      <c r="F1635" s="14"/>
      <c r="G1635" s="7"/>
      <c r="H1635" s="7"/>
      <c r="I1635" s="20"/>
      <c r="J1635" s="5"/>
      <c r="K1635" s="7"/>
      <c r="L1635" s="7"/>
      <c r="M1635" s="5"/>
      <c r="N1635" s="4"/>
      <c r="O1635" s="4"/>
    </row>
    <row r="1636" spans="1:15" x14ac:dyDescent="0.2">
      <c r="A1636" s="14"/>
      <c r="B1636" s="15"/>
      <c r="D1636" s="16"/>
      <c r="E1636" s="17"/>
      <c r="F1636" s="14"/>
      <c r="G1636" s="7"/>
      <c r="H1636" s="7"/>
      <c r="I1636" s="20"/>
      <c r="J1636" s="5"/>
      <c r="K1636" s="7"/>
      <c r="L1636" s="7"/>
      <c r="M1636" s="5"/>
      <c r="N1636" s="4"/>
      <c r="O1636" s="4"/>
    </row>
    <row r="1637" spans="1:15" x14ac:dyDescent="0.2">
      <c r="A1637" s="14"/>
      <c r="B1637" s="15"/>
      <c r="D1637" s="16"/>
      <c r="E1637" s="17"/>
      <c r="F1637" s="14"/>
      <c r="G1637" s="7"/>
      <c r="H1637" s="7"/>
      <c r="I1637" s="20"/>
      <c r="J1637" s="5"/>
      <c r="K1637" s="7"/>
      <c r="L1637" s="7"/>
      <c r="M1637" s="5"/>
      <c r="N1637" s="4"/>
      <c r="O1637" s="4"/>
    </row>
    <row r="1638" spans="1:15" x14ac:dyDescent="0.2">
      <c r="A1638" s="14"/>
      <c r="B1638" s="15"/>
      <c r="D1638" s="16"/>
      <c r="E1638" s="17"/>
      <c r="F1638" s="14"/>
      <c r="G1638" s="7"/>
      <c r="H1638" s="7"/>
      <c r="I1638" s="20"/>
      <c r="J1638" s="5"/>
      <c r="K1638" s="7"/>
      <c r="L1638" s="7"/>
      <c r="M1638" s="5"/>
      <c r="N1638" s="4"/>
      <c r="O1638" s="4"/>
    </row>
    <row r="1639" spans="1:15" x14ac:dyDescent="0.2">
      <c r="A1639" s="14"/>
      <c r="B1639" s="15"/>
      <c r="D1639" s="16"/>
      <c r="E1639" s="17"/>
      <c r="F1639" s="14"/>
      <c r="G1639" s="7"/>
      <c r="H1639" s="7"/>
      <c r="I1639" s="20"/>
      <c r="J1639" s="5"/>
      <c r="K1639" s="7"/>
      <c r="L1639" s="7"/>
      <c r="M1639" s="5"/>
      <c r="N1639" s="4"/>
      <c r="O1639" s="4"/>
    </row>
    <row r="1640" spans="1:15" x14ac:dyDescent="0.2">
      <c r="A1640" s="14"/>
      <c r="B1640" s="15"/>
      <c r="D1640" s="16"/>
      <c r="E1640" s="17"/>
      <c r="F1640" s="14"/>
      <c r="G1640" s="7"/>
      <c r="H1640" s="7"/>
      <c r="I1640" s="20"/>
      <c r="J1640" s="5"/>
      <c r="K1640" s="7"/>
      <c r="L1640" s="7"/>
      <c r="M1640" s="5"/>
      <c r="N1640" s="4"/>
      <c r="O1640" s="4"/>
    </row>
    <row r="1641" spans="1:15" x14ac:dyDescent="0.2">
      <c r="A1641" s="14"/>
      <c r="B1641" s="15"/>
      <c r="D1641" s="16"/>
      <c r="E1641" s="17"/>
      <c r="F1641" s="14"/>
      <c r="G1641" s="7"/>
      <c r="H1641" s="7"/>
      <c r="I1641" s="20"/>
      <c r="J1641" s="5"/>
      <c r="K1641" s="7"/>
      <c r="L1641" s="7"/>
      <c r="M1641" s="5"/>
      <c r="N1641" s="4"/>
      <c r="O1641" s="4"/>
    </row>
    <row r="1642" spans="1:15" x14ac:dyDescent="0.2">
      <c r="A1642" s="14"/>
      <c r="B1642" s="15"/>
      <c r="D1642" s="16"/>
      <c r="E1642" s="17"/>
      <c r="F1642" s="14"/>
      <c r="G1642" s="7"/>
      <c r="H1642" s="7"/>
      <c r="I1642" s="20"/>
      <c r="J1642" s="5"/>
      <c r="K1642" s="7"/>
      <c r="L1642" s="7"/>
      <c r="M1642" s="5"/>
      <c r="N1642" s="4"/>
      <c r="O1642" s="4"/>
    </row>
    <row r="1643" spans="1:15" x14ac:dyDescent="0.2">
      <c r="A1643" s="14"/>
      <c r="B1643" s="15"/>
      <c r="D1643" s="16"/>
      <c r="E1643" s="17"/>
      <c r="F1643" s="14"/>
      <c r="G1643" s="7"/>
      <c r="H1643" s="7"/>
      <c r="I1643" s="20"/>
      <c r="J1643" s="5"/>
      <c r="K1643" s="7"/>
      <c r="L1643" s="7"/>
      <c r="M1643" s="5"/>
      <c r="N1643" s="4"/>
      <c r="O1643" s="4"/>
    </row>
    <row r="1644" spans="1:15" x14ac:dyDescent="0.2">
      <c r="A1644" s="14"/>
      <c r="B1644" s="15"/>
      <c r="D1644" s="16"/>
      <c r="E1644" s="17"/>
      <c r="F1644" s="14"/>
      <c r="G1644" s="7"/>
      <c r="H1644" s="7"/>
      <c r="I1644" s="20"/>
      <c r="J1644" s="5"/>
      <c r="K1644" s="7"/>
      <c r="L1644" s="7"/>
      <c r="M1644" s="5"/>
      <c r="N1644" s="4"/>
      <c r="O1644" s="4"/>
    </row>
    <row r="1645" spans="1:15" x14ac:dyDescent="0.2">
      <c r="A1645" s="14"/>
      <c r="B1645" s="15"/>
      <c r="D1645" s="16"/>
      <c r="E1645" s="17"/>
      <c r="F1645" s="14"/>
      <c r="G1645" s="7"/>
      <c r="H1645" s="7"/>
      <c r="I1645" s="20"/>
      <c r="J1645" s="5"/>
      <c r="K1645" s="7"/>
      <c r="L1645" s="7"/>
      <c r="M1645" s="5"/>
      <c r="N1645" s="4"/>
      <c r="O1645" s="4"/>
    </row>
    <row r="1646" spans="1:15" x14ac:dyDescent="0.2">
      <c r="A1646" s="14"/>
      <c r="B1646" s="15"/>
      <c r="D1646" s="16"/>
      <c r="E1646" s="17"/>
      <c r="F1646" s="14"/>
      <c r="G1646" s="7"/>
      <c r="H1646" s="7"/>
      <c r="I1646" s="20"/>
      <c r="J1646" s="5"/>
      <c r="K1646" s="7"/>
      <c r="L1646" s="7"/>
      <c r="M1646" s="5"/>
      <c r="N1646" s="4"/>
      <c r="O1646" s="4"/>
    </row>
    <row r="1647" spans="1:15" x14ac:dyDescent="0.2">
      <c r="A1647" s="14"/>
      <c r="B1647" s="15"/>
      <c r="D1647" s="16"/>
      <c r="E1647" s="17"/>
      <c r="F1647" s="14"/>
      <c r="G1647" s="7"/>
      <c r="H1647" s="7"/>
      <c r="I1647" s="20"/>
      <c r="J1647" s="5"/>
      <c r="K1647" s="7"/>
      <c r="L1647" s="7"/>
      <c r="M1647" s="5"/>
      <c r="N1647" s="4"/>
      <c r="O1647" s="4"/>
    </row>
    <row r="1648" spans="1:15" x14ac:dyDescent="0.2">
      <c r="A1648" s="14"/>
      <c r="B1648" s="15"/>
      <c r="D1648" s="16"/>
      <c r="E1648" s="17"/>
      <c r="F1648" s="14"/>
      <c r="G1648" s="7"/>
      <c r="H1648" s="7"/>
      <c r="I1648" s="20"/>
      <c r="J1648" s="5"/>
      <c r="K1648" s="7"/>
      <c r="L1648" s="7"/>
      <c r="M1648" s="5"/>
      <c r="N1648" s="4"/>
      <c r="O1648" s="4"/>
    </row>
    <row r="1649" spans="1:15" x14ac:dyDescent="0.2">
      <c r="A1649" s="14"/>
      <c r="B1649" s="15"/>
      <c r="D1649" s="16"/>
      <c r="E1649" s="17"/>
      <c r="F1649" s="14"/>
      <c r="G1649" s="7"/>
      <c r="H1649" s="7"/>
      <c r="I1649" s="20"/>
      <c r="J1649" s="5"/>
      <c r="K1649" s="7"/>
      <c r="L1649" s="7"/>
      <c r="M1649" s="5"/>
      <c r="N1649" s="4"/>
      <c r="O1649" s="4"/>
    </row>
    <row r="1650" spans="1:15" x14ac:dyDescent="0.2">
      <c r="A1650" s="14"/>
      <c r="B1650" s="15"/>
      <c r="D1650" s="16"/>
      <c r="E1650" s="17"/>
      <c r="F1650" s="14"/>
      <c r="G1650" s="7"/>
      <c r="H1650" s="7"/>
      <c r="I1650" s="20"/>
      <c r="J1650" s="5"/>
      <c r="K1650" s="7"/>
      <c r="L1650" s="7"/>
      <c r="M1650" s="5"/>
      <c r="N1650" s="4"/>
      <c r="O1650" s="4"/>
    </row>
    <row r="1651" spans="1:15" x14ac:dyDescent="0.2">
      <c r="A1651" s="14"/>
      <c r="B1651" s="15"/>
      <c r="D1651" s="16"/>
      <c r="E1651" s="17"/>
      <c r="F1651" s="14"/>
      <c r="G1651" s="7"/>
      <c r="H1651" s="7"/>
      <c r="I1651" s="20"/>
      <c r="J1651" s="5"/>
      <c r="K1651" s="7"/>
      <c r="L1651" s="7"/>
      <c r="M1651" s="5"/>
      <c r="N1651" s="4"/>
      <c r="O1651" s="4"/>
    </row>
    <row r="1652" spans="1:15" x14ac:dyDescent="0.2">
      <c r="A1652" s="14"/>
      <c r="B1652" s="15"/>
      <c r="D1652" s="16"/>
      <c r="E1652" s="17"/>
      <c r="F1652" s="14"/>
      <c r="G1652" s="7"/>
      <c r="H1652" s="7"/>
      <c r="I1652" s="20"/>
      <c r="J1652" s="5"/>
      <c r="K1652" s="7"/>
      <c r="L1652" s="7"/>
      <c r="M1652" s="5"/>
      <c r="N1652" s="4"/>
      <c r="O1652" s="4"/>
    </row>
    <row r="1653" spans="1:15" x14ac:dyDescent="0.2">
      <c r="A1653" s="14"/>
      <c r="B1653" s="15"/>
      <c r="D1653" s="16"/>
      <c r="E1653" s="17"/>
      <c r="F1653" s="14"/>
      <c r="G1653" s="7"/>
      <c r="H1653" s="7"/>
      <c r="I1653" s="20"/>
      <c r="J1653" s="5"/>
      <c r="K1653" s="7"/>
      <c r="L1653" s="7"/>
      <c r="M1653" s="5"/>
      <c r="N1653" s="4"/>
      <c r="O1653" s="4"/>
    </row>
    <row r="1654" spans="1:15" x14ac:dyDescent="0.2">
      <c r="A1654" s="14"/>
      <c r="B1654" s="15"/>
      <c r="D1654" s="16"/>
      <c r="E1654" s="17"/>
      <c r="F1654" s="14"/>
      <c r="G1654" s="7"/>
      <c r="H1654" s="7"/>
      <c r="I1654" s="20"/>
      <c r="J1654" s="5"/>
      <c r="K1654" s="7"/>
      <c r="L1654" s="7"/>
      <c r="M1654" s="5"/>
      <c r="N1654" s="4"/>
      <c r="O1654" s="4"/>
    </row>
    <row r="1655" spans="1:15" x14ac:dyDescent="0.2">
      <c r="A1655" s="14"/>
      <c r="B1655" s="15"/>
      <c r="D1655" s="16"/>
      <c r="E1655" s="17"/>
      <c r="F1655" s="14"/>
      <c r="G1655" s="7"/>
      <c r="H1655" s="7"/>
      <c r="I1655" s="20"/>
      <c r="J1655" s="5"/>
      <c r="K1655" s="7"/>
      <c r="L1655" s="7"/>
      <c r="M1655" s="5"/>
      <c r="N1655" s="4"/>
      <c r="O1655" s="4"/>
    </row>
    <row r="1656" spans="1:15" x14ac:dyDescent="0.2">
      <c r="A1656" s="14"/>
      <c r="B1656" s="15"/>
      <c r="D1656" s="16"/>
      <c r="E1656" s="17"/>
      <c r="F1656" s="14"/>
      <c r="G1656" s="7"/>
      <c r="H1656" s="7"/>
      <c r="I1656" s="20"/>
      <c r="J1656" s="5"/>
      <c r="K1656" s="7"/>
      <c r="L1656" s="7"/>
      <c r="M1656" s="5"/>
      <c r="N1656" s="4"/>
      <c r="O1656" s="4"/>
    </row>
    <row r="1657" spans="1:15" x14ac:dyDescent="0.2">
      <c r="A1657" s="14"/>
      <c r="B1657" s="15"/>
      <c r="D1657" s="16"/>
      <c r="E1657" s="17"/>
      <c r="F1657" s="14"/>
      <c r="G1657" s="7"/>
      <c r="H1657" s="7"/>
      <c r="I1657" s="20"/>
      <c r="J1657" s="5"/>
      <c r="K1657" s="7"/>
      <c r="L1657" s="7"/>
      <c r="M1657" s="5"/>
      <c r="N1657" s="4"/>
      <c r="O1657" s="4"/>
    </row>
    <row r="1658" spans="1:15" x14ac:dyDescent="0.2">
      <c r="A1658" s="14"/>
      <c r="B1658" s="15"/>
      <c r="D1658" s="16"/>
      <c r="E1658" s="17"/>
      <c r="F1658" s="14"/>
      <c r="G1658" s="7"/>
      <c r="H1658" s="7"/>
      <c r="I1658" s="20"/>
      <c r="J1658" s="5"/>
      <c r="K1658" s="7"/>
      <c r="L1658" s="7"/>
      <c r="M1658" s="5"/>
      <c r="N1658" s="4"/>
      <c r="O1658" s="4"/>
    </row>
    <row r="1659" spans="1:15" x14ac:dyDescent="0.2">
      <c r="A1659" s="14"/>
      <c r="B1659" s="15"/>
      <c r="D1659" s="16"/>
      <c r="E1659" s="17"/>
      <c r="F1659" s="14"/>
      <c r="G1659" s="7"/>
      <c r="H1659" s="7"/>
      <c r="I1659" s="20"/>
      <c r="J1659" s="5"/>
      <c r="K1659" s="7"/>
      <c r="L1659" s="7"/>
      <c r="M1659" s="5"/>
      <c r="N1659" s="4"/>
      <c r="O1659" s="4"/>
    </row>
    <row r="1660" spans="1:15" x14ac:dyDescent="0.2">
      <c r="A1660" s="14"/>
      <c r="B1660" s="15"/>
      <c r="D1660" s="16"/>
      <c r="E1660" s="17"/>
      <c r="F1660" s="14"/>
      <c r="G1660" s="7"/>
      <c r="H1660" s="7"/>
      <c r="I1660" s="20"/>
      <c r="J1660" s="5"/>
      <c r="K1660" s="7"/>
      <c r="L1660" s="7"/>
      <c r="M1660" s="5"/>
      <c r="N1660" s="4"/>
      <c r="O1660" s="4"/>
    </row>
    <row r="1661" spans="1:15" x14ac:dyDescent="0.2">
      <c r="A1661" s="14"/>
      <c r="B1661" s="15"/>
      <c r="D1661" s="16"/>
      <c r="E1661" s="17"/>
      <c r="F1661" s="14"/>
      <c r="G1661" s="7"/>
      <c r="H1661" s="7"/>
      <c r="I1661" s="20"/>
      <c r="J1661" s="5"/>
      <c r="K1661" s="7"/>
      <c r="L1661" s="7"/>
      <c r="M1661" s="5"/>
      <c r="N1661" s="4"/>
      <c r="O1661" s="4"/>
    </row>
    <row r="1662" spans="1:15" x14ac:dyDescent="0.2">
      <c r="A1662" s="14"/>
      <c r="B1662" s="15"/>
      <c r="D1662" s="16"/>
      <c r="E1662" s="17"/>
      <c r="F1662" s="14"/>
      <c r="G1662" s="7"/>
      <c r="H1662" s="7"/>
      <c r="I1662" s="20"/>
      <c r="J1662" s="5"/>
      <c r="K1662" s="7"/>
      <c r="L1662" s="7"/>
      <c r="M1662" s="5"/>
      <c r="N1662" s="4"/>
      <c r="O1662" s="4"/>
    </row>
    <row r="1663" spans="1:15" x14ac:dyDescent="0.2">
      <c r="A1663" s="14"/>
      <c r="B1663" s="15"/>
      <c r="D1663" s="16"/>
      <c r="E1663" s="17"/>
      <c r="F1663" s="14"/>
      <c r="G1663" s="7"/>
      <c r="H1663" s="7"/>
      <c r="I1663" s="20"/>
      <c r="J1663" s="5"/>
      <c r="K1663" s="7"/>
      <c r="L1663" s="7"/>
      <c r="M1663" s="5"/>
      <c r="N1663" s="4"/>
      <c r="O1663" s="4"/>
    </row>
    <row r="1664" spans="1:15" x14ac:dyDescent="0.2">
      <c r="A1664" s="14"/>
      <c r="B1664" s="15"/>
      <c r="D1664" s="16"/>
      <c r="E1664" s="17"/>
      <c r="F1664" s="14"/>
      <c r="G1664" s="7"/>
      <c r="H1664" s="7"/>
      <c r="I1664" s="20"/>
      <c r="J1664" s="5"/>
      <c r="K1664" s="7"/>
      <c r="L1664" s="7"/>
      <c r="M1664" s="5"/>
      <c r="N1664" s="4"/>
      <c r="O1664" s="4"/>
    </row>
    <row r="1665" spans="1:15" x14ac:dyDescent="0.2">
      <c r="A1665" s="14"/>
      <c r="B1665" s="15"/>
      <c r="D1665" s="16"/>
      <c r="E1665" s="17"/>
      <c r="F1665" s="14"/>
      <c r="G1665" s="7"/>
      <c r="H1665" s="7"/>
      <c r="I1665" s="20"/>
      <c r="J1665" s="5"/>
      <c r="K1665" s="7"/>
      <c r="L1665" s="7"/>
      <c r="M1665" s="5"/>
      <c r="N1665" s="4"/>
      <c r="O1665" s="4"/>
    </row>
    <row r="1666" spans="1:15" x14ac:dyDescent="0.2">
      <c r="A1666" s="14"/>
      <c r="B1666" s="15"/>
      <c r="D1666" s="16"/>
      <c r="E1666" s="17"/>
      <c r="F1666" s="14"/>
      <c r="G1666" s="7"/>
      <c r="H1666" s="7"/>
      <c r="I1666" s="20"/>
      <c r="J1666" s="5"/>
      <c r="K1666" s="7"/>
      <c r="L1666" s="7"/>
      <c r="M1666" s="5"/>
      <c r="N1666" s="4"/>
      <c r="O1666" s="4"/>
    </row>
    <row r="1667" spans="1:15" x14ac:dyDescent="0.2">
      <c r="A1667" s="14"/>
      <c r="B1667" s="15"/>
      <c r="D1667" s="16"/>
      <c r="E1667" s="17"/>
      <c r="F1667" s="14"/>
      <c r="G1667" s="7"/>
      <c r="H1667" s="7"/>
      <c r="I1667" s="20"/>
      <c r="J1667" s="5"/>
      <c r="K1667" s="7"/>
      <c r="L1667" s="7"/>
      <c r="M1667" s="5"/>
      <c r="N1667" s="4"/>
      <c r="O1667" s="4"/>
    </row>
    <row r="1668" spans="1:15" x14ac:dyDescent="0.2">
      <c r="A1668" s="14"/>
      <c r="B1668" s="15"/>
      <c r="D1668" s="16"/>
      <c r="E1668" s="17"/>
      <c r="F1668" s="14"/>
      <c r="G1668" s="7"/>
      <c r="H1668" s="7"/>
      <c r="I1668" s="20"/>
      <c r="J1668" s="5"/>
      <c r="K1668" s="7"/>
      <c r="L1668" s="7"/>
      <c r="M1668" s="5"/>
      <c r="N1668" s="4"/>
      <c r="O1668" s="4"/>
    </row>
    <row r="1669" spans="1:15" x14ac:dyDescent="0.2">
      <c r="A1669" s="14"/>
      <c r="B1669" s="15"/>
      <c r="D1669" s="16"/>
      <c r="E1669" s="17"/>
      <c r="F1669" s="14"/>
      <c r="G1669" s="7"/>
      <c r="H1669" s="7"/>
      <c r="I1669" s="20"/>
      <c r="J1669" s="5"/>
      <c r="K1669" s="7"/>
      <c r="L1669" s="7"/>
      <c r="M1669" s="5"/>
      <c r="N1669" s="4"/>
      <c r="O1669" s="4"/>
    </row>
    <row r="1670" spans="1:15" x14ac:dyDescent="0.2">
      <c r="A1670" s="14"/>
      <c r="B1670" s="15"/>
      <c r="D1670" s="16"/>
      <c r="E1670" s="17"/>
      <c r="F1670" s="14"/>
      <c r="G1670" s="7"/>
      <c r="H1670" s="7"/>
      <c r="I1670" s="20"/>
      <c r="J1670" s="5"/>
      <c r="K1670" s="7"/>
      <c r="L1670" s="7"/>
      <c r="M1670" s="5"/>
      <c r="N1670" s="4"/>
      <c r="O1670" s="4"/>
    </row>
    <row r="1671" spans="1:15" x14ac:dyDescent="0.2">
      <c r="A1671" s="14"/>
      <c r="B1671" s="15"/>
      <c r="D1671" s="16"/>
      <c r="E1671" s="17"/>
      <c r="F1671" s="14"/>
      <c r="G1671" s="7"/>
      <c r="H1671" s="7"/>
      <c r="I1671" s="20"/>
      <c r="J1671" s="5"/>
      <c r="K1671" s="7"/>
      <c r="L1671" s="7"/>
      <c r="M1671" s="5"/>
      <c r="N1671" s="4"/>
      <c r="O1671" s="4"/>
    </row>
    <row r="1672" spans="1:15" x14ac:dyDescent="0.2">
      <c r="A1672" s="14"/>
      <c r="B1672" s="15"/>
      <c r="D1672" s="16"/>
      <c r="E1672" s="17"/>
      <c r="F1672" s="14"/>
      <c r="G1672" s="7"/>
      <c r="H1672" s="7"/>
      <c r="I1672" s="20"/>
      <c r="J1672" s="5"/>
      <c r="K1672" s="7"/>
      <c r="L1672" s="7"/>
      <c r="M1672" s="5"/>
      <c r="N1672" s="4"/>
      <c r="O1672" s="4"/>
    </row>
    <row r="1673" spans="1:15" x14ac:dyDescent="0.2">
      <c r="A1673" s="14"/>
      <c r="B1673" s="15"/>
      <c r="D1673" s="16"/>
      <c r="E1673" s="17"/>
      <c r="F1673" s="14"/>
      <c r="G1673" s="7"/>
      <c r="H1673" s="7"/>
      <c r="I1673" s="20"/>
      <c r="J1673" s="5"/>
      <c r="K1673" s="7"/>
      <c r="L1673" s="7"/>
      <c r="M1673" s="5"/>
      <c r="N1673" s="4"/>
      <c r="O1673" s="4"/>
    </row>
    <row r="1674" spans="1:15" x14ac:dyDescent="0.2">
      <c r="A1674" s="14"/>
      <c r="B1674" s="15"/>
      <c r="D1674" s="16"/>
      <c r="E1674" s="17"/>
      <c r="F1674" s="14"/>
      <c r="G1674" s="7"/>
      <c r="H1674" s="7"/>
      <c r="I1674" s="20"/>
      <c r="J1674" s="5"/>
      <c r="K1674" s="7"/>
      <c r="L1674" s="7"/>
      <c r="M1674" s="5"/>
      <c r="N1674" s="4"/>
      <c r="O1674" s="4"/>
    </row>
    <row r="1675" spans="1:15" x14ac:dyDescent="0.2">
      <c r="A1675" s="14"/>
      <c r="B1675" s="15"/>
      <c r="D1675" s="16"/>
      <c r="E1675" s="17"/>
      <c r="F1675" s="14"/>
      <c r="G1675" s="7"/>
      <c r="H1675" s="7"/>
      <c r="I1675" s="20"/>
      <c r="J1675" s="5"/>
      <c r="K1675" s="7"/>
      <c r="L1675" s="7"/>
      <c r="M1675" s="5"/>
      <c r="N1675" s="4"/>
      <c r="O1675" s="4"/>
    </row>
    <row r="1676" spans="1:15" x14ac:dyDescent="0.2">
      <c r="A1676" s="14"/>
      <c r="B1676" s="15"/>
      <c r="D1676" s="16"/>
      <c r="E1676" s="17"/>
      <c r="F1676" s="14"/>
      <c r="G1676" s="7"/>
      <c r="H1676" s="7"/>
      <c r="I1676" s="20"/>
      <c r="J1676" s="5"/>
      <c r="K1676" s="7"/>
      <c r="L1676" s="7"/>
      <c r="M1676" s="5"/>
      <c r="N1676" s="4"/>
      <c r="O1676" s="4"/>
    </row>
    <row r="1677" spans="1:15" x14ac:dyDescent="0.2">
      <c r="A1677" s="14"/>
      <c r="B1677" s="15"/>
      <c r="D1677" s="16"/>
      <c r="E1677" s="17"/>
      <c r="F1677" s="14"/>
      <c r="G1677" s="7"/>
      <c r="H1677" s="7"/>
      <c r="I1677" s="20"/>
      <c r="J1677" s="5"/>
      <c r="K1677" s="7"/>
      <c r="L1677" s="7"/>
      <c r="M1677" s="5"/>
      <c r="N1677" s="4"/>
      <c r="O1677" s="4"/>
    </row>
    <row r="1678" spans="1:15" x14ac:dyDescent="0.2">
      <c r="A1678" s="14"/>
      <c r="B1678" s="15"/>
      <c r="D1678" s="16"/>
      <c r="E1678" s="17"/>
      <c r="F1678" s="14"/>
      <c r="G1678" s="7"/>
      <c r="H1678" s="7"/>
      <c r="I1678" s="20"/>
      <c r="J1678" s="5"/>
      <c r="K1678" s="7"/>
      <c r="L1678" s="7"/>
      <c r="M1678" s="5"/>
      <c r="N1678" s="4"/>
      <c r="O1678" s="4"/>
    </row>
    <row r="1679" spans="1:15" x14ac:dyDescent="0.2">
      <c r="A1679" s="14"/>
      <c r="B1679" s="15"/>
      <c r="D1679" s="16"/>
      <c r="E1679" s="17"/>
      <c r="F1679" s="14"/>
      <c r="G1679" s="7"/>
      <c r="H1679" s="7"/>
      <c r="I1679" s="20"/>
      <c r="J1679" s="5"/>
      <c r="K1679" s="7"/>
      <c r="L1679" s="7"/>
      <c r="M1679" s="5"/>
      <c r="N1679" s="4"/>
      <c r="O1679" s="4"/>
    </row>
    <row r="1680" spans="1:15" x14ac:dyDescent="0.2">
      <c r="A1680" s="14"/>
      <c r="B1680" s="15"/>
      <c r="D1680" s="16"/>
      <c r="E1680" s="17"/>
      <c r="F1680" s="14"/>
      <c r="G1680" s="7"/>
      <c r="H1680" s="7"/>
      <c r="I1680" s="20"/>
      <c r="J1680" s="5"/>
      <c r="K1680" s="7"/>
      <c r="L1680" s="7"/>
      <c r="M1680" s="5"/>
      <c r="N1680" s="4"/>
      <c r="O1680" s="4"/>
    </row>
    <row r="1681" spans="1:15" x14ac:dyDescent="0.2">
      <c r="A1681" s="14"/>
      <c r="B1681" s="15"/>
      <c r="D1681" s="16"/>
      <c r="E1681" s="17"/>
      <c r="F1681" s="14"/>
      <c r="G1681" s="7"/>
      <c r="H1681" s="7"/>
      <c r="I1681" s="20"/>
      <c r="J1681" s="5"/>
      <c r="K1681" s="7"/>
      <c r="L1681" s="7"/>
      <c r="M1681" s="5"/>
      <c r="N1681" s="4"/>
      <c r="O1681" s="4"/>
    </row>
    <row r="1682" spans="1:15" x14ac:dyDescent="0.2">
      <c r="A1682" s="14"/>
      <c r="B1682" s="15"/>
      <c r="D1682" s="16"/>
      <c r="E1682" s="17"/>
      <c r="F1682" s="14"/>
      <c r="G1682" s="7"/>
      <c r="H1682" s="7"/>
      <c r="I1682" s="20"/>
      <c r="J1682" s="5"/>
      <c r="K1682" s="7"/>
      <c r="L1682" s="7"/>
      <c r="M1682" s="5"/>
      <c r="N1682" s="4"/>
      <c r="O1682" s="4"/>
    </row>
    <row r="1683" spans="1:15" x14ac:dyDescent="0.2">
      <c r="A1683" s="14"/>
      <c r="B1683" s="15"/>
      <c r="D1683" s="16"/>
      <c r="E1683" s="17"/>
      <c r="F1683" s="14"/>
      <c r="G1683" s="7"/>
      <c r="H1683" s="7"/>
      <c r="I1683" s="20"/>
      <c r="J1683" s="5"/>
      <c r="K1683" s="7"/>
      <c r="L1683" s="7"/>
      <c r="M1683" s="5"/>
      <c r="N1683" s="4"/>
      <c r="O1683" s="4"/>
    </row>
    <row r="1684" spans="1:15" x14ac:dyDescent="0.2">
      <c r="A1684" s="14"/>
      <c r="B1684" s="15"/>
      <c r="D1684" s="16"/>
      <c r="E1684" s="17"/>
      <c r="F1684" s="14"/>
      <c r="G1684" s="7"/>
      <c r="H1684" s="7"/>
      <c r="I1684" s="20"/>
      <c r="J1684" s="5"/>
      <c r="K1684" s="7"/>
      <c r="L1684" s="7"/>
      <c r="M1684" s="5"/>
      <c r="N1684" s="4"/>
      <c r="O1684" s="4"/>
    </row>
    <row r="1685" spans="1:15" x14ac:dyDescent="0.2">
      <c r="A1685" s="14"/>
      <c r="B1685" s="15"/>
      <c r="D1685" s="16"/>
      <c r="E1685" s="17"/>
      <c r="F1685" s="14"/>
      <c r="G1685" s="7"/>
      <c r="H1685" s="7"/>
      <c r="I1685" s="20"/>
      <c r="J1685" s="5"/>
      <c r="K1685" s="7"/>
      <c r="L1685" s="7"/>
      <c r="M1685" s="5"/>
      <c r="N1685" s="4"/>
      <c r="O1685" s="4"/>
    </row>
    <row r="1686" spans="1:15" x14ac:dyDescent="0.2">
      <c r="A1686" s="14"/>
      <c r="B1686" s="15"/>
      <c r="D1686" s="16"/>
      <c r="E1686" s="17"/>
      <c r="F1686" s="14"/>
      <c r="G1686" s="7"/>
      <c r="H1686" s="7"/>
      <c r="I1686" s="20"/>
      <c r="J1686" s="5"/>
      <c r="K1686" s="7"/>
      <c r="L1686" s="7"/>
      <c r="M1686" s="5"/>
      <c r="N1686" s="4"/>
      <c r="O1686" s="4"/>
    </row>
    <row r="1687" spans="1:15" x14ac:dyDescent="0.2">
      <c r="A1687" s="14"/>
      <c r="B1687" s="15"/>
      <c r="D1687" s="16"/>
      <c r="E1687" s="17"/>
      <c r="F1687" s="14"/>
      <c r="G1687" s="7"/>
      <c r="H1687" s="7"/>
      <c r="I1687" s="20"/>
      <c r="J1687" s="5"/>
      <c r="K1687" s="7"/>
      <c r="L1687" s="7"/>
      <c r="M1687" s="5"/>
      <c r="N1687" s="4"/>
      <c r="O1687" s="4"/>
    </row>
    <row r="1688" spans="1:15" x14ac:dyDescent="0.2">
      <c r="A1688" s="14"/>
      <c r="B1688" s="15"/>
      <c r="D1688" s="16"/>
      <c r="E1688" s="17"/>
      <c r="F1688" s="14"/>
      <c r="G1688" s="7"/>
      <c r="H1688" s="7"/>
      <c r="I1688" s="20"/>
      <c r="J1688" s="5"/>
      <c r="K1688" s="7"/>
      <c r="L1688" s="7"/>
      <c r="M1688" s="5"/>
      <c r="N1688" s="4"/>
      <c r="O1688" s="4"/>
    </row>
    <row r="1689" spans="1:15" x14ac:dyDescent="0.2">
      <c r="A1689" s="14"/>
      <c r="B1689" s="15"/>
      <c r="D1689" s="16"/>
      <c r="E1689" s="17"/>
      <c r="F1689" s="14"/>
      <c r="G1689" s="7"/>
      <c r="H1689" s="7"/>
      <c r="I1689" s="20"/>
      <c r="J1689" s="5"/>
      <c r="K1689" s="7"/>
      <c r="L1689" s="7"/>
      <c r="M1689" s="5"/>
      <c r="N1689" s="4"/>
      <c r="O1689" s="4"/>
    </row>
    <row r="1690" spans="1:15" x14ac:dyDescent="0.2">
      <c r="A1690" s="14"/>
      <c r="B1690" s="15"/>
      <c r="D1690" s="16"/>
      <c r="E1690" s="17"/>
      <c r="F1690" s="14"/>
      <c r="G1690" s="7"/>
      <c r="H1690" s="7"/>
      <c r="I1690" s="20"/>
      <c r="J1690" s="5"/>
      <c r="K1690" s="7"/>
      <c r="L1690" s="7"/>
      <c r="M1690" s="5"/>
      <c r="N1690" s="4"/>
      <c r="O1690" s="4"/>
    </row>
    <row r="1691" spans="1:15" x14ac:dyDescent="0.2">
      <c r="A1691" s="14"/>
      <c r="B1691" s="15"/>
      <c r="D1691" s="16"/>
      <c r="E1691" s="17"/>
      <c r="F1691" s="14"/>
      <c r="G1691" s="7"/>
      <c r="H1691" s="7"/>
      <c r="I1691" s="20"/>
      <c r="J1691" s="5"/>
      <c r="K1691" s="7"/>
      <c r="L1691" s="7"/>
      <c r="M1691" s="5"/>
      <c r="N1691" s="4"/>
      <c r="O1691" s="4"/>
    </row>
    <row r="1692" spans="1:15" x14ac:dyDescent="0.2">
      <c r="A1692" s="14"/>
      <c r="B1692" s="15"/>
      <c r="D1692" s="16"/>
      <c r="E1692" s="17"/>
      <c r="F1692" s="14"/>
      <c r="G1692" s="7"/>
      <c r="H1692" s="7"/>
      <c r="I1692" s="20"/>
      <c r="J1692" s="5"/>
      <c r="K1692" s="7"/>
      <c r="L1692" s="7"/>
      <c r="M1692" s="5"/>
      <c r="N1692" s="4"/>
      <c r="O1692" s="4"/>
    </row>
    <row r="1693" spans="1:15" x14ac:dyDescent="0.2">
      <c r="A1693" s="14"/>
      <c r="B1693" s="15"/>
      <c r="D1693" s="16"/>
      <c r="E1693" s="17"/>
      <c r="F1693" s="14"/>
      <c r="G1693" s="7"/>
      <c r="H1693" s="7"/>
      <c r="I1693" s="20"/>
      <c r="J1693" s="5"/>
      <c r="K1693" s="7"/>
      <c r="L1693" s="7"/>
      <c r="M1693" s="5"/>
      <c r="N1693" s="4"/>
      <c r="O1693" s="4"/>
    </row>
    <row r="1694" spans="1:15" x14ac:dyDescent="0.2">
      <c r="A1694" s="14"/>
      <c r="B1694" s="15"/>
      <c r="D1694" s="16"/>
      <c r="E1694" s="17"/>
      <c r="F1694" s="14"/>
      <c r="G1694" s="7"/>
      <c r="H1694" s="7"/>
      <c r="I1694" s="20"/>
      <c r="J1694" s="5"/>
      <c r="K1694" s="7"/>
      <c r="L1694" s="7"/>
      <c r="M1694" s="5"/>
      <c r="N1694" s="4"/>
      <c r="O1694" s="4"/>
    </row>
    <row r="1695" spans="1:15" x14ac:dyDescent="0.2">
      <c r="A1695" s="14"/>
      <c r="B1695" s="15"/>
      <c r="D1695" s="16"/>
      <c r="E1695" s="17"/>
      <c r="F1695" s="14"/>
      <c r="G1695" s="7"/>
      <c r="H1695" s="7"/>
      <c r="I1695" s="20"/>
      <c r="J1695" s="5"/>
      <c r="K1695" s="7"/>
      <c r="L1695" s="7"/>
      <c r="M1695" s="5"/>
      <c r="N1695" s="4"/>
      <c r="O1695" s="4"/>
    </row>
    <row r="1696" spans="1:15" x14ac:dyDescent="0.2">
      <c r="A1696" s="14"/>
      <c r="B1696" s="15"/>
      <c r="D1696" s="16"/>
      <c r="E1696" s="17"/>
      <c r="F1696" s="14"/>
      <c r="G1696" s="7"/>
      <c r="H1696" s="7"/>
      <c r="I1696" s="20"/>
      <c r="J1696" s="5"/>
      <c r="K1696" s="7"/>
      <c r="L1696" s="7"/>
      <c r="M1696" s="5"/>
      <c r="N1696" s="4"/>
      <c r="O1696" s="4"/>
    </row>
    <row r="1697" spans="1:15" x14ac:dyDescent="0.2">
      <c r="A1697" s="14"/>
      <c r="B1697" s="15"/>
      <c r="D1697" s="16"/>
      <c r="E1697" s="17"/>
      <c r="F1697" s="14"/>
      <c r="G1697" s="7"/>
      <c r="H1697" s="7"/>
      <c r="I1697" s="20"/>
      <c r="J1697" s="5"/>
      <c r="K1697" s="7"/>
      <c r="L1697" s="7"/>
      <c r="M1697" s="5"/>
      <c r="N1697" s="4"/>
      <c r="O1697" s="4"/>
    </row>
    <row r="1698" spans="1:15" x14ac:dyDescent="0.2">
      <c r="A1698" s="14"/>
      <c r="B1698" s="15"/>
      <c r="D1698" s="16"/>
      <c r="E1698" s="17"/>
      <c r="F1698" s="14"/>
      <c r="G1698" s="7"/>
      <c r="H1698" s="7"/>
      <c r="I1698" s="20"/>
      <c r="J1698" s="5"/>
      <c r="K1698" s="7"/>
      <c r="L1698" s="7"/>
      <c r="M1698" s="5"/>
      <c r="N1698" s="4"/>
      <c r="O1698" s="4"/>
    </row>
    <row r="1699" spans="1:15" x14ac:dyDescent="0.2">
      <c r="A1699" s="14"/>
      <c r="B1699" s="15"/>
      <c r="D1699" s="16"/>
      <c r="E1699" s="17"/>
      <c r="F1699" s="14"/>
      <c r="G1699" s="7"/>
      <c r="H1699" s="7"/>
      <c r="I1699" s="20"/>
      <c r="J1699" s="5"/>
      <c r="K1699" s="7"/>
      <c r="L1699" s="7"/>
      <c r="M1699" s="5"/>
      <c r="N1699" s="4"/>
      <c r="O1699" s="4"/>
    </row>
    <row r="1700" spans="1:15" x14ac:dyDescent="0.2">
      <c r="A1700" s="14"/>
      <c r="B1700" s="15"/>
      <c r="D1700" s="16"/>
      <c r="E1700" s="17"/>
      <c r="F1700" s="14"/>
      <c r="G1700" s="7"/>
      <c r="H1700" s="7"/>
      <c r="I1700" s="20"/>
      <c r="J1700" s="5"/>
      <c r="K1700" s="7"/>
      <c r="L1700" s="7"/>
      <c r="M1700" s="5"/>
      <c r="N1700" s="4"/>
      <c r="O1700" s="4"/>
    </row>
    <row r="1701" spans="1:15" x14ac:dyDescent="0.2">
      <c r="A1701" s="14"/>
      <c r="B1701" s="15"/>
      <c r="D1701" s="16"/>
      <c r="E1701" s="17"/>
      <c r="F1701" s="14"/>
      <c r="G1701" s="7"/>
      <c r="H1701" s="7"/>
      <c r="I1701" s="20"/>
      <c r="J1701" s="5"/>
      <c r="K1701" s="7"/>
      <c r="L1701" s="7"/>
      <c r="M1701" s="5"/>
      <c r="N1701" s="4"/>
      <c r="O1701" s="4"/>
    </row>
    <row r="1702" spans="1:15" x14ac:dyDescent="0.2">
      <c r="A1702" s="14"/>
      <c r="B1702" s="15"/>
      <c r="D1702" s="16"/>
      <c r="E1702" s="17"/>
      <c r="F1702" s="14"/>
      <c r="G1702" s="7"/>
      <c r="H1702" s="7"/>
      <c r="I1702" s="20"/>
      <c r="J1702" s="5"/>
      <c r="K1702" s="7"/>
      <c r="L1702" s="7"/>
      <c r="M1702" s="5"/>
      <c r="N1702" s="4"/>
      <c r="O1702" s="4"/>
    </row>
    <row r="1703" spans="1:15" x14ac:dyDescent="0.2">
      <c r="A1703" s="14"/>
      <c r="B1703" s="15"/>
      <c r="D1703" s="16"/>
      <c r="E1703" s="17"/>
      <c r="F1703" s="14"/>
      <c r="G1703" s="7"/>
      <c r="H1703" s="7"/>
      <c r="I1703" s="20"/>
      <c r="J1703" s="5"/>
      <c r="K1703" s="7"/>
      <c r="L1703" s="7"/>
      <c r="M1703" s="5"/>
      <c r="N1703" s="4"/>
      <c r="O1703" s="4"/>
    </row>
    <row r="1704" spans="1:15" x14ac:dyDescent="0.2">
      <c r="A1704" s="14"/>
      <c r="B1704" s="15"/>
      <c r="D1704" s="16"/>
      <c r="E1704" s="17"/>
      <c r="F1704" s="14"/>
      <c r="G1704" s="7"/>
      <c r="H1704" s="7"/>
      <c r="I1704" s="20"/>
      <c r="J1704" s="5"/>
      <c r="K1704" s="7"/>
      <c r="L1704" s="7"/>
      <c r="M1704" s="5"/>
      <c r="N1704" s="4"/>
      <c r="O1704" s="4"/>
    </row>
    <row r="1705" spans="1:15" x14ac:dyDescent="0.2">
      <c r="A1705" s="14"/>
      <c r="B1705" s="15"/>
      <c r="D1705" s="16"/>
      <c r="E1705" s="17"/>
      <c r="F1705" s="14"/>
      <c r="G1705" s="7"/>
      <c r="H1705" s="7"/>
      <c r="I1705" s="20"/>
      <c r="J1705" s="5"/>
      <c r="K1705" s="7"/>
      <c r="L1705" s="7"/>
      <c r="M1705" s="5"/>
      <c r="N1705" s="4"/>
      <c r="O1705" s="4"/>
    </row>
    <row r="1706" spans="1:15" x14ac:dyDescent="0.2">
      <c r="A1706" s="14"/>
      <c r="B1706" s="15"/>
      <c r="D1706" s="16"/>
      <c r="E1706" s="17"/>
      <c r="F1706" s="14"/>
      <c r="G1706" s="7"/>
      <c r="H1706" s="7"/>
      <c r="I1706" s="20"/>
      <c r="J1706" s="5"/>
      <c r="K1706" s="7"/>
      <c r="L1706" s="7"/>
      <c r="M1706" s="5"/>
      <c r="N1706" s="4"/>
      <c r="O1706" s="4"/>
    </row>
    <row r="1707" spans="1:15" x14ac:dyDescent="0.2">
      <c r="A1707" s="14"/>
      <c r="B1707" s="15"/>
      <c r="D1707" s="16"/>
      <c r="E1707" s="17"/>
      <c r="F1707" s="14"/>
      <c r="G1707" s="7"/>
      <c r="H1707" s="7"/>
      <c r="I1707" s="20"/>
      <c r="J1707" s="5"/>
      <c r="K1707" s="7"/>
      <c r="L1707" s="7"/>
      <c r="M1707" s="5"/>
      <c r="N1707" s="4"/>
      <c r="O1707" s="4"/>
    </row>
    <row r="1708" spans="1:15" x14ac:dyDescent="0.2">
      <c r="A1708" s="14"/>
      <c r="B1708" s="15"/>
      <c r="D1708" s="16"/>
      <c r="E1708" s="17"/>
      <c r="F1708" s="14"/>
      <c r="G1708" s="7"/>
      <c r="H1708" s="7"/>
      <c r="I1708" s="20"/>
      <c r="J1708" s="5"/>
      <c r="K1708" s="7"/>
      <c r="L1708" s="7"/>
      <c r="M1708" s="5"/>
      <c r="N1708" s="4"/>
      <c r="O1708" s="4"/>
    </row>
    <row r="1709" spans="1:15" x14ac:dyDescent="0.2">
      <c r="A1709" s="14"/>
      <c r="B1709" s="15"/>
      <c r="D1709" s="16"/>
      <c r="E1709" s="17"/>
      <c r="F1709" s="14"/>
      <c r="G1709" s="7"/>
      <c r="H1709" s="7"/>
      <c r="I1709" s="20"/>
      <c r="J1709" s="5"/>
      <c r="K1709" s="7"/>
      <c r="L1709" s="7"/>
      <c r="M1709" s="5"/>
      <c r="N1709" s="4"/>
      <c r="O1709" s="4"/>
    </row>
    <row r="1710" spans="1:15" x14ac:dyDescent="0.2">
      <c r="A1710" s="14"/>
      <c r="B1710" s="15"/>
      <c r="D1710" s="16"/>
      <c r="E1710" s="17"/>
      <c r="F1710" s="14"/>
      <c r="G1710" s="7"/>
      <c r="H1710" s="7"/>
      <c r="I1710" s="20"/>
      <c r="J1710" s="5"/>
      <c r="K1710" s="7"/>
      <c r="L1710" s="7"/>
      <c r="M1710" s="5"/>
      <c r="N1710" s="4"/>
      <c r="O1710" s="4"/>
    </row>
    <row r="1711" spans="1:15" x14ac:dyDescent="0.2">
      <c r="A1711" s="14"/>
      <c r="B1711" s="15"/>
      <c r="D1711" s="16"/>
      <c r="E1711" s="17"/>
      <c r="F1711" s="14"/>
      <c r="G1711" s="7"/>
      <c r="H1711" s="7"/>
      <c r="I1711" s="20"/>
      <c r="J1711" s="5"/>
      <c r="K1711" s="7"/>
      <c r="L1711" s="7"/>
      <c r="M1711" s="5"/>
      <c r="N1711" s="4"/>
      <c r="O1711" s="4"/>
    </row>
    <row r="1712" spans="1:15" x14ac:dyDescent="0.2">
      <c r="A1712" s="14"/>
      <c r="B1712" s="15"/>
      <c r="D1712" s="16"/>
      <c r="E1712" s="17"/>
      <c r="F1712" s="14"/>
      <c r="G1712" s="7"/>
      <c r="H1712" s="7"/>
      <c r="I1712" s="20"/>
      <c r="J1712" s="5"/>
      <c r="K1712" s="7"/>
      <c r="L1712" s="7"/>
      <c r="M1712" s="5"/>
      <c r="N1712" s="4"/>
      <c r="O1712" s="4"/>
    </row>
    <row r="1713" spans="1:15" x14ac:dyDescent="0.2">
      <c r="A1713" s="14"/>
      <c r="B1713" s="15"/>
      <c r="D1713" s="16"/>
      <c r="E1713" s="17"/>
      <c r="F1713" s="14"/>
      <c r="G1713" s="7"/>
      <c r="H1713" s="7"/>
      <c r="I1713" s="20"/>
      <c r="J1713" s="5"/>
      <c r="K1713" s="7"/>
      <c r="L1713" s="7"/>
      <c r="M1713" s="5"/>
      <c r="N1713" s="4"/>
      <c r="O1713" s="4"/>
    </row>
    <row r="1714" spans="1:15" x14ac:dyDescent="0.2">
      <c r="A1714" s="14"/>
      <c r="B1714" s="15"/>
      <c r="D1714" s="16"/>
      <c r="E1714" s="17"/>
      <c r="F1714" s="14"/>
      <c r="G1714" s="7"/>
      <c r="H1714" s="7"/>
      <c r="I1714" s="20"/>
      <c r="J1714" s="5"/>
      <c r="K1714" s="7"/>
      <c r="L1714" s="7"/>
      <c r="M1714" s="5"/>
      <c r="N1714" s="4"/>
      <c r="O1714" s="4"/>
    </row>
    <row r="1715" spans="1:15" x14ac:dyDescent="0.2">
      <c r="A1715" s="14"/>
      <c r="B1715" s="15"/>
      <c r="D1715" s="16"/>
      <c r="E1715" s="17"/>
      <c r="F1715" s="14"/>
      <c r="G1715" s="7"/>
      <c r="H1715" s="7"/>
      <c r="I1715" s="20"/>
      <c r="J1715" s="5"/>
      <c r="K1715" s="7"/>
      <c r="L1715" s="7"/>
      <c r="M1715" s="5"/>
      <c r="N1715" s="4"/>
      <c r="O1715" s="4"/>
    </row>
    <row r="1716" spans="1:15" x14ac:dyDescent="0.2">
      <c r="A1716" s="14"/>
      <c r="B1716" s="15"/>
      <c r="D1716" s="16"/>
      <c r="E1716" s="17"/>
      <c r="F1716" s="14"/>
      <c r="G1716" s="7"/>
      <c r="H1716" s="7"/>
      <c r="I1716" s="20"/>
      <c r="J1716" s="5"/>
      <c r="K1716" s="7"/>
      <c r="L1716" s="7"/>
      <c r="M1716" s="5"/>
      <c r="N1716" s="4"/>
      <c r="O1716" s="4"/>
    </row>
    <row r="1717" spans="1:15" x14ac:dyDescent="0.2">
      <c r="A1717" s="14"/>
      <c r="B1717" s="15"/>
      <c r="D1717" s="16"/>
      <c r="E1717" s="17"/>
      <c r="F1717" s="14"/>
      <c r="G1717" s="7"/>
      <c r="H1717" s="7"/>
      <c r="I1717" s="20"/>
      <c r="J1717" s="5"/>
      <c r="K1717" s="7"/>
      <c r="L1717" s="7"/>
      <c r="M1717" s="5"/>
      <c r="N1717" s="4"/>
      <c r="O1717" s="4"/>
    </row>
    <row r="1718" spans="1:15" x14ac:dyDescent="0.2">
      <c r="A1718" s="14"/>
      <c r="B1718" s="15"/>
      <c r="D1718" s="16"/>
      <c r="E1718" s="17"/>
      <c r="F1718" s="14"/>
      <c r="G1718" s="7"/>
      <c r="H1718" s="7"/>
      <c r="I1718" s="20"/>
      <c r="J1718" s="5"/>
      <c r="K1718" s="7"/>
      <c r="L1718" s="7"/>
      <c r="M1718" s="5"/>
      <c r="N1718" s="4"/>
      <c r="O1718" s="4"/>
    </row>
    <row r="1719" spans="1:15" x14ac:dyDescent="0.2">
      <c r="A1719" s="14"/>
      <c r="B1719" s="15"/>
      <c r="D1719" s="16"/>
      <c r="E1719" s="17"/>
      <c r="F1719" s="14"/>
      <c r="G1719" s="7"/>
      <c r="H1719" s="7"/>
      <c r="I1719" s="20"/>
      <c r="J1719" s="5"/>
      <c r="K1719" s="7"/>
      <c r="L1719" s="7"/>
      <c r="M1719" s="5"/>
      <c r="N1719" s="4"/>
      <c r="O1719" s="4"/>
    </row>
    <row r="1720" spans="1:15" x14ac:dyDescent="0.2">
      <c r="A1720" s="14"/>
      <c r="B1720" s="15"/>
      <c r="D1720" s="16"/>
      <c r="E1720" s="17"/>
      <c r="F1720" s="14"/>
      <c r="G1720" s="7"/>
      <c r="H1720" s="7"/>
      <c r="I1720" s="20"/>
      <c r="J1720" s="5"/>
      <c r="K1720" s="7"/>
      <c r="L1720" s="7"/>
      <c r="M1720" s="5"/>
      <c r="N1720" s="4"/>
      <c r="O1720" s="4"/>
    </row>
    <row r="1721" spans="1:15" x14ac:dyDescent="0.2">
      <c r="A1721" s="14"/>
      <c r="B1721" s="15"/>
      <c r="D1721" s="16"/>
      <c r="E1721" s="17"/>
      <c r="F1721" s="14"/>
      <c r="G1721" s="7"/>
      <c r="H1721" s="7"/>
      <c r="I1721" s="20"/>
      <c r="J1721" s="5"/>
      <c r="K1721" s="7"/>
      <c r="L1721" s="7"/>
      <c r="M1721" s="5"/>
      <c r="N1721" s="4"/>
      <c r="O1721" s="4"/>
    </row>
    <row r="1722" spans="1:15" x14ac:dyDescent="0.2">
      <c r="A1722" s="14"/>
      <c r="B1722" s="15"/>
      <c r="D1722" s="16"/>
      <c r="E1722" s="17"/>
      <c r="F1722" s="14"/>
      <c r="G1722" s="7"/>
      <c r="H1722" s="7"/>
      <c r="I1722" s="20"/>
      <c r="J1722" s="5"/>
      <c r="K1722" s="7"/>
      <c r="L1722" s="7"/>
      <c r="M1722" s="5"/>
      <c r="N1722" s="4"/>
      <c r="O1722" s="4"/>
    </row>
    <row r="1723" spans="1:15" x14ac:dyDescent="0.2">
      <c r="A1723" s="14"/>
      <c r="B1723" s="15"/>
      <c r="D1723" s="16"/>
      <c r="E1723" s="17"/>
      <c r="F1723" s="14"/>
      <c r="G1723" s="7"/>
      <c r="H1723" s="7"/>
      <c r="I1723" s="20"/>
      <c r="J1723" s="5"/>
      <c r="K1723" s="7"/>
      <c r="L1723" s="7"/>
      <c r="M1723" s="5"/>
      <c r="N1723" s="4"/>
      <c r="O1723" s="4"/>
    </row>
    <row r="1724" spans="1:15" x14ac:dyDescent="0.2">
      <c r="A1724" s="14"/>
      <c r="B1724" s="15"/>
      <c r="D1724" s="16"/>
      <c r="E1724" s="17"/>
      <c r="F1724" s="14"/>
      <c r="G1724" s="7"/>
      <c r="H1724" s="7"/>
      <c r="I1724" s="20"/>
      <c r="J1724" s="5"/>
      <c r="K1724" s="7"/>
      <c r="L1724" s="7"/>
      <c r="M1724" s="5"/>
      <c r="N1724" s="4"/>
      <c r="O1724" s="4"/>
    </row>
    <row r="1725" spans="1:15" x14ac:dyDescent="0.2">
      <c r="A1725" s="14"/>
      <c r="B1725" s="15"/>
      <c r="D1725" s="16"/>
      <c r="E1725" s="17"/>
      <c r="F1725" s="14"/>
      <c r="G1725" s="7"/>
      <c r="H1725" s="7"/>
      <c r="I1725" s="20"/>
      <c r="J1725" s="5"/>
      <c r="K1725" s="7"/>
      <c r="L1725" s="7"/>
      <c r="M1725" s="5"/>
      <c r="N1725" s="4"/>
      <c r="O1725" s="4"/>
    </row>
    <row r="1726" spans="1:15" x14ac:dyDescent="0.2">
      <c r="A1726" s="14"/>
      <c r="B1726" s="15"/>
      <c r="D1726" s="16"/>
      <c r="E1726" s="17"/>
      <c r="F1726" s="14"/>
      <c r="G1726" s="7"/>
      <c r="H1726" s="7"/>
      <c r="I1726" s="20"/>
      <c r="J1726" s="5"/>
      <c r="K1726" s="7"/>
      <c r="L1726" s="7"/>
      <c r="M1726" s="5"/>
      <c r="N1726" s="4"/>
      <c r="O1726" s="4"/>
    </row>
    <row r="1727" spans="1:15" x14ac:dyDescent="0.2">
      <c r="A1727" s="14"/>
      <c r="B1727" s="15"/>
      <c r="D1727" s="16"/>
      <c r="E1727" s="17"/>
      <c r="F1727" s="14"/>
      <c r="G1727" s="7"/>
      <c r="H1727" s="7"/>
      <c r="I1727" s="20"/>
      <c r="J1727" s="5"/>
      <c r="K1727" s="7"/>
      <c r="L1727" s="7"/>
      <c r="M1727" s="5"/>
      <c r="N1727" s="4"/>
      <c r="O1727" s="4"/>
    </row>
    <row r="1728" spans="1:15" x14ac:dyDescent="0.2">
      <c r="A1728" s="14"/>
      <c r="B1728" s="15"/>
      <c r="D1728" s="16"/>
      <c r="E1728" s="17"/>
      <c r="F1728" s="14"/>
      <c r="G1728" s="7"/>
      <c r="H1728" s="7"/>
      <c r="I1728" s="20"/>
      <c r="J1728" s="5"/>
      <c r="K1728" s="7"/>
      <c r="L1728" s="7"/>
      <c r="M1728" s="5"/>
      <c r="N1728" s="4"/>
      <c r="O1728" s="4"/>
    </row>
    <row r="1729" spans="1:15" x14ac:dyDescent="0.2">
      <c r="A1729" s="14"/>
      <c r="B1729" s="15"/>
      <c r="D1729" s="16"/>
      <c r="E1729" s="17"/>
      <c r="F1729" s="14"/>
      <c r="G1729" s="7"/>
      <c r="H1729" s="7"/>
      <c r="I1729" s="20"/>
      <c r="J1729" s="5"/>
      <c r="K1729" s="7"/>
      <c r="L1729" s="7"/>
      <c r="M1729" s="5"/>
      <c r="N1729" s="4"/>
      <c r="O1729" s="4"/>
    </row>
    <row r="1730" spans="1:15" x14ac:dyDescent="0.2">
      <c r="A1730" s="14"/>
      <c r="B1730" s="15"/>
      <c r="D1730" s="16"/>
      <c r="E1730" s="17"/>
      <c r="F1730" s="14"/>
      <c r="G1730" s="7"/>
      <c r="H1730" s="7"/>
      <c r="I1730" s="20"/>
      <c r="J1730" s="5"/>
      <c r="K1730" s="7"/>
      <c r="L1730" s="7"/>
      <c r="M1730" s="5"/>
      <c r="N1730" s="4"/>
      <c r="O1730" s="4"/>
    </row>
    <row r="1731" spans="1:15" x14ac:dyDescent="0.2">
      <c r="A1731" s="14"/>
      <c r="B1731" s="15"/>
      <c r="D1731" s="16"/>
      <c r="E1731" s="17"/>
      <c r="F1731" s="14"/>
      <c r="G1731" s="7"/>
      <c r="H1731" s="7"/>
      <c r="I1731" s="20"/>
      <c r="J1731" s="5"/>
      <c r="K1731" s="7"/>
      <c r="L1731" s="7"/>
      <c r="M1731" s="5"/>
      <c r="N1731" s="4"/>
      <c r="O1731" s="4"/>
    </row>
    <row r="1732" spans="1:15" x14ac:dyDescent="0.2">
      <c r="A1732" s="14"/>
      <c r="B1732" s="15"/>
      <c r="D1732" s="16"/>
      <c r="E1732" s="17"/>
      <c r="F1732" s="14"/>
      <c r="G1732" s="7"/>
      <c r="H1732" s="7"/>
      <c r="I1732" s="20"/>
      <c r="J1732" s="5"/>
      <c r="K1732" s="7"/>
      <c r="L1732" s="7"/>
      <c r="M1732" s="5"/>
      <c r="N1732" s="4"/>
      <c r="O1732" s="4"/>
    </row>
    <row r="1733" spans="1:15" x14ac:dyDescent="0.2">
      <c r="A1733" s="14"/>
      <c r="B1733" s="15"/>
      <c r="D1733" s="16"/>
      <c r="E1733" s="17"/>
      <c r="F1733" s="14"/>
      <c r="G1733" s="7"/>
      <c r="H1733" s="7"/>
      <c r="I1733" s="20"/>
      <c r="J1733" s="5"/>
      <c r="K1733" s="7"/>
      <c r="L1733" s="7"/>
      <c r="M1733" s="5"/>
      <c r="N1733" s="4"/>
      <c r="O1733" s="4"/>
    </row>
    <row r="1734" spans="1:15" x14ac:dyDescent="0.2">
      <c r="A1734" s="14"/>
      <c r="B1734" s="15"/>
      <c r="D1734" s="16"/>
      <c r="E1734" s="17"/>
      <c r="F1734" s="14"/>
      <c r="G1734" s="7"/>
      <c r="H1734" s="7"/>
      <c r="I1734" s="20"/>
      <c r="J1734" s="5"/>
      <c r="K1734" s="7"/>
      <c r="L1734" s="7"/>
      <c r="M1734" s="5"/>
      <c r="N1734" s="4"/>
      <c r="O1734" s="4"/>
    </row>
    <row r="1735" spans="1:15" x14ac:dyDescent="0.2">
      <c r="A1735" s="14"/>
      <c r="B1735" s="15"/>
      <c r="D1735" s="16"/>
      <c r="E1735" s="17"/>
      <c r="F1735" s="14"/>
      <c r="G1735" s="7"/>
      <c r="H1735" s="7"/>
      <c r="I1735" s="20"/>
      <c r="J1735" s="5"/>
      <c r="K1735" s="7"/>
      <c r="L1735" s="7"/>
      <c r="M1735" s="5"/>
      <c r="N1735" s="4"/>
      <c r="O1735" s="4"/>
    </row>
    <row r="1736" spans="1:15" x14ac:dyDescent="0.2">
      <c r="A1736" s="14"/>
      <c r="B1736" s="15"/>
      <c r="D1736" s="16"/>
      <c r="E1736" s="17"/>
      <c r="F1736" s="14"/>
      <c r="G1736" s="7"/>
      <c r="H1736" s="7"/>
      <c r="I1736" s="20"/>
      <c r="J1736" s="5"/>
      <c r="K1736" s="7"/>
      <c r="L1736" s="7"/>
      <c r="M1736" s="5"/>
      <c r="N1736" s="4"/>
      <c r="O1736" s="4"/>
    </row>
    <row r="1737" spans="1:15" x14ac:dyDescent="0.2">
      <c r="A1737" s="14"/>
      <c r="B1737" s="15"/>
      <c r="D1737" s="16"/>
      <c r="E1737" s="17"/>
      <c r="F1737" s="14"/>
      <c r="G1737" s="7"/>
      <c r="H1737" s="7"/>
      <c r="I1737" s="20"/>
      <c r="J1737" s="5"/>
      <c r="K1737" s="7"/>
      <c r="L1737" s="7"/>
      <c r="M1737" s="5"/>
      <c r="N1737" s="4"/>
      <c r="O1737" s="4"/>
    </row>
    <row r="1738" spans="1:15" x14ac:dyDescent="0.2">
      <c r="A1738" s="14"/>
      <c r="B1738" s="15"/>
      <c r="D1738" s="16"/>
      <c r="E1738" s="17"/>
      <c r="F1738" s="14"/>
      <c r="G1738" s="7"/>
      <c r="H1738" s="7"/>
      <c r="I1738" s="20"/>
      <c r="J1738" s="5"/>
      <c r="K1738" s="7"/>
      <c r="L1738" s="7"/>
      <c r="M1738" s="5"/>
      <c r="N1738" s="4"/>
      <c r="O1738" s="4"/>
    </row>
    <row r="1739" spans="1:15" x14ac:dyDescent="0.2">
      <c r="A1739" s="14"/>
      <c r="B1739" s="15"/>
      <c r="D1739" s="16"/>
      <c r="E1739" s="17"/>
      <c r="F1739" s="14"/>
      <c r="G1739" s="7"/>
      <c r="H1739" s="7"/>
      <c r="I1739" s="20"/>
      <c r="J1739" s="5"/>
      <c r="K1739" s="7"/>
      <c r="L1739" s="7"/>
      <c r="M1739" s="5"/>
      <c r="N1739" s="4"/>
      <c r="O1739" s="4"/>
    </row>
    <row r="1740" spans="1:15" x14ac:dyDescent="0.2">
      <c r="A1740" s="14"/>
      <c r="B1740" s="15"/>
      <c r="D1740" s="16"/>
      <c r="E1740" s="17"/>
      <c r="F1740" s="14"/>
      <c r="G1740" s="7"/>
      <c r="H1740" s="7"/>
      <c r="I1740" s="20"/>
      <c r="J1740" s="5"/>
      <c r="K1740" s="7"/>
      <c r="L1740" s="7"/>
      <c r="M1740" s="5"/>
      <c r="N1740" s="4"/>
      <c r="O1740" s="4"/>
    </row>
    <row r="1741" spans="1:15" x14ac:dyDescent="0.2">
      <c r="A1741" s="14"/>
      <c r="B1741" s="15"/>
      <c r="D1741" s="16"/>
      <c r="E1741" s="17"/>
      <c r="F1741" s="14"/>
      <c r="G1741" s="7"/>
      <c r="H1741" s="7"/>
      <c r="I1741" s="20"/>
      <c r="J1741" s="5"/>
      <c r="K1741" s="7"/>
      <c r="L1741" s="7"/>
      <c r="M1741" s="5"/>
      <c r="N1741" s="4"/>
      <c r="O1741" s="4"/>
    </row>
    <row r="1742" spans="1:15" x14ac:dyDescent="0.2">
      <c r="A1742" s="14"/>
      <c r="B1742" s="15"/>
      <c r="D1742" s="16"/>
      <c r="E1742" s="17"/>
      <c r="F1742" s="14"/>
      <c r="G1742" s="7"/>
      <c r="H1742" s="7"/>
      <c r="I1742" s="20"/>
      <c r="J1742" s="5"/>
      <c r="K1742" s="7"/>
      <c r="L1742" s="7"/>
      <c r="M1742" s="5"/>
      <c r="N1742" s="4"/>
      <c r="O1742" s="4"/>
    </row>
    <row r="1743" spans="1:15" x14ac:dyDescent="0.2">
      <c r="A1743" s="14"/>
      <c r="B1743" s="15"/>
      <c r="D1743" s="16"/>
      <c r="E1743" s="17"/>
      <c r="F1743" s="14"/>
      <c r="G1743" s="7"/>
      <c r="H1743" s="7"/>
      <c r="I1743" s="20"/>
      <c r="J1743" s="5"/>
      <c r="K1743" s="7"/>
      <c r="L1743" s="7"/>
      <c r="M1743" s="5"/>
      <c r="N1743" s="4"/>
      <c r="O1743" s="4"/>
    </row>
    <row r="1744" spans="1:15" x14ac:dyDescent="0.2">
      <c r="A1744" s="14"/>
      <c r="B1744" s="15"/>
      <c r="D1744" s="16"/>
      <c r="E1744" s="17"/>
      <c r="F1744" s="14"/>
      <c r="G1744" s="7"/>
      <c r="H1744" s="7"/>
      <c r="I1744" s="20"/>
      <c r="J1744" s="5"/>
      <c r="K1744" s="7"/>
      <c r="L1744" s="7"/>
      <c r="M1744" s="5"/>
      <c r="N1744" s="4"/>
      <c r="O1744" s="4"/>
    </row>
    <row r="1745" spans="1:15" x14ac:dyDescent="0.2">
      <c r="A1745" s="14"/>
      <c r="B1745" s="15"/>
      <c r="D1745" s="16"/>
      <c r="E1745" s="17"/>
      <c r="F1745" s="14"/>
      <c r="G1745" s="7"/>
      <c r="H1745" s="7"/>
      <c r="I1745" s="20"/>
      <c r="J1745" s="5"/>
      <c r="K1745" s="7"/>
      <c r="L1745" s="7"/>
      <c r="M1745" s="5"/>
      <c r="N1745" s="4"/>
      <c r="O1745" s="4"/>
    </row>
    <row r="1746" spans="1:15" x14ac:dyDescent="0.2">
      <c r="A1746" s="14"/>
      <c r="B1746" s="15"/>
      <c r="D1746" s="16"/>
      <c r="E1746" s="17"/>
      <c r="F1746" s="14"/>
      <c r="G1746" s="7"/>
      <c r="H1746" s="7"/>
      <c r="I1746" s="20"/>
      <c r="J1746" s="5"/>
      <c r="K1746" s="7"/>
      <c r="L1746" s="7"/>
      <c r="M1746" s="5"/>
      <c r="N1746" s="4"/>
      <c r="O1746" s="4"/>
    </row>
    <row r="1747" spans="1:15" x14ac:dyDescent="0.2">
      <c r="A1747" s="14"/>
      <c r="B1747" s="15"/>
      <c r="D1747" s="16"/>
      <c r="E1747" s="17"/>
      <c r="F1747" s="14"/>
      <c r="G1747" s="7"/>
      <c r="H1747" s="7"/>
      <c r="I1747" s="20"/>
      <c r="J1747" s="5"/>
      <c r="K1747" s="7"/>
      <c r="L1747" s="7"/>
      <c r="M1747" s="5"/>
      <c r="N1747" s="4"/>
      <c r="O1747" s="4"/>
    </row>
    <row r="1748" spans="1:15" x14ac:dyDescent="0.2">
      <c r="A1748" s="14"/>
      <c r="B1748" s="15"/>
      <c r="D1748" s="16"/>
      <c r="E1748" s="17"/>
      <c r="F1748" s="14"/>
      <c r="G1748" s="7"/>
      <c r="H1748" s="7"/>
      <c r="I1748" s="20"/>
      <c r="J1748" s="5"/>
      <c r="K1748" s="7"/>
      <c r="L1748" s="7"/>
      <c r="M1748" s="5"/>
      <c r="N1748" s="4"/>
      <c r="O1748" s="4"/>
    </row>
    <row r="1749" spans="1:15" x14ac:dyDescent="0.2">
      <c r="A1749" s="14"/>
      <c r="B1749" s="15"/>
      <c r="D1749" s="16"/>
      <c r="E1749" s="17"/>
      <c r="F1749" s="14"/>
      <c r="G1749" s="7"/>
      <c r="H1749" s="7"/>
      <c r="I1749" s="20"/>
      <c r="J1749" s="5"/>
      <c r="K1749" s="7"/>
      <c r="L1749" s="7"/>
      <c r="M1749" s="5"/>
      <c r="N1749" s="4"/>
      <c r="O1749" s="4"/>
    </row>
    <row r="1750" spans="1:15" x14ac:dyDescent="0.2">
      <c r="A1750" s="14"/>
      <c r="B1750" s="15"/>
      <c r="D1750" s="16"/>
      <c r="E1750" s="17"/>
      <c r="F1750" s="14"/>
      <c r="G1750" s="7"/>
      <c r="H1750" s="7"/>
      <c r="I1750" s="20"/>
      <c r="J1750" s="5"/>
      <c r="K1750" s="7"/>
      <c r="L1750" s="7"/>
      <c r="M1750" s="5"/>
      <c r="N1750" s="4"/>
      <c r="O1750" s="4"/>
    </row>
    <row r="1751" spans="1:15" x14ac:dyDescent="0.2">
      <c r="A1751" s="14"/>
      <c r="B1751" s="15"/>
      <c r="D1751" s="16"/>
      <c r="E1751" s="17"/>
      <c r="F1751" s="14"/>
      <c r="G1751" s="7"/>
      <c r="H1751" s="7"/>
      <c r="I1751" s="20"/>
      <c r="J1751" s="5"/>
      <c r="K1751" s="7"/>
      <c r="L1751" s="7"/>
      <c r="M1751" s="5"/>
      <c r="N1751" s="4"/>
      <c r="O1751" s="4"/>
    </row>
    <row r="1752" spans="1:15" x14ac:dyDescent="0.2">
      <c r="A1752" s="14"/>
      <c r="B1752" s="15"/>
      <c r="D1752" s="16"/>
      <c r="E1752" s="17"/>
      <c r="F1752" s="14"/>
      <c r="G1752" s="7"/>
      <c r="H1752" s="7"/>
      <c r="I1752" s="20"/>
      <c r="J1752" s="5"/>
      <c r="K1752" s="7"/>
      <c r="L1752" s="7"/>
      <c r="M1752" s="5"/>
      <c r="N1752" s="4"/>
      <c r="O1752" s="4"/>
    </row>
    <row r="1753" spans="1:15" x14ac:dyDescent="0.2">
      <c r="A1753" s="14"/>
      <c r="B1753" s="15"/>
      <c r="D1753" s="16"/>
      <c r="E1753" s="17"/>
      <c r="F1753" s="14"/>
      <c r="G1753" s="7"/>
      <c r="H1753" s="7"/>
      <c r="I1753" s="20"/>
      <c r="J1753" s="5"/>
      <c r="K1753" s="7"/>
      <c r="L1753" s="7"/>
      <c r="M1753" s="5"/>
      <c r="N1753" s="4"/>
      <c r="O1753" s="4"/>
    </row>
    <row r="1754" spans="1:15" x14ac:dyDescent="0.2">
      <c r="A1754" s="14"/>
      <c r="B1754" s="15"/>
      <c r="D1754" s="16"/>
      <c r="E1754" s="17"/>
      <c r="F1754" s="14"/>
      <c r="G1754" s="7"/>
      <c r="H1754" s="7"/>
      <c r="I1754" s="20"/>
      <c r="J1754" s="5"/>
      <c r="K1754" s="7"/>
      <c r="L1754" s="7"/>
      <c r="M1754" s="5"/>
      <c r="N1754" s="4"/>
      <c r="O1754" s="4"/>
    </row>
    <row r="1755" spans="1:15" x14ac:dyDescent="0.2">
      <c r="A1755" s="14"/>
      <c r="B1755" s="15"/>
      <c r="D1755" s="16"/>
      <c r="E1755" s="17"/>
      <c r="F1755" s="14"/>
      <c r="G1755" s="7"/>
      <c r="H1755" s="7"/>
      <c r="I1755" s="20"/>
      <c r="J1755" s="5"/>
      <c r="K1755" s="7"/>
      <c r="L1755" s="7"/>
      <c r="M1755" s="5"/>
      <c r="N1755" s="4"/>
      <c r="O1755" s="4"/>
    </row>
    <row r="1756" spans="1:15" x14ac:dyDescent="0.2">
      <c r="A1756" s="14"/>
      <c r="B1756" s="15"/>
      <c r="D1756" s="16"/>
      <c r="E1756" s="17"/>
      <c r="F1756" s="14"/>
      <c r="G1756" s="7"/>
      <c r="H1756" s="7"/>
      <c r="I1756" s="20"/>
      <c r="J1756" s="5"/>
      <c r="K1756" s="7"/>
      <c r="L1756" s="7"/>
      <c r="M1756" s="5"/>
      <c r="N1756" s="4"/>
      <c r="O1756" s="4"/>
    </row>
    <row r="1757" spans="1:15" x14ac:dyDescent="0.2">
      <c r="A1757" s="14"/>
      <c r="B1757" s="15"/>
      <c r="D1757" s="16"/>
      <c r="E1757" s="17"/>
      <c r="F1757" s="14"/>
      <c r="G1757" s="7"/>
      <c r="H1757" s="7"/>
      <c r="I1757" s="20"/>
      <c r="J1757" s="5"/>
      <c r="K1757" s="7"/>
      <c r="L1757" s="7"/>
      <c r="M1757" s="5"/>
      <c r="N1757" s="4"/>
      <c r="O1757" s="4"/>
    </row>
    <row r="1758" spans="1:15" x14ac:dyDescent="0.2">
      <c r="A1758" s="14"/>
      <c r="B1758" s="15"/>
      <c r="D1758" s="16"/>
      <c r="E1758" s="17"/>
      <c r="F1758" s="14"/>
      <c r="G1758" s="7"/>
      <c r="H1758" s="7"/>
      <c r="I1758" s="20"/>
      <c r="J1758" s="5"/>
      <c r="K1758" s="7"/>
      <c r="L1758" s="7"/>
      <c r="M1758" s="5"/>
      <c r="N1758" s="4"/>
      <c r="O1758" s="4"/>
    </row>
    <row r="1759" spans="1:15" x14ac:dyDescent="0.2">
      <c r="A1759" s="14"/>
      <c r="B1759" s="15"/>
      <c r="D1759" s="16"/>
      <c r="E1759" s="17"/>
      <c r="F1759" s="14"/>
      <c r="G1759" s="7"/>
      <c r="H1759" s="7"/>
      <c r="I1759" s="20"/>
      <c r="J1759" s="5"/>
      <c r="K1759" s="7"/>
      <c r="L1759" s="7"/>
      <c r="M1759" s="5"/>
      <c r="N1759" s="4"/>
      <c r="O1759" s="4"/>
    </row>
    <row r="1760" spans="1:15" x14ac:dyDescent="0.2">
      <c r="A1760" s="14"/>
      <c r="B1760" s="15"/>
      <c r="D1760" s="16"/>
      <c r="E1760" s="17"/>
      <c r="F1760" s="14"/>
      <c r="G1760" s="7"/>
      <c r="H1760" s="7"/>
      <c r="I1760" s="20"/>
      <c r="J1760" s="5"/>
      <c r="K1760" s="7"/>
      <c r="L1760" s="7"/>
      <c r="M1760" s="5"/>
      <c r="N1760" s="4"/>
      <c r="O1760" s="4"/>
    </row>
    <row r="1761" spans="1:15" x14ac:dyDescent="0.2">
      <c r="A1761" s="14"/>
      <c r="B1761" s="15"/>
      <c r="D1761" s="16"/>
      <c r="E1761" s="17"/>
      <c r="F1761" s="14"/>
      <c r="G1761" s="7"/>
      <c r="H1761" s="7"/>
      <c r="I1761" s="20"/>
      <c r="J1761" s="5"/>
      <c r="K1761" s="7"/>
      <c r="L1761" s="7"/>
      <c r="M1761" s="5"/>
      <c r="N1761" s="4"/>
      <c r="O1761" s="4"/>
    </row>
    <row r="1762" spans="1:15" x14ac:dyDescent="0.2">
      <c r="A1762" s="14"/>
      <c r="B1762" s="15"/>
      <c r="D1762" s="16"/>
      <c r="E1762" s="17"/>
      <c r="F1762" s="14"/>
      <c r="G1762" s="7"/>
      <c r="H1762" s="7"/>
      <c r="I1762" s="20"/>
      <c r="J1762" s="5"/>
      <c r="K1762" s="7"/>
      <c r="L1762" s="7"/>
      <c r="M1762" s="5"/>
      <c r="N1762" s="4"/>
      <c r="O1762" s="4"/>
    </row>
    <row r="1763" spans="1:15" x14ac:dyDescent="0.2">
      <c r="A1763" s="14"/>
      <c r="B1763" s="15"/>
      <c r="D1763" s="16"/>
      <c r="E1763" s="17"/>
      <c r="F1763" s="14"/>
      <c r="G1763" s="7"/>
      <c r="H1763" s="7"/>
      <c r="I1763" s="20"/>
      <c r="J1763" s="5"/>
      <c r="K1763" s="7"/>
      <c r="L1763" s="7"/>
      <c r="M1763" s="5"/>
      <c r="N1763" s="4"/>
      <c r="O1763" s="4"/>
    </row>
    <row r="1764" spans="1:15" x14ac:dyDescent="0.2">
      <c r="A1764" s="14"/>
      <c r="B1764" s="15"/>
      <c r="D1764" s="16"/>
      <c r="E1764" s="17"/>
      <c r="F1764" s="14"/>
      <c r="G1764" s="7"/>
      <c r="H1764" s="7"/>
      <c r="I1764" s="20"/>
      <c r="J1764" s="5"/>
      <c r="K1764" s="7"/>
      <c r="L1764" s="7"/>
      <c r="M1764" s="5"/>
      <c r="N1764" s="4"/>
      <c r="O1764" s="4"/>
    </row>
    <row r="1765" spans="1:15" x14ac:dyDescent="0.2">
      <c r="A1765" s="14"/>
      <c r="B1765" s="15"/>
      <c r="D1765" s="16"/>
      <c r="E1765" s="17"/>
      <c r="F1765" s="14"/>
      <c r="G1765" s="7"/>
      <c r="H1765" s="7"/>
      <c r="I1765" s="20"/>
      <c r="J1765" s="5"/>
      <c r="K1765" s="7"/>
      <c r="L1765" s="7"/>
      <c r="M1765" s="5"/>
      <c r="N1765" s="4"/>
      <c r="O1765" s="4"/>
    </row>
    <row r="1766" spans="1:15" x14ac:dyDescent="0.2">
      <c r="A1766" s="14"/>
      <c r="B1766" s="15"/>
      <c r="D1766" s="16"/>
      <c r="E1766" s="17"/>
      <c r="F1766" s="14"/>
      <c r="G1766" s="7"/>
      <c r="H1766" s="7"/>
      <c r="I1766" s="20"/>
      <c r="J1766" s="5"/>
      <c r="K1766" s="7"/>
      <c r="L1766" s="7"/>
      <c r="M1766" s="5"/>
      <c r="N1766" s="4"/>
      <c r="O1766" s="4"/>
    </row>
    <row r="1767" spans="1:15" x14ac:dyDescent="0.2">
      <c r="A1767" s="14"/>
      <c r="B1767" s="15"/>
      <c r="D1767" s="16"/>
      <c r="E1767" s="17"/>
      <c r="F1767" s="14"/>
      <c r="G1767" s="7"/>
      <c r="H1767" s="7"/>
      <c r="I1767" s="20"/>
      <c r="J1767" s="5"/>
      <c r="K1767" s="7"/>
      <c r="L1767" s="7"/>
      <c r="M1767" s="5"/>
      <c r="N1767" s="4"/>
      <c r="O1767" s="4"/>
    </row>
    <row r="1768" spans="1:15" x14ac:dyDescent="0.2">
      <c r="A1768" s="14"/>
      <c r="B1768" s="15"/>
      <c r="D1768" s="16"/>
      <c r="E1768" s="17"/>
      <c r="F1768" s="14"/>
      <c r="G1768" s="7"/>
      <c r="H1768" s="7"/>
      <c r="I1768" s="20"/>
      <c r="J1768" s="5"/>
      <c r="K1768" s="7"/>
      <c r="L1768" s="7"/>
      <c r="M1768" s="5"/>
      <c r="N1768" s="4"/>
      <c r="O1768" s="4"/>
    </row>
    <row r="1769" spans="1:15" x14ac:dyDescent="0.2">
      <c r="A1769" s="14"/>
      <c r="B1769" s="15"/>
      <c r="D1769" s="16"/>
      <c r="E1769" s="17"/>
      <c r="F1769" s="14"/>
      <c r="G1769" s="7"/>
      <c r="H1769" s="7"/>
      <c r="I1769" s="20"/>
      <c r="J1769" s="5"/>
      <c r="K1769" s="7"/>
      <c r="L1769" s="7"/>
      <c r="M1769" s="5"/>
      <c r="N1769" s="4"/>
      <c r="O1769" s="4"/>
    </row>
    <row r="1770" spans="1:15" x14ac:dyDescent="0.2">
      <c r="A1770" s="14"/>
      <c r="B1770" s="15"/>
      <c r="D1770" s="16"/>
      <c r="E1770" s="17"/>
      <c r="F1770" s="14"/>
      <c r="G1770" s="7"/>
      <c r="H1770" s="7"/>
      <c r="I1770" s="20"/>
      <c r="J1770" s="5"/>
      <c r="K1770" s="7"/>
      <c r="L1770" s="7"/>
      <c r="M1770" s="5"/>
      <c r="N1770" s="4"/>
      <c r="O1770" s="4"/>
    </row>
    <row r="1771" spans="1:15" x14ac:dyDescent="0.2">
      <c r="A1771" s="14"/>
      <c r="B1771" s="15"/>
      <c r="D1771" s="16"/>
      <c r="E1771" s="17"/>
      <c r="F1771" s="14"/>
      <c r="G1771" s="7"/>
      <c r="H1771" s="7"/>
      <c r="I1771" s="20"/>
      <c r="J1771" s="5"/>
      <c r="K1771" s="7"/>
      <c r="L1771" s="7"/>
      <c r="M1771" s="5"/>
      <c r="N1771" s="4"/>
      <c r="O1771" s="4"/>
    </row>
    <row r="1772" spans="1:15" x14ac:dyDescent="0.2">
      <c r="A1772" s="14"/>
      <c r="B1772" s="15"/>
      <c r="D1772" s="16"/>
      <c r="E1772" s="17"/>
      <c r="F1772" s="14"/>
      <c r="G1772" s="7"/>
      <c r="H1772" s="7"/>
      <c r="I1772" s="20"/>
      <c r="J1772" s="5"/>
      <c r="K1772" s="7"/>
      <c r="L1772" s="7"/>
      <c r="M1772" s="5"/>
      <c r="N1772" s="4"/>
      <c r="O1772" s="4"/>
    </row>
    <row r="1773" spans="1:15" x14ac:dyDescent="0.2">
      <c r="A1773" s="14"/>
      <c r="B1773" s="15"/>
      <c r="D1773" s="16"/>
      <c r="E1773" s="17"/>
      <c r="F1773" s="14"/>
      <c r="G1773" s="7"/>
      <c r="H1773" s="7"/>
      <c r="I1773" s="20"/>
      <c r="J1773" s="5"/>
      <c r="K1773" s="7"/>
      <c r="L1773" s="7"/>
      <c r="M1773" s="5"/>
      <c r="N1773" s="4"/>
      <c r="O1773" s="4"/>
    </row>
    <row r="1774" spans="1:15" x14ac:dyDescent="0.2">
      <c r="A1774" s="14"/>
      <c r="B1774" s="15"/>
      <c r="D1774" s="16"/>
      <c r="E1774" s="17"/>
      <c r="F1774" s="14"/>
      <c r="G1774" s="7"/>
      <c r="H1774" s="7"/>
      <c r="I1774" s="20"/>
      <c r="J1774" s="5"/>
      <c r="K1774" s="7"/>
      <c r="L1774" s="7"/>
      <c r="M1774" s="5"/>
      <c r="N1774" s="4"/>
      <c r="O1774" s="4"/>
    </row>
    <row r="1775" spans="1:15" x14ac:dyDescent="0.2">
      <c r="A1775" s="14"/>
      <c r="B1775" s="15"/>
      <c r="D1775" s="16"/>
      <c r="E1775" s="17"/>
      <c r="F1775" s="14"/>
      <c r="G1775" s="7"/>
      <c r="H1775" s="7"/>
      <c r="I1775" s="20"/>
      <c r="J1775" s="5"/>
      <c r="K1775" s="7"/>
      <c r="L1775" s="7"/>
      <c r="M1775" s="5"/>
      <c r="N1775" s="4"/>
      <c r="O1775" s="4"/>
    </row>
    <row r="1776" spans="1:15" x14ac:dyDescent="0.2">
      <c r="A1776" s="14"/>
      <c r="B1776" s="15"/>
      <c r="D1776" s="16"/>
      <c r="E1776" s="17"/>
      <c r="F1776" s="14"/>
      <c r="G1776" s="7"/>
      <c r="H1776" s="7"/>
      <c r="I1776" s="20"/>
      <c r="J1776" s="5"/>
      <c r="K1776" s="7"/>
      <c r="L1776" s="7"/>
      <c r="M1776" s="5"/>
      <c r="N1776" s="4"/>
      <c r="O1776" s="4"/>
    </row>
    <row r="1777" spans="1:15" x14ac:dyDescent="0.2">
      <c r="A1777" s="14"/>
      <c r="B1777" s="15"/>
      <c r="D1777" s="16"/>
      <c r="E1777" s="17"/>
      <c r="F1777" s="14"/>
      <c r="G1777" s="7"/>
      <c r="H1777" s="7"/>
      <c r="I1777" s="20"/>
      <c r="J1777" s="5"/>
      <c r="K1777" s="7"/>
      <c r="L1777" s="7"/>
      <c r="M1777" s="5"/>
      <c r="N1777" s="4"/>
      <c r="O1777" s="4"/>
    </row>
    <row r="1778" spans="1:15" x14ac:dyDescent="0.2">
      <c r="A1778" s="14"/>
      <c r="B1778" s="15"/>
      <c r="D1778" s="16"/>
      <c r="E1778" s="17"/>
      <c r="F1778" s="14"/>
      <c r="G1778" s="7"/>
      <c r="H1778" s="7"/>
      <c r="I1778" s="20"/>
      <c r="J1778" s="5"/>
      <c r="K1778" s="7"/>
      <c r="L1778" s="7"/>
      <c r="M1778" s="5"/>
      <c r="N1778" s="4"/>
      <c r="O1778" s="4"/>
    </row>
    <row r="1779" spans="1:15" x14ac:dyDescent="0.2">
      <c r="A1779" s="14"/>
      <c r="B1779" s="15"/>
      <c r="D1779" s="16"/>
      <c r="E1779" s="17"/>
      <c r="F1779" s="14"/>
      <c r="G1779" s="7"/>
      <c r="H1779" s="7"/>
      <c r="I1779" s="20"/>
      <c r="J1779" s="5"/>
      <c r="K1779" s="7"/>
      <c r="L1779" s="7"/>
      <c r="M1779" s="5"/>
      <c r="N1779" s="4"/>
      <c r="O1779" s="4"/>
    </row>
    <row r="1780" spans="1:15" x14ac:dyDescent="0.2">
      <c r="A1780" s="14"/>
      <c r="B1780" s="15"/>
      <c r="D1780" s="16"/>
      <c r="E1780" s="17"/>
      <c r="F1780" s="14"/>
      <c r="G1780" s="7"/>
      <c r="H1780" s="7"/>
      <c r="I1780" s="20"/>
      <c r="J1780" s="5"/>
      <c r="K1780" s="7"/>
      <c r="L1780" s="7"/>
      <c r="M1780" s="5"/>
      <c r="N1780" s="4"/>
      <c r="O1780" s="4"/>
    </row>
    <row r="1781" spans="1:15" x14ac:dyDescent="0.2">
      <c r="A1781" s="14"/>
      <c r="B1781" s="15"/>
      <c r="D1781" s="16"/>
      <c r="E1781" s="17"/>
      <c r="F1781" s="14"/>
      <c r="G1781" s="7"/>
      <c r="H1781" s="7"/>
      <c r="I1781" s="20"/>
      <c r="J1781" s="5"/>
      <c r="K1781" s="7"/>
      <c r="L1781" s="7"/>
      <c r="M1781" s="5"/>
      <c r="N1781" s="4"/>
      <c r="O1781" s="4"/>
    </row>
    <row r="1782" spans="1:15" x14ac:dyDescent="0.2">
      <c r="A1782" s="14"/>
      <c r="B1782" s="15"/>
      <c r="D1782" s="16"/>
      <c r="E1782" s="17"/>
      <c r="F1782" s="14"/>
      <c r="G1782" s="7"/>
      <c r="H1782" s="7"/>
      <c r="I1782" s="20"/>
      <c r="J1782" s="5"/>
      <c r="K1782" s="7"/>
      <c r="L1782" s="7"/>
      <c r="M1782" s="5"/>
      <c r="N1782" s="4"/>
      <c r="O1782" s="4"/>
    </row>
    <row r="1783" spans="1:15" x14ac:dyDescent="0.2">
      <c r="A1783" s="14"/>
      <c r="B1783" s="15"/>
      <c r="D1783" s="16"/>
      <c r="E1783" s="17"/>
      <c r="F1783" s="14"/>
      <c r="G1783" s="7"/>
      <c r="H1783" s="7"/>
      <c r="I1783" s="20"/>
      <c r="J1783" s="5"/>
      <c r="K1783" s="7"/>
      <c r="L1783" s="7"/>
      <c r="M1783" s="5"/>
      <c r="N1783" s="4"/>
      <c r="O1783" s="4"/>
    </row>
    <row r="1784" spans="1:15" x14ac:dyDescent="0.2">
      <c r="A1784" s="14"/>
      <c r="B1784" s="15"/>
      <c r="D1784" s="16"/>
      <c r="E1784" s="17"/>
      <c r="F1784" s="14"/>
      <c r="G1784" s="7"/>
      <c r="H1784" s="7"/>
      <c r="I1784" s="20"/>
      <c r="J1784" s="5"/>
      <c r="K1784" s="7"/>
      <c r="L1784" s="7"/>
      <c r="M1784" s="5"/>
      <c r="N1784" s="4"/>
      <c r="O1784" s="4"/>
    </row>
    <row r="1785" spans="1:15" x14ac:dyDescent="0.2">
      <c r="A1785" s="14"/>
      <c r="B1785" s="15"/>
      <c r="D1785" s="16"/>
      <c r="E1785" s="17"/>
      <c r="F1785" s="14"/>
      <c r="G1785" s="7"/>
      <c r="H1785" s="7"/>
      <c r="I1785" s="20"/>
      <c r="J1785" s="5"/>
      <c r="K1785" s="7"/>
      <c r="L1785" s="7"/>
      <c r="M1785" s="5"/>
      <c r="N1785" s="4"/>
      <c r="O1785" s="4"/>
    </row>
    <row r="1786" spans="1:15" x14ac:dyDescent="0.2">
      <c r="A1786" s="14"/>
      <c r="B1786" s="15"/>
      <c r="D1786" s="16"/>
      <c r="E1786" s="17"/>
      <c r="F1786" s="14"/>
      <c r="G1786" s="7"/>
      <c r="H1786" s="7"/>
      <c r="I1786" s="20"/>
      <c r="J1786" s="5"/>
      <c r="K1786" s="7"/>
      <c r="L1786" s="7"/>
      <c r="M1786" s="5"/>
      <c r="N1786" s="4"/>
      <c r="O1786" s="4"/>
    </row>
    <row r="1787" spans="1:15" x14ac:dyDescent="0.2">
      <c r="A1787" s="14"/>
      <c r="B1787" s="15"/>
      <c r="D1787" s="16"/>
      <c r="E1787" s="17"/>
      <c r="F1787" s="14"/>
      <c r="G1787" s="7"/>
      <c r="H1787" s="7"/>
      <c r="I1787" s="20"/>
      <c r="J1787" s="5"/>
      <c r="K1787" s="7"/>
      <c r="L1787" s="7"/>
      <c r="M1787" s="5"/>
      <c r="N1787" s="4"/>
      <c r="O1787" s="4"/>
    </row>
    <row r="1788" spans="1:15" x14ac:dyDescent="0.2">
      <c r="A1788" s="14"/>
      <c r="B1788" s="15"/>
      <c r="D1788" s="16"/>
      <c r="E1788" s="17"/>
      <c r="F1788" s="14"/>
      <c r="G1788" s="7"/>
      <c r="H1788" s="7"/>
      <c r="I1788" s="20"/>
      <c r="J1788" s="5"/>
      <c r="K1788" s="7"/>
      <c r="L1788" s="7"/>
      <c r="M1788" s="5"/>
      <c r="N1788" s="4"/>
      <c r="O1788" s="4"/>
    </row>
    <row r="1789" spans="1:15" x14ac:dyDescent="0.2">
      <c r="A1789" s="14"/>
      <c r="B1789" s="15"/>
      <c r="D1789" s="16"/>
      <c r="E1789" s="17"/>
      <c r="F1789" s="14"/>
      <c r="G1789" s="7"/>
      <c r="H1789" s="7"/>
      <c r="I1789" s="20"/>
      <c r="J1789" s="5"/>
      <c r="K1789" s="7"/>
      <c r="L1789" s="7"/>
      <c r="M1789" s="5"/>
      <c r="N1789" s="4"/>
      <c r="O1789" s="4"/>
    </row>
    <row r="1790" spans="1:15" x14ac:dyDescent="0.2">
      <c r="A1790" s="14"/>
      <c r="B1790" s="15"/>
      <c r="D1790" s="16"/>
      <c r="E1790" s="17"/>
      <c r="F1790" s="14"/>
      <c r="G1790" s="7"/>
      <c r="H1790" s="7"/>
      <c r="I1790" s="20"/>
      <c r="J1790" s="5"/>
      <c r="K1790" s="7"/>
      <c r="L1790" s="7"/>
      <c r="M1790" s="5"/>
      <c r="N1790" s="4"/>
      <c r="O1790" s="4"/>
    </row>
    <row r="1791" spans="1:15" x14ac:dyDescent="0.2">
      <c r="A1791" s="14"/>
      <c r="B1791" s="15"/>
      <c r="D1791" s="16"/>
      <c r="E1791" s="17"/>
      <c r="F1791" s="14"/>
      <c r="G1791" s="7"/>
      <c r="H1791" s="7"/>
      <c r="I1791" s="20"/>
      <c r="J1791" s="5"/>
      <c r="K1791" s="7"/>
      <c r="L1791" s="7"/>
      <c r="M1791" s="5"/>
      <c r="N1791" s="4"/>
      <c r="O1791" s="4"/>
    </row>
    <row r="1792" spans="1:15" x14ac:dyDescent="0.2">
      <c r="A1792" s="14"/>
      <c r="B1792" s="15"/>
      <c r="D1792" s="16"/>
      <c r="E1792" s="17"/>
      <c r="F1792" s="14"/>
      <c r="G1792" s="7"/>
      <c r="H1792" s="7"/>
      <c r="I1792" s="20"/>
      <c r="J1792" s="5"/>
      <c r="K1792" s="7"/>
      <c r="L1792" s="7"/>
      <c r="M1792" s="5"/>
      <c r="N1792" s="4"/>
      <c r="O1792" s="4"/>
    </row>
    <row r="1793" spans="1:15" x14ac:dyDescent="0.2">
      <c r="A1793" s="14"/>
      <c r="B1793" s="15"/>
      <c r="D1793" s="16"/>
      <c r="E1793" s="17"/>
      <c r="F1793" s="14"/>
      <c r="G1793" s="7"/>
      <c r="H1793" s="7"/>
      <c r="I1793" s="20"/>
      <c r="J1793" s="5"/>
      <c r="K1793" s="7"/>
      <c r="L1793" s="7"/>
      <c r="M1793" s="5"/>
      <c r="N1793" s="4"/>
      <c r="O1793" s="4"/>
    </row>
    <row r="1794" spans="1:15" x14ac:dyDescent="0.2">
      <c r="A1794" s="14"/>
      <c r="B1794" s="15"/>
      <c r="D1794" s="16"/>
      <c r="E1794" s="17"/>
      <c r="F1794" s="14"/>
      <c r="G1794" s="7"/>
      <c r="H1794" s="7"/>
      <c r="I1794" s="20"/>
      <c r="J1794" s="5"/>
      <c r="K1794" s="7"/>
      <c r="L1794" s="7"/>
      <c r="M1794" s="5"/>
      <c r="N1794" s="4"/>
      <c r="O1794" s="4"/>
    </row>
    <row r="1795" spans="1:15" x14ac:dyDescent="0.2">
      <c r="A1795" s="14"/>
      <c r="B1795" s="15"/>
      <c r="D1795" s="16"/>
      <c r="E1795" s="17"/>
      <c r="F1795" s="14"/>
      <c r="G1795" s="7"/>
      <c r="H1795" s="7"/>
      <c r="I1795" s="20"/>
      <c r="J1795" s="5"/>
      <c r="K1795" s="7"/>
      <c r="L1795" s="7"/>
      <c r="M1795" s="5"/>
      <c r="N1795" s="4"/>
      <c r="O1795" s="4"/>
    </row>
    <row r="1796" spans="1:15" x14ac:dyDescent="0.2">
      <c r="A1796" s="14"/>
      <c r="B1796" s="15"/>
      <c r="D1796" s="16"/>
      <c r="E1796" s="17"/>
      <c r="F1796" s="14"/>
      <c r="G1796" s="7"/>
      <c r="H1796" s="7"/>
      <c r="I1796" s="20"/>
      <c r="J1796" s="5"/>
      <c r="K1796" s="7"/>
      <c r="L1796" s="7"/>
      <c r="M1796" s="5"/>
      <c r="N1796" s="4"/>
      <c r="O1796" s="4"/>
    </row>
    <row r="1797" spans="1:15" x14ac:dyDescent="0.2">
      <c r="A1797" s="14"/>
      <c r="B1797" s="15"/>
      <c r="D1797" s="16"/>
      <c r="E1797" s="17"/>
      <c r="F1797" s="14"/>
      <c r="G1797" s="7"/>
      <c r="H1797" s="7"/>
      <c r="I1797" s="20"/>
      <c r="J1797" s="5"/>
      <c r="K1797" s="7"/>
      <c r="L1797" s="7"/>
      <c r="M1797" s="5"/>
      <c r="N1797" s="4"/>
      <c r="O1797" s="4"/>
    </row>
    <row r="1798" spans="1:15" x14ac:dyDescent="0.2">
      <c r="A1798" s="14"/>
      <c r="B1798" s="15"/>
      <c r="D1798" s="16"/>
      <c r="E1798" s="17"/>
      <c r="F1798" s="14"/>
      <c r="G1798" s="7"/>
      <c r="H1798" s="7"/>
      <c r="I1798" s="20"/>
      <c r="J1798" s="5"/>
      <c r="K1798" s="7"/>
      <c r="L1798" s="7"/>
      <c r="M1798" s="5"/>
      <c r="N1798" s="4"/>
      <c r="O1798" s="4"/>
    </row>
    <row r="1799" spans="1:15" x14ac:dyDescent="0.2">
      <c r="A1799" s="14"/>
      <c r="B1799" s="15"/>
      <c r="D1799" s="16"/>
      <c r="E1799" s="17"/>
      <c r="F1799" s="14"/>
      <c r="G1799" s="7"/>
      <c r="H1799" s="7"/>
      <c r="I1799" s="20"/>
      <c r="J1799" s="5"/>
      <c r="K1799" s="7"/>
      <c r="L1799" s="7"/>
      <c r="M1799" s="5"/>
      <c r="N1799" s="4"/>
      <c r="O1799" s="4"/>
    </row>
    <row r="1800" spans="1:15" x14ac:dyDescent="0.2">
      <c r="A1800" s="14"/>
      <c r="B1800" s="15"/>
      <c r="D1800" s="16"/>
      <c r="E1800" s="17"/>
      <c r="F1800" s="14"/>
      <c r="G1800" s="7"/>
      <c r="H1800" s="7"/>
      <c r="I1800" s="20"/>
      <c r="J1800" s="5"/>
      <c r="K1800" s="7"/>
      <c r="L1800" s="7"/>
      <c r="M1800" s="5"/>
      <c r="N1800" s="4"/>
      <c r="O1800" s="4"/>
    </row>
    <row r="1801" spans="1:15" x14ac:dyDescent="0.2">
      <c r="A1801" s="14"/>
      <c r="B1801" s="15"/>
      <c r="D1801" s="16"/>
      <c r="E1801" s="17"/>
      <c r="F1801" s="14"/>
      <c r="G1801" s="7"/>
      <c r="H1801" s="7"/>
      <c r="I1801" s="20"/>
      <c r="J1801" s="5"/>
      <c r="K1801" s="7"/>
      <c r="L1801" s="7"/>
      <c r="M1801" s="5"/>
      <c r="N1801" s="4"/>
      <c r="O1801" s="4"/>
    </row>
    <row r="1802" spans="1:15" x14ac:dyDescent="0.2">
      <c r="A1802" s="14"/>
      <c r="B1802" s="15"/>
      <c r="D1802" s="16"/>
      <c r="E1802" s="17"/>
      <c r="F1802" s="14"/>
      <c r="G1802" s="7"/>
      <c r="H1802" s="7"/>
      <c r="I1802" s="20"/>
      <c r="J1802" s="5"/>
      <c r="K1802" s="7"/>
      <c r="L1802" s="7"/>
      <c r="M1802" s="5"/>
      <c r="N1802" s="4"/>
      <c r="O1802" s="4"/>
    </row>
    <row r="1803" spans="1:15" x14ac:dyDescent="0.2">
      <c r="A1803" s="14"/>
      <c r="B1803" s="15"/>
      <c r="D1803" s="16"/>
      <c r="E1803" s="17"/>
      <c r="F1803" s="14"/>
      <c r="G1803" s="7"/>
      <c r="H1803" s="7"/>
      <c r="I1803" s="20"/>
      <c r="J1803" s="5"/>
      <c r="K1803" s="7"/>
      <c r="L1803" s="7"/>
      <c r="M1803" s="5"/>
      <c r="N1803" s="4"/>
      <c r="O1803" s="4"/>
    </row>
    <row r="1804" spans="1:15" x14ac:dyDescent="0.2">
      <c r="A1804" s="14"/>
      <c r="B1804" s="15"/>
      <c r="D1804" s="16"/>
      <c r="E1804" s="17"/>
      <c r="F1804" s="14"/>
      <c r="G1804" s="7"/>
      <c r="H1804" s="7"/>
      <c r="I1804" s="20"/>
      <c r="J1804" s="5"/>
      <c r="K1804" s="7"/>
      <c r="L1804" s="7"/>
      <c r="M1804" s="5"/>
      <c r="N1804" s="4"/>
      <c r="O1804" s="4"/>
    </row>
    <row r="1805" spans="1:15" x14ac:dyDescent="0.2">
      <c r="A1805" s="14"/>
      <c r="B1805" s="15"/>
      <c r="D1805" s="16"/>
      <c r="E1805" s="17"/>
      <c r="F1805" s="14"/>
      <c r="G1805" s="7"/>
      <c r="H1805" s="7"/>
      <c r="I1805" s="20"/>
      <c r="J1805" s="5"/>
      <c r="K1805" s="7"/>
      <c r="L1805" s="7"/>
      <c r="M1805" s="5"/>
      <c r="N1805" s="4"/>
      <c r="O1805" s="4"/>
    </row>
    <row r="1806" spans="1:15" x14ac:dyDescent="0.2">
      <c r="A1806" s="14"/>
      <c r="B1806" s="15"/>
      <c r="D1806" s="16"/>
      <c r="E1806" s="17"/>
      <c r="F1806" s="14"/>
      <c r="G1806" s="7"/>
      <c r="H1806" s="7"/>
      <c r="I1806" s="20"/>
      <c r="J1806" s="5"/>
      <c r="K1806" s="7"/>
      <c r="L1806" s="7"/>
      <c r="M1806" s="5"/>
      <c r="N1806" s="4"/>
      <c r="O1806" s="4"/>
    </row>
    <row r="1807" spans="1:15" x14ac:dyDescent="0.2">
      <c r="A1807" s="14"/>
      <c r="B1807" s="15"/>
      <c r="D1807" s="16"/>
      <c r="E1807" s="17"/>
      <c r="F1807" s="14"/>
      <c r="G1807" s="7"/>
      <c r="H1807" s="7"/>
      <c r="I1807" s="20"/>
      <c r="J1807" s="5"/>
      <c r="K1807" s="7"/>
      <c r="L1807" s="7"/>
      <c r="M1807" s="5"/>
      <c r="N1807" s="4"/>
      <c r="O1807" s="4"/>
    </row>
    <row r="1808" spans="1:15" x14ac:dyDescent="0.2">
      <c r="A1808" s="14"/>
      <c r="B1808" s="15"/>
      <c r="D1808" s="16"/>
      <c r="E1808" s="17"/>
      <c r="F1808" s="14"/>
      <c r="G1808" s="7"/>
      <c r="H1808" s="7"/>
      <c r="I1808" s="20"/>
      <c r="J1808" s="5"/>
      <c r="K1808" s="7"/>
      <c r="L1808" s="7"/>
      <c r="M1808" s="5"/>
      <c r="N1808" s="4"/>
      <c r="O1808" s="4"/>
    </row>
    <row r="1809" spans="1:15" x14ac:dyDescent="0.2">
      <c r="A1809" s="14"/>
      <c r="B1809" s="15"/>
      <c r="D1809" s="16"/>
      <c r="E1809" s="17"/>
      <c r="F1809" s="14"/>
      <c r="G1809" s="7"/>
      <c r="H1809" s="7"/>
      <c r="I1809" s="20"/>
      <c r="J1809" s="5"/>
      <c r="K1809" s="7"/>
      <c r="L1809" s="7"/>
      <c r="M1809" s="5"/>
      <c r="N1809" s="4"/>
      <c r="O1809" s="4"/>
    </row>
    <row r="1810" spans="1:15" x14ac:dyDescent="0.2">
      <c r="A1810" s="14"/>
      <c r="B1810" s="15"/>
      <c r="D1810" s="16"/>
      <c r="E1810" s="17"/>
      <c r="F1810" s="14"/>
      <c r="G1810" s="7"/>
      <c r="H1810" s="7"/>
      <c r="I1810" s="20"/>
      <c r="J1810" s="5"/>
      <c r="K1810" s="7"/>
      <c r="L1810" s="7"/>
      <c r="M1810" s="5"/>
      <c r="N1810" s="4"/>
      <c r="O1810" s="4"/>
    </row>
    <row r="1811" spans="1:15" x14ac:dyDescent="0.2">
      <c r="A1811" s="14"/>
      <c r="B1811" s="15"/>
      <c r="D1811" s="16"/>
      <c r="E1811" s="17"/>
      <c r="F1811" s="14"/>
      <c r="G1811" s="7"/>
      <c r="H1811" s="7"/>
      <c r="I1811" s="20"/>
      <c r="J1811" s="5"/>
      <c r="K1811" s="7"/>
      <c r="L1811" s="7"/>
      <c r="M1811" s="5"/>
      <c r="N1811" s="4"/>
      <c r="O1811" s="4"/>
    </row>
    <row r="1812" spans="1:15" x14ac:dyDescent="0.2">
      <c r="A1812" s="14"/>
      <c r="B1812" s="15"/>
      <c r="D1812" s="16"/>
      <c r="E1812" s="17"/>
      <c r="F1812" s="14"/>
      <c r="G1812" s="7"/>
      <c r="H1812" s="7"/>
      <c r="I1812" s="20"/>
      <c r="J1812" s="5"/>
      <c r="K1812" s="7"/>
      <c r="L1812" s="7"/>
      <c r="M1812" s="5"/>
      <c r="N1812" s="4"/>
      <c r="O1812" s="4"/>
    </row>
    <row r="1813" spans="1:15" x14ac:dyDescent="0.2">
      <c r="A1813" s="14"/>
      <c r="B1813" s="15"/>
      <c r="D1813" s="16"/>
      <c r="E1813" s="17"/>
      <c r="F1813" s="14"/>
      <c r="G1813" s="7"/>
      <c r="H1813" s="7"/>
      <c r="I1813" s="20"/>
      <c r="J1813" s="5"/>
      <c r="K1813" s="7"/>
      <c r="L1813" s="7"/>
      <c r="M1813" s="5"/>
      <c r="N1813" s="4"/>
      <c r="O1813" s="4"/>
    </row>
    <row r="1814" spans="1:15" x14ac:dyDescent="0.2">
      <c r="A1814" s="14"/>
      <c r="B1814" s="15"/>
      <c r="D1814" s="16"/>
      <c r="E1814" s="17"/>
      <c r="F1814" s="14"/>
      <c r="G1814" s="7"/>
      <c r="H1814" s="7"/>
      <c r="I1814" s="20"/>
      <c r="J1814" s="5"/>
      <c r="K1814" s="7"/>
      <c r="L1814" s="7"/>
      <c r="M1814" s="5"/>
      <c r="N1814" s="4"/>
      <c r="O1814" s="4"/>
    </row>
    <row r="1815" spans="1:15" x14ac:dyDescent="0.2">
      <c r="A1815" s="14"/>
      <c r="B1815" s="15"/>
      <c r="D1815" s="16"/>
      <c r="E1815" s="17"/>
      <c r="F1815" s="14"/>
      <c r="G1815" s="7"/>
      <c r="H1815" s="7"/>
      <c r="I1815" s="20"/>
      <c r="J1815" s="5"/>
      <c r="K1815" s="7"/>
      <c r="L1815" s="7"/>
      <c r="M1815" s="5"/>
      <c r="N1815" s="4"/>
      <c r="O1815" s="4"/>
    </row>
    <row r="1816" spans="1:15" x14ac:dyDescent="0.2">
      <c r="A1816" s="14"/>
      <c r="B1816" s="15"/>
      <c r="D1816" s="16"/>
      <c r="E1816" s="17"/>
      <c r="F1816" s="14"/>
      <c r="G1816" s="7"/>
      <c r="H1816" s="7"/>
      <c r="I1816" s="20"/>
      <c r="J1816" s="5"/>
      <c r="K1816" s="7"/>
      <c r="L1816" s="7"/>
      <c r="M1816" s="5"/>
      <c r="N1816" s="4"/>
      <c r="O1816" s="4"/>
    </row>
    <row r="1817" spans="1:15" x14ac:dyDescent="0.2">
      <c r="A1817" s="14"/>
      <c r="B1817" s="15"/>
      <c r="D1817" s="16"/>
      <c r="E1817" s="17"/>
      <c r="F1817" s="14"/>
      <c r="G1817" s="7"/>
      <c r="H1817" s="7"/>
      <c r="I1817" s="20"/>
      <c r="J1817" s="5"/>
      <c r="K1817" s="7"/>
      <c r="L1817" s="7"/>
      <c r="M1817" s="5"/>
      <c r="N1817" s="4"/>
      <c r="O1817" s="4"/>
    </row>
    <row r="1818" spans="1:15" x14ac:dyDescent="0.2">
      <c r="A1818" s="14"/>
      <c r="B1818" s="15"/>
      <c r="D1818" s="16"/>
      <c r="E1818" s="17"/>
      <c r="F1818" s="14"/>
      <c r="G1818" s="7"/>
      <c r="H1818" s="7"/>
      <c r="I1818" s="20"/>
      <c r="J1818" s="5"/>
      <c r="K1818" s="7"/>
      <c r="L1818" s="7"/>
      <c r="M1818" s="5"/>
      <c r="N1818" s="4"/>
      <c r="O1818" s="4"/>
    </row>
    <row r="1819" spans="1:15" x14ac:dyDescent="0.2">
      <c r="A1819" s="14"/>
      <c r="B1819" s="15"/>
      <c r="D1819" s="16"/>
      <c r="E1819" s="17"/>
      <c r="F1819" s="14"/>
      <c r="G1819" s="7"/>
      <c r="H1819" s="7"/>
      <c r="I1819" s="20"/>
      <c r="J1819" s="5"/>
      <c r="K1819" s="7"/>
      <c r="L1819" s="7"/>
      <c r="M1819" s="5"/>
      <c r="N1819" s="4"/>
      <c r="O1819" s="4"/>
    </row>
    <row r="1820" spans="1:15" x14ac:dyDescent="0.2">
      <c r="A1820" s="14"/>
      <c r="B1820" s="15"/>
      <c r="D1820" s="16"/>
      <c r="E1820" s="17"/>
      <c r="F1820" s="14"/>
      <c r="G1820" s="7"/>
      <c r="H1820" s="7"/>
      <c r="I1820" s="20"/>
      <c r="J1820" s="5"/>
      <c r="K1820" s="7"/>
      <c r="L1820" s="7"/>
      <c r="M1820" s="5"/>
      <c r="N1820" s="4"/>
      <c r="O1820" s="4"/>
    </row>
    <row r="1821" spans="1:15" x14ac:dyDescent="0.2">
      <c r="A1821" s="14"/>
      <c r="B1821" s="15"/>
      <c r="D1821" s="16"/>
      <c r="E1821" s="17"/>
      <c r="F1821" s="14"/>
      <c r="G1821" s="7"/>
      <c r="H1821" s="7"/>
      <c r="I1821" s="20"/>
      <c r="J1821" s="5"/>
      <c r="K1821" s="7"/>
      <c r="L1821" s="7"/>
      <c r="M1821" s="5"/>
      <c r="N1821" s="4"/>
      <c r="O1821" s="4"/>
    </row>
    <row r="1822" spans="1:15" x14ac:dyDescent="0.2">
      <c r="A1822" s="14"/>
      <c r="B1822" s="15"/>
      <c r="D1822" s="16"/>
      <c r="E1822" s="17"/>
      <c r="F1822" s="14"/>
      <c r="G1822" s="7"/>
      <c r="H1822" s="7"/>
      <c r="I1822" s="20"/>
      <c r="J1822" s="5"/>
      <c r="K1822" s="7"/>
      <c r="L1822" s="7"/>
      <c r="M1822" s="5"/>
      <c r="N1822" s="4"/>
      <c r="O1822" s="4"/>
    </row>
    <row r="1823" spans="1:15" x14ac:dyDescent="0.2">
      <c r="A1823" s="14"/>
      <c r="B1823" s="15"/>
      <c r="D1823" s="16"/>
      <c r="E1823" s="17"/>
      <c r="F1823" s="14"/>
      <c r="G1823" s="7"/>
      <c r="H1823" s="7"/>
      <c r="I1823" s="20"/>
      <c r="J1823" s="5"/>
      <c r="K1823" s="7"/>
      <c r="L1823" s="7"/>
      <c r="M1823" s="5"/>
      <c r="N1823" s="4"/>
      <c r="O1823" s="4"/>
    </row>
    <row r="1824" spans="1:15" x14ac:dyDescent="0.2">
      <c r="A1824" s="14"/>
      <c r="B1824" s="15"/>
      <c r="D1824" s="16"/>
      <c r="E1824" s="17"/>
      <c r="F1824" s="14"/>
      <c r="G1824" s="7"/>
      <c r="H1824" s="7"/>
      <c r="I1824" s="20"/>
      <c r="J1824" s="5"/>
      <c r="K1824" s="7"/>
      <c r="L1824" s="7"/>
      <c r="M1824" s="5"/>
      <c r="N1824" s="4"/>
      <c r="O1824" s="4"/>
    </row>
    <row r="1825" spans="1:15" x14ac:dyDescent="0.2">
      <c r="A1825" s="14"/>
      <c r="B1825" s="15"/>
      <c r="D1825" s="16"/>
      <c r="E1825" s="17"/>
      <c r="F1825" s="14"/>
      <c r="G1825" s="7"/>
      <c r="H1825" s="7"/>
      <c r="I1825" s="20"/>
      <c r="J1825" s="5"/>
      <c r="K1825" s="7"/>
      <c r="L1825" s="7"/>
      <c r="M1825" s="5"/>
      <c r="N1825" s="4"/>
      <c r="O1825" s="4"/>
    </row>
    <row r="1826" spans="1:15" x14ac:dyDescent="0.2">
      <c r="A1826" s="14"/>
      <c r="B1826" s="15"/>
      <c r="D1826" s="16"/>
      <c r="E1826" s="17"/>
      <c r="F1826" s="14"/>
      <c r="G1826" s="7"/>
      <c r="H1826" s="7"/>
      <c r="I1826" s="20"/>
      <c r="J1826" s="5"/>
      <c r="K1826" s="7"/>
      <c r="L1826" s="7"/>
      <c r="M1826" s="5"/>
      <c r="N1826" s="4"/>
      <c r="O1826" s="4"/>
    </row>
    <row r="1827" spans="1:15" x14ac:dyDescent="0.2">
      <c r="A1827" s="14"/>
      <c r="B1827" s="15"/>
      <c r="D1827" s="16"/>
      <c r="E1827" s="17"/>
      <c r="F1827" s="14"/>
      <c r="G1827" s="7"/>
      <c r="H1827" s="7"/>
      <c r="I1827" s="20"/>
      <c r="J1827" s="5"/>
      <c r="K1827" s="7"/>
      <c r="L1827" s="7"/>
      <c r="M1827" s="5"/>
      <c r="N1827" s="4"/>
      <c r="O1827" s="4"/>
    </row>
    <row r="1828" spans="1:15" x14ac:dyDescent="0.2">
      <c r="A1828" s="14"/>
      <c r="B1828" s="15"/>
      <c r="D1828" s="16"/>
      <c r="E1828" s="17"/>
      <c r="F1828" s="14"/>
      <c r="G1828" s="7"/>
      <c r="H1828" s="7"/>
      <c r="I1828" s="20"/>
      <c r="J1828" s="5"/>
      <c r="K1828" s="7"/>
      <c r="L1828" s="7"/>
      <c r="M1828" s="5"/>
      <c r="N1828" s="4"/>
      <c r="O1828" s="4"/>
    </row>
    <row r="1829" spans="1:15" x14ac:dyDescent="0.2">
      <c r="A1829" s="14"/>
      <c r="B1829" s="15"/>
      <c r="D1829" s="16"/>
      <c r="E1829" s="17"/>
      <c r="F1829" s="14"/>
      <c r="G1829" s="7"/>
      <c r="H1829" s="7"/>
      <c r="I1829" s="20"/>
      <c r="J1829" s="5"/>
      <c r="K1829" s="7"/>
      <c r="L1829" s="7"/>
      <c r="M1829" s="5"/>
      <c r="N1829" s="4"/>
      <c r="O1829" s="4"/>
    </row>
    <row r="1830" spans="1:15" x14ac:dyDescent="0.2">
      <c r="A1830" s="14"/>
      <c r="B1830" s="15"/>
      <c r="D1830" s="16"/>
      <c r="E1830" s="17"/>
      <c r="F1830" s="14"/>
      <c r="G1830" s="7"/>
      <c r="H1830" s="7"/>
      <c r="I1830" s="20"/>
      <c r="J1830" s="5"/>
      <c r="K1830" s="7"/>
      <c r="L1830" s="7"/>
      <c r="M1830" s="5"/>
      <c r="N1830" s="4"/>
      <c r="O1830" s="4"/>
    </row>
    <row r="1831" spans="1:15" x14ac:dyDescent="0.2">
      <c r="A1831" s="14"/>
      <c r="B1831" s="15"/>
      <c r="D1831" s="16"/>
      <c r="E1831" s="17"/>
      <c r="F1831" s="14"/>
      <c r="G1831" s="7"/>
      <c r="H1831" s="7"/>
      <c r="I1831" s="20"/>
      <c r="J1831" s="5"/>
      <c r="K1831" s="7"/>
      <c r="L1831" s="7"/>
      <c r="M1831" s="5"/>
      <c r="N1831" s="4"/>
      <c r="O1831" s="4"/>
    </row>
    <row r="1832" spans="1:15" x14ac:dyDescent="0.2">
      <c r="A1832" s="14"/>
      <c r="B1832" s="15"/>
      <c r="D1832" s="16"/>
      <c r="E1832" s="17"/>
      <c r="F1832" s="14"/>
      <c r="G1832" s="7"/>
      <c r="H1832" s="7"/>
      <c r="I1832" s="20"/>
      <c r="J1832" s="5"/>
      <c r="K1832" s="7"/>
      <c r="L1832" s="7"/>
      <c r="M1832" s="5"/>
      <c r="N1832" s="4"/>
      <c r="O1832" s="4"/>
    </row>
    <row r="1833" spans="1:15" x14ac:dyDescent="0.2">
      <c r="A1833" s="14"/>
      <c r="B1833" s="15"/>
      <c r="D1833" s="16"/>
      <c r="E1833" s="17"/>
      <c r="F1833" s="14"/>
      <c r="G1833" s="7"/>
      <c r="H1833" s="7"/>
      <c r="I1833" s="20"/>
      <c r="J1833" s="5"/>
      <c r="K1833" s="7"/>
      <c r="L1833" s="7"/>
      <c r="M1833" s="5"/>
      <c r="N1833" s="4"/>
      <c r="O1833" s="4"/>
    </row>
    <row r="1834" spans="1:15" x14ac:dyDescent="0.2">
      <c r="A1834" s="14"/>
      <c r="B1834" s="15"/>
      <c r="D1834" s="16"/>
      <c r="E1834" s="17"/>
      <c r="F1834" s="14"/>
      <c r="G1834" s="7"/>
      <c r="H1834" s="7"/>
      <c r="I1834" s="20"/>
      <c r="J1834" s="5"/>
      <c r="K1834" s="7"/>
      <c r="L1834" s="7"/>
      <c r="M1834" s="5"/>
      <c r="N1834" s="4"/>
      <c r="O1834" s="4"/>
    </row>
    <row r="1835" spans="1:15" x14ac:dyDescent="0.2">
      <c r="A1835" s="14"/>
      <c r="B1835" s="15"/>
      <c r="D1835" s="16"/>
      <c r="E1835" s="17"/>
      <c r="F1835" s="14"/>
      <c r="G1835" s="7"/>
      <c r="H1835" s="7"/>
      <c r="I1835" s="20"/>
      <c r="J1835" s="5"/>
      <c r="K1835" s="7"/>
      <c r="L1835" s="7"/>
      <c r="M1835" s="5"/>
      <c r="N1835" s="4"/>
      <c r="O1835" s="4"/>
    </row>
    <row r="1836" spans="1:15" x14ac:dyDescent="0.2">
      <c r="A1836" s="14"/>
      <c r="B1836" s="15"/>
      <c r="D1836" s="16"/>
      <c r="E1836" s="17"/>
      <c r="F1836" s="14"/>
      <c r="G1836" s="7"/>
      <c r="H1836" s="7"/>
      <c r="I1836" s="20"/>
      <c r="J1836" s="5"/>
      <c r="K1836" s="7"/>
      <c r="L1836" s="7"/>
      <c r="M1836" s="5"/>
      <c r="N1836" s="4"/>
      <c r="O1836" s="4"/>
    </row>
    <row r="1837" spans="1:15" x14ac:dyDescent="0.2">
      <c r="A1837" s="14"/>
      <c r="B1837" s="15"/>
      <c r="D1837" s="16"/>
      <c r="E1837" s="17"/>
      <c r="F1837" s="14"/>
      <c r="G1837" s="7"/>
      <c r="H1837" s="7"/>
      <c r="I1837" s="20"/>
      <c r="J1837" s="5"/>
      <c r="K1837" s="7"/>
      <c r="L1837" s="7"/>
      <c r="M1837" s="5"/>
      <c r="N1837" s="4"/>
      <c r="O1837" s="4"/>
    </row>
    <row r="1838" spans="1:15" x14ac:dyDescent="0.2">
      <c r="A1838" s="14"/>
      <c r="B1838" s="15"/>
      <c r="D1838" s="16"/>
      <c r="E1838" s="17"/>
      <c r="F1838" s="14"/>
      <c r="G1838" s="7"/>
      <c r="H1838" s="7"/>
      <c r="I1838" s="20"/>
      <c r="J1838" s="5"/>
      <c r="K1838" s="7"/>
      <c r="L1838" s="7"/>
      <c r="M1838" s="5"/>
      <c r="N1838" s="4"/>
      <c r="O1838" s="4"/>
    </row>
    <row r="1839" spans="1:15" x14ac:dyDescent="0.2">
      <c r="A1839" s="14"/>
      <c r="B1839" s="15"/>
      <c r="D1839" s="16"/>
      <c r="E1839" s="17"/>
      <c r="F1839" s="14"/>
      <c r="G1839" s="7"/>
      <c r="H1839" s="7"/>
      <c r="I1839" s="20"/>
      <c r="J1839" s="5"/>
      <c r="K1839" s="7"/>
      <c r="L1839" s="7"/>
      <c r="M1839" s="5"/>
      <c r="N1839" s="4"/>
      <c r="O1839" s="4"/>
    </row>
    <row r="1840" spans="1:15" x14ac:dyDescent="0.2">
      <c r="A1840" s="14"/>
      <c r="B1840" s="15"/>
      <c r="D1840" s="16"/>
      <c r="E1840" s="17"/>
      <c r="F1840" s="14"/>
      <c r="G1840" s="7"/>
      <c r="H1840" s="7"/>
      <c r="I1840" s="20"/>
      <c r="J1840" s="5"/>
      <c r="K1840" s="7"/>
      <c r="L1840" s="7"/>
      <c r="M1840" s="5"/>
      <c r="N1840" s="4"/>
      <c r="O1840" s="4"/>
    </row>
    <row r="1841" spans="1:15" x14ac:dyDescent="0.2">
      <c r="A1841" s="14"/>
      <c r="B1841" s="15"/>
      <c r="D1841" s="16"/>
      <c r="E1841" s="17"/>
      <c r="F1841" s="14"/>
      <c r="G1841" s="7"/>
      <c r="H1841" s="7"/>
      <c r="I1841" s="20"/>
      <c r="J1841" s="5"/>
      <c r="K1841" s="7"/>
      <c r="L1841" s="7"/>
      <c r="M1841" s="5"/>
      <c r="N1841" s="4"/>
      <c r="O1841" s="4"/>
    </row>
    <row r="1842" spans="1:15" x14ac:dyDescent="0.2">
      <c r="A1842" s="14"/>
      <c r="B1842" s="15"/>
      <c r="D1842" s="16"/>
      <c r="E1842" s="17"/>
      <c r="F1842" s="14"/>
      <c r="G1842" s="7"/>
      <c r="H1842" s="7"/>
      <c r="I1842" s="20"/>
      <c r="J1842" s="5"/>
      <c r="K1842" s="7"/>
      <c r="L1842" s="7"/>
      <c r="M1842" s="5"/>
      <c r="N1842" s="4"/>
      <c r="O1842" s="4"/>
    </row>
    <row r="1843" spans="1:15" x14ac:dyDescent="0.2">
      <c r="A1843" s="14"/>
      <c r="B1843" s="15"/>
      <c r="D1843" s="16"/>
      <c r="E1843" s="17"/>
      <c r="F1843" s="14"/>
      <c r="G1843" s="7"/>
      <c r="H1843" s="7"/>
      <c r="I1843" s="20"/>
      <c r="J1843" s="5"/>
      <c r="K1843" s="7"/>
      <c r="L1843" s="7"/>
      <c r="M1843" s="5"/>
      <c r="N1843" s="4"/>
      <c r="O1843" s="4"/>
    </row>
    <row r="1844" spans="1:15" x14ac:dyDescent="0.2">
      <c r="A1844" s="14"/>
      <c r="B1844" s="15"/>
      <c r="D1844" s="16"/>
      <c r="E1844" s="17"/>
      <c r="F1844" s="14"/>
      <c r="G1844" s="7"/>
      <c r="H1844" s="7"/>
      <c r="I1844" s="20"/>
      <c r="J1844" s="5"/>
      <c r="K1844" s="7"/>
      <c r="L1844" s="7"/>
      <c r="M1844" s="5"/>
      <c r="N1844" s="4"/>
      <c r="O1844" s="4"/>
    </row>
    <row r="1845" spans="1:15" x14ac:dyDescent="0.2">
      <c r="A1845" s="14"/>
      <c r="B1845" s="15"/>
      <c r="D1845" s="16"/>
      <c r="E1845" s="17"/>
      <c r="F1845" s="14"/>
      <c r="G1845" s="7"/>
      <c r="H1845" s="7"/>
      <c r="I1845" s="20"/>
      <c r="J1845" s="5"/>
      <c r="K1845" s="7"/>
      <c r="L1845" s="7"/>
      <c r="M1845" s="5"/>
      <c r="N1845" s="4"/>
      <c r="O1845" s="4"/>
    </row>
    <row r="1846" spans="1:15" x14ac:dyDescent="0.2">
      <c r="A1846" s="14"/>
      <c r="B1846" s="15"/>
      <c r="D1846" s="16"/>
      <c r="E1846" s="17"/>
      <c r="F1846" s="14"/>
      <c r="G1846" s="7"/>
      <c r="H1846" s="7"/>
      <c r="I1846" s="20"/>
      <c r="J1846" s="5"/>
      <c r="K1846" s="7"/>
      <c r="L1846" s="7"/>
      <c r="M1846" s="5"/>
      <c r="N1846" s="4"/>
      <c r="O1846" s="4"/>
    </row>
    <row r="1847" spans="1:15" x14ac:dyDescent="0.2">
      <c r="A1847" s="14"/>
      <c r="B1847" s="15"/>
      <c r="D1847" s="16"/>
      <c r="E1847" s="17"/>
      <c r="F1847" s="14"/>
      <c r="G1847" s="7"/>
      <c r="H1847" s="7"/>
      <c r="I1847" s="20"/>
      <c r="J1847" s="5"/>
      <c r="K1847" s="7"/>
      <c r="L1847" s="7"/>
      <c r="M1847" s="5"/>
      <c r="N1847" s="4"/>
      <c r="O1847" s="4"/>
    </row>
    <row r="1848" spans="1:15" x14ac:dyDescent="0.2">
      <c r="A1848" s="14"/>
      <c r="B1848" s="15"/>
      <c r="D1848" s="16"/>
      <c r="E1848" s="17"/>
      <c r="F1848" s="14"/>
      <c r="G1848" s="7"/>
      <c r="H1848" s="7"/>
      <c r="I1848" s="20"/>
      <c r="J1848" s="5"/>
      <c r="K1848" s="7"/>
      <c r="L1848" s="7"/>
      <c r="M1848" s="5"/>
      <c r="N1848" s="4"/>
      <c r="O1848" s="4"/>
    </row>
    <row r="1849" spans="1:15" x14ac:dyDescent="0.2">
      <c r="A1849" s="14"/>
      <c r="B1849" s="15"/>
      <c r="D1849" s="16"/>
      <c r="E1849" s="17"/>
      <c r="F1849" s="14"/>
      <c r="G1849" s="7"/>
      <c r="H1849" s="7"/>
      <c r="I1849" s="20"/>
      <c r="J1849" s="5"/>
      <c r="K1849" s="7"/>
      <c r="L1849" s="7"/>
      <c r="M1849" s="5"/>
      <c r="N1849" s="4"/>
      <c r="O1849" s="4"/>
    </row>
    <row r="1850" spans="1:15" x14ac:dyDescent="0.2">
      <c r="A1850" s="14"/>
      <c r="B1850" s="15"/>
      <c r="D1850" s="16"/>
      <c r="E1850" s="17"/>
      <c r="F1850" s="14"/>
      <c r="G1850" s="7"/>
      <c r="H1850" s="7"/>
      <c r="I1850" s="20"/>
      <c r="J1850" s="5"/>
      <c r="K1850" s="7"/>
      <c r="L1850" s="7"/>
      <c r="M1850" s="5"/>
      <c r="N1850" s="4"/>
      <c r="O1850" s="4"/>
    </row>
    <row r="1851" spans="1:15" x14ac:dyDescent="0.2">
      <c r="A1851" s="14"/>
      <c r="B1851" s="15"/>
      <c r="D1851" s="16"/>
      <c r="E1851" s="17"/>
      <c r="F1851" s="14"/>
      <c r="G1851" s="7"/>
      <c r="H1851" s="7"/>
      <c r="I1851" s="20"/>
      <c r="J1851" s="5"/>
      <c r="K1851" s="7"/>
      <c r="L1851" s="7"/>
      <c r="M1851" s="5"/>
      <c r="N1851" s="4"/>
      <c r="O1851" s="4"/>
    </row>
    <row r="1852" spans="1:15" x14ac:dyDescent="0.2">
      <c r="A1852" s="14"/>
      <c r="B1852" s="15"/>
      <c r="D1852" s="16"/>
      <c r="E1852" s="17"/>
      <c r="F1852" s="14"/>
      <c r="G1852" s="7"/>
      <c r="H1852" s="7"/>
      <c r="I1852" s="20"/>
      <c r="J1852" s="5"/>
      <c r="K1852" s="7"/>
      <c r="L1852" s="7"/>
      <c r="M1852" s="5"/>
      <c r="N1852" s="4"/>
      <c r="O1852" s="4"/>
    </row>
    <row r="1853" spans="1:15" x14ac:dyDescent="0.2">
      <c r="A1853" s="14"/>
      <c r="B1853" s="15"/>
      <c r="D1853" s="16"/>
      <c r="E1853" s="17"/>
      <c r="F1853" s="14"/>
      <c r="G1853" s="7"/>
      <c r="H1853" s="7"/>
      <c r="I1853" s="20"/>
      <c r="J1853" s="5"/>
      <c r="K1853" s="7"/>
      <c r="L1853" s="7"/>
      <c r="M1853" s="5"/>
      <c r="N1853" s="4"/>
      <c r="O1853" s="4"/>
    </row>
    <row r="1854" spans="1:15" x14ac:dyDescent="0.2">
      <c r="A1854" s="14"/>
      <c r="B1854" s="15"/>
      <c r="D1854" s="16"/>
      <c r="E1854" s="17"/>
      <c r="F1854" s="14"/>
      <c r="G1854" s="7"/>
      <c r="H1854" s="7"/>
      <c r="I1854" s="20"/>
      <c r="J1854" s="5"/>
      <c r="K1854" s="7"/>
      <c r="L1854" s="7"/>
      <c r="M1854" s="5"/>
      <c r="N1854" s="4"/>
      <c r="O1854" s="4"/>
    </row>
    <row r="1855" spans="1:15" x14ac:dyDescent="0.2">
      <c r="A1855" s="14"/>
      <c r="B1855" s="15"/>
      <c r="D1855" s="16"/>
      <c r="E1855" s="17"/>
      <c r="F1855" s="14"/>
      <c r="G1855" s="7"/>
      <c r="H1855" s="7"/>
      <c r="I1855" s="20"/>
      <c r="J1855" s="5"/>
      <c r="K1855" s="7"/>
      <c r="L1855" s="7"/>
      <c r="M1855" s="5"/>
      <c r="N1855" s="4"/>
      <c r="O1855" s="4"/>
    </row>
    <row r="1856" spans="1:15" x14ac:dyDescent="0.2">
      <c r="A1856" s="14"/>
      <c r="B1856" s="15"/>
      <c r="D1856" s="16"/>
      <c r="E1856" s="17"/>
      <c r="F1856" s="14"/>
      <c r="G1856" s="7"/>
      <c r="H1856" s="7"/>
      <c r="I1856" s="20"/>
      <c r="J1856" s="5"/>
      <c r="K1856" s="7"/>
      <c r="L1856" s="7"/>
      <c r="M1856" s="5"/>
      <c r="N1856" s="4"/>
      <c r="O1856" s="4"/>
    </row>
    <row r="1857" spans="1:15" x14ac:dyDescent="0.2">
      <c r="A1857" s="14"/>
      <c r="B1857" s="15"/>
      <c r="D1857" s="16"/>
      <c r="E1857" s="17"/>
      <c r="F1857" s="14"/>
      <c r="G1857" s="7"/>
      <c r="H1857" s="7"/>
      <c r="I1857" s="20"/>
      <c r="J1857" s="5"/>
      <c r="K1857" s="7"/>
      <c r="L1857" s="7"/>
      <c r="M1857" s="5"/>
      <c r="N1857" s="4"/>
      <c r="O1857" s="4"/>
    </row>
    <row r="1858" spans="1:15" x14ac:dyDescent="0.2">
      <c r="A1858" s="14"/>
      <c r="B1858" s="15"/>
      <c r="D1858" s="16"/>
      <c r="E1858" s="17"/>
      <c r="F1858" s="14"/>
      <c r="G1858" s="7"/>
      <c r="H1858" s="7"/>
      <c r="I1858" s="20"/>
      <c r="J1858" s="5"/>
      <c r="K1858" s="7"/>
      <c r="L1858" s="7"/>
      <c r="M1858" s="5"/>
      <c r="N1858" s="4"/>
      <c r="O1858" s="4"/>
    </row>
    <row r="1859" spans="1:15" x14ac:dyDescent="0.2">
      <c r="A1859" s="14"/>
      <c r="B1859" s="15"/>
      <c r="D1859" s="16"/>
      <c r="E1859" s="17"/>
      <c r="F1859" s="14"/>
      <c r="G1859" s="7"/>
      <c r="H1859" s="7"/>
      <c r="I1859" s="20"/>
      <c r="J1859" s="5"/>
      <c r="K1859" s="7"/>
      <c r="L1859" s="7"/>
      <c r="M1859" s="5"/>
      <c r="N1859" s="4"/>
      <c r="O1859" s="4"/>
    </row>
    <row r="1860" spans="1:15" x14ac:dyDescent="0.2">
      <c r="A1860" s="14"/>
      <c r="B1860" s="15"/>
      <c r="D1860" s="16"/>
      <c r="E1860" s="17"/>
      <c r="F1860" s="14"/>
      <c r="G1860" s="7"/>
      <c r="H1860" s="7"/>
      <c r="I1860" s="20"/>
      <c r="J1860" s="5"/>
      <c r="K1860" s="7"/>
      <c r="L1860" s="7"/>
      <c r="M1860" s="5"/>
      <c r="N1860" s="4"/>
      <c r="O1860" s="4"/>
    </row>
    <row r="1861" spans="1:15" x14ac:dyDescent="0.2">
      <c r="A1861" s="14"/>
      <c r="B1861" s="15"/>
      <c r="D1861" s="16"/>
      <c r="E1861" s="17"/>
      <c r="F1861" s="14"/>
      <c r="G1861" s="7"/>
      <c r="H1861" s="7"/>
      <c r="I1861" s="20"/>
      <c r="J1861" s="5"/>
      <c r="K1861" s="7"/>
      <c r="L1861" s="7"/>
      <c r="M1861" s="5"/>
      <c r="N1861" s="4"/>
      <c r="O1861" s="4"/>
    </row>
    <row r="1862" spans="1:15" x14ac:dyDescent="0.2">
      <c r="A1862" s="14"/>
      <c r="B1862" s="15"/>
      <c r="D1862" s="16"/>
      <c r="E1862" s="17"/>
      <c r="F1862" s="14"/>
      <c r="G1862" s="7"/>
      <c r="H1862" s="7"/>
      <c r="I1862" s="20"/>
      <c r="J1862" s="5"/>
      <c r="K1862" s="7"/>
      <c r="L1862" s="7"/>
      <c r="M1862" s="5"/>
      <c r="N1862" s="4"/>
      <c r="O1862" s="4"/>
    </row>
    <row r="1863" spans="1:15" x14ac:dyDescent="0.2">
      <c r="A1863" s="14"/>
      <c r="B1863" s="15"/>
      <c r="D1863" s="16"/>
      <c r="E1863" s="17"/>
      <c r="F1863" s="14"/>
      <c r="G1863" s="7"/>
      <c r="H1863" s="7"/>
      <c r="I1863" s="20"/>
      <c r="J1863" s="5"/>
      <c r="K1863" s="7"/>
      <c r="L1863" s="7"/>
      <c r="M1863" s="5"/>
      <c r="N1863" s="4"/>
      <c r="O1863" s="4"/>
    </row>
    <row r="1864" spans="1:15" x14ac:dyDescent="0.2">
      <c r="A1864" s="14"/>
      <c r="B1864" s="15"/>
      <c r="D1864" s="16"/>
      <c r="E1864" s="17"/>
      <c r="F1864" s="14"/>
      <c r="G1864" s="7"/>
      <c r="H1864" s="7"/>
      <c r="I1864" s="20"/>
      <c r="J1864" s="5"/>
      <c r="K1864" s="7"/>
      <c r="L1864" s="7"/>
      <c r="M1864" s="5"/>
      <c r="N1864" s="4"/>
      <c r="O1864" s="4"/>
    </row>
    <row r="1865" spans="1:15" x14ac:dyDescent="0.2">
      <c r="A1865" s="14"/>
      <c r="B1865" s="15"/>
      <c r="D1865" s="16"/>
      <c r="E1865" s="17"/>
      <c r="F1865" s="14"/>
      <c r="G1865" s="7"/>
      <c r="H1865" s="7"/>
      <c r="I1865" s="20"/>
      <c r="J1865" s="5"/>
      <c r="K1865" s="7"/>
      <c r="L1865" s="7"/>
      <c r="M1865" s="5"/>
      <c r="N1865" s="4"/>
      <c r="O1865" s="4"/>
    </row>
    <row r="1866" spans="1:15" x14ac:dyDescent="0.2">
      <c r="A1866" s="14"/>
      <c r="B1866" s="15"/>
      <c r="D1866" s="16"/>
      <c r="E1866" s="17"/>
      <c r="F1866" s="14"/>
      <c r="G1866" s="7"/>
      <c r="H1866" s="7"/>
      <c r="I1866" s="20"/>
      <c r="J1866" s="5"/>
      <c r="K1866" s="7"/>
      <c r="L1866" s="7"/>
      <c r="M1866" s="5"/>
      <c r="N1866" s="4"/>
      <c r="O1866" s="4"/>
    </row>
    <row r="1867" spans="1:15" x14ac:dyDescent="0.2">
      <c r="A1867" s="14"/>
      <c r="B1867" s="15"/>
      <c r="D1867" s="16"/>
      <c r="E1867" s="17"/>
      <c r="F1867" s="14"/>
      <c r="G1867" s="7"/>
      <c r="H1867" s="7"/>
      <c r="I1867" s="20"/>
      <c r="J1867" s="5"/>
      <c r="K1867" s="7"/>
      <c r="L1867" s="7"/>
      <c r="M1867" s="5"/>
      <c r="N1867" s="4"/>
      <c r="O1867" s="4"/>
    </row>
    <row r="1868" spans="1:15" x14ac:dyDescent="0.2">
      <c r="A1868" s="14"/>
      <c r="B1868" s="15"/>
      <c r="D1868" s="16"/>
      <c r="E1868" s="17"/>
      <c r="F1868" s="14"/>
      <c r="G1868" s="7"/>
      <c r="H1868" s="7"/>
      <c r="I1868" s="20"/>
      <c r="J1868" s="5"/>
      <c r="K1868" s="7"/>
      <c r="L1868" s="7"/>
      <c r="M1868" s="5"/>
      <c r="N1868" s="4"/>
      <c r="O1868" s="4"/>
    </row>
    <row r="1869" spans="1:15" x14ac:dyDescent="0.2">
      <c r="A1869" s="14"/>
      <c r="B1869" s="15"/>
      <c r="D1869" s="16"/>
      <c r="E1869" s="17"/>
      <c r="F1869" s="14"/>
      <c r="G1869" s="7"/>
      <c r="H1869" s="7"/>
      <c r="I1869" s="20"/>
      <c r="J1869" s="5"/>
      <c r="K1869" s="7"/>
      <c r="L1869" s="7"/>
      <c r="M1869" s="5"/>
      <c r="N1869" s="4"/>
      <c r="O1869" s="4"/>
    </row>
    <row r="1870" spans="1:15" x14ac:dyDescent="0.2">
      <c r="A1870" s="14"/>
      <c r="B1870" s="15"/>
      <c r="D1870" s="16"/>
      <c r="E1870" s="17"/>
      <c r="F1870" s="14"/>
      <c r="G1870" s="7"/>
      <c r="H1870" s="7"/>
      <c r="I1870" s="20"/>
      <c r="J1870" s="5"/>
      <c r="K1870" s="7"/>
      <c r="L1870" s="7"/>
      <c r="M1870" s="5"/>
      <c r="N1870" s="4"/>
      <c r="O1870" s="4"/>
    </row>
    <row r="1871" spans="1:15" x14ac:dyDescent="0.2">
      <c r="A1871" s="14"/>
      <c r="B1871" s="15"/>
      <c r="D1871" s="16"/>
      <c r="E1871" s="17"/>
      <c r="F1871" s="14"/>
      <c r="G1871" s="7"/>
      <c r="H1871" s="7"/>
      <c r="I1871" s="20"/>
      <c r="J1871" s="5"/>
      <c r="K1871" s="7"/>
      <c r="L1871" s="7"/>
      <c r="M1871" s="5"/>
      <c r="N1871" s="4"/>
      <c r="O1871" s="4"/>
    </row>
    <row r="1872" spans="1:15" x14ac:dyDescent="0.2">
      <c r="A1872" s="14"/>
      <c r="B1872" s="15"/>
      <c r="D1872" s="16"/>
      <c r="E1872" s="17"/>
      <c r="F1872" s="14"/>
      <c r="G1872" s="7"/>
      <c r="H1872" s="7"/>
      <c r="I1872" s="20"/>
      <c r="J1872" s="5"/>
      <c r="K1872" s="7"/>
      <c r="L1872" s="7"/>
      <c r="M1872" s="5"/>
      <c r="N1872" s="4"/>
      <c r="O1872" s="4"/>
    </row>
    <row r="1873" spans="1:15" x14ac:dyDescent="0.2">
      <c r="A1873" s="14"/>
      <c r="B1873" s="15"/>
      <c r="D1873" s="16"/>
      <c r="E1873" s="17"/>
      <c r="F1873" s="14"/>
      <c r="G1873" s="7"/>
      <c r="H1873" s="7"/>
      <c r="I1873" s="20"/>
      <c r="J1873" s="5"/>
      <c r="K1873" s="7"/>
      <c r="L1873" s="7"/>
      <c r="M1873" s="5"/>
      <c r="N1873" s="4"/>
      <c r="O1873" s="4"/>
    </row>
    <row r="1874" spans="1:15" x14ac:dyDescent="0.2">
      <c r="A1874" s="14"/>
      <c r="B1874" s="15"/>
      <c r="D1874" s="16"/>
      <c r="E1874" s="17"/>
      <c r="F1874" s="14"/>
      <c r="G1874" s="7"/>
      <c r="H1874" s="7"/>
      <c r="I1874" s="20"/>
      <c r="J1874" s="5"/>
      <c r="K1874" s="7"/>
      <c r="L1874" s="7"/>
      <c r="M1874" s="5"/>
      <c r="N1874" s="4"/>
      <c r="O1874" s="4"/>
    </row>
    <row r="1875" spans="1:15" x14ac:dyDescent="0.2">
      <c r="A1875" s="14"/>
      <c r="B1875" s="15"/>
      <c r="D1875" s="16"/>
      <c r="E1875" s="17"/>
      <c r="F1875" s="14"/>
      <c r="G1875" s="7"/>
      <c r="H1875" s="7"/>
      <c r="I1875" s="20"/>
      <c r="J1875" s="5"/>
      <c r="K1875" s="7"/>
      <c r="L1875" s="7"/>
      <c r="M1875" s="5"/>
      <c r="N1875" s="4"/>
      <c r="O1875" s="4"/>
    </row>
    <row r="1876" spans="1:15" x14ac:dyDescent="0.2">
      <c r="A1876" s="14"/>
      <c r="B1876" s="15"/>
      <c r="D1876" s="16"/>
      <c r="E1876" s="17"/>
      <c r="F1876" s="14"/>
      <c r="G1876" s="7"/>
      <c r="H1876" s="7"/>
      <c r="I1876" s="20"/>
      <c r="J1876" s="5"/>
      <c r="K1876" s="7"/>
      <c r="L1876" s="7"/>
      <c r="M1876" s="5"/>
      <c r="N1876" s="4"/>
      <c r="O1876" s="4"/>
    </row>
    <row r="1877" spans="1:15" x14ac:dyDescent="0.2">
      <c r="A1877" s="14"/>
      <c r="B1877" s="15"/>
      <c r="D1877" s="16"/>
      <c r="E1877" s="17"/>
      <c r="F1877" s="14"/>
      <c r="G1877" s="7"/>
      <c r="H1877" s="7"/>
      <c r="I1877" s="20"/>
      <c r="J1877" s="5"/>
      <c r="K1877" s="7"/>
      <c r="L1877" s="7"/>
      <c r="M1877" s="5"/>
      <c r="N1877" s="4"/>
      <c r="O1877" s="4"/>
    </row>
    <row r="1878" spans="1:15" x14ac:dyDescent="0.2">
      <c r="A1878" s="14"/>
      <c r="B1878" s="15"/>
      <c r="D1878" s="16"/>
      <c r="E1878" s="17"/>
      <c r="F1878" s="14"/>
      <c r="G1878" s="7"/>
      <c r="H1878" s="7"/>
      <c r="I1878" s="20"/>
      <c r="J1878" s="5"/>
      <c r="K1878" s="7"/>
      <c r="L1878" s="7"/>
      <c r="M1878" s="5"/>
      <c r="N1878" s="4"/>
      <c r="O1878" s="4"/>
    </row>
    <row r="1879" spans="1:15" x14ac:dyDescent="0.2">
      <c r="A1879" s="14"/>
      <c r="B1879" s="15"/>
      <c r="D1879" s="16"/>
      <c r="E1879" s="17"/>
      <c r="F1879" s="14"/>
      <c r="G1879" s="7"/>
      <c r="H1879" s="7"/>
      <c r="I1879" s="20"/>
      <c r="J1879" s="5"/>
      <c r="K1879" s="7"/>
      <c r="L1879" s="7"/>
      <c r="M1879" s="5"/>
      <c r="N1879" s="4"/>
      <c r="O1879" s="4"/>
    </row>
    <row r="1880" spans="1:15" x14ac:dyDescent="0.2">
      <c r="A1880" s="14"/>
      <c r="B1880" s="15"/>
      <c r="D1880" s="16"/>
      <c r="E1880" s="17"/>
      <c r="F1880" s="14"/>
      <c r="G1880" s="7"/>
      <c r="H1880" s="7"/>
      <c r="I1880" s="20"/>
      <c r="J1880" s="5"/>
      <c r="K1880" s="7"/>
      <c r="L1880" s="7"/>
      <c r="M1880" s="5"/>
      <c r="N1880" s="4"/>
      <c r="O1880" s="4"/>
    </row>
    <row r="1881" spans="1:15" x14ac:dyDescent="0.2">
      <c r="A1881" s="14"/>
      <c r="B1881" s="15"/>
      <c r="D1881" s="16"/>
      <c r="E1881" s="17"/>
      <c r="F1881" s="14"/>
      <c r="G1881" s="7"/>
      <c r="H1881" s="7"/>
      <c r="I1881" s="20"/>
      <c r="J1881" s="5"/>
      <c r="K1881" s="7"/>
      <c r="L1881" s="7"/>
      <c r="M1881" s="5"/>
      <c r="N1881" s="4"/>
      <c r="O1881" s="4"/>
    </row>
    <row r="1882" spans="1:15" x14ac:dyDescent="0.2">
      <c r="A1882" s="14"/>
      <c r="B1882" s="15"/>
      <c r="D1882" s="16"/>
      <c r="E1882" s="17"/>
      <c r="F1882" s="14"/>
      <c r="G1882" s="7"/>
      <c r="H1882" s="7"/>
      <c r="I1882" s="20"/>
      <c r="J1882" s="5"/>
      <c r="K1882" s="7"/>
      <c r="L1882" s="7"/>
      <c r="M1882" s="5"/>
      <c r="N1882" s="4"/>
      <c r="O1882" s="4"/>
    </row>
    <row r="1883" spans="1:15" x14ac:dyDescent="0.2">
      <c r="A1883" s="14"/>
      <c r="B1883" s="15"/>
      <c r="D1883" s="16"/>
      <c r="E1883" s="17"/>
      <c r="F1883" s="14"/>
      <c r="G1883" s="7"/>
      <c r="H1883" s="7"/>
      <c r="I1883" s="20"/>
      <c r="J1883" s="5"/>
      <c r="K1883" s="7"/>
      <c r="L1883" s="7"/>
      <c r="M1883" s="5"/>
      <c r="N1883" s="4"/>
      <c r="O1883" s="4"/>
    </row>
    <row r="1884" spans="1:15" x14ac:dyDescent="0.2">
      <c r="A1884" s="14"/>
      <c r="B1884" s="15"/>
      <c r="D1884" s="16"/>
      <c r="E1884" s="17"/>
      <c r="F1884" s="14"/>
      <c r="G1884" s="7"/>
      <c r="H1884" s="7"/>
      <c r="I1884" s="20"/>
      <c r="J1884" s="5"/>
      <c r="K1884" s="7"/>
      <c r="L1884" s="7"/>
      <c r="M1884" s="5"/>
      <c r="N1884" s="4"/>
      <c r="O1884" s="4"/>
    </row>
    <row r="1885" spans="1:15" x14ac:dyDescent="0.2">
      <c r="A1885" s="14"/>
      <c r="B1885" s="15"/>
      <c r="D1885" s="16"/>
      <c r="E1885" s="17"/>
      <c r="F1885" s="14"/>
      <c r="G1885" s="7"/>
      <c r="H1885" s="7"/>
      <c r="I1885" s="20"/>
      <c r="J1885" s="5"/>
      <c r="K1885" s="7"/>
      <c r="L1885" s="7"/>
      <c r="M1885" s="5"/>
      <c r="N1885" s="4"/>
      <c r="O1885" s="4"/>
    </row>
    <row r="1886" spans="1:15" x14ac:dyDescent="0.2">
      <c r="A1886" s="14"/>
      <c r="B1886" s="15"/>
      <c r="D1886" s="16"/>
      <c r="E1886" s="17"/>
      <c r="F1886" s="14"/>
      <c r="G1886" s="7"/>
      <c r="H1886" s="7"/>
      <c r="I1886" s="20"/>
      <c r="J1886" s="5"/>
      <c r="K1886" s="7"/>
      <c r="L1886" s="7"/>
      <c r="M1886" s="5"/>
      <c r="N1886" s="4"/>
      <c r="O1886" s="4"/>
    </row>
    <row r="1887" spans="1:15" x14ac:dyDescent="0.2">
      <c r="A1887" s="14"/>
      <c r="B1887" s="15"/>
      <c r="D1887" s="16"/>
      <c r="E1887" s="17"/>
      <c r="F1887" s="14"/>
      <c r="G1887" s="7"/>
      <c r="H1887" s="7"/>
      <c r="I1887" s="20"/>
      <c r="J1887" s="5"/>
      <c r="K1887" s="7"/>
      <c r="L1887" s="7"/>
      <c r="M1887" s="5"/>
      <c r="N1887" s="4"/>
      <c r="O1887" s="4"/>
    </row>
    <row r="1888" spans="1:15" x14ac:dyDescent="0.2">
      <c r="A1888" s="14"/>
      <c r="B1888" s="15"/>
      <c r="D1888" s="16"/>
      <c r="E1888" s="17"/>
      <c r="F1888" s="14"/>
      <c r="G1888" s="7"/>
      <c r="H1888" s="7"/>
      <c r="I1888" s="20"/>
      <c r="J1888" s="5"/>
      <c r="K1888" s="7"/>
      <c r="L1888" s="7"/>
      <c r="M1888" s="5"/>
      <c r="N1888" s="4"/>
      <c r="O1888" s="4"/>
    </row>
    <row r="1889" spans="1:15" x14ac:dyDescent="0.2">
      <c r="A1889" s="14"/>
      <c r="B1889" s="15"/>
      <c r="D1889" s="16"/>
      <c r="E1889" s="17"/>
      <c r="F1889" s="14"/>
      <c r="G1889" s="7"/>
      <c r="H1889" s="7"/>
      <c r="I1889" s="20"/>
      <c r="J1889" s="5"/>
      <c r="K1889" s="7"/>
      <c r="L1889" s="7"/>
      <c r="M1889" s="5"/>
      <c r="N1889" s="4"/>
      <c r="O1889" s="4"/>
    </row>
    <row r="1890" spans="1:15" x14ac:dyDescent="0.2">
      <c r="A1890" s="14"/>
      <c r="B1890" s="15"/>
      <c r="D1890" s="16"/>
      <c r="E1890" s="17"/>
      <c r="F1890" s="14"/>
      <c r="G1890" s="7"/>
      <c r="H1890" s="7"/>
      <c r="I1890" s="20"/>
      <c r="J1890" s="5"/>
      <c r="K1890" s="7"/>
      <c r="L1890" s="7"/>
      <c r="M1890" s="5"/>
      <c r="N1890" s="4"/>
      <c r="O1890" s="4"/>
    </row>
    <row r="1891" spans="1:15" x14ac:dyDescent="0.2">
      <c r="A1891" s="14"/>
      <c r="B1891" s="15"/>
      <c r="D1891" s="16"/>
      <c r="E1891" s="17"/>
      <c r="F1891" s="14"/>
      <c r="G1891" s="7"/>
      <c r="H1891" s="7"/>
      <c r="I1891" s="20"/>
      <c r="J1891" s="5"/>
      <c r="K1891" s="7"/>
      <c r="L1891" s="7"/>
      <c r="M1891" s="5"/>
      <c r="N1891" s="4"/>
      <c r="O1891" s="4"/>
    </row>
    <row r="1892" spans="1:15" x14ac:dyDescent="0.2">
      <c r="A1892" s="14"/>
      <c r="B1892" s="15"/>
      <c r="D1892" s="16"/>
      <c r="E1892" s="17"/>
      <c r="F1892" s="14"/>
      <c r="G1892" s="7"/>
      <c r="H1892" s="7"/>
      <c r="I1892" s="20"/>
      <c r="J1892" s="5"/>
      <c r="K1892" s="7"/>
      <c r="L1892" s="7"/>
      <c r="M1892" s="5"/>
      <c r="N1892" s="4"/>
      <c r="O1892" s="4"/>
    </row>
    <row r="1893" spans="1:15" x14ac:dyDescent="0.2">
      <c r="A1893" s="14"/>
      <c r="B1893" s="15"/>
      <c r="D1893" s="16"/>
      <c r="E1893" s="17"/>
      <c r="F1893" s="14"/>
      <c r="G1893" s="7"/>
      <c r="H1893" s="7"/>
      <c r="I1893" s="20"/>
      <c r="J1893" s="5"/>
      <c r="K1893" s="7"/>
      <c r="L1893" s="7"/>
      <c r="M1893" s="5"/>
      <c r="N1893" s="4"/>
      <c r="O1893" s="4"/>
    </row>
    <row r="1894" spans="1:15" x14ac:dyDescent="0.2">
      <c r="A1894" s="14"/>
      <c r="B1894" s="15"/>
      <c r="D1894" s="16"/>
      <c r="E1894" s="17"/>
      <c r="F1894" s="14"/>
      <c r="G1894" s="7"/>
      <c r="H1894" s="7"/>
      <c r="I1894" s="20"/>
      <c r="J1894" s="5"/>
      <c r="K1894" s="7"/>
      <c r="L1894" s="7"/>
      <c r="M1894" s="5"/>
      <c r="N1894" s="4"/>
      <c r="O1894" s="4"/>
    </row>
    <row r="1895" spans="1:15" x14ac:dyDescent="0.2">
      <c r="A1895" s="14"/>
      <c r="B1895" s="15"/>
      <c r="D1895" s="16"/>
      <c r="E1895" s="17"/>
      <c r="F1895" s="14"/>
      <c r="G1895" s="7"/>
      <c r="H1895" s="7"/>
      <c r="I1895" s="20"/>
      <c r="J1895" s="5"/>
      <c r="K1895" s="7"/>
      <c r="L1895" s="7"/>
      <c r="M1895" s="5"/>
      <c r="N1895" s="4"/>
      <c r="O1895" s="4"/>
    </row>
    <row r="1896" spans="1:15" x14ac:dyDescent="0.2">
      <c r="A1896" s="14"/>
      <c r="B1896" s="15"/>
      <c r="D1896" s="16"/>
      <c r="E1896" s="17"/>
      <c r="F1896" s="14"/>
      <c r="G1896" s="7"/>
      <c r="H1896" s="7"/>
      <c r="I1896" s="20"/>
      <c r="J1896" s="5"/>
      <c r="K1896" s="7"/>
      <c r="L1896" s="7"/>
      <c r="M1896" s="5"/>
      <c r="N1896" s="4"/>
      <c r="O1896" s="4"/>
    </row>
    <row r="1897" spans="1:15" x14ac:dyDescent="0.2">
      <c r="A1897" s="14"/>
      <c r="B1897" s="15"/>
      <c r="D1897" s="16"/>
      <c r="E1897" s="17"/>
      <c r="F1897" s="14"/>
      <c r="G1897" s="7"/>
      <c r="H1897" s="7"/>
      <c r="I1897" s="20"/>
      <c r="J1897" s="5"/>
      <c r="K1897" s="7"/>
      <c r="L1897" s="7"/>
      <c r="M1897" s="5"/>
      <c r="N1897" s="4"/>
      <c r="O1897" s="4"/>
    </row>
    <row r="1898" spans="1:15" x14ac:dyDescent="0.2">
      <c r="A1898" s="14"/>
      <c r="B1898" s="15"/>
      <c r="D1898" s="16"/>
      <c r="E1898" s="17"/>
      <c r="F1898" s="14"/>
      <c r="G1898" s="7"/>
      <c r="H1898" s="7"/>
      <c r="I1898" s="20"/>
      <c r="J1898" s="5"/>
      <c r="K1898" s="7"/>
      <c r="L1898" s="7"/>
      <c r="M1898" s="5"/>
      <c r="N1898" s="4"/>
      <c r="O1898" s="4"/>
    </row>
    <row r="1899" spans="1:15" x14ac:dyDescent="0.2">
      <c r="A1899" s="14"/>
      <c r="B1899" s="15"/>
      <c r="D1899" s="16"/>
      <c r="E1899" s="17"/>
      <c r="F1899" s="14"/>
      <c r="G1899" s="7"/>
      <c r="H1899" s="7"/>
      <c r="I1899" s="20"/>
      <c r="J1899" s="5"/>
      <c r="K1899" s="7"/>
      <c r="L1899" s="7"/>
      <c r="M1899" s="5"/>
      <c r="N1899" s="4"/>
      <c r="O1899" s="4"/>
    </row>
    <row r="1900" spans="1:15" x14ac:dyDescent="0.2">
      <c r="A1900" s="14"/>
      <c r="B1900" s="15"/>
      <c r="D1900" s="16"/>
      <c r="E1900" s="17"/>
      <c r="F1900" s="14"/>
      <c r="G1900" s="7"/>
      <c r="H1900" s="7"/>
      <c r="I1900" s="20"/>
      <c r="J1900" s="5"/>
      <c r="K1900" s="7"/>
      <c r="L1900" s="7"/>
      <c r="M1900" s="5"/>
      <c r="N1900" s="4"/>
      <c r="O1900" s="4"/>
    </row>
    <row r="1901" spans="1:15" x14ac:dyDescent="0.2">
      <c r="A1901" s="14"/>
      <c r="B1901" s="15"/>
      <c r="D1901" s="16"/>
      <c r="E1901" s="17"/>
      <c r="F1901" s="14"/>
      <c r="G1901" s="7"/>
      <c r="H1901" s="7"/>
      <c r="I1901" s="20"/>
      <c r="J1901" s="5"/>
      <c r="K1901" s="7"/>
      <c r="L1901" s="7"/>
      <c r="M1901" s="5"/>
      <c r="N1901" s="4"/>
      <c r="O1901" s="4"/>
    </row>
    <row r="1902" spans="1:15" x14ac:dyDescent="0.2">
      <c r="A1902" s="14"/>
      <c r="B1902" s="15"/>
      <c r="D1902" s="16"/>
      <c r="E1902" s="17"/>
      <c r="F1902" s="14"/>
      <c r="G1902" s="7"/>
      <c r="H1902" s="7"/>
      <c r="I1902" s="20"/>
      <c r="J1902" s="5"/>
      <c r="K1902" s="7"/>
      <c r="L1902" s="7"/>
      <c r="M1902" s="5"/>
      <c r="N1902" s="4"/>
      <c r="O1902" s="4"/>
    </row>
    <row r="1903" spans="1:15" x14ac:dyDescent="0.2">
      <c r="A1903" s="14"/>
      <c r="B1903" s="15"/>
      <c r="D1903" s="16"/>
      <c r="E1903" s="17"/>
      <c r="F1903" s="14"/>
      <c r="G1903" s="7"/>
      <c r="H1903" s="7"/>
      <c r="I1903" s="20"/>
      <c r="J1903" s="5"/>
      <c r="K1903" s="7"/>
      <c r="L1903" s="7"/>
      <c r="M1903" s="5"/>
      <c r="N1903" s="4"/>
      <c r="O1903" s="4"/>
    </row>
    <row r="1904" spans="1:15" x14ac:dyDescent="0.2">
      <c r="A1904" s="14"/>
      <c r="B1904" s="15"/>
      <c r="D1904" s="16"/>
      <c r="E1904" s="17"/>
      <c r="F1904" s="14"/>
      <c r="G1904" s="7"/>
      <c r="H1904" s="7"/>
      <c r="I1904" s="20"/>
      <c r="J1904" s="5"/>
      <c r="K1904" s="7"/>
      <c r="L1904" s="7"/>
      <c r="M1904" s="5"/>
      <c r="N1904" s="4"/>
      <c r="O1904" s="4"/>
    </row>
    <row r="1905" spans="1:15" x14ac:dyDescent="0.2">
      <c r="A1905" s="14"/>
      <c r="B1905" s="15"/>
      <c r="D1905" s="16"/>
      <c r="E1905" s="17"/>
      <c r="F1905" s="14"/>
      <c r="G1905" s="7"/>
      <c r="H1905" s="7"/>
      <c r="I1905" s="20"/>
      <c r="J1905" s="5"/>
      <c r="K1905" s="7"/>
      <c r="L1905" s="7"/>
      <c r="M1905" s="5"/>
      <c r="N1905" s="4"/>
      <c r="O1905" s="4"/>
    </row>
    <row r="1906" spans="1:15" x14ac:dyDescent="0.2">
      <c r="A1906" s="14"/>
      <c r="B1906" s="15"/>
      <c r="D1906" s="16"/>
      <c r="E1906" s="17"/>
      <c r="F1906" s="14"/>
      <c r="G1906" s="7"/>
      <c r="H1906" s="7"/>
      <c r="I1906" s="20"/>
      <c r="J1906" s="5"/>
      <c r="K1906" s="7"/>
      <c r="L1906" s="7"/>
      <c r="M1906" s="5"/>
      <c r="N1906" s="4"/>
      <c r="O1906" s="4"/>
    </row>
    <row r="1907" spans="1:15" x14ac:dyDescent="0.2">
      <c r="A1907" s="14"/>
      <c r="B1907" s="15"/>
      <c r="D1907" s="16"/>
      <c r="E1907" s="17"/>
      <c r="F1907" s="14"/>
      <c r="G1907" s="7"/>
      <c r="H1907" s="7"/>
      <c r="I1907" s="20"/>
      <c r="J1907" s="5"/>
      <c r="K1907" s="7"/>
      <c r="L1907" s="7"/>
      <c r="M1907" s="5"/>
      <c r="N1907" s="4"/>
      <c r="O1907" s="4"/>
    </row>
    <row r="1908" spans="1:15" x14ac:dyDescent="0.2">
      <c r="A1908" s="14"/>
      <c r="B1908" s="15"/>
      <c r="D1908" s="16"/>
      <c r="E1908" s="17"/>
      <c r="F1908" s="14"/>
      <c r="G1908" s="7"/>
      <c r="H1908" s="7"/>
      <c r="I1908" s="20"/>
      <c r="J1908" s="5"/>
      <c r="K1908" s="7"/>
      <c r="L1908" s="7"/>
      <c r="M1908" s="5"/>
      <c r="N1908" s="4"/>
      <c r="O1908" s="4"/>
    </row>
    <row r="1909" spans="1:15" x14ac:dyDescent="0.2">
      <c r="A1909" s="14"/>
      <c r="B1909" s="15"/>
      <c r="D1909" s="16"/>
      <c r="E1909" s="17"/>
      <c r="F1909" s="14"/>
      <c r="G1909" s="7"/>
      <c r="H1909" s="7"/>
      <c r="I1909" s="20"/>
      <c r="J1909" s="5"/>
      <c r="K1909" s="7"/>
      <c r="L1909" s="7"/>
      <c r="M1909" s="5"/>
      <c r="N1909" s="4"/>
      <c r="O1909" s="4"/>
    </row>
    <row r="1910" spans="1:15" x14ac:dyDescent="0.2">
      <c r="A1910" s="14"/>
      <c r="B1910" s="15"/>
      <c r="D1910" s="16"/>
      <c r="E1910" s="17"/>
      <c r="F1910" s="14"/>
      <c r="G1910" s="7"/>
      <c r="H1910" s="7"/>
      <c r="I1910" s="20"/>
      <c r="J1910" s="5"/>
      <c r="K1910" s="7"/>
      <c r="L1910" s="7"/>
      <c r="M1910" s="5"/>
      <c r="N1910" s="4"/>
      <c r="O1910" s="4"/>
    </row>
    <row r="1911" spans="1:15" x14ac:dyDescent="0.2">
      <c r="A1911" s="14"/>
      <c r="B1911" s="15"/>
      <c r="D1911" s="16"/>
      <c r="E1911" s="17"/>
      <c r="F1911" s="14"/>
      <c r="G1911" s="7"/>
      <c r="H1911" s="7"/>
      <c r="I1911" s="20"/>
      <c r="J1911" s="5"/>
      <c r="K1911" s="7"/>
      <c r="L1911" s="7"/>
      <c r="M1911" s="5"/>
      <c r="N1911" s="4"/>
      <c r="O1911" s="4"/>
    </row>
    <row r="1912" spans="1:15" x14ac:dyDescent="0.2">
      <c r="A1912" s="14"/>
      <c r="B1912" s="15"/>
      <c r="D1912" s="16"/>
      <c r="E1912" s="17"/>
      <c r="F1912" s="14"/>
      <c r="G1912" s="7"/>
      <c r="H1912" s="7"/>
      <c r="I1912" s="20"/>
      <c r="J1912" s="5"/>
      <c r="K1912" s="7"/>
      <c r="L1912" s="7"/>
      <c r="M1912" s="5"/>
      <c r="N1912" s="4"/>
      <c r="O1912" s="4"/>
    </row>
    <row r="1913" spans="1:15" x14ac:dyDescent="0.2">
      <c r="A1913" s="14"/>
      <c r="B1913" s="15"/>
      <c r="D1913" s="16"/>
      <c r="E1913" s="17"/>
      <c r="F1913" s="14"/>
      <c r="G1913" s="7"/>
      <c r="H1913" s="7"/>
      <c r="I1913" s="20"/>
      <c r="J1913" s="5"/>
      <c r="K1913" s="7"/>
      <c r="L1913" s="7"/>
      <c r="M1913" s="5"/>
      <c r="N1913" s="4"/>
      <c r="O1913" s="4"/>
    </row>
    <row r="1914" spans="1:15" x14ac:dyDescent="0.2">
      <c r="A1914" s="14"/>
      <c r="B1914" s="15"/>
      <c r="D1914" s="16"/>
      <c r="E1914" s="17"/>
      <c r="F1914" s="14"/>
      <c r="G1914" s="7"/>
      <c r="H1914" s="7"/>
      <c r="I1914" s="20"/>
      <c r="J1914" s="5"/>
      <c r="K1914" s="7"/>
      <c r="L1914" s="7"/>
      <c r="M1914" s="5"/>
      <c r="N1914" s="4"/>
      <c r="O1914" s="4"/>
    </row>
    <row r="1915" spans="1:15" x14ac:dyDescent="0.2">
      <c r="A1915" s="14"/>
      <c r="B1915" s="15"/>
      <c r="D1915" s="16"/>
      <c r="E1915" s="17"/>
      <c r="F1915" s="14"/>
      <c r="G1915" s="7"/>
      <c r="H1915" s="7"/>
      <c r="I1915" s="20"/>
      <c r="J1915" s="5"/>
      <c r="K1915" s="7"/>
      <c r="L1915" s="7"/>
      <c r="M1915" s="5"/>
      <c r="N1915" s="4"/>
      <c r="O1915" s="4"/>
    </row>
    <row r="1916" spans="1:15" x14ac:dyDescent="0.2">
      <c r="A1916" s="14"/>
      <c r="B1916" s="15"/>
      <c r="D1916" s="16"/>
      <c r="E1916" s="17"/>
      <c r="F1916" s="14"/>
      <c r="G1916" s="7"/>
      <c r="H1916" s="7"/>
      <c r="I1916" s="20"/>
      <c r="J1916" s="5"/>
      <c r="K1916" s="7"/>
      <c r="L1916" s="7"/>
      <c r="M1916" s="5"/>
      <c r="N1916" s="4"/>
      <c r="O1916" s="4"/>
    </row>
    <row r="1917" spans="1:15" x14ac:dyDescent="0.2">
      <c r="A1917" s="14"/>
      <c r="B1917" s="15"/>
      <c r="D1917" s="16"/>
      <c r="E1917" s="17"/>
      <c r="F1917" s="14"/>
      <c r="G1917" s="7"/>
      <c r="H1917" s="7"/>
      <c r="I1917" s="20"/>
      <c r="J1917" s="5"/>
      <c r="K1917" s="7"/>
      <c r="L1917" s="7"/>
      <c r="M1917" s="5"/>
      <c r="N1917" s="4"/>
      <c r="O1917" s="4"/>
    </row>
    <row r="1918" spans="1:15" x14ac:dyDescent="0.2">
      <c r="A1918" s="14"/>
      <c r="B1918" s="15"/>
      <c r="D1918" s="16"/>
      <c r="E1918" s="17"/>
      <c r="F1918" s="14"/>
      <c r="G1918" s="7"/>
      <c r="H1918" s="7"/>
      <c r="I1918" s="20"/>
      <c r="J1918" s="5"/>
      <c r="K1918" s="7"/>
      <c r="L1918" s="7"/>
      <c r="M1918" s="5"/>
      <c r="N1918" s="4"/>
      <c r="O1918" s="4"/>
    </row>
    <row r="1919" spans="1:15" x14ac:dyDescent="0.2">
      <c r="A1919" s="14"/>
      <c r="B1919" s="15"/>
      <c r="D1919" s="16"/>
      <c r="E1919" s="17"/>
      <c r="F1919" s="14"/>
      <c r="G1919" s="7"/>
      <c r="H1919" s="7"/>
      <c r="I1919" s="20"/>
      <c r="J1919" s="5"/>
      <c r="K1919" s="7"/>
      <c r="L1919" s="7"/>
      <c r="M1919" s="5"/>
      <c r="N1919" s="4"/>
      <c r="O1919" s="4"/>
    </row>
    <row r="1920" spans="1:15" x14ac:dyDescent="0.2">
      <c r="A1920" s="14"/>
      <c r="B1920" s="15"/>
      <c r="D1920" s="16"/>
      <c r="E1920" s="17"/>
      <c r="F1920" s="14"/>
      <c r="G1920" s="7"/>
      <c r="H1920" s="7"/>
      <c r="I1920" s="20"/>
      <c r="J1920" s="5"/>
      <c r="K1920" s="7"/>
      <c r="L1920" s="7"/>
      <c r="M1920" s="5"/>
      <c r="N1920" s="4"/>
      <c r="O1920" s="4"/>
    </row>
    <row r="1921" spans="1:15" x14ac:dyDescent="0.2">
      <c r="A1921" s="14"/>
      <c r="B1921" s="15"/>
      <c r="D1921" s="16"/>
      <c r="E1921" s="17"/>
      <c r="F1921" s="14"/>
      <c r="G1921" s="7"/>
      <c r="H1921" s="7"/>
      <c r="I1921" s="20"/>
      <c r="J1921" s="5"/>
      <c r="K1921" s="7"/>
      <c r="L1921" s="7"/>
      <c r="M1921" s="5"/>
      <c r="N1921" s="4"/>
      <c r="O1921" s="4"/>
    </row>
    <row r="1922" spans="1:15" x14ac:dyDescent="0.2">
      <c r="A1922" s="14"/>
      <c r="B1922" s="15"/>
      <c r="D1922" s="16"/>
      <c r="E1922" s="17"/>
      <c r="F1922" s="14"/>
      <c r="G1922" s="7"/>
      <c r="H1922" s="7"/>
      <c r="I1922" s="20"/>
      <c r="J1922" s="5"/>
      <c r="K1922" s="7"/>
      <c r="L1922" s="7"/>
      <c r="M1922" s="5"/>
      <c r="N1922" s="4"/>
      <c r="O1922" s="4"/>
    </row>
    <row r="1923" spans="1:15" x14ac:dyDescent="0.2">
      <c r="A1923" s="14"/>
      <c r="B1923" s="15"/>
      <c r="D1923" s="16"/>
      <c r="E1923" s="17"/>
      <c r="F1923" s="14"/>
      <c r="G1923" s="7"/>
      <c r="H1923" s="7"/>
      <c r="I1923" s="20"/>
      <c r="J1923" s="5"/>
      <c r="K1923" s="7"/>
      <c r="L1923" s="7"/>
      <c r="M1923" s="5"/>
      <c r="N1923" s="4"/>
      <c r="O1923" s="4"/>
    </row>
    <row r="1924" spans="1:15" x14ac:dyDescent="0.2">
      <c r="A1924" s="14"/>
      <c r="B1924" s="15"/>
      <c r="D1924" s="16"/>
      <c r="E1924" s="17"/>
      <c r="F1924" s="14"/>
      <c r="G1924" s="7"/>
      <c r="H1924" s="7"/>
      <c r="I1924" s="20"/>
      <c r="J1924" s="5"/>
      <c r="K1924" s="7"/>
      <c r="L1924" s="7"/>
      <c r="M1924" s="5"/>
      <c r="N1924" s="4"/>
      <c r="O1924" s="4"/>
    </row>
    <row r="1925" spans="1:15" x14ac:dyDescent="0.2">
      <c r="A1925" s="14"/>
      <c r="B1925" s="15"/>
      <c r="D1925" s="16"/>
      <c r="E1925" s="17"/>
      <c r="F1925" s="14"/>
      <c r="G1925" s="7"/>
      <c r="H1925" s="7"/>
      <c r="I1925" s="20"/>
      <c r="J1925" s="5"/>
      <c r="K1925" s="7"/>
      <c r="L1925" s="7"/>
      <c r="M1925" s="5"/>
      <c r="N1925" s="4"/>
      <c r="O1925" s="4"/>
    </row>
    <row r="1926" spans="1:15" x14ac:dyDescent="0.2">
      <c r="A1926" s="14"/>
      <c r="B1926" s="15"/>
      <c r="D1926" s="16"/>
      <c r="E1926" s="17"/>
      <c r="F1926" s="14"/>
      <c r="G1926" s="7"/>
      <c r="H1926" s="7"/>
      <c r="I1926" s="20"/>
      <c r="J1926" s="5"/>
      <c r="K1926" s="7"/>
      <c r="L1926" s="7"/>
      <c r="M1926" s="5"/>
      <c r="N1926" s="4"/>
      <c r="O1926" s="4"/>
    </row>
    <row r="1927" spans="1:15" x14ac:dyDescent="0.2">
      <c r="A1927" s="14"/>
      <c r="B1927" s="15"/>
      <c r="D1927" s="16"/>
      <c r="E1927" s="17"/>
      <c r="F1927" s="14"/>
      <c r="G1927" s="7"/>
      <c r="H1927" s="7"/>
      <c r="I1927" s="20"/>
      <c r="J1927" s="5"/>
      <c r="K1927" s="7"/>
      <c r="L1927" s="7"/>
      <c r="M1927" s="5"/>
      <c r="N1927" s="4"/>
      <c r="O1927" s="4"/>
    </row>
    <row r="1928" spans="1:15" x14ac:dyDescent="0.2">
      <c r="A1928" s="14"/>
      <c r="B1928" s="15"/>
      <c r="D1928" s="16"/>
      <c r="E1928" s="17"/>
      <c r="F1928" s="14"/>
      <c r="G1928" s="7"/>
      <c r="H1928" s="7"/>
      <c r="I1928" s="20"/>
      <c r="J1928" s="5"/>
      <c r="K1928" s="7"/>
      <c r="L1928" s="7"/>
      <c r="M1928" s="5"/>
      <c r="N1928" s="4"/>
      <c r="O1928" s="4"/>
    </row>
    <row r="1929" spans="1:15" x14ac:dyDescent="0.2">
      <c r="A1929" s="14"/>
      <c r="B1929" s="15"/>
      <c r="D1929" s="16"/>
      <c r="E1929" s="17"/>
      <c r="F1929" s="14"/>
      <c r="G1929" s="7"/>
      <c r="H1929" s="7"/>
      <c r="I1929" s="20"/>
      <c r="J1929" s="5"/>
      <c r="K1929" s="7"/>
      <c r="L1929" s="7"/>
      <c r="M1929" s="5"/>
      <c r="N1929" s="4"/>
      <c r="O1929" s="4"/>
    </row>
    <row r="1930" spans="1:15" x14ac:dyDescent="0.2">
      <c r="A1930" s="14"/>
      <c r="B1930" s="15"/>
      <c r="D1930" s="16"/>
      <c r="E1930" s="17"/>
      <c r="F1930" s="14"/>
      <c r="G1930" s="7"/>
      <c r="H1930" s="7"/>
      <c r="I1930" s="20"/>
      <c r="J1930" s="5"/>
      <c r="K1930" s="7"/>
      <c r="L1930" s="7"/>
      <c r="M1930" s="5"/>
      <c r="N1930" s="4"/>
      <c r="O1930" s="4"/>
    </row>
    <row r="1931" spans="1:15" x14ac:dyDescent="0.2">
      <c r="A1931" s="14"/>
      <c r="B1931" s="15"/>
      <c r="D1931" s="16"/>
      <c r="E1931" s="17"/>
      <c r="F1931" s="14"/>
      <c r="G1931" s="7"/>
      <c r="H1931" s="7"/>
      <c r="I1931" s="20"/>
      <c r="J1931" s="5"/>
      <c r="K1931" s="7"/>
      <c r="L1931" s="7"/>
      <c r="M1931" s="5"/>
      <c r="N1931" s="4"/>
      <c r="O1931" s="4"/>
    </row>
    <row r="1932" spans="1:15" x14ac:dyDescent="0.2">
      <c r="A1932" s="14"/>
      <c r="B1932" s="15"/>
      <c r="D1932" s="16"/>
      <c r="E1932" s="17"/>
      <c r="F1932" s="14"/>
      <c r="G1932" s="7"/>
      <c r="H1932" s="7"/>
      <c r="I1932" s="20"/>
      <c r="J1932" s="5"/>
      <c r="K1932" s="7"/>
      <c r="L1932" s="7"/>
      <c r="M1932" s="5"/>
      <c r="N1932" s="4"/>
      <c r="O1932" s="4"/>
    </row>
    <row r="1933" spans="1:15" x14ac:dyDescent="0.2">
      <c r="A1933" s="14"/>
      <c r="B1933" s="15"/>
      <c r="D1933" s="16"/>
      <c r="E1933" s="17"/>
      <c r="F1933" s="14"/>
      <c r="G1933" s="7"/>
      <c r="H1933" s="7"/>
      <c r="I1933" s="20"/>
      <c r="J1933" s="5"/>
      <c r="K1933" s="7"/>
      <c r="L1933" s="7"/>
      <c r="M1933" s="5"/>
      <c r="N1933" s="4"/>
      <c r="O1933" s="4"/>
    </row>
    <row r="1934" spans="1:15" x14ac:dyDescent="0.2">
      <c r="A1934" s="14"/>
      <c r="B1934" s="15"/>
      <c r="D1934" s="16"/>
      <c r="E1934" s="17"/>
      <c r="F1934" s="14"/>
      <c r="G1934" s="7"/>
      <c r="H1934" s="7"/>
      <c r="I1934" s="20"/>
      <c r="J1934" s="5"/>
      <c r="K1934" s="7"/>
      <c r="L1934" s="7"/>
      <c r="M1934" s="5"/>
      <c r="N1934" s="4"/>
      <c r="O1934" s="4"/>
    </row>
    <row r="1935" spans="1:15" x14ac:dyDescent="0.2">
      <c r="A1935" s="14"/>
      <c r="B1935" s="15"/>
      <c r="D1935" s="16"/>
      <c r="E1935" s="17"/>
      <c r="F1935" s="14"/>
      <c r="G1935" s="7"/>
      <c r="H1935" s="7"/>
      <c r="I1935" s="20"/>
      <c r="J1935" s="5"/>
      <c r="K1935" s="7"/>
      <c r="L1935" s="7"/>
      <c r="M1935" s="5"/>
      <c r="N1935" s="4"/>
      <c r="O1935" s="4"/>
    </row>
    <row r="1936" spans="1:15" x14ac:dyDescent="0.2">
      <c r="A1936" s="14"/>
      <c r="B1936" s="15"/>
      <c r="D1936" s="16"/>
      <c r="E1936" s="17"/>
      <c r="F1936" s="14"/>
      <c r="G1936" s="7"/>
      <c r="H1936" s="7"/>
      <c r="I1936" s="20"/>
      <c r="J1936" s="5"/>
      <c r="K1936" s="7"/>
      <c r="L1936" s="7"/>
      <c r="M1936" s="5"/>
      <c r="N1936" s="4"/>
      <c r="O1936" s="4"/>
    </row>
    <row r="1937" spans="1:15" x14ac:dyDescent="0.2">
      <c r="A1937" s="14"/>
      <c r="B1937" s="15"/>
      <c r="D1937" s="16"/>
      <c r="E1937" s="17"/>
      <c r="F1937" s="14"/>
      <c r="G1937" s="7"/>
      <c r="H1937" s="7"/>
      <c r="I1937" s="20"/>
      <c r="J1937" s="5"/>
      <c r="K1937" s="7"/>
      <c r="L1937" s="7"/>
      <c r="M1937" s="5"/>
      <c r="N1937" s="4"/>
      <c r="O1937" s="4"/>
    </row>
    <row r="1938" spans="1:15" x14ac:dyDescent="0.2">
      <c r="A1938" s="14"/>
      <c r="B1938" s="15"/>
      <c r="D1938" s="16"/>
      <c r="E1938" s="17"/>
      <c r="F1938" s="14"/>
      <c r="G1938" s="7"/>
      <c r="H1938" s="7"/>
      <c r="I1938" s="20"/>
      <c r="J1938" s="5"/>
      <c r="K1938" s="7"/>
      <c r="L1938" s="7"/>
      <c r="M1938" s="5"/>
      <c r="N1938" s="4"/>
      <c r="O1938" s="4"/>
    </row>
    <row r="1939" spans="1:15" x14ac:dyDescent="0.2">
      <c r="A1939" s="14"/>
      <c r="B1939" s="15"/>
      <c r="D1939" s="16"/>
      <c r="E1939" s="17"/>
      <c r="F1939" s="14"/>
      <c r="G1939" s="7"/>
      <c r="H1939" s="7"/>
      <c r="I1939" s="20"/>
      <c r="J1939" s="5"/>
      <c r="K1939" s="7"/>
      <c r="L1939" s="7"/>
      <c r="M1939" s="5"/>
      <c r="N1939" s="4"/>
      <c r="O1939" s="4"/>
    </row>
    <row r="1940" spans="1:15" x14ac:dyDescent="0.2">
      <c r="A1940" s="14"/>
      <c r="B1940" s="15"/>
      <c r="D1940" s="16"/>
      <c r="E1940" s="17"/>
      <c r="F1940" s="14"/>
      <c r="G1940" s="7"/>
      <c r="H1940" s="7"/>
      <c r="I1940" s="20"/>
      <c r="J1940" s="5"/>
      <c r="K1940" s="7"/>
      <c r="L1940" s="7"/>
      <c r="M1940" s="5"/>
      <c r="N1940" s="4"/>
      <c r="O1940" s="4"/>
    </row>
    <row r="1941" spans="1:15" x14ac:dyDescent="0.2">
      <c r="A1941" s="14"/>
      <c r="B1941" s="15"/>
      <c r="D1941" s="16"/>
      <c r="E1941" s="17"/>
      <c r="F1941" s="14"/>
      <c r="G1941" s="7"/>
      <c r="H1941" s="7"/>
      <c r="I1941" s="20"/>
      <c r="J1941" s="5"/>
      <c r="K1941" s="7"/>
      <c r="L1941" s="7"/>
      <c r="M1941" s="5"/>
      <c r="N1941" s="4"/>
      <c r="O1941" s="4"/>
    </row>
    <row r="1942" spans="1:15" x14ac:dyDescent="0.2">
      <c r="A1942" s="14"/>
      <c r="B1942" s="15"/>
      <c r="D1942" s="16"/>
      <c r="E1942" s="17"/>
      <c r="F1942" s="14"/>
      <c r="G1942" s="7"/>
      <c r="H1942" s="7"/>
      <c r="I1942" s="20"/>
      <c r="J1942" s="5"/>
      <c r="K1942" s="7"/>
      <c r="L1942" s="7"/>
      <c r="M1942" s="5"/>
      <c r="N1942" s="4"/>
      <c r="O1942" s="4"/>
    </row>
    <row r="1943" spans="1:15" x14ac:dyDescent="0.2">
      <c r="A1943" s="14"/>
      <c r="B1943" s="15"/>
      <c r="D1943" s="16"/>
      <c r="E1943" s="17"/>
      <c r="F1943" s="14"/>
      <c r="G1943" s="7"/>
      <c r="H1943" s="7"/>
      <c r="I1943" s="20"/>
      <c r="J1943" s="5"/>
      <c r="K1943" s="7"/>
      <c r="L1943" s="7"/>
      <c r="M1943" s="5"/>
      <c r="N1943" s="4"/>
      <c r="O1943" s="4"/>
    </row>
    <row r="1944" spans="1:15" x14ac:dyDescent="0.2">
      <c r="A1944" s="14"/>
      <c r="B1944" s="15"/>
      <c r="D1944" s="16"/>
      <c r="E1944" s="17"/>
      <c r="F1944" s="14"/>
      <c r="G1944" s="7"/>
      <c r="H1944" s="7"/>
      <c r="I1944" s="20"/>
      <c r="J1944" s="5"/>
      <c r="K1944" s="7"/>
      <c r="L1944" s="7"/>
      <c r="M1944" s="5"/>
      <c r="N1944" s="4"/>
      <c r="O1944" s="4"/>
    </row>
    <row r="1945" spans="1:15" x14ac:dyDescent="0.2">
      <c r="A1945" s="14"/>
      <c r="B1945" s="15"/>
      <c r="D1945" s="16"/>
      <c r="E1945" s="17"/>
      <c r="F1945" s="14"/>
      <c r="G1945" s="7"/>
      <c r="H1945" s="7"/>
      <c r="I1945" s="20"/>
      <c r="J1945" s="5"/>
      <c r="K1945" s="7"/>
      <c r="L1945" s="7"/>
      <c r="M1945" s="5"/>
      <c r="N1945" s="4"/>
      <c r="O1945" s="4"/>
    </row>
    <row r="1946" spans="1:15" x14ac:dyDescent="0.2">
      <c r="A1946" s="14"/>
      <c r="B1946" s="15"/>
      <c r="D1946" s="16"/>
      <c r="E1946" s="17"/>
      <c r="F1946" s="14"/>
      <c r="G1946" s="7"/>
      <c r="H1946" s="7"/>
      <c r="I1946" s="20"/>
      <c r="J1946" s="5"/>
      <c r="K1946" s="7"/>
      <c r="L1946" s="7"/>
      <c r="M1946" s="5"/>
      <c r="N1946" s="4"/>
      <c r="O1946" s="4"/>
    </row>
    <row r="1947" spans="1:15" x14ac:dyDescent="0.2">
      <c r="A1947" s="14"/>
      <c r="B1947" s="15"/>
      <c r="D1947" s="16"/>
      <c r="E1947" s="17"/>
      <c r="F1947" s="14"/>
      <c r="G1947" s="7"/>
      <c r="H1947" s="7"/>
      <c r="I1947" s="20"/>
      <c r="J1947" s="5"/>
      <c r="K1947" s="7"/>
      <c r="L1947" s="7"/>
      <c r="M1947" s="5"/>
      <c r="N1947" s="4"/>
      <c r="O1947" s="4"/>
    </row>
    <row r="1948" spans="1:15" x14ac:dyDescent="0.2">
      <c r="A1948" s="14"/>
      <c r="B1948" s="15"/>
      <c r="D1948" s="16"/>
      <c r="E1948" s="17"/>
      <c r="F1948" s="14"/>
      <c r="G1948" s="7"/>
      <c r="H1948" s="7"/>
      <c r="I1948" s="20"/>
      <c r="J1948" s="5"/>
      <c r="K1948" s="7"/>
      <c r="L1948" s="7"/>
      <c r="M1948" s="5"/>
      <c r="N1948" s="4"/>
      <c r="O1948" s="4"/>
    </row>
    <row r="1949" spans="1:15" x14ac:dyDescent="0.2">
      <c r="A1949" s="14"/>
      <c r="B1949" s="15"/>
      <c r="D1949" s="16"/>
      <c r="E1949" s="17"/>
      <c r="F1949" s="14"/>
      <c r="G1949" s="7"/>
      <c r="H1949" s="7"/>
      <c r="I1949" s="20"/>
      <c r="J1949" s="5"/>
      <c r="K1949" s="7"/>
      <c r="L1949" s="7"/>
      <c r="M1949" s="5"/>
      <c r="N1949" s="4"/>
      <c r="O1949" s="4"/>
    </row>
    <row r="1950" spans="1:15" x14ac:dyDescent="0.2">
      <c r="A1950" s="14"/>
      <c r="B1950" s="15"/>
      <c r="D1950" s="16"/>
      <c r="E1950" s="17"/>
      <c r="F1950" s="14"/>
      <c r="G1950" s="7"/>
      <c r="H1950" s="7"/>
      <c r="I1950" s="20"/>
      <c r="J1950" s="5"/>
      <c r="K1950" s="7"/>
      <c r="L1950" s="7"/>
      <c r="M1950" s="5"/>
      <c r="N1950" s="4"/>
      <c r="O1950" s="4"/>
    </row>
    <row r="1951" spans="1:15" x14ac:dyDescent="0.2">
      <c r="A1951" s="14"/>
      <c r="B1951" s="15"/>
      <c r="D1951" s="16"/>
      <c r="E1951" s="17"/>
      <c r="F1951" s="14"/>
      <c r="G1951" s="7"/>
      <c r="H1951" s="7"/>
      <c r="I1951" s="20"/>
      <c r="J1951" s="5"/>
      <c r="K1951" s="7"/>
      <c r="L1951" s="7"/>
      <c r="M1951" s="5"/>
      <c r="N1951" s="4"/>
      <c r="O1951" s="4"/>
    </row>
    <row r="1952" spans="1:15" x14ac:dyDescent="0.2">
      <c r="A1952" s="14"/>
      <c r="B1952" s="15"/>
      <c r="D1952" s="16"/>
      <c r="E1952" s="17"/>
      <c r="F1952" s="14"/>
      <c r="G1952" s="7"/>
      <c r="H1952" s="7"/>
      <c r="I1952" s="20"/>
      <c r="J1952" s="5"/>
      <c r="K1952" s="7"/>
      <c r="L1952" s="7"/>
      <c r="M1952" s="5"/>
      <c r="N1952" s="4"/>
      <c r="O1952" s="4"/>
    </row>
    <row r="1953" spans="1:15" x14ac:dyDescent="0.2">
      <c r="A1953" s="14"/>
      <c r="B1953" s="15"/>
      <c r="D1953" s="16"/>
      <c r="E1953" s="17"/>
      <c r="F1953" s="14"/>
      <c r="G1953" s="7"/>
      <c r="H1953" s="7"/>
      <c r="I1953" s="20"/>
      <c r="J1953" s="5"/>
      <c r="K1953" s="7"/>
      <c r="L1953" s="7"/>
      <c r="M1953" s="5"/>
      <c r="N1953" s="4"/>
      <c r="O1953" s="4"/>
    </row>
    <row r="1954" spans="1:15" x14ac:dyDescent="0.2">
      <c r="A1954" s="14"/>
      <c r="B1954" s="15"/>
      <c r="D1954" s="16"/>
      <c r="E1954" s="17"/>
      <c r="F1954" s="14"/>
      <c r="G1954" s="7"/>
      <c r="H1954" s="7"/>
      <c r="I1954" s="20"/>
      <c r="J1954" s="5"/>
      <c r="K1954" s="7"/>
      <c r="L1954" s="7"/>
      <c r="M1954" s="5"/>
      <c r="N1954" s="4"/>
      <c r="O1954" s="4"/>
    </row>
    <row r="1955" spans="1:15" x14ac:dyDescent="0.2">
      <c r="A1955" s="14"/>
      <c r="B1955" s="15"/>
      <c r="D1955" s="16"/>
      <c r="E1955" s="17"/>
      <c r="F1955" s="14"/>
      <c r="G1955" s="7"/>
      <c r="H1955" s="7"/>
      <c r="I1955" s="20"/>
      <c r="J1955" s="5"/>
      <c r="K1955" s="7"/>
      <c r="L1955" s="7"/>
      <c r="M1955" s="5"/>
      <c r="N1955" s="4"/>
      <c r="O1955" s="4"/>
    </row>
    <row r="1956" spans="1:15" x14ac:dyDescent="0.2">
      <c r="A1956" s="14"/>
      <c r="B1956" s="15"/>
      <c r="D1956" s="16"/>
      <c r="E1956" s="17"/>
      <c r="F1956" s="14"/>
      <c r="G1956" s="7"/>
      <c r="H1956" s="7"/>
      <c r="I1956" s="20"/>
      <c r="J1956" s="5"/>
      <c r="K1956" s="7"/>
      <c r="L1956" s="7"/>
      <c r="M1956" s="5"/>
      <c r="N1956" s="4"/>
      <c r="O1956" s="4"/>
    </row>
    <row r="1957" spans="1:15" x14ac:dyDescent="0.2">
      <c r="A1957" s="14"/>
      <c r="B1957" s="15"/>
      <c r="D1957" s="16"/>
      <c r="E1957" s="17"/>
      <c r="F1957" s="14"/>
      <c r="G1957" s="7"/>
      <c r="H1957" s="7"/>
      <c r="I1957" s="20"/>
      <c r="J1957" s="5"/>
      <c r="K1957" s="7"/>
      <c r="L1957" s="7"/>
      <c r="M1957" s="5"/>
      <c r="N1957" s="4"/>
      <c r="O1957" s="4"/>
    </row>
    <row r="1958" spans="1:15" x14ac:dyDescent="0.2">
      <c r="A1958" s="14"/>
      <c r="B1958" s="15"/>
      <c r="D1958" s="16"/>
      <c r="E1958" s="17"/>
      <c r="F1958" s="14"/>
      <c r="G1958" s="7"/>
      <c r="H1958" s="7"/>
      <c r="I1958" s="20"/>
      <c r="J1958" s="5"/>
      <c r="K1958" s="7"/>
      <c r="L1958" s="7"/>
      <c r="M1958" s="5"/>
      <c r="N1958" s="4"/>
      <c r="O1958" s="4"/>
    </row>
    <row r="1959" spans="1:15" x14ac:dyDescent="0.2">
      <c r="A1959" s="14"/>
      <c r="B1959" s="15"/>
      <c r="D1959" s="16"/>
      <c r="E1959" s="17"/>
      <c r="F1959" s="14"/>
      <c r="G1959" s="7"/>
      <c r="H1959" s="7"/>
      <c r="I1959" s="20"/>
      <c r="J1959" s="5"/>
      <c r="K1959" s="7"/>
      <c r="L1959" s="7"/>
      <c r="M1959" s="5"/>
      <c r="N1959" s="4"/>
      <c r="O1959" s="4"/>
    </row>
    <row r="1960" spans="1:15" x14ac:dyDescent="0.2">
      <c r="A1960" s="14"/>
      <c r="B1960" s="15"/>
      <c r="D1960" s="16"/>
      <c r="E1960" s="17"/>
      <c r="F1960" s="14"/>
      <c r="G1960" s="7"/>
      <c r="H1960" s="7"/>
      <c r="I1960" s="20"/>
      <c r="J1960" s="5"/>
      <c r="K1960" s="7"/>
      <c r="L1960" s="7"/>
      <c r="M1960" s="5"/>
      <c r="N1960" s="4"/>
      <c r="O1960" s="4"/>
    </row>
    <row r="1961" spans="1:15" x14ac:dyDescent="0.2">
      <c r="A1961" s="14"/>
      <c r="B1961" s="15"/>
      <c r="D1961" s="16"/>
      <c r="E1961" s="17"/>
      <c r="F1961" s="14"/>
      <c r="G1961" s="7"/>
      <c r="H1961" s="7"/>
      <c r="I1961" s="20"/>
      <c r="J1961" s="5"/>
      <c r="K1961" s="7"/>
      <c r="L1961" s="7"/>
      <c r="M1961" s="5"/>
      <c r="N1961" s="4"/>
      <c r="O1961" s="4"/>
    </row>
    <row r="1962" spans="1:15" x14ac:dyDescent="0.2">
      <c r="A1962" s="14"/>
      <c r="B1962" s="15"/>
      <c r="D1962" s="16"/>
      <c r="E1962" s="17"/>
      <c r="F1962" s="14"/>
      <c r="G1962" s="7"/>
      <c r="H1962" s="7"/>
      <c r="I1962" s="20"/>
      <c r="J1962" s="5"/>
      <c r="K1962" s="7"/>
      <c r="L1962" s="7"/>
      <c r="M1962" s="5"/>
      <c r="N1962" s="4"/>
      <c r="O1962" s="4"/>
    </row>
    <row r="1963" spans="1:15" x14ac:dyDescent="0.2">
      <c r="A1963" s="14"/>
      <c r="B1963" s="15"/>
      <c r="D1963" s="16"/>
      <c r="E1963" s="17"/>
      <c r="F1963" s="14"/>
      <c r="G1963" s="7"/>
      <c r="H1963" s="7"/>
      <c r="I1963" s="20"/>
      <c r="J1963" s="5"/>
      <c r="K1963" s="7"/>
      <c r="L1963" s="7"/>
      <c r="M1963" s="5"/>
      <c r="N1963" s="4"/>
      <c r="O1963" s="4"/>
    </row>
    <row r="1964" spans="1:15" x14ac:dyDescent="0.2">
      <c r="A1964" s="14"/>
      <c r="B1964" s="15"/>
      <c r="D1964" s="16"/>
      <c r="E1964" s="17"/>
      <c r="F1964" s="14"/>
      <c r="G1964" s="7"/>
      <c r="H1964" s="7"/>
      <c r="I1964" s="20"/>
      <c r="J1964" s="5"/>
      <c r="K1964" s="7"/>
      <c r="L1964" s="7"/>
      <c r="M1964" s="5"/>
      <c r="N1964" s="4"/>
      <c r="O1964" s="4"/>
    </row>
    <row r="1965" spans="1:15" x14ac:dyDescent="0.2">
      <c r="A1965" s="14"/>
      <c r="B1965" s="15"/>
      <c r="D1965" s="16"/>
      <c r="E1965" s="17"/>
      <c r="F1965" s="14"/>
      <c r="G1965" s="7"/>
      <c r="H1965" s="7"/>
      <c r="I1965" s="20"/>
      <c r="J1965" s="5"/>
      <c r="K1965" s="7"/>
      <c r="L1965" s="7"/>
      <c r="M1965" s="5"/>
      <c r="N1965" s="4"/>
      <c r="O1965" s="4"/>
    </row>
    <row r="1966" spans="1:15" x14ac:dyDescent="0.2">
      <c r="A1966" s="14"/>
      <c r="B1966" s="15"/>
      <c r="D1966" s="16"/>
      <c r="E1966" s="17"/>
      <c r="F1966" s="14"/>
      <c r="G1966" s="7"/>
      <c r="H1966" s="7"/>
      <c r="I1966" s="20"/>
      <c r="J1966" s="5"/>
      <c r="K1966" s="7"/>
      <c r="L1966" s="7"/>
      <c r="M1966" s="5"/>
      <c r="N1966" s="4"/>
      <c r="O1966" s="4"/>
    </row>
    <row r="1967" spans="1:15" x14ac:dyDescent="0.2">
      <c r="A1967" s="14"/>
      <c r="B1967" s="15"/>
      <c r="D1967" s="16"/>
      <c r="E1967" s="17"/>
      <c r="F1967" s="14"/>
      <c r="G1967" s="7"/>
      <c r="H1967" s="7"/>
      <c r="I1967" s="20"/>
      <c r="J1967" s="5"/>
      <c r="K1967" s="7"/>
      <c r="L1967" s="7"/>
      <c r="M1967" s="5"/>
      <c r="N1967" s="4"/>
      <c r="O1967" s="4"/>
    </row>
    <row r="1968" spans="1:15" x14ac:dyDescent="0.2">
      <c r="A1968" s="14"/>
      <c r="B1968" s="15"/>
      <c r="D1968" s="16"/>
      <c r="E1968" s="17"/>
      <c r="F1968" s="14"/>
      <c r="G1968" s="7"/>
      <c r="H1968" s="7"/>
      <c r="I1968" s="20"/>
      <c r="J1968" s="5"/>
      <c r="K1968" s="7"/>
      <c r="L1968" s="7"/>
      <c r="M1968" s="5"/>
      <c r="N1968" s="4"/>
      <c r="O1968" s="4"/>
    </row>
    <row r="1969" spans="1:15" x14ac:dyDescent="0.2">
      <c r="A1969" s="14"/>
      <c r="B1969" s="15"/>
      <c r="D1969" s="16"/>
      <c r="E1969" s="17"/>
      <c r="F1969" s="14"/>
      <c r="G1969" s="7"/>
      <c r="H1969" s="7"/>
      <c r="I1969" s="20"/>
      <c r="J1969" s="5"/>
      <c r="K1969" s="7"/>
      <c r="L1969" s="7"/>
      <c r="M1969" s="5"/>
      <c r="N1969" s="4"/>
      <c r="O1969" s="4"/>
    </row>
    <row r="1970" spans="1:15" x14ac:dyDescent="0.2">
      <c r="A1970" s="14"/>
      <c r="B1970" s="15"/>
      <c r="D1970" s="16"/>
      <c r="E1970" s="17"/>
      <c r="F1970" s="14"/>
      <c r="G1970" s="7"/>
      <c r="H1970" s="7"/>
      <c r="I1970" s="20"/>
      <c r="J1970" s="5"/>
      <c r="K1970" s="7"/>
      <c r="L1970" s="7"/>
      <c r="M1970" s="5"/>
      <c r="N1970" s="4"/>
      <c r="O1970" s="4"/>
    </row>
    <row r="1971" spans="1:15" x14ac:dyDescent="0.2">
      <c r="A1971" s="14"/>
      <c r="B1971" s="15"/>
      <c r="D1971" s="16"/>
      <c r="E1971" s="17"/>
      <c r="F1971" s="14"/>
      <c r="G1971" s="7"/>
      <c r="H1971" s="7"/>
      <c r="I1971" s="20"/>
      <c r="J1971" s="5"/>
      <c r="K1971" s="7"/>
      <c r="L1971" s="7"/>
      <c r="M1971" s="5"/>
      <c r="N1971" s="4"/>
      <c r="O1971" s="4"/>
    </row>
    <row r="1972" spans="1:15" x14ac:dyDescent="0.2">
      <c r="A1972" s="14"/>
      <c r="B1972" s="15"/>
      <c r="D1972" s="16"/>
      <c r="E1972" s="17"/>
      <c r="F1972" s="14"/>
      <c r="G1972" s="7"/>
      <c r="H1972" s="7"/>
      <c r="I1972" s="20"/>
      <c r="J1972" s="5"/>
      <c r="K1972" s="7"/>
      <c r="L1972" s="7"/>
      <c r="M1972" s="5"/>
      <c r="N1972" s="4"/>
      <c r="O1972" s="4"/>
    </row>
    <row r="1973" spans="1:15" x14ac:dyDescent="0.2">
      <c r="A1973" s="14"/>
      <c r="B1973" s="15"/>
      <c r="D1973" s="16"/>
      <c r="E1973" s="17"/>
      <c r="F1973" s="14"/>
      <c r="G1973" s="7"/>
      <c r="H1973" s="7"/>
      <c r="I1973" s="20"/>
      <c r="J1973" s="5"/>
      <c r="K1973" s="7"/>
      <c r="L1973" s="7"/>
      <c r="M1973" s="5"/>
      <c r="N1973" s="4"/>
      <c r="O1973" s="4"/>
    </row>
    <row r="1974" spans="1:15" x14ac:dyDescent="0.2">
      <c r="A1974" s="14"/>
      <c r="B1974" s="15"/>
      <c r="D1974" s="16"/>
      <c r="E1974" s="17"/>
      <c r="F1974" s="14"/>
      <c r="G1974" s="7"/>
      <c r="H1974" s="7"/>
      <c r="I1974" s="20"/>
      <c r="J1974" s="5"/>
      <c r="K1974" s="7"/>
      <c r="L1974" s="7"/>
      <c r="M1974" s="5"/>
      <c r="N1974" s="4"/>
      <c r="O1974" s="4"/>
    </row>
    <row r="1975" spans="1:15" x14ac:dyDescent="0.2">
      <c r="A1975" s="14"/>
      <c r="B1975" s="15"/>
      <c r="D1975" s="16"/>
      <c r="E1975" s="17"/>
      <c r="F1975" s="14"/>
      <c r="G1975" s="7"/>
      <c r="H1975" s="7"/>
      <c r="I1975" s="20"/>
      <c r="J1975" s="5"/>
      <c r="K1975" s="7"/>
      <c r="L1975" s="7"/>
      <c r="M1975" s="5"/>
      <c r="N1975" s="4"/>
      <c r="O1975" s="4"/>
    </row>
    <row r="1976" spans="1:15" x14ac:dyDescent="0.2">
      <c r="A1976" s="14"/>
      <c r="B1976" s="15"/>
      <c r="D1976" s="16"/>
      <c r="E1976" s="17"/>
      <c r="F1976" s="14"/>
      <c r="G1976" s="7"/>
      <c r="H1976" s="7"/>
      <c r="I1976" s="20"/>
      <c r="J1976" s="5"/>
      <c r="K1976" s="7"/>
      <c r="L1976" s="7"/>
      <c r="M1976" s="5"/>
      <c r="N1976" s="4"/>
      <c r="O1976" s="4"/>
    </row>
    <row r="1977" spans="1:15" x14ac:dyDescent="0.2">
      <c r="A1977" s="14"/>
      <c r="B1977" s="15"/>
      <c r="D1977" s="16"/>
      <c r="E1977" s="17"/>
      <c r="F1977" s="14"/>
      <c r="G1977" s="7"/>
      <c r="H1977" s="7"/>
      <c r="I1977" s="20"/>
      <c r="J1977" s="5"/>
      <c r="K1977" s="7"/>
      <c r="L1977" s="7"/>
      <c r="M1977" s="5"/>
      <c r="N1977" s="4"/>
      <c r="O1977" s="4"/>
    </row>
    <row r="1978" spans="1:15" x14ac:dyDescent="0.2">
      <c r="A1978" s="14"/>
      <c r="B1978" s="15"/>
      <c r="D1978" s="16"/>
      <c r="E1978" s="17"/>
      <c r="F1978" s="14"/>
      <c r="G1978" s="7"/>
      <c r="H1978" s="7"/>
      <c r="I1978" s="20"/>
      <c r="J1978" s="5"/>
      <c r="K1978" s="7"/>
      <c r="L1978" s="7"/>
      <c r="M1978" s="5"/>
      <c r="N1978" s="4"/>
      <c r="O1978" s="4"/>
    </row>
    <row r="1979" spans="1:15" x14ac:dyDescent="0.2">
      <c r="A1979" s="14"/>
      <c r="B1979" s="15"/>
      <c r="D1979" s="16"/>
      <c r="E1979" s="17"/>
      <c r="F1979" s="14"/>
      <c r="G1979" s="7"/>
      <c r="H1979" s="7"/>
      <c r="I1979" s="20"/>
      <c r="J1979" s="5"/>
      <c r="K1979" s="7"/>
      <c r="L1979" s="7"/>
      <c r="M1979" s="5"/>
      <c r="N1979" s="4"/>
      <c r="O1979" s="4"/>
    </row>
    <row r="1980" spans="1:15" x14ac:dyDescent="0.2">
      <c r="A1980" s="14"/>
      <c r="B1980" s="15"/>
      <c r="D1980" s="16"/>
      <c r="E1980" s="17"/>
      <c r="F1980" s="14"/>
      <c r="G1980" s="7"/>
      <c r="H1980" s="7"/>
      <c r="I1980" s="20"/>
      <c r="J1980" s="5"/>
      <c r="K1980" s="7"/>
      <c r="L1980" s="7"/>
      <c r="M1980" s="5"/>
      <c r="N1980" s="4"/>
      <c r="O1980" s="4"/>
    </row>
    <row r="1981" spans="1:15" x14ac:dyDescent="0.2">
      <c r="A1981" s="14"/>
      <c r="B1981" s="15"/>
      <c r="D1981" s="16"/>
      <c r="E1981" s="17"/>
      <c r="F1981" s="14"/>
      <c r="G1981" s="7"/>
      <c r="H1981" s="7"/>
      <c r="I1981" s="20"/>
      <c r="J1981" s="5"/>
      <c r="K1981" s="7"/>
      <c r="L1981" s="7"/>
      <c r="M1981" s="5"/>
      <c r="N1981" s="4"/>
      <c r="O1981" s="4"/>
    </row>
    <row r="1982" spans="1:15" x14ac:dyDescent="0.2">
      <c r="A1982" s="14"/>
      <c r="B1982" s="15"/>
      <c r="D1982" s="16"/>
      <c r="E1982" s="17"/>
      <c r="F1982" s="14"/>
      <c r="G1982" s="7"/>
      <c r="H1982" s="7"/>
      <c r="I1982" s="20"/>
      <c r="J1982" s="5"/>
      <c r="K1982" s="7"/>
      <c r="L1982" s="7"/>
      <c r="M1982" s="5"/>
      <c r="N1982" s="4"/>
      <c r="O1982" s="4"/>
    </row>
    <row r="1983" spans="1:15" x14ac:dyDescent="0.2">
      <c r="A1983" s="14"/>
      <c r="B1983" s="15"/>
      <c r="D1983" s="16"/>
      <c r="E1983" s="17"/>
      <c r="F1983" s="14"/>
      <c r="G1983" s="7"/>
      <c r="H1983" s="7"/>
      <c r="I1983" s="20"/>
      <c r="J1983" s="5"/>
      <c r="K1983" s="7"/>
      <c r="L1983" s="7"/>
      <c r="M1983" s="5"/>
      <c r="N1983" s="4"/>
      <c r="O1983" s="4"/>
    </row>
    <row r="1984" spans="1:15" x14ac:dyDescent="0.2">
      <c r="A1984" s="14"/>
      <c r="B1984" s="15"/>
      <c r="D1984" s="16"/>
      <c r="E1984" s="17"/>
      <c r="F1984" s="14"/>
      <c r="G1984" s="7"/>
      <c r="H1984" s="7"/>
      <c r="I1984" s="20"/>
      <c r="J1984" s="5"/>
      <c r="K1984" s="7"/>
      <c r="L1984" s="7"/>
      <c r="M1984" s="5"/>
      <c r="N1984" s="4"/>
      <c r="O1984" s="4"/>
    </row>
    <row r="1985" spans="1:15" x14ac:dyDescent="0.2">
      <c r="A1985" s="14"/>
      <c r="B1985" s="15"/>
      <c r="D1985" s="16"/>
      <c r="E1985" s="17"/>
      <c r="F1985" s="14"/>
      <c r="G1985" s="7"/>
      <c r="H1985" s="7"/>
      <c r="I1985" s="20"/>
      <c r="J1985" s="5"/>
      <c r="K1985" s="7"/>
      <c r="L1985" s="7"/>
      <c r="M1985" s="5"/>
      <c r="N1985" s="4"/>
      <c r="O1985" s="4"/>
    </row>
    <row r="1986" spans="1:15" x14ac:dyDescent="0.2">
      <c r="A1986" s="14"/>
      <c r="B1986" s="15"/>
      <c r="D1986" s="16"/>
      <c r="E1986" s="17"/>
      <c r="F1986" s="14"/>
      <c r="G1986" s="7"/>
      <c r="H1986" s="7"/>
      <c r="I1986" s="20"/>
      <c r="J1986" s="5"/>
      <c r="K1986" s="7"/>
      <c r="L1986" s="7"/>
      <c r="M1986" s="5"/>
      <c r="N1986" s="4"/>
      <c r="O1986" s="4"/>
    </row>
    <row r="1987" spans="1:15" x14ac:dyDescent="0.2">
      <c r="A1987" s="14"/>
      <c r="B1987" s="15"/>
      <c r="D1987" s="16"/>
      <c r="E1987" s="17"/>
      <c r="F1987" s="14"/>
      <c r="G1987" s="7"/>
      <c r="H1987" s="7"/>
      <c r="I1987" s="20"/>
      <c r="J1987" s="5"/>
      <c r="K1987" s="7"/>
      <c r="L1987" s="7"/>
      <c r="M1987" s="5"/>
      <c r="N1987" s="4"/>
      <c r="O1987" s="4"/>
    </row>
    <row r="1988" spans="1:15" x14ac:dyDescent="0.2">
      <c r="A1988" s="14"/>
      <c r="B1988" s="15"/>
      <c r="D1988" s="16"/>
      <c r="E1988" s="17"/>
      <c r="F1988" s="14"/>
      <c r="G1988" s="7"/>
      <c r="H1988" s="7"/>
      <c r="I1988" s="20"/>
      <c r="J1988" s="5"/>
      <c r="K1988" s="7"/>
      <c r="L1988" s="7"/>
      <c r="M1988" s="5"/>
      <c r="N1988" s="4"/>
      <c r="O1988" s="4"/>
    </row>
    <row r="1989" spans="1:15" x14ac:dyDescent="0.2">
      <c r="A1989" s="14"/>
      <c r="B1989" s="15"/>
      <c r="D1989" s="16"/>
      <c r="E1989" s="17"/>
      <c r="F1989" s="14"/>
      <c r="G1989" s="7"/>
      <c r="H1989" s="7"/>
      <c r="I1989" s="20"/>
      <c r="J1989" s="5"/>
      <c r="K1989" s="7"/>
      <c r="L1989" s="7"/>
      <c r="M1989" s="5"/>
      <c r="N1989" s="4"/>
      <c r="O1989" s="4"/>
    </row>
    <row r="1990" spans="1:15" x14ac:dyDescent="0.2">
      <c r="A1990" s="14"/>
      <c r="B1990" s="15"/>
      <c r="D1990" s="16"/>
      <c r="E1990" s="17"/>
      <c r="F1990" s="14"/>
      <c r="G1990" s="7"/>
      <c r="H1990" s="7"/>
      <c r="I1990" s="20"/>
      <c r="J1990" s="5"/>
      <c r="K1990" s="7"/>
      <c r="L1990" s="7"/>
      <c r="M1990" s="5"/>
      <c r="N1990" s="4"/>
      <c r="O1990" s="4"/>
    </row>
    <row r="1991" spans="1:15" x14ac:dyDescent="0.2">
      <c r="A1991" s="14"/>
      <c r="B1991" s="15"/>
      <c r="D1991" s="16"/>
      <c r="E1991" s="17"/>
      <c r="F1991" s="14"/>
      <c r="G1991" s="7"/>
      <c r="H1991" s="7"/>
      <c r="I1991" s="20"/>
      <c r="J1991" s="5"/>
      <c r="K1991" s="7"/>
      <c r="L1991" s="7"/>
      <c r="M1991" s="5"/>
      <c r="N1991" s="4"/>
      <c r="O1991" s="4"/>
    </row>
    <row r="1992" spans="1:15" x14ac:dyDescent="0.2">
      <c r="A1992" s="14"/>
      <c r="B1992" s="15"/>
      <c r="D1992" s="16"/>
      <c r="E1992" s="17"/>
      <c r="F1992" s="14"/>
      <c r="G1992" s="7"/>
      <c r="H1992" s="7"/>
      <c r="I1992" s="20"/>
      <c r="J1992" s="5"/>
      <c r="K1992" s="7"/>
      <c r="L1992" s="7"/>
      <c r="M1992" s="5"/>
      <c r="N1992" s="4"/>
      <c r="O1992" s="4"/>
    </row>
    <row r="1993" spans="1:15" x14ac:dyDescent="0.2">
      <c r="A1993" s="14"/>
      <c r="B1993" s="15"/>
      <c r="D1993" s="16"/>
      <c r="E1993" s="17"/>
      <c r="F1993" s="14"/>
      <c r="G1993" s="7"/>
      <c r="H1993" s="7"/>
      <c r="I1993" s="20"/>
      <c r="J1993" s="5"/>
      <c r="K1993" s="7"/>
      <c r="L1993" s="7"/>
      <c r="M1993" s="5"/>
      <c r="N1993" s="4"/>
      <c r="O1993" s="4"/>
    </row>
    <row r="1994" spans="1:15" x14ac:dyDescent="0.2">
      <c r="A1994" s="14"/>
      <c r="B1994" s="15"/>
      <c r="D1994" s="16"/>
      <c r="E1994" s="17"/>
      <c r="F1994" s="14"/>
      <c r="G1994" s="7"/>
      <c r="H1994" s="7"/>
      <c r="I1994" s="20"/>
      <c r="J1994" s="5"/>
      <c r="K1994" s="7"/>
      <c r="L1994" s="7"/>
      <c r="M1994" s="5"/>
      <c r="N1994" s="4"/>
      <c r="O1994" s="4"/>
    </row>
    <row r="1995" spans="1:15" x14ac:dyDescent="0.2">
      <c r="A1995" s="14"/>
      <c r="B1995" s="15"/>
      <c r="D1995" s="16"/>
      <c r="E1995" s="17"/>
      <c r="F1995" s="14"/>
      <c r="G1995" s="7"/>
      <c r="H1995" s="7"/>
      <c r="I1995" s="20"/>
      <c r="J1995" s="5"/>
      <c r="K1995" s="7"/>
      <c r="L1995" s="7"/>
      <c r="M1995" s="5"/>
      <c r="N1995" s="4"/>
      <c r="O1995" s="4"/>
    </row>
    <row r="1996" spans="1:15" x14ac:dyDescent="0.2">
      <c r="A1996" s="14"/>
      <c r="B1996" s="15"/>
      <c r="D1996" s="16"/>
      <c r="E1996" s="17"/>
      <c r="F1996" s="14"/>
      <c r="G1996" s="7"/>
      <c r="H1996" s="7"/>
      <c r="I1996" s="20"/>
      <c r="J1996" s="5"/>
      <c r="K1996" s="7"/>
      <c r="L1996" s="7"/>
      <c r="M1996" s="5"/>
      <c r="N1996" s="4"/>
      <c r="O1996" s="4"/>
    </row>
    <row r="1997" spans="1:15" x14ac:dyDescent="0.2">
      <c r="A1997" s="14"/>
      <c r="B1997" s="15"/>
      <c r="D1997" s="16"/>
      <c r="E1997" s="17"/>
      <c r="F1997" s="14"/>
      <c r="G1997" s="7"/>
      <c r="H1997" s="7"/>
      <c r="I1997" s="20"/>
      <c r="J1997" s="5"/>
      <c r="K1997" s="7"/>
      <c r="L1997" s="7"/>
      <c r="M1997" s="5"/>
      <c r="N1997" s="4"/>
      <c r="O1997" s="4"/>
    </row>
    <row r="1998" spans="1:15" x14ac:dyDescent="0.2">
      <c r="A1998" s="14"/>
      <c r="B1998" s="15"/>
      <c r="D1998" s="16"/>
      <c r="E1998" s="17"/>
      <c r="F1998" s="14"/>
      <c r="G1998" s="7"/>
      <c r="H1998" s="7"/>
      <c r="I1998" s="20"/>
      <c r="J1998" s="5"/>
      <c r="K1998" s="7"/>
      <c r="L1998" s="7"/>
      <c r="M1998" s="5"/>
      <c r="N1998" s="4"/>
      <c r="O1998" s="4"/>
    </row>
    <row r="1999" spans="1:15" x14ac:dyDescent="0.2">
      <c r="A1999" s="14"/>
      <c r="B1999" s="15"/>
      <c r="D1999" s="16"/>
      <c r="E1999" s="17"/>
      <c r="F1999" s="14"/>
      <c r="G1999" s="7"/>
      <c r="H1999" s="7"/>
      <c r="I1999" s="20"/>
      <c r="J1999" s="5"/>
      <c r="K1999" s="7"/>
      <c r="L1999" s="7"/>
      <c r="M1999" s="5"/>
      <c r="N1999" s="4"/>
      <c r="O1999" s="4"/>
    </row>
    <row r="2000" spans="1:15" x14ac:dyDescent="0.2">
      <c r="A2000" s="14"/>
      <c r="B2000" s="15"/>
      <c r="D2000" s="16"/>
      <c r="E2000" s="17"/>
      <c r="F2000" s="14"/>
      <c r="G2000" s="7"/>
      <c r="H2000" s="7"/>
      <c r="I2000" s="20"/>
      <c r="J2000" s="5"/>
      <c r="K2000" s="7"/>
      <c r="L2000" s="7"/>
      <c r="M2000" s="5"/>
      <c r="N2000" s="4"/>
      <c r="O2000" s="4"/>
    </row>
    <row r="2001" spans="1:15" x14ac:dyDescent="0.2">
      <c r="A2001" s="14"/>
      <c r="B2001" s="15"/>
      <c r="D2001" s="16"/>
      <c r="E2001" s="17"/>
      <c r="F2001" s="14"/>
      <c r="G2001" s="7"/>
      <c r="H2001" s="7"/>
      <c r="I2001" s="20"/>
      <c r="J2001" s="5"/>
      <c r="K2001" s="7"/>
      <c r="L2001" s="7"/>
      <c r="M2001" s="5"/>
      <c r="N2001" s="4"/>
      <c r="O2001" s="4"/>
    </row>
    <row r="2002" spans="1:15" x14ac:dyDescent="0.2">
      <c r="A2002" s="14"/>
      <c r="B2002" s="15"/>
      <c r="D2002" s="16"/>
      <c r="E2002" s="17"/>
      <c r="F2002" s="14"/>
      <c r="G2002" s="7"/>
      <c r="H2002" s="7"/>
      <c r="I2002" s="20"/>
      <c r="J2002" s="5"/>
      <c r="K2002" s="7"/>
      <c r="L2002" s="7"/>
      <c r="M2002" s="5"/>
      <c r="N2002" s="4"/>
      <c r="O2002" s="4"/>
    </row>
    <row r="2003" spans="1:15" x14ac:dyDescent="0.2">
      <c r="A2003" s="14"/>
      <c r="B2003" s="15"/>
      <c r="D2003" s="16"/>
      <c r="E2003" s="17"/>
      <c r="F2003" s="14"/>
      <c r="G2003" s="7"/>
      <c r="H2003" s="7"/>
      <c r="I2003" s="20"/>
      <c r="J2003" s="5"/>
      <c r="K2003" s="7"/>
      <c r="L2003" s="7"/>
      <c r="M2003" s="5"/>
      <c r="N2003" s="4"/>
      <c r="O2003" s="4"/>
    </row>
    <row r="2004" spans="1:15" x14ac:dyDescent="0.2">
      <c r="A2004" s="14"/>
      <c r="B2004" s="15"/>
      <c r="D2004" s="16"/>
      <c r="E2004" s="17"/>
      <c r="F2004" s="14"/>
      <c r="G2004" s="7"/>
      <c r="H2004" s="7"/>
      <c r="I2004" s="20"/>
      <c r="J2004" s="5"/>
      <c r="K2004" s="7"/>
      <c r="L2004" s="7"/>
      <c r="M2004" s="5"/>
      <c r="N2004" s="4"/>
      <c r="O2004" s="4"/>
    </row>
    <row r="2005" spans="1:15" x14ac:dyDescent="0.2">
      <c r="A2005" s="14"/>
      <c r="B2005" s="15"/>
      <c r="D2005" s="16"/>
      <c r="E2005" s="17"/>
      <c r="F2005" s="14"/>
      <c r="G2005" s="7"/>
      <c r="H2005" s="7"/>
      <c r="I2005" s="20"/>
      <c r="J2005" s="5"/>
      <c r="K2005" s="7"/>
      <c r="L2005" s="7"/>
      <c r="M2005" s="5"/>
      <c r="N2005" s="4"/>
      <c r="O2005" s="4"/>
    </row>
    <row r="2006" spans="1:15" x14ac:dyDescent="0.2">
      <c r="A2006" s="14"/>
      <c r="B2006" s="15"/>
      <c r="D2006" s="16"/>
      <c r="E2006" s="17"/>
      <c r="F2006" s="14"/>
      <c r="G2006" s="7"/>
      <c r="H2006" s="7"/>
      <c r="I2006" s="20"/>
      <c r="J2006" s="5"/>
      <c r="K2006" s="7"/>
      <c r="L2006" s="7"/>
      <c r="M2006" s="5"/>
      <c r="N2006" s="4"/>
      <c r="O2006" s="4"/>
    </row>
    <row r="2007" spans="1:15" x14ac:dyDescent="0.2">
      <c r="A2007" s="14"/>
      <c r="B2007" s="15"/>
      <c r="D2007" s="16"/>
      <c r="E2007" s="17"/>
      <c r="F2007" s="14"/>
      <c r="G2007" s="7"/>
      <c r="H2007" s="7"/>
      <c r="I2007" s="20"/>
      <c r="J2007" s="5"/>
      <c r="K2007" s="7"/>
      <c r="L2007" s="7"/>
      <c r="M2007" s="5"/>
      <c r="N2007" s="4"/>
      <c r="O2007" s="4"/>
    </row>
    <row r="2008" spans="1:15" x14ac:dyDescent="0.2">
      <c r="A2008" s="14"/>
      <c r="B2008" s="15"/>
      <c r="D2008" s="16"/>
      <c r="E2008" s="17"/>
      <c r="F2008" s="14"/>
      <c r="G2008" s="7"/>
      <c r="H2008" s="7"/>
      <c r="I2008" s="20"/>
      <c r="J2008" s="5"/>
      <c r="K2008" s="7"/>
      <c r="L2008" s="7"/>
      <c r="M2008" s="5"/>
      <c r="N2008" s="4"/>
      <c r="O2008" s="4"/>
    </row>
    <row r="2009" spans="1:15" x14ac:dyDescent="0.2">
      <c r="A2009" s="14"/>
      <c r="B2009" s="15"/>
      <c r="D2009" s="16"/>
      <c r="E2009" s="17"/>
      <c r="F2009" s="14"/>
      <c r="G2009" s="7"/>
      <c r="H2009" s="7"/>
      <c r="I2009" s="20"/>
      <c r="J2009" s="5"/>
      <c r="K2009" s="7"/>
      <c r="L2009" s="7"/>
      <c r="M2009" s="5"/>
      <c r="N2009" s="4"/>
      <c r="O2009" s="4"/>
    </row>
    <row r="2010" spans="1:15" x14ac:dyDescent="0.2">
      <c r="A2010" s="14"/>
      <c r="B2010" s="15"/>
      <c r="D2010" s="16"/>
      <c r="E2010" s="17"/>
      <c r="F2010" s="14"/>
      <c r="G2010" s="7"/>
      <c r="H2010" s="7"/>
      <c r="I2010" s="20"/>
      <c r="J2010" s="5"/>
      <c r="K2010" s="7"/>
      <c r="L2010" s="7"/>
      <c r="M2010" s="5"/>
      <c r="N2010" s="4"/>
      <c r="O2010" s="4"/>
    </row>
    <row r="2011" spans="1:15" x14ac:dyDescent="0.2">
      <c r="A2011" s="14"/>
      <c r="B2011" s="15"/>
      <c r="D2011" s="16"/>
      <c r="E2011" s="17"/>
      <c r="F2011" s="14"/>
      <c r="G2011" s="7"/>
      <c r="H2011" s="7"/>
      <c r="I2011" s="20"/>
      <c r="J2011" s="5"/>
      <c r="K2011" s="7"/>
      <c r="L2011" s="7"/>
      <c r="M2011" s="5"/>
      <c r="N2011" s="4"/>
      <c r="O2011" s="4"/>
    </row>
    <row r="2012" spans="1:15" x14ac:dyDescent="0.2">
      <c r="A2012" s="14"/>
      <c r="B2012" s="15"/>
      <c r="D2012" s="16"/>
      <c r="E2012" s="17"/>
      <c r="F2012" s="14"/>
      <c r="G2012" s="7"/>
      <c r="H2012" s="7"/>
      <c r="I2012" s="20"/>
      <c r="J2012" s="5"/>
      <c r="K2012" s="7"/>
      <c r="L2012" s="7"/>
      <c r="M2012" s="5"/>
      <c r="N2012" s="4"/>
      <c r="O2012" s="4"/>
    </row>
    <row r="2013" spans="1:15" x14ac:dyDescent="0.2">
      <c r="A2013" s="14"/>
      <c r="B2013" s="15"/>
      <c r="D2013" s="16"/>
      <c r="E2013" s="17"/>
      <c r="F2013" s="14"/>
      <c r="G2013" s="7"/>
      <c r="H2013" s="7"/>
      <c r="I2013" s="20"/>
      <c r="J2013" s="5"/>
      <c r="K2013" s="7"/>
      <c r="L2013" s="7"/>
      <c r="M2013" s="5"/>
      <c r="N2013" s="4"/>
      <c r="O2013" s="4"/>
    </row>
    <row r="2014" spans="1:15" x14ac:dyDescent="0.2">
      <c r="A2014" s="14"/>
      <c r="B2014" s="15"/>
      <c r="D2014" s="16"/>
      <c r="E2014" s="17"/>
      <c r="F2014" s="14"/>
      <c r="G2014" s="7"/>
      <c r="H2014" s="7"/>
      <c r="I2014" s="20"/>
      <c r="J2014" s="5"/>
      <c r="K2014" s="7"/>
      <c r="L2014" s="7"/>
      <c r="M2014" s="5"/>
      <c r="N2014" s="4"/>
      <c r="O2014" s="4"/>
    </row>
    <row r="2015" spans="1:15" x14ac:dyDescent="0.2">
      <c r="A2015" s="14"/>
      <c r="B2015" s="15"/>
      <c r="D2015" s="16"/>
      <c r="E2015" s="17"/>
      <c r="F2015" s="14"/>
      <c r="G2015" s="7"/>
      <c r="H2015" s="7"/>
      <c r="I2015" s="20"/>
      <c r="J2015" s="5"/>
      <c r="K2015" s="7"/>
      <c r="L2015" s="7"/>
      <c r="M2015" s="5"/>
      <c r="N2015" s="4"/>
      <c r="O2015" s="4"/>
    </row>
    <row r="2016" spans="1:15" x14ac:dyDescent="0.2">
      <c r="A2016" s="14"/>
      <c r="B2016" s="15"/>
      <c r="D2016" s="16"/>
      <c r="E2016" s="17"/>
      <c r="F2016" s="14"/>
      <c r="G2016" s="7"/>
      <c r="H2016" s="7"/>
      <c r="I2016" s="20"/>
      <c r="J2016" s="5"/>
      <c r="K2016" s="7"/>
      <c r="L2016" s="7"/>
      <c r="M2016" s="5"/>
      <c r="N2016" s="4"/>
      <c r="O2016" s="4"/>
    </row>
    <row r="2017" spans="1:15" x14ac:dyDescent="0.2">
      <c r="A2017" s="14"/>
      <c r="B2017" s="15"/>
      <c r="D2017" s="16"/>
      <c r="E2017" s="17"/>
      <c r="F2017" s="14"/>
      <c r="G2017" s="7"/>
      <c r="H2017" s="7"/>
      <c r="I2017" s="20"/>
      <c r="J2017" s="5"/>
      <c r="K2017" s="7"/>
      <c r="L2017" s="7"/>
      <c r="M2017" s="5"/>
      <c r="N2017" s="4"/>
      <c r="O2017" s="4"/>
    </row>
    <row r="2018" spans="1:15" x14ac:dyDescent="0.2">
      <c r="A2018" s="14"/>
      <c r="B2018" s="15"/>
      <c r="D2018" s="16"/>
      <c r="E2018" s="17"/>
      <c r="F2018" s="14"/>
      <c r="G2018" s="7"/>
      <c r="H2018" s="7"/>
      <c r="I2018" s="20"/>
      <c r="J2018" s="5"/>
      <c r="K2018" s="7"/>
      <c r="L2018" s="7"/>
      <c r="M2018" s="5"/>
      <c r="N2018" s="4"/>
      <c r="O2018" s="4"/>
    </row>
    <row r="2019" spans="1:15" x14ac:dyDescent="0.2">
      <c r="A2019" s="14"/>
      <c r="B2019" s="15"/>
      <c r="D2019" s="16"/>
      <c r="E2019" s="17"/>
      <c r="F2019" s="14"/>
      <c r="G2019" s="7"/>
      <c r="H2019" s="7"/>
      <c r="I2019" s="20"/>
      <c r="J2019" s="5"/>
      <c r="K2019" s="7"/>
      <c r="L2019" s="7"/>
      <c r="M2019" s="5"/>
      <c r="N2019" s="4"/>
      <c r="O2019" s="4"/>
    </row>
    <row r="2020" spans="1:15" x14ac:dyDescent="0.2">
      <c r="A2020" s="14"/>
      <c r="B2020" s="15"/>
      <c r="D2020" s="16"/>
      <c r="E2020" s="17"/>
      <c r="F2020" s="14"/>
      <c r="G2020" s="7"/>
      <c r="H2020" s="7"/>
      <c r="I2020" s="20"/>
      <c r="J2020" s="5"/>
      <c r="K2020" s="7"/>
      <c r="L2020" s="7"/>
      <c r="M2020" s="5"/>
      <c r="N2020" s="4"/>
      <c r="O2020" s="4"/>
    </row>
    <row r="2021" spans="1:15" x14ac:dyDescent="0.2">
      <c r="A2021" s="14"/>
      <c r="B2021" s="15"/>
      <c r="D2021" s="16"/>
      <c r="E2021" s="17"/>
      <c r="F2021" s="14"/>
      <c r="G2021" s="7"/>
      <c r="H2021" s="7"/>
      <c r="I2021" s="20"/>
      <c r="J2021" s="5"/>
      <c r="K2021" s="7"/>
      <c r="L2021" s="7"/>
      <c r="M2021" s="5"/>
      <c r="N2021" s="4"/>
      <c r="O2021" s="4"/>
    </row>
    <row r="2022" spans="1:15" x14ac:dyDescent="0.2">
      <c r="A2022" s="14"/>
      <c r="B2022" s="15"/>
      <c r="D2022" s="16"/>
      <c r="E2022" s="17"/>
      <c r="F2022" s="14"/>
      <c r="G2022" s="7"/>
      <c r="H2022" s="7"/>
      <c r="I2022" s="20"/>
      <c r="J2022" s="5"/>
      <c r="K2022" s="7"/>
      <c r="L2022" s="7"/>
      <c r="M2022" s="5"/>
      <c r="N2022" s="4"/>
      <c r="O2022" s="4"/>
    </row>
    <row r="2023" spans="1:15" x14ac:dyDescent="0.2">
      <c r="A2023" s="14"/>
      <c r="B2023" s="15"/>
      <c r="D2023" s="16"/>
      <c r="E2023" s="17"/>
      <c r="F2023" s="14"/>
      <c r="G2023" s="7"/>
      <c r="H2023" s="7"/>
      <c r="I2023" s="20"/>
      <c r="J2023" s="5"/>
      <c r="K2023" s="7"/>
      <c r="L2023" s="7"/>
      <c r="M2023" s="5"/>
      <c r="N2023" s="4"/>
      <c r="O2023" s="4"/>
    </row>
    <row r="2024" spans="1:15" x14ac:dyDescent="0.2">
      <c r="A2024" s="14"/>
      <c r="B2024" s="15"/>
      <c r="D2024" s="16"/>
      <c r="E2024" s="17"/>
      <c r="F2024" s="14"/>
      <c r="G2024" s="7"/>
      <c r="H2024" s="7"/>
      <c r="I2024" s="20"/>
      <c r="J2024" s="5"/>
      <c r="K2024" s="7"/>
      <c r="L2024" s="7"/>
      <c r="M2024" s="5"/>
      <c r="N2024" s="4"/>
      <c r="O2024" s="4"/>
    </row>
    <row r="2025" spans="1:15" x14ac:dyDescent="0.2">
      <c r="A2025" s="14"/>
      <c r="B2025" s="15"/>
      <c r="D2025" s="16"/>
      <c r="E2025" s="17"/>
      <c r="F2025" s="14"/>
      <c r="G2025" s="7"/>
      <c r="H2025" s="7"/>
      <c r="I2025" s="20"/>
      <c r="J2025" s="5"/>
      <c r="K2025" s="7"/>
      <c r="L2025" s="7"/>
      <c r="M2025" s="5"/>
      <c r="N2025" s="4"/>
      <c r="O2025" s="4"/>
    </row>
    <row r="2026" spans="1:15" x14ac:dyDescent="0.2">
      <c r="A2026" s="14"/>
      <c r="B2026" s="15"/>
      <c r="D2026" s="16"/>
      <c r="E2026" s="17"/>
      <c r="F2026" s="14"/>
      <c r="G2026" s="7"/>
      <c r="H2026" s="7"/>
      <c r="I2026" s="20"/>
      <c r="J2026" s="5"/>
      <c r="K2026" s="7"/>
      <c r="L2026" s="7"/>
      <c r="M2026" s="5"/>
      <c r="N2026" s="4"/>
      <c r="O2026" s="4"/>
    </row>
    <row r="2027" spans="1:15" x14ac:dyDescent="0.2">
      <c r="A2027" s="14"/>
      <c r="B2027" s="15"/>
      <c r="D2027" s="16"/>
      <c r="E2027" s="17"/>
      <c r="F2027" s="14"/>
      <c r="G2027" s="7"/>
      <c r="H2027" s="7"/>
      <c r="I2027" s="20"/>
      <c r="J2027" s="5"/>
      <c r="K2027" s="7"/>
      <c r="L2027" s="7"/>
      <c r="M2027" s="5"/>
      <c r="N2027" s="4"/>
      <c r="O2027" s="4"/>
    </row>
    <row r="2028" spans="1:15" x14ac:dyDescent="0.2">
      <c r="A2028" s="14"/>
      <c r="B2028" s="15"/>
      <c r="D2028" s="16"/>
      <c r="E2028" s="17"/>
      <c r="F2028" s="14"/>
      <c r="G2028" s="7"/>
      <c r="H2028" s="7"/>
      <c r="I2028" s="20"/>
      <c r="J2028" s="5"/>
      <c r="K2028" s="7"/>
      <c r="L2028" s="7"/>
      <c r="M2028" s="5"/>
      <c r="N2028" s="4"/>
      <c r="O2028" s="4"/>
    </row>
    <row r="2029" spans="1:15" x14ac:dyDescent="0.2">
      <c r="A2029" s="14"/>
      <c r="B2029" s="15"/>
      <c r="D2029" s="16"/>
      <c r="E2029" s="17"/>
      <c r="F2029" s="14"/>
      <c r="G2029" s="7"/>
      <c r="H2029" s="7"/>
      <c r="I2029" s="20"/>
      <c r="J2029" s="5"/>
      <c r="K2029" s="7"/>
      <c r="L2029" s="7"/>
      <c r="M2029" s="5"/>
      <c r="N2029" s="4"/>
      <c r="O2029" s="4"/>
    </row>
    <row r="2030" spans="1:15" x14ac:dyDescent="0.2">
      <c r="A2030" s="14"/>
      <c r="B2030" s="15"/>
      <c r="D2030" s="16"/>
      <c r="E2030" s="17"/>
      <c r="F2030" s="14"/>
      <c r="G2030" s="7"/>
      <c r="H2030" s="7"/>
      <c r="I2030" s="20"/>
      <c r="J2030" s="5"/>
      <c r="K2030" s="7"/>
      <c r="L2030" s="7"/>
      <c r="M2030" s="5"/>
      <c r="N2030" s="4"/>
      <c r="O2030" s="4"/>
    </row>
    <row r="2031" spans="1:15" x14ac:dyDescent="0.2">
      <c r="A2031" s="14"/>
      <c r="B2031" s="15"/>
      <c r="D2031" s="16"/>
      <c r="E2031" s="17"/>
      <c r="F2031" s="14"/>
      <c r="G2031" s="7"/>
      <c r="H2031" s="7"/>
      <c r="I2031" s="20"/>
      <c r="J2031" s="5"/>
      <c r="K2031" s="7"/>
      <c r="L2031" s="7"/>
      <c r="M2031" s="5"/>
      <c r="N2031" s="4"/>
      <c r="O2031" s="4"/>
    </row>
    <row r="2032" spans="1:15" x14ac:dyDescent="0.2">
      <c r="A2032" s="14"/>
      <c r="B2032" s="15"/>
      <c r="D2032" s="16"/>
      <c r="E2032" s="17"/>
      <c r="F2032" s="14"/>
      <c r="G2032" s="7"/>
      <c r="H2032" s="7"/>
      <c r="I2032" s="20"/>
      <c r="J2032" s="5"/>
      <c r="K2032" s="7"/>
      <c r="L2032" s="7"/>
      <c r="M2032" s="5"/>
      <c r="N2032" s="4"/>
      <c r="O2032" s="4"/>
    </row>
    <row r="2033" spans="1:15" x14ac:dyDescent="0.2">
      <c r="A2033" s="14"/>
      <c r="B2033" s="15"/>
      <c r="D2033" s="16"/>
      <c r="E2033" s="17"/>
      <c r="F2033" s="14"/>
      <c r="G2033" s="7"/>
      <c r="H2033" s="7"/>
      <c r="I2033" s="20"/>
      <c r="J2033" s="5"/>
      <c r="K2033" s="7"/>
      <c r="L2033" s="7"/>
      <c r="M2033" s="5"/>
      <c r="N2033" s="4"/>
      <c r="O2033" s="4"/>
    </row>
    <row r="2034" spans="1:15" x14ac:dyDescent="0.2">
      <c r="A2034" s="14"/>
      <c r="B2034" s="15"/>
      <c r="D2034" s="16"/>
      <c r="E2034" s="17"/>
      <c r="F2034" s="14"/>
      <c r="G2034" s="7"/>
      <c r="H2034" s="7"/>
      <c r="I2034" s="20"/>
      <c r="J2034" s="5"/>
      <c r="K2034" s="7"/>
      <c r="L2034" s="7"/>
      <c r="M2034" s="5"/>
      <c r="N2034" s="4"/>
      <c r="O2034" s="4"/>
    </row>
    <row r="2035" spans="1:15" x14ac:dyDescent="0.2">
      <c r="A2035" s="14"/>
      <c r="B2035" s="15"/>
      <c r="D2035" s="16"/>
      <c r="E2035" s="17"/>
      <c r="F2035" s="14"/>
      <c r="G2035" s="7"/>
      <c r="H2035" s="7"/>
      <c r="I2035" s="20"/>
      <c r="J2035" s="5"/>
      <c r="K2035" s="7"/>
      <c r="L2035" s="7"/>
      <c r="M2035" s="5"/>
      <c r="N2035" s="4"/>
      <c r="O2035" s="4"/>
    </row>
    <row r="2036" spans="1:15" x14ac:dyDescent="0.2">
      <c r="A2036" s="14"/>
      <c r="B2036" s="15"/>
      <c r="D2036" s="16"/>
      <c r="E2036" s="17"/>
      <c r="F2036" s="14"/>
      <c r="G2036" s="7"/>
      <c r="H2036" s="7"/>
      <c r="I2036" s="20"/>
      <c r="J2036" s="5"/>
      <c r="K2036" s="7"/>
      <c r="L2036" s="7"/>
      <c r="M2036" s="5"/>
      <c r="N2036" s="4"/>
      <c r="O2036" s="4"/>
    </row>
    <row r="2037" spans="1:15" x14ac:dyDescent="0.2">
      <c r="A2037" s="14"/>
      <c r="B2037" s="15"/>
      <c r="D2037" s="16"/>
      <c r="E2037" s="17"/>
      <c r="F2037" s="14"/>
      <c r="G2037" s="7"/>
      <c r="H2037" s="7"/>
      <c r="I2037" s="20"/>
      <c r="J2037" s="5"/>
      <c r="K2037" s="7"/>
      <c r="L2037" s="7"/>
      <c r="M2037" s="5"/>
      <c r="N2037" s="4"/>
      <c r="O2037" s="4"/>
    </row>
    <row r="2038" spans="1:15" x14ac:dyDescent="0.2">
      <c r="A2038" s="14"/>
      <c r="B2038" s="15"/>
      <c r="D2038" s="16"/>
      <c r="E2038" s="17"/>
      <c r="F2038" s="14"/>
      <c r="G2038" s="7"/>
      <c r="H2038" s="7"/>
      <c r="I2038" s="20"/>
      <c r="J2038" s="5"/>
      <c r="K2038" s="7"/>
      <c r="L2038" s="7"/>
      <c r="M2038" s="5"/>
      <c r="N2038" s="4"/>
      <c r="O2038" s="4"/>
    </row>
    <row r="2039" spans="1:15" x14ac:dyDescent="0.2">
      <c r="A2039" s="14"/>
      <c r="B2039" s="15"/>
      <c r="D2039" s="16"/>
      <c r="E2039" s="17"/>
      <c r="F2039" s="14"/>
      <c r="G2039" s="7"/>
      <c r="H2039" s="7"/>
      <c r="I2039" s="20"/>
      <c r="J2039" s="5"/>
      <c r="K2039" s="7"/>
      <c r="L2039" s="7"/>
      <c r="M2039" s="5"/>
      <c r="N2039" s="4"/>
      <c r="O2039" s="4"/>
    </row>
    <row r="2040" spans="1:15" x14ac:dyDescent="0.2">
      <c r="A2040" s="14"/>
      <c r="B2040" s="15"/>
      <c r="D2040" s="16"/>
      <c r="E2040" s="17"/>
      <c r="F2040" s="14"/>
      <c r="G2040" s="7"/>
      <c r="H2040" s="7"/>
      <c r="I2040" s="20"/>
      <c r="J2040" s="5"/>
      <c r="K2040" s="7"/>
      <c r="L2040" s="7"/>
      <c r="M2040" s="5"/>
      <c r="N2040" s="4"/>
      <c r="O2040" s="4"/>
    </row>
    <row r="2041" spans="1:15" x14ac:dyDescent="0.2">
      <c r="A2041" s="14"/>
      <c r="B2041" s="15"/>
      <c r="D2041" s="16"/>
      <c r="E2041" s="17"/>
      <c r="F2041" s="14"/>
      <c r="G2041" s="7"/>
      <c r="H2041" s="7"/>
      <c r="I2041" s="20"/>
      <c r="J2041" s="5"/>
      <c r="K2041" s="7"/>
      <c r="L2041" s="7"/>
      <c r="M2041" s="5"/>
      <c r="N2041" s="4"/>
      <c r="O2041" s="4"/>
    </row>
    <row r="2042" spans="1:15" x14ac:dyDescent="0.2">
      <c r="A2042" s="14"/>
      <c r="B2042" s="15"/>
      <c r="D2042" s="16"/>
      <c r="E2042" s="17"/>
      <c r="F2042" s="14"/>
      <c r="G2042" s="7"/>
      <c r="H2042" s="7"/>
      <c r="I2042" s="20"/>
      <c r="J2042" s="5"/>
      <c r="K2042" s="7"/>
      <c r="L2042" s="7"/>
      <c r="M2042" s="5"/>
      <c r="N2042" s="4"/>
      <c r="O2042" s="4"/>
    </row>
    <row r="2043" spans="1:15" x14ac:dyDescent="0.2">
      <c r="A2043" s="14"/>
      <c r="B2043" s="15"/>
      <c r="D2043" s="16"/>
      <c r="E2043" s="17"/>
      <c r="F2043" s="14"/>
      <c r="G2043" s="7"/>
      <c r="H2043" s="7"/>
      <c r="I2043" s="20"/>
      <c r="J2043" s="5"/>
      <c r="K2043" s="7"/>
      <c r="L2043" s="7"/>
      <c r="M2043" s="5"/>
      <c r="N2043" s="4"/>
      <c r="O2043" s="4"/>
    </row>
    <row r="2044" spans="1:15" x14ac:dyDescent="0.2">
      <c r="A2044" s="14"/>
      <c r="B2044" s="15"/>
      <c r="D2044" s="16"/>
      <c r="E2044" s="17"/>
      <c r="F2044" s="14"/>
      <c r="G2044" s="7"/>
      <c r="H2044" s="7"/>
      <c r="I2044" s="20"/>
      <c r="J2044" s="5"/>
      <c r="K2044" s="7"/>
      <c r="L2044" s="7"/>
      <c r="M2044" s="5"/>
      <c r="N2044" s="4"/>
      <c r="O2044" s="4"/>
    </row>
    <row r="2045" spans="1:15" x14ac:dyDescent="0.2">
      <c r="A2045" s="14"/>
      <c r="B2045" s="15"/>
      <c r="D2045" s="16"/>
      <c r="E2045" s="17"/>
      <c r="F2045" s="14"/>
      <c r="G2045" s="7"/>
      <c r="H2045" s="7"/>
      <c r="I2045" s="20"/>
      <c r="J2045" s="5"/>
      <c r="K2045" s="7"/>
      <c r="L2045" s="7"/>
      <c r="M2045" s="5"/>
      <c r="N2045" s="4"/>
      <c r="O2045" s="4"/>
    </row>
    <row r="2046" spans="1:15" x14ac:dyDescent="0.2">
      <c r="A2046" s="14"/>
      <c r="B2046" s="15"/>
      <c r="D2046" s="16"/>
      <c r="E2046" s="17"/>
      <c r="F2046" s="14"/>
      <c r="G2046" s="7"/>
      <c r="H2046" s="7"/>
      <c r="I2046" s="20"/>
      <c r="J2046" s="5"/>
      <c r="K2046" s="7"/>
      <c r="L2046" s="7"/>
      <c r="M2046" s="5"/>
      <c r="N2046" s="4"/>
      <c r="O2046" s="4"/>
    </row>
    <row r="2047" spans="1:15" x14ac:dyDescent="0.2">
      <c r="A2047" s="14"/>
      <c r="B2047" s="15"/>
      <c r="D2047" s="16"/>
      <c r="E2047" s="17"/>
      <c r="F2047" s="14"/>
      <c r="G2047" s="7"/>
      <c r="H2047" s="7"/>
      <c r="I2047" s="20"/>
      <c r="J2047" s="5"/>
      <c r="K2047" s="7"/>
      <c r="L2047" s="7"/>
      <c r="M2047" s="5"/>
      <c r="N2047" s="4"/>
      <c r="O2047" s="4"/>
    </row>
    <row r="2048" spans="1:15" x14ac:dyDescent="0.2">
      <c r="A2048" s="14"/>
      <c r="B2048" s="15"/>
      <c r="D2048" s="16"/>
      <c r="E2048" s="17"/>
      <c r="F2048" s="14"/>
      <c r="G2048" s="7"/>
      <c r="H2048" s="7"/>
      <c r="I2048" s="20"/>
      <c r="J2048" s="5"/>
      <c r="K2048" s="7"/>
      <c r="L2048" s="7"/>
      <c r="M2048" s="5"/>
      <c r="N2048" s="4"/>
      <c r="O2048" s="4"/>
    </row>
    <row r="2049" spans="1:15" x14ac:dyDescent="0.2">
      <c r="A2049" s="14"/>
      <c r="B2049" s="15"/>
      <c r="D2049" s="16"/>
      <c r="E2049" s="17"/>
      <c r="F2049" s="14"/>
      <c r="G2049" s="7"/>
      <c r="H2049" s="7"/>
      <c r="I2049" s="20"/>
      <c r="J2049" s="5"/>
      <c r="K2049" s="7"/>
      <c r="L2049" s="7"/>
      <c r="M2049" s="5"/>
      <c r="N2049" s="4"/>
      <c r="O2049" s="4"/>
    </row>
    <row r="2050" spans="1:15" x14ac:dyDescent="0.2">
      <c r="A2050" s="14"/>
      <c r="B2050" s="15"/>
      <c r="D2050" s="16"/>
      <c r="E2050" s="17"/>
      <c r="F2050" s="14"/>
      <c r="G2050" s="7"/>
      <c r="H2050" s="7"/>
      <c r="I2050" s="20"/>
      <c r="J2050" s="5"/>
      <c r="K2050" s="7"/>
      <c r="L2050" s="7"/>
      <c r="M2050" s="5"/>
      <c r="N2050" s="4"/>
      <c r="O2050" s="4"/>
    </row>
    <row r="2051" spans="1:15" x14ac:dyDescent="0.2">
      <c r="A2051" s="14"/>
      <c r="B2051" s="15"/>
      <c r="D2051" s="16"/>
      <c r="E2051" s="17"/>
      <c r="F2051" s="14"/>
      <c r="G2051" s="7"/>
      <c r="H2051" s="7"/>
      <c r="I2051" s="20"/>
      <c r="J2051" s="5"/>
      <c r="K2051" s="7"/>
      <c r="L2051" s="7"/>
      <c r="M2051" s="5"/>
      <c r="N2051" s="4"/>
      <c r="O2051" s="4"/>
    </row>
    <row r="2052" spans="1:15" x14ac:dyDescent="0.2">
      <c r="A2052" s="14"/>
      <c r="B2052" s="15"/>
      <c r="D2052" s="16"/>
      <c r="E2052" s="17"/>
      <c r="F2052" s="14"/>
      <c r="G2052" s="7"/>
      <c r="H2052" s="7"/>
      <c r="I2052" s="20"/>
      <c r="J2052" s="5"/>
      <c r="K2052" s="7"/>
      <c r="L2052" s="7"/>
      <c r="M2052" s="5"/>
      <c r="N2052" s="4"/>
      <c r="O2052" s="4"/>
    </row>
    <row r="2053" spans="1:15" x14ac:dyDescent="0.2">
      <c r="A2053" s="14"/>
      <c r="B2053" s="15"/>
      <c r="D2053" s="16"/>
      <c r="E2053" s="17"/>
      <c r="F2053" s="14"/>
      <c r="G2053" s="7"/>
      <c r="H2053" s="7"/>
      <c r="I2053" s="20"/>
      <c r="J2053" s="5"/>
      <c r="K2053" s="7"/>
      <c r="L2053" s="7"/>
      <c r="M2053" s="5"/>
      <c r="N2053" s="4"/>
      <c r="O2053" s="4"/>
    </row>
    <row r="2054" spans="1:15" x14ac:dyDescent="0.2">
      <c r="A2054" s="14"/>
      <c r="B2054" s="15"/>
      <c r="D2054" s="16"/>
      <c r="E2054" s="17"/>
      <c r="F2054" s="14"/>
      <c r="G2054" s="7"/>
      <c r="H2054" s="7"/>
      <c r="I2054" s="20"/>
      <c r="J2054" s="5"/>
      <c r="K2054" s="7"/>
      <c r="L2054" s="7"/>
      <c r="M2054" s="5"/>
      <c r="N2054" s="4"/>
      <c r="O2054" s="4"/>
    </row>
    <row r="2055" spans="1:15" x14ac:dyDescent="0.2">
      <c r="A2055" s="14"/>
      <c r="B2055" s="15"/>
      <c r="D2055" s="16"/>
      <c r="E2055" s="17"/>
      <c r="F2055" s="14"/>
      <c r="G2055" s="7"/>
      <c r="H2055" s="7"/>
      <c r="I2055" s="20"/>
      <c r="J2055" s="5"/>
      <c r="K2055" s="7"/>
      <c r="L2055" s="7"/>
      <c r="M2055" s="5"/>
      <c r="N2055" s="4"/>
      <c r="O2055" s="4"/>
    </row>
    <row r="2056" spans="1:15" x14ac:dyDescent="0.2">
      <c r="A2056" s="14"/>
      <c r="B2056" s="15"/>
      <c r="D2056" s="16"/>
      <c r="E2056" s="17"/>
      <c r="F2056" s="14"/>
      <c r="G2056" s="7"/>
      <c r="H2056" s="7"/>
      <c r="I2056" s="20"/>
      <c r="J2056" s="5"/>
      <c r="K2056" s="7"/>
      <c r="L2056" s="7"/>
      <c r="M2056" s="5"/>
      <c r="N2056" s="4"/>
      <c r="O2056" s="4"/>
    </row>
    <row r="2057" spans="1:15" x14ac:dyDescent="0.2">
      <c r="A2057" s="14"/>
      <c r="B2057" s="15"/>
      <c r="D2057" s="16"/>
      <c r="E2057" s="17"/>
      <c r="F2057" s="14"/>
      <c r="G2057" s="7"/>
      <c r="H2057" s="7"/>
      <c r="I2057" s="20"/>
      <c r="J2057" s="5"/>
      <c r="K2057" s="7"/>
      <c r="L2057" s="7"/>
      <c r="M2057" s="5"/>
      <c r="N2057" s="4"/>
      <c r="O2057" s="4"/>
    </row>
    <row r="2058" spans="1:15" x14ac:dyDescent="0.2">
      <c r="A2058" s="14"/>
      <c r="B2058" s="15"/>
      <c r="D2058" s="16"/>
      <c r="E2058" s="17"/>
      <c r="F2058" s="14"/>
      <c r="G2058" s="7"/>
      <c r="H2058" s="7"/>
      <c r="I2058" s="20"/>
      <c r="J2058" s="5"/>
      <c r="K2058" s="7"/>
      <c r="L2058" s="7"/>
      <c r="M2058" s="5"/>
      <c r="N2058" s="4"/>
      <c r="O2058" s="4"/>
    </row>
    <row r="2059" spans="1:15" x14ac:dyDescent="0.2">
      <c r="A2059" s="14"/>
      <c r="B2059" s="15"/>
      <c r="D2059" s="16"/>
      <c r="E2059" s="17"/>
      <c r="F2059" s="14"/>
      <c r="G2059" s="7"/>
      <c r="H2059" s="7"/>
      <c r="I2059" s="20"/>
      <c r="J2059" s="5"/>
      <c r="K2059" s="7"/>
      <c r="L2059" s="7"/>
      <c r="M2059" s="5"/>
      <c r="N2059" s="4"/>
      <c r="O2059" s="4"/>
    </row>
    <row r="2060" spans="1:15" x14ac:dyDescent="0.2">
      <c r="A2060" s="14"/>
      <c r="B2060" s="15"/>
      <c r="D2060" s="16"/>
      <c r="E2060" s="17"/>
      <c r="F2060" s="14"/>
      <c r="G2060" s="7"/>
      <c r="H2060" s="7"/>
      <c r="I2060" s="20"/>
      <c r="J2060" s="5"/>
      <c r="K2060" s="7"/>
      <c r="L2060" s="7"/>
      <c r="M2060" s="5"/>
      <c r="N2060" s="4"/>
      <c r="O2060" s="4"/>
    </row>
    <row r="2061" spans="1:15" x14ac:dyDescent="0.2">
      <c r="A2061" s="14"/>
      <c r="B2061" s="15"/>
      <c r="D2061" s="16"/>
      <c r="E2061" s="17"/>
      <c r="F2061" s="14"/>
      <c r="G2061" s="7"/>
      <c r="H2061" s="7"/>
      <c r="I2061" s="20"/>
      <c r="J2061" s="5"/>
      <c r="K2061" s="7"/>
      <c r="L2061" s="7"/>
      <c r="M2061" s="5"/>
      <c r="N2061" s="4"/>
      <c r="O2061" s="4"/>
    </row>
    <row r="2062" spans="1:15" x14ac:dyDescent="0.2">
      <c r="A2062" s="14"/>
      <c r="B2062" s="15"/>
      <c r="D2062" s="16"/>
      <c r="E2062" s="17"/>
      <c r="F2062" s="14"/>
      <c r="G2062" s="7"/>
      <c r="H2062" s="7"/>
      <c r="I2062" s="20"/>
      <c r="J2062" s="5"/>
      <c r="K2062" s="7"/>
      <c r="L2062" s="7"/>
      <c r="M2062" s="5"/>
      <c r="N2062" s="4"/>
      <c r="O2062" s="4"/>
    </row>
    <row r="2063" spans="1:15" x14ac:dyDescent="0.2">
      <c r="A2063" s="14"/>
      <c r="B2063" s="15"/>
      <c r="D2063" s="16"/>
      <c r="E2063" s="17"/>
      <c r="F2063" s="14"/>
      <c r="G2063" s="7"/>
      <c r="H2063" s="7"/>
      <c r="I2063" s="20"/>
      <c r="J2063" s="5"/>
      <c r="K2063" s="7"/>
      <c r="L2063" s="7"/>
      <c r="M2063" s="5"/>
      <c r="N2063" s="4"/>
      <c r="O2063" s="4"/>
    </row>
    <row r="2064" spans="1:15" x14ac:dyDescent="0.2">
      <c r="A2064" s="14"/>
      <c r="B2064" s="15"/>
      <c r="D2064" s="16"/>
      <c r="E2064" s="17"/>
      <c r="F2064" s="14"/>
      <c r="G2064" s="7"/>
      <c r="H2064" s="7"/>
      <c r="I2064" s="20"/>
      <c r="J2064" s="5"/>
      <c r="K2064" s="7"/>
      <c r="L2064" s="7"/>
      <c r="M2064" s="5"/>
      <c r="N2064" s="4"/>
      <c r="O2064" s="4"/>
    </row>
    <row r="2065" spans="1:15" x14ac:dyDescent="0.2">
      <c r="A2065" s="14"/>
      <c r="B2065" s="15"/>
      <c r="D2065" s="16"/>
      <c r="E2065" s="17"/>
      <c r="F2065" s="14"/>
      <c r="G2065" s="7"/>
      <c r="H2065" s="7"/>
      <c r="I2065" s="20"/>
      <c r="J2065" s="5"/>
      <c r="K2065" s="7"/>
      <c r="L2065" s="7"/>
      <c r="M2065" s="5"/>
      <c r="N2065" s="4"/>
      <c r="O2065" s="4"/>
    </row>
    <row r="2066" spans="1:15" x14ac:dyDescent="0.2">
      <c r="A2066" s="14"/>
      <c r="B2066" s="15"/>
      <c r="D2066" s="16"/>
      <c r="E2066" s="17"/>
      <c r="F2066" s="14"/>
      <c r="G2066" s="7"/>
      <c r="H2066" s="7"/>
      <c r="I2066" s="20"/>
      <c r="J2066" s="5"/>
      <c r="K2066" s="7"/>
      <c r="L2066" s="7"/>
      <c r="M2066" s="5"/>
      <c r="N2066" s="4"/>
      <c r="O2066" s="4"/>
    </row>
    <row r="2067" spans="1:15" x14ac:dyDescent="0.2">
      <c r="A2067" s="14"/>
      <c r="B2067" s="15"/>
      <c r="D2067" s="16"/>
      <c r="E2067" s="17"/>
      <c r="F2067" s="14"/>
      <c r="G2067" s="7"/>
      <c r="H2067" s="7"/>
      <c r="I2067" s="20"/>
      <c r="J2067" s="5"/>
      <c r="K2067" s="7"/>
      <c r="L2067" s="7"/>
      <c r="M2067" s="5"/>
      <c r="N2067" s="4"/>
      <c r="O2067" s="4"/>
    </row>
    <row r="2068" spans="1:15" x14ac:dyDescent="0.2">
      <c r="A2068" s="14"/>
      <c r="B2068" s="15"/>
      <c r="D2068" s="16"/>
      <c r="E2068" s="17"/>
      <c r="F2068" s="14"/>
      <c r="G2068" s="7"/>
      <c r="H2068" s="7"/>
      <c r="I2068" s="20"/>
      <c r="J2068" s="5"/>
      <c r="K2068" s="7"/>
      <c r="L2068" s="7"/>
      <c r="M2068" s="5"/>
      <c r="N2068" s="4"/>
      <c r="O2068" s="4"/>
    </row>
    <row r="2069" spans="1:15" x14ac:dyDescent="0.2">
      <c r="A2069" s="14"/>
      <c r="B2069" s="15"/>
      <c r="D2069" s="16"/>
      <c r="E2069" s="17"/>
      <c r="F2069" s="14"/>
      <c r="G2069" s="7"/>
      <c r="H2069" s="7"/>
      <c r="I2069" s="20"/>
      <c r="J2069" s="5"/>
      <c r="K2069" s="7"/>
      <c r="L2069" s="7"/>
      <c r="M2069" s="5"/>
      <c r="N2069" s="4"/>
      <c r="O2069" s="4"/>
    </row>
    <row r="2070" spans="1:15" x14ac:dyDescent="0.2">
      <c r="A2070" s="14"/>
      <c r="B2070" s="15"/>
      <c r="D2070" s="16"/>
      <c r="E2070" s="17"/>
      <c r="F2070" s="14"/>
      <c r="G2070" s="7"/>
      <c r="H2070" s="7"/>
      <c r="I2070" s="20"/>
      <c r="J2070" s="5"/>
      <c r="K2070" s="7"/>
      <c r="L2070" s="7"/>
      <c r="M2070" s="5"/>
      <c r="N2070" s="4"/>
      <c r="O2070" s="4"/>
    </row>
    <row r="2071" spans="1:15" x14ac:dyDescent="0.2">
      <c r="A2071" s="14"/>
      <c r="B2071" s="15"/>
      <c r="D2071" s="16"/>
      <c r="E2071" s="17"/>
      <c r="F2071" s="14"/>
      <c r="G2071" s="7"/>
      <c r="H2071" s="7"/>
      <c r="I2071" s="20"/>
      <c r="J2071" s="5"/>
      <c r="K2071" s="7"/>
      <c r="L2071" s="7"/>
      <c r="M2071" s="5"/>
      <c r="N2071" s="4"/>
      <c r="O2071" s="4"/>
    </row>
    <row r="2072" spans="1:15" x14ac:dyDescent="0.2">
      <c r="A2072" s="14"/>
      <c r="B2072" s="15"/>
      <c r="D2072" s="16"/>
      <c r="E2072" s="17"/>
      <c r="F2072" s="14"/>
      <c r="G2072" s="7"/>
      <c r="H2072" s="7"/>
      <c r="I2072" s="20"/>
      <c r="J2072" s="5"/>
      <c r="K2072" s="7"/>
      <c r="L2072" s="7"/>
      <c r="M2072" s="5"/>
      <c r="N2072" s="4"/>
      <c r="O2072" s="4"/>
    </row>
    <row r="2073" spans="1:15" x14ac:dyDescent="0.2">
      <c r="A2073" s="14"/>
      <c r="B2073" s="15"/>
      <c r="D2073" s="16"/>
      <c r="E2073" s="17"/>
      <c r="F2073" s="14"/>
      <c r="G2073" s="7"/>
      <c r="H2073" s="7"/>
      <c r="I2073" s="20"/>
      <c r="J2073" s="5"/>
      <c r="K2073" s="7"/>
      <c r="L2073" s="7"/>
      <c r="M2073" s="5"/>
      <c r="N2073" s="4"/>
      <c r="O2073" s="4"/>
    </row>
    <row r="2074" spans="1:15" x14ac:dyDescent="0.2">
      <c r="A2074" s="14"/>
      <c r="B2074" s="15"/>
      <c r="D2074" s="16"/>
      <c r="E2074" s="17"/>
      <c r="F2074" s="14"/>
      <c r="G2074" s="7"/>
      <c r="H2074" s="7"/>
      <c r="I2074" s="20"/>
      <c r="J2074" s="5"/>
      <c r="K2074" s="7"/>
      <c r="L2074" s="7"/>
      <c r="M2074" s="5"/>
      <c r="N2074" s="4"/>
      <c r="O2074" s="4"/>
    </row>
    <row r="2075" spans="1:15" x14ac:dyDescent="0.2">
      <c r="A2075" s="14"/>
      <c r="B2075" s="15"/>
      <c r="D2075" s="16"/>
      <c r="E2075" s="17"/>
      <c r="F2075" s="14"/>
      <c r="G2075" s="7"/>
      <c r="H2075" s="7"/>
      <c r="I2075" s="20"/>
      <c r="J2075" s="5"/>
      <c r="K2075" s="7"/>
      <c r="L2075" s="7"/>
      <c r="M2075" s="5"/>
      <c r="N2075" s="4"/>
      <c r="O2075" s="4"/>
    </row>
    <row r="2076" spans="1:15" x14ac:dyDescent="0.2">
      <c r="A2076" s="14"/>
      <c r="B2076" s="15"/>
      <c r="D2076" s="16"/>
      <c r="E2076" s="17"/>
      <c r="F2076" s="14"/>
      <c r="G2076" s="7"/>
      <c r="H2076" s="7"/>
      <c r="I2076" s="20"/>
      <c r="J2076" s="5"/>
      <c r="K2076" s="7"/>
      <c r="L2076" s="7"/>
      <c r="M2076" s="5"/>
      <c r="N2076" s="4"/>
      <c r="O2076" s="4"/>
    </row>
    <row r="2077" spans="1:15" x14ac:dyDescent="0.2">
      <c r="A2077" s="14"/>
      <c r="B2077" s="15"/>
      <c r="D2077" s="16"/>
      <c r="E2077" s="17"/>
      <c r="F2077" s="14"/>
      <c r="G2077" s="7"/>
      <c r="H2077" s="7"/>
      <c r="I2077" s="20"/>
      <c r="J2077" s="5"/>
      <c r="K2077" s="7"/>
      <c r="L2077" s="7"/>
      <c r="M2077" s="5"/>
      <c r="N2077" s="4"/>
      <c r="O2077" s="4"/>
    </row>
    <row r="2078" spans="1:15" x14ac:dyDescent="0.2">
      <c r="A2078" s="14"/>
      <c r="B2078" s="15"/>
      <c r="D2078" s="16"/>
      <c r="E2078" s="17"/>
      <c r="F2078" s="14"/>
      <c r="G2078" s="7"/>
      <c r="H2078" s="7"/>
      <c r="I2078" s="20"/>
      <c r="J2078" s="5"/>
      <c r="K2078" s="7"/>
      <c r="L2078" s="7"/>
      <c r="M2078" s="5"/>
      <c r="N2078" s="4"/>
      <c r="O2078" s="4"/>
    </row>
    <row r="2079" spans="1:15" x14ac:dyDescent="0.2">
      <c r="A2079" s="14"/>
      <c r="B2079" s="15"/>
      <c r="D2079" s="16"/>
      <c r="E2079" s="17"/>
      <c r="F2079" s="14"/>
      <c r="G2079" s="7"/>
      <c r="H2079" s="7"/>
      <c r="I2079" s="20"/>
      <c r="J2079" s="5"/>
      <c r="K2079" s="7"/>
      <c r="L2079" s="7"/>
      <c r="M2079" s="5"/>
      <c r="N2079" s="4"/>
      <c r="O2079" s="4"/>
    </row>
    <row r="2080" spans="1:15" x14ac:dyDescent="0.2">
      <c r="A2080" s="14"/>
      <c r="B2080" s="15"/>
      <c r="D2080" s="16"/>
      <c r="E2080" s="17"/>
      <c r="F2080" s="14"/>
      <c r="G2080" s="7"/>
      <c r="H2080" s="7"/>
      <c r="I2080" s="20"/>
      <c r="J2080" s="5"/>
      <c r="K2080" s="7"/>
      <c r="L2080" s="7"/>
      <c r="M2080" s="5"/>
      <c r="N2080" s="4"/>
      <c r="O2080" s="4"/>
    </row>
    <row r="2081" spans="1:15" x14ac:dyDescent="0.2">
      <c r="A2081" s="14"/>
      <c r="B2081" s="15"/>
      <c r="D2081" s="16"/>
      <c r="E2081" s="17"/>
      <c r="F2081" s="14"/>
      <c r="G2081" s="7"/>
      <c r="H2081" s="7"/>
      <c r="I2081" s="20"/>
      <c r="J2081" s="5"/>
      <c r="K2081" s="7"/>
      <c r="L2081" s="7"/>
      <c r="M2081" s="5"/>
      <c r="N2081" s="4"/>
      <c r="O2081" s="4"/>
    </row>
    <row r="2082" spans="1:15" x14ac:dyDescent="0.2">
      <c r="A2082" s="14"/>
      <c r="B2082" s="15"/>
      <c r="D2082" s="16"/>
      <c r="E2082" s="17"/>
      <c r="F2082" s="14"/>
      <c r="G2082" s="7"/>
      <c r="H2082" s="7"/>
      <c r="I2082" s="20"/>
      <c r="J2082" s="5"/>
      <c r="K2082" s="7"/>
      <c r="L2082" s="7"/>
      <c r="M2082" s="5"/>
      <c r="N2082" s="4"/>
      <c r="O2082" s="4"/>
    </row>
    <row r="2083" spans="1:15" x14ac:dyDescent="0.2">
      <c r="A2083" s="14"/>
      <c r="B2083" s="15"/>
      <c r="D2083" s="16"/>
      <c r="E2083" s="17"/>
      <c r="F2083" s="14"/>
      <c r="G2083" s="7"/>
      <c r="H2083" s="7"/>
      <c r="I2083" s="20"/>
      <c r="J2083" s="5"/>
      <c r="K2083" s="7"/>
      <c r="L2083" s="7"/>
      <c r="M2083" s="5"/>
      <c r="N2083" s="4"/>
      <c r="O2083" s="4"/>
    </row>
    <row r="2084" spans="1:15" x14ac:dyDescent="0.2">
      <c r="A2084" s="14"/>
      <c r="B2084" s="15"/>
      <c r="D2084" s="16"/>
      <c r="E2084" s="17"/>
      <c r="F2084" s="14"/>
      <c r="G2084" s="7"/>
      <c r="H2084" s="7"/>
      <c r="I2084" s="20"/>
      <c r="J2084" s="5"/>
      <c r="K2084" s="7"/>
      <c r="L2084" s="7"/>
      <c r="M2084" s="5"/>
      <c r="N2084" s="4"/>
      <c r="O2084" s="4"/>
    </row>
    <row r="2085" spans="1:15" x14ac:dyDescent="0.2">
      <c r="A2085" s="14"/>
      <c r="B2085" s="15"/>
      <c r="D2085" s="16"/>
      <c r="E2085" s="17"/>
      <c r="F2085" s="14"/>
      <c r="G2085" s="7"/>
      <c r="H2085" s="7"/>
      <c r="I2085" s="20"/>
      <c r="J2085" s="5"/>
      <c r="K2085" s="7"/>
      <c r="L2085" s="7"/>
      <c r="M2085" s="5"/>
      <c r="N2085" s="4"/>
      <c r="O2085" s="4"/>
    </row>
    <row r="2086" spans="1:15" x14ac:dyDescent="0.2">
      <c r="A2086" s="14"/>
      <c r="B2086" s="15"/>
      <c r="D2086" s="16"/>
      <c r="E2086" s="17"/>
      <c r="F2086" s="14"/>
      <c r="G2086" s="7"/>
      <c r="H2086" s="7"/>
      <c r="I2086" s="20"/>
      <c r="J2086" s="5"/>
      <c r="K2086" s="7"/>
      <c r="L2086" s="7"/>
      <c r="M2086" s="5"/>
      <c r="N2086" s="4"/>
      <c r="O2086" s="4"/>
    </row>
    <row r="2087" spans="1:15" x14ac:dyDescent="0.2">
      <c r="A2087" s="14"/>
      <c r="B2087" s="15"/>
      <c r="D2087" s="16"/>
      <c r="E2087" s="17"/>
      <c r="F2087" s="14"/>
      <c r="G2087" s="7"/>
      <c r="H2087" s="7"/>
      <c r="I2087" s="20"/>
      <c r="J2087" s="5"/>
      <c r="K2087" s="7"/>
      <c r="L2087" s="7"/>
      <c r="M2087" s="5"/>
      <c r="N2087" s="4"/>
      <c r="O2087" s="4"/>
    </row>
    <row r="2088" spans="1:15" x14ac:dyDescent="0.2">
      <c r="A2088" s="14"/>
      <c r="B2088" s="15"/>
      <c r="D2088" s="16"/>
      <c r="E2088" s="17"/>
      <c r="F2088" s="14"/>
      <c r="G2088" s="7"/>
      <c r="H2088" s="7"/>
      <c r="I2088" s="20"/>
      <c r="J2088" s="5"/>
      <c r="K2088" s="7"/>
      <c r="L2088" s="7"/>
      <c r="M2088" s="5"/>
      <c r="N2088" s="4"/>
      <c r="O2088" s="4"/>
    </row>
    <row r="2089" spans="1:15" x14ac:dyDescent="0.2">
      <c r="A2089" s="14"/>
      <c r="B2089" s="15"/>
      <c r="D2089" s="16"/>
      <c r="E2089" s="17"/>
      <c r="F2089" s="14"/>
      <c r="G2089" s="7"/>
      <c r="H2089" s="7"/>
      <c r="I2089" s="20"/>
      <c r="J2089" s="5"/>
      <c r="K2089" s="7"/>
      <c r="L2089" s="7"/>
      <c r="M2089" s="5"/>
      <c r="N2089" s="4"/>
      <c r="O2089" s="4"/>
    </row>
    <row r="2090" spans="1:15" x14ac:dyDescent="0.2">
      <c r="A2090" s="14"/>
      <c r="B2090" s="15"/>
      <c r="D2090" s="16"/>
      <c r="E2090" s="17"/>
      <c r="F2090" s="14"/>
      <c r="G2090" s="7"/>
      <c r="H2090" s="7"/>
      <c r="I2090" s="20"/>
      <c r="J2090" s="5"/>
      <c r="K2090" s="7"/>
      <c r="L2090" s="7"/>
      <c r="M2090" s="5"/>
      <c r="N2090" s="4"/>
      <c r="O2090" s="4"/>
    </row>
    <row r="2091" spans="1:15" x14ac:dyDescent="0.2">
      <c r="A2091" s="14"/>
      <c r="B2091" s="15"/>
      <c r="D2091" s="16"/>
      <c r="E2091" s="17"/>
      <c r="F2091" s="14"/>
      <c r="G2091" s="7"/>
      <c r="H2091" s="7"/>
      <c r="I2091" s="20"/>
      <c r="J2091" s="5"/>
      <c r="K2091" s="7"/>
      <c r="L2091" s="7"/>
      <c r="M2091" s="5"/>
      <c r="N2091" s="4"/>
      <c r="O2091" s="4"/>
    </row>
    <row r="2092" spans="1:15" x14ac:dyDescent="0.2">
      <c r="A2092" s="14"/>
      <c r="B2092" s="15"/>
      <c r="D2092" s="16"/>
      <c r="E2092" s="17"/>
      <c r="F2092" s="14"/>
      <c r="G2092" s="7"/>
      <c r="H2092" s="7"/>
      <c r="I2092" s="20"/>
      <c r="J2092" s="5"/>
      <c r="K2092" s="7"/>
      <c r="L2092" s="7"/>
      <c r="M2092" s="5"/>
      <c r="N2092" s="4"/>
      <c r="O2092" s="4"/>
    </row>
    <row r="2093" spans="1:15" x14ac:dyDescent="0.2">
      <c r="A2093" s="14"/>
      <c r="B2093" s="15"/>
      <c r="D2093" s="16"/>
      <c r="E2093" s="17"/>
      <c r="F2093" s="14"/>
      <c r="G2093" s="7"/>
      <c r="H2093" s="7"/>
      <c r="I2093" s="20"/>
      <c r="J2093" s="5"/>
      <c r="K2093" s="7"/>
      <c r="L2093" s="7"/>
      <c r="M2093" s="5"/>
      <c r="N2093" s="4"/>
      <c r="O2093" s="4"/>
    </row>
    <row r="2094" spans="1:15" x14ac:dyDescent="0.2">
      <c r="A2094" s="14"/>
      <c r="B2094" s="15"/>
      <c r="D2094" s="16"/>
      <c r="E2094" s="17"/>
      <c r="F2094" s="14"/>
      <c r="G2094" s="7"/>
      <c r="H2094" s="7"/>
      <c r="I2094" s="20"/>
      <c r="J2094" s="5"/>
      <c r="K2094" s="7"/>
      <c r="L2094" s="7"/>
      <c r="M2094" s="5"/>
      <c r="N2094" s="4"/>
      <c r="O2094" s="4"/>
    </row>
    <row r="2095" spans="1:15" x14ac:dyDescent="0.2">
      <c r="A2095" s="14"/>
      <c r="B2095" s="15"/>
      <c r="D2095" s="16"/>
      <c r="E2095" s="17"/>
      <c r="F2095" s="14"/>
      <c r="G2095" s="7"/>
      <c r="H2095" s="7"/>
      <c r="I2095" s="20"/>
      <c r="J2095" s="5"/>
      <c r="K2095" s="7"/>
      <c r="L2095" s="7"/>
      <c r="M2095" s="5"/>
      <c r="N2095" s="4"/>
      <c r="O2095" s="4"/>
    </row>
    <row r="2096" spans="1:15" x14ac:dyDescent="0.2">
      <c r="A2096" s="14"/>
      <c r="B2096" s="15"/>
      <c r="D2096" s="16"/>
      <c r="E2096" s="17"/>
      <c r="F2096" s="14"/>
      <c r="G2096" s="7"/>
      <c r="H2096" s="7"/>
      <c r="I2096" s="20"/>
      <c r="J2096" s="5"/>
      <c r="K2096" s="7"/>
      <c r="L2096" s="7"/>
      <c r="M2096" s="5"/>
      <c r="N2096" s="4"/>
      <c r="O2096" s="4"/>
    </row>
    <row r="2097" spans="1:15" x14ac:dyDescent="0.2">
      <c r="A2097" s="14"/>
      <c r="B2097" s="15"/>
      <c r="D2097" s="16"/>
      <c r="E2097" s="17"/>
      <c r="F2097" s="14"/>
      <c r="G2097" s="7"/>
      <c r="H2097" s="7"/>
      <c r="I2097" s="20"/>
      <c r="J2097" s="5"/>
      <c r="K2097" s="7"/>
      <c r="L2097" s="7"/>
      <c r="M2097" s="5"/>
      <c r="N2097" s="4"/>
      <c r="O2097" s="4"/>
    </row>
    <row r="2098" spans="1:15" x14ac:dyDescent="0.2">
      <c r="A2098" s="14"/>
      <c r="B2098" s="15"/>
      <c r="D2098" s="16"/>
      <c r="E2098" s="17"/>
      <c r="F2098" s="14"/>
      <c r="G2098" s="7"/>
      <c r="H2098" s="7"/>
      <c r="I2098" s="20"/>
      <c r="J2098" s="5"/>
      <c r="K2098" s="7"/>
      <c r="L2098" s="7"/>
      <c r="M2098" s="5"/>
      <c r="N2098" s="4"/>
      <c r="O2098" s="4"/>
    </row>
    <row r="2099" spans="1:15" x14ac:dyDescent="0.2">
      <c r="A2099" s="14"/>
      <c r="B2099" s="15"/>
      <c r="D2099" s="16"/>
      <c r="E2099" s="17"/>
      <c r="F2099" s="14"/>
      <c r="G2099" s="7"/>
      <c r="H2099" s="7"/>
      <c r="I2099" s="20"/>
      <c r="J2099" s="5"/>
      <c r="K2099" s="7"/>
      <c r="L2099" s="7"/>
      <c r="M2099" s="5"/>
      <c r="N2099" s="4"/>
      <c r="O2099" s="4"/>
    </row>
    <row r="2100" spans="1:15" x14ac:dyDescent="0.2">
      <c r="A2100" s="14"/>
      <c r="B2100" s="15"/>
      <c r="D2100" s="16"/>
      <c r="E2100" s="17"/>
      <c r="F2100" s="14"/>
      <c r="G2100" s="7"/>
      <c r="H2100" s="7"/>
      <c r="I2100" s="20"/>
      <c r="J2100" s="5"/>
      <c r="K2100" s="7"/>
      <c r="L2100" s="7"/>
      <c r="M2100" s="5"/>
      <c r="N2100" s="4"/>
      <c r="O2100" s="4"/>
    </row>
    <row r="2101" spans="1:15" x14ac:dyDescent="0.2">
      <c r="A2101" s="14"/>
      <c r="B2101" s="15"/>
      <c r="D2101" s="16"/>
      <c r="E2101" s="17"/>
      <c r="F2101" s="14"/>
      <c r="G2101" s="7"/>
      <c r="H2101" s="7"/>
      <c r="I2101" s="20"/>
      <c r="J2101" s="5"/>
      <c r="K2101" s="7"/>
      <c r="L2101" s="7"/>
      <c r="M2101" s="5"/>
      <c r="N2101" s="4"/>
      <c r="O2101" s="4"/>
    </row>
    <row r="2102" spans="1:15" x14ac:dyDescent="0.2">
      <c r="A2102" s="14"/>
      <c r="B2102" s="15"/>
      <c r="D2102" s="16"/>
      <c r="E2102" s="17"/>
      <c r="F2102" s="14"/>
      <c r="G2102" s="7"/>
      <c r="H2102" s="7"/>
      <c r="I2102" s="20"/>
      <c r="J2102" s="5"/>
      <c r="K2102" s="7"/>
      <c r="L2102" s="7"/>
      <c r="M2102" s="5"/>
      <c r="N2102" s="4"/>
      <c r="O2102" s="4"/>
    </row>
    <row r="2103" spans="1:15" x14ac:dyDescent="0.2">
      <c r="A2103" s="14"/>
      <c r="B2103" s="15"/>
      <c r="D2103" s="16"/>
      <c r="E2103" s="17"/>
      <c r="F2103" s="14"/>
      <c r="G2103" s="7"/>
      <c r="H2103" s="7"/>
      <c r="I2103" s="20"/>
      <c r="J2103" s="5"/>
      <c r="K2103" s="7"/>
      <c r="L2103" s="7"/>
      <c r="M2103" s="5"/>
      <c r="N2103" s="4"/>
      <c r="O2103" s="4"/>
    </row>
    <row r="2104" spans="1:15" x14ac:dyDescent="0.2">
      <c r="A2104" s="14"/>
      <c r="B2104" s="15"/>
      <c r="D2104" s="16"/>
      <c r="E2104" s="17"/>
      <c r="F2104" s="14"/>
      <c r="G2104" s="7"/>
      <c r="H2104" s="7"/>
      <c r="I2104" s="20"/>
      <c r="J2104" s="5"/>
      <c r="K2104" s="7"/>
      <c r="L2104" s="7"/>
      <c r="M2104" s="5"/>
      <c r="N2104" s="4"/>
      <c r="O2104" s="4"/>
    </row>
    <row r="2105" spans="1:15" x14ac:dyDescent="0.2">
      <c r="A2105" s="14"/>
      <c r="B2105" s="15"/>
      <c r="D2105" s="16"/>
      <c r="E2105" s="17"/>
      <c r="F2105" s="14"/>
      <c r="G2105" s="7"/>
      <c r="H2105" s="7"/>
      <c r="I2105" s="20"/>
      <c r="J2105" s="5"/>
      <c r="K2105" s="7"/>
      <c r="L2105" s="7"/>
      <c r="M2105" s="5"/>
      <c r="N2105" s="4"/>
      <c r="O2105" s="4"/>
    </row>
    <row r="2106" spans="1:15" x14ac:dyDescent="0.2">
      <c r="A2106" s="14"/>
      <c r="B2106" s="15"/>
      <c r="D2106" s="16"/>
      <c r="E2106" s="17"/>
      <c r="F2106" s="14"/>
      <c r="G2106" s="7"/>
      <c r="H2106" s="7"/>
      <c r="I2106" s="20"/>
      <c r="J2106" s="5"/>
      <c r="K2106" s="7"/>
      <c r="L2106" s="7"/>
      <c r="M2106" s="5"/>
      <c r="N2106" s="4"/>
      <c r="O2106" s="4"/>
    </row>
    <row r="2107" spans="1:15" x14ac:dyDescent="0.2">
      <c r="A2107" s="14"/>
      <c r="B2107" s="15"/>
      <c r="D2107" s="16"/>
      <c r="E2107" s="17"/>
      <c r="F2107" s="14"/>
      <c r="G2107" s="7"/>
      <c r="H2107" s="7"/>
      <c r="I2107" s="20"/>
      <c r="J2107" s="5"/>
      <c r="K2107" s="7"/>
      <c r="L2107" s="7"/>
      <c r="M2107" s="5"/>
      <c r="N2107" s="4"/>
      <c r="O2107" s="4"/>
    </row>
    <row r="2108" spans="1:15" x14ac:dyDescent="0.2">
      <c r="A2108" s="14"/>
      <c r="B2108" s="15"/>
      <c r="D2108" s="16"/>
      <c r="E2108" s="17"/>
      <c r="F2108" s="14"/>
      <c r="G2108" s="7"/>
      <c r="H2108" s="7"/>
      <c r="I2108" s="20"/>
      <c r="J2108" s="5"/>
      <c r="K2108" s="7"/>
      <c r="L2108" s="7"/>
      <c r="M2108" s="5"/>
      <c r="N2108" s="4"/>
      <c r="O2108" s="4"/>
    </row>
    <row r="2109" spans="1:15" x14ac:dyDescent="0.2">
      <c r="A2109" s="14"/>
      <c r="B2109" s="15"/>
      <c r="D2109" s="16"/>
      <c r="E2109" s="17"/>
      <c r="F2109" s="14"/>
      <c r="G2109" s="7"/>
      <c r="H2109" s="7"/>
      <c r="I2109" s="20"/>
      <c r="J2109" s="5"/>
      <c r="K2109" s="7"/>
      <c r="L2109" s="7"/>
      <c r="M2109" s="5"/>
      <c r="N2109" s="4"/>
      <c r="O2109" s="4"/>
    </row>
    <row r="2110" spans="1:15" x14ac:dyDescent="0.2">
      <c r="A2110" s="14"/>
      <c r="B2110" s="15"/>
      <c r="D2110" s="16"/>
      <c r="E2110" s="17"/>
      <c r="F2110" s="14"/>
      <c r="G2110" s="7"/>
      <c r="H2110" s="7"/>
      <c r="I2110" s="20"/>
      <c r="J2110" s="5"/>
      <c r="K2110" s="7"/>
      <c r="L2110" s="7"/>
      <c r="M2110" s="5"/>
      <c r="N2110" s="4"/>
      <c r="O2110" s="4"/>
    </row>
    <row r="2111" spans="1:15" x14ac:dyDescent="0.2">
      <c r="A2111" s="14"/>
      <c r="B2111" s="15"/>
      <c r="D2111" s="16"/>
      <c r="E2111" s="17"/>
      <c r="F2111" s="14"/>
      <c r="G2111" s="7"/>
      <c r="H2111" s="7"/>
      <c r="I2111" s="20"/>
      <c r="J2111" s="5"/>
      <c r="K2111" s="7"/>
      <c r="L2111" s="7"/>
      <c r="M2111" s="5"/>
      <c r="N2111" s="4"/>
      <c r="O2111" s="4"/>
    </row>
    <row r="2112" spans="1:15" x14ac:dyDescent="0.2">
      <c r="A2112" s="14"/>
      <c r="B2112" s="15"/>
      <c r="D2112" s="16"/>
      <c r="E2112" s="17"/>
      <c r="F2112" s="14"/>
      <c r="G2112" s="7"/>
      <c r="H2112" s="7"/>
      <c r="I2112" s="20"/>
      <c r="J2112" s="5"/>
      <c r="K2112" s="7"/>
      <c r="L2112" s="7"/>
      <c r="M2112" s="5"/>
      <c r="N2112" s="4"/>
      <c r="O2112" s="4"/>
    </row>
    <row r="2113" spans="1:15" x14ac:dyDescent="0.2">
      <c r="A2113" s="14"/>
      <c r="B2113" s="15"/>
      <c r="D2113" s="16"/>
      <c r="E2113" s="17"/>
      <c r="F2113" s="14"/>
      <c r="G2113" s="7"/>
      <c r="H2113" s="7"/>
      <c r="I2113" s="20"/>
      <c r="J2113" s="5"/>
      <c r="K2113" s="7"/>
      <c r="L2113" s="7"/>
      <c r="M2113" s="5"/>
      <c r="N2113" s="4"/>
      <c r="O2113" s="4"/>
    </row>
    <row r="2114" spans="1:15" x14ac:dyDescent="0.2">
      <c r="A2114" s="14"/>
      <c r="B2114" s="15"/>
      <c r="D2114" s="16"/>
      <c r="E2114" s="17"/>
      <c r="F2114" s="14"/>
      <c r="G2114" s="7"/>
      <c r="H2114" s="7"/>
      <c r="I2114" s="20"/>
      <c r="J2114" s="5"/>
      <c r="K2114" s="7"/>
      <c r="L2114" s="7"/>
      <c r="M2114" s="5"/>
      <c r="N2114" s="4"/>
      <c r="O2114" s="4"/>
    </row>
    <row r="2115" spans="1:15" x14ac:dyDescent="0.2">
      <c r="A2115" s="14"/>
      <c r="B2115" s="15"/>
      <c r="D2115" s="16"/>
      <c r="E2115" s="17"/>
      <c r="F2115" s="14"/>
      <c r="G2115" s="7"/>
      <c r="H2115" s="7"/>
      <c r="I2115" s="20"/>
      <c r="J2115" s="5"/>
      <c r="K2115" s="7"/>
      <c r="L2115" s="7"/>
      <c r="M2115" s="5"/>
      <c r="N2115" s="4"/>
      <c r="O2115" s="4"/>
    </row>
    <row r="2116" spans="1:15" x14ac:dyDescent="0.2">
      <c r="A2116" s="14"/>
      <c r="B2116" s="15"/>
      <c r="D2116" s="16"/>
      <c r="E2116" s="17"/>
      <c r="F2116" s="14"/>
      <c r="G2116" s="7"/>
      <c r="H2116" s="7"/>
      <c r="I2116" s="20"/>
      <c r="J2116" s="5"/>
      <c r="K2116" s="7"/>
      <c r="L2116" s="7"/>
      <c r="M2116" s="5"/>
      <c r="N2116" s="4"/>
      <c r="O2116" s="4"/>
    </row>
    <row r="2117" spans="1:15" x14ac:dyDescent="0.2">
      <c r="A2117" s="14"/>
      <c r="B2117" s="15"/>
      <c r="D2117" s="16"/>
      <c r="E2117" s="17"/>
      <c r="F2117" s="14"/>
      <c r="G2117" s="7"/>
      <c r="H2117" s="7"/>
      <c r="I2117" s="20"/>
      <c r="J2117" s="5"/>
      <c r="K2117" s="7"/>
      <c r="L2117" s="7"/>
      <c r="M2117" s="5"/>
      <c r="N2117" s="4"/>
      <c r="O2117" s="4"/>
    </row>
    <row r="2118" spans="1:15" x14ac:dyDescent="0.2">
      <c r="A2118" s="14"/>
      <c r="B2118" s="15"/>
      <c r="D2118" s="16"/>
      <c r="E2118" s="17"/>
      <c r="F2118" s="14"/>
      <c r="G2118" s="7"/>
      <c r="H2118" s="7"/>
      <c r="I2118" s="20"/>
      <c r="J2118" s="5"/>
      <c r="K2118" s="7"/>
      <c r="L2118" s="7"/>
      <c r="M2118" s="5"/>
      <c r="N2118" s="4"/>
      <c r="O2118" s="4"/>
    </row>
    <row r="2119" spans="1:15" x14ac:dyDescent="0.2">
      <c r="A2119" s="14"/>
      <c r="B2119" s="15"/>
      <c r="D2119" s="16"/>
      <c r="E2119" s="17"/>
      <c r="F2119" s="14"/>
      <c r="G2119" s="7"/>
      <c r="H2119" s="7"/>
      <c r="I2119" s="20"/>
      <c r="J2119" s="5"/>
      <c r="K2119" s="7"/>
      <c r="L2119" s="7"/>
      <c r="M2119" s="5"/>
      <c r="N2119" s="4"/>
      <c r="O2119" s="4"/>
    </row>
    <row r="2120" spans="1:15" x14ac:dyDescent="0.2">
      <c r="A2120" s="14"/>
      <c r="B2120" s="15"/>
      <c r="D2120" s="16"/>
      <c r="E2120" s="17"/>
      <c r="F2120" s="14"/>
      <c r="G2120" s="7"/>
      <c r="H2120" s="7"/>
      <c r="I2120" s="20"/>
      <c r="J2120" s="5"/>
      <c r="K2120" s="7"/>
      <c r="L2120" s="7"/>
      <c r="M2120" s="5"/>
      <c r="N2120" s="4"/>
      <c r="O2120" s="4"/>
    </row>
    <row r="2121" spans="1:15" x14ac:dyDescent="0.2">
      <c r="A2121" s="14"/>
      <c r="B2121" s="15"/>
      <c r="D2121" s="16"/>
      <c r="E2121" s="17"/>
      <c r="F2121" s="14"/>
      <c r="G2121" s="7"/>
      <c r="H2121" s="7"/>
      <c r="I2121" s="20"/>
      <c r="J2121" s="5"/>
      <c r="K2121" s="7"/>
      <c r="L2121" s="7"/>
      <c r="M2121" s="5"/>
      <c r="N2121" s="4"/>
      <c r="O2121" s="4"/>
    </row>
    <row r="2122" spans="1:15" x14ac:dyDescent="0.2">
      <c r="A2122" s="14"/>
      <c r="B2122" s="15"/>
      <c r="D2122" s="16"/>
      <c r="E2122" s="17"/>
      <c r="F2122" s="14"/>
      <c r="G2122" s="7"/>
      <c r="H2122" s="7"/>
      <c r="I2122" s="20"/>
      <c r="J2122" s="5"/>
      <c r="K2122" s="7"/>
      <c r="L2122" s="7"/>
      <c r="M2122" s="5"/>
      <c r="N2122" s="4"/>
      <c r="O2122" s="4"/>
    </row>
    <row r="2123" spans="1:15" x14ac:dyDescent="0.2">
      <c r="A2123" s="14"/>
      <c r="B2123" s="15"/>
      <c r="D2123" s="16"/>
      <c r="E2123" s="17"/>
      <c r="F2123" s="14"/>
      <c r="G2123" s="7"/>
      <c r="H2123" s="7"/>
      <c r="I2123" s="20"/>
      <c r="J2123" s="5"/>
      <c r="K2123" s="7"/>
      <c r="L2123" s="7"/>
      <c r="M2123" s="5"/>
      <c r="N2123" s="4"/>
      <c r="O2123" s="4"/>
    </row>
    <row r="2124" spans="1:15" x14ac:dyDescent="0.2">
      <c r="A2124" s="14"/>
      <c r="B2124" s="15"/>
      <c r="D2124" s="16"/>
      <c r="E2124" s="17"/>
      <c r="F2124" s="14"/>
      <c r="G2124" s="7"/>
      <c r="H2124" s="7"/>
      <c r="I2124" s="20"/>
      <c r="J2124" s="5"/>
      <c r="K2124" s="7"/>
      <c r="L2124" s="7"/>
      <c r="M2124" s="5"/>
      <c r="N2124" s="4"/>
      <c r="O2124" s="4"/>
    </row>
    <row r="2125" spans="1:15" x14ac:dyDescent="0.2">
      <c r="A2125" s="14"/>
      <c r="B2125" s="15"/>
      <c r="D2125" s="16"/>
      <c r="E2125" s="17"/>
      <c r="F2125" s="14"/>
      <c r="G2125" s="7"/>
      <c r="H2125" s="7"/>
      <c r="I2125" s="20"/>
      <c r="J2125" s="5"/>
      <c r="K2125" s="7"/>
      <c r="L2125" s="7"/>
      <c r="M2125" s="5"/>
      <c r="N2125" s="4"/>
      <c r="O2125" s="4"/>
    </row>
    <row r="2126" spans="1:15" x14ac:dyDescent="0.2">
      <c r="A2126" s="14"/>
      <c r="B2126" s="15"/>
      <c r="D2126" s="16"/>
      <c r="E2126" s="17"/>
      <c r="F2126" s="14"/>
      <c r="G2126" s="7"/>
      <c r="H2126" s="7"/>
      <c r="I2126" s="20"/>
      <c r="J2126" s="5"/>
      <c r="K2126" s="7"/>
      <c r="L2126" s="7"/>
      <c r="M2126" s="5"/>
      <c r="N2126" s="4"/>
      <c r="O2126" s="4"/>
    </row>
    <row r="2127" spans="1:15" x14ac:dyDescent="0.2">
      <c r="A2127" s="14"/>
      <c r="B2127" s="15"/>
      <c r="D2127" s="16"/>
      <c r="E2127" s="17"/>
      <c r="F2127" s="14"/>
      <c r="G2127" s="7"/>
      <c r="H2127" s="7"/>
      <c r="I2127" s="20"/>
      <c r="J2127" s="5"/>
      <c r="K2127" s="7"/>
      <c r="L2127" s="7"/>
      <c r="M2127" s="5"/>
      <c r="N2127" s="4"/>
      <c r="O2127" s="4"/>
    </row>
    <row r="2128" spans="1:15" x14ac:dyDescent="0.2">
      <c r="A2128" s="14"/>
      <c r="B2128" s="15"/>
      <c r="D2128" s="16"/>
      <c r="E2128" s="17"/>
      <c r="F2128" s="14"/>
      <c r="G2128" s="7"/>
      <c r="H2128" s="7"/>
      <c r="I2128" s="20"/>
      <c r="J2128" s="5"/>
      <c r="K2128" s="7"/>
      <c r="L2128" s="7"/>
      <c r="M2128" s="5"/>
      <c r="N2128" s="4"/>
      <c r="O2128" s="4"/>
    </row>
    <row r="2129" spans="1:15" x14ac:dyDescent="0.2">
      <c r="A2129" s="14"/>
      <c r="B2129" s="15"/>
      <c r="D2129" s="16"/>
      <c r="E2129" s="17"/>
      <c r="F2129" s="14"/>
      <c r="G2129" s="7"/>
      <c r="H2129" s="7"/>
      <c r="I2129" s="20"/>
      <c r="J2129" s="5"/>
      <c r="K2129" s="7"/>
      <c r="L2129" s="7"/>
      <c r="M2129" s="5"/>
      <c r="N2129" s="4"/>
      <c r="O2129" s="4"/>
    </row>
    <row r="2130" spans="1:15" x14ac:dyDescent="0.2">
      <c r="A2130" s="14"/>
      <c r="B2130" s="15"/>
      <c r="D2130" s="16"/>
      <c r="E2130" s="17"/>
      <c r="F2130" s="14"/>
      <c r="G2130" s="7"/>
      <c r="H2130" s="7"/>
      <c r="I2130" s="20"/>
      <c r="J2130" s="5"/>
      <c r="K2130" s="7"/>
      <c r="L2130" s="7"/>
      <c r="M2130" s="5"/>
      <c r="N2130" s="4"/>
      <c r="O2130" s="4"/>
    </row>
    <row r="2131" spans="1:15" x14ac:dyDescent="0.2">
      <c r="A2131" s="14"/>
      <c r="B2131" s="15"/>
      <c r="D2131" s="16"/>
      <c r="E2131" s="17"/>
      <c r="F2131" s="14"/>
      <c r="G2131" s="7"/>
      <c r="H2131" s="7"/>
      <c r="I2131" s="20"/>
      <c r="J2131" s="5"/>
      <c r="K2131" s="7"/>
      <c r="L2131" s="7"/>
      <c r="M2131" s="5"/>
      <c r="N2131" s="4"/>
      <c r="O2131" s="4"/>
    </row>
    <row r="2132" spans="1:15" x14ac:dyDescent="0.2">
      <c r="A2132" s="14"/>
      <c r="B2132" s="15"/>
      <c r="D2132" s="16"/>
      <c r="E2132" s="17"/>
      <c r="F2132" s="14"/>
      <c r="G2132" s="7"/>
      <c r="H2132" s="7"/>
      <c r="I2132" s="20"/>
      <c r="J2132" s="5"/>
      <c r="K2132" s="7"/>
      <c r="L2132" s="7"/>
      <c r="M2132" s="5"/>
      <c r="N2132" s="4"/>
      <c r="O2132" s="4"/>
    </row>
    <row r="2133" spans="1:15" x14ac:dyDescent="0.2">
      <c r="A2133" s="14"/>
      <c r="B2133" s="15"/>
      <c r="D2133" s="16"/>
      <c r="E2133" s="17"/>
      <c r="F2133" s="14"/>
      <c r="G2133" s="7"/>
      <c r="H2133" s="7"/>
      <c r="I2133" s="20"/>
      <c r="J2133" s="5"/>
      <c r="K2133" s="7"/>
      <c r="L2133" s="7"/>
      <c r="M2133" s="5"/>
      <c r="N2133" s="4"/>
      <c r="O2133" s="4"/>
    </row>
    <row r="2134" spans="1:15" x14ac:dyDescent="0.2">
      <c r="A2134" s="14"/>
      <c r="B2134" s="15"/>
      <c r="D2134" s="16"/>
      <c r="E2134" s="17"/>
      <c r="F2134" s="14"/>
      <c r="G2134" s="7"/>
      <c r="H2134" s="7"/>
      <c r="I2134" s="20"/>
      <c r="J2134" s="5"/>
      <c r="K2134" s="7"/>
      <c r="L2134" s="7"/>
      <c r="M2134" s="5"/>
      <c r="N2134" s="4"/>
      <c r="O2134" s="4"/>
    </row>
    <row r="2135" spans="1:15" x14ac:dyDescent="0.2">
      <c r="A2135" s="14"/>
      <c r="B2135" s="15"/>
      <c r="D2135" s="16"/>
      <c r="E2135" s="17"/>
      <c r="F2135" s="14"/>
      <c r="G2135" s="7"/>
      <c r="H2135" s="7"/>
      <c r="I2135" s="20"/>
      <c r="J2135" s="5"/>
      <c r="K2135" s="7"/>
      <c r="L2135" s="7"/>
      <c r="M2135" s="5"/>
      <c r="N2135" s="4"/>
      <c r="O2135" s="4"/>
    </row>
    <row r="2136" spans="1:15" x14ac:dyDescent="0.2">
      <c r="A2136" s="14"/>
      <c r="B2136" s="15"/>
      <c r="D2136" s="16"/>
      <c r="E2136" s="17"/>
      <c r="F2136" s="14"/>
      <c r="G2136" s="7"/>
      <c r="H2136" s="7"/>
      <c r="I2136" s="20"/>
      <c r="J2136" s="5"/>
      <c r="K2136" s="7"/>
      <c r="L2136" s="7"/>
      <c r="M2136" s="5"/>
      <c r="N2136" s="4"/>
      <c r="O2136" s="4"/>
    </row>
    <row r="2137" spans="1:15" x14ac:dyDescent="0.2">
      <c r="A2137" s="14"/>
      <c r="B2137" s="15"/>
      <c r="D2137" s="16"/>
      <c r="E2137" s="17"/>
      <c r="F2137" s="14"/>
      <c r="G2137" s="7"/>
      <c r="H2137" s="7"/>
      <c r="I2137" s="20"/>
      <c r="J2137" s="5"/>
      <c r="K2137" s="7"/>
      <c r="L2137" s="7"/>
      <c r="M2137" s="5"/>
      <c r="N2137" s="4"/>
      <c r="O2137" s="4"/>
    </row>
    <row r="2138" spans="1:15" x14ac:dyDescent="0.2">
      <c r="A2138" s="14"/>
      <c r="B2138" s="15"/>
      <c r="D2138" s="16"/>
      <c r="E2138" s="17"/>
      <c r="F2138" s="14"/>
      <c r="G2138" s="7"/>
      <c r="H2138" s="7"/>
      <c r="I2138" s="20"/>
      <c r="J2138" s="5"/>
      <c r="K2138" s="7"/>
      <c r="L2138" s="7"/>
      <c r="M2138" s="5"/>
      <c r="N2138" s="4"/>
      <c r="O2138" s="4"/>
    </row>
    <row r="2139" spans="1:15" x14ac:dyDescent="0.2">
      <c r="A2139" s="14"/>
      <c r="B2139" s="15"/>
      <c r="D2139" s="16"/>
      <c r="E2139" s="17"/>
      <c r="F2139" s="14"/>
      <c r="G2139" s="7"/>
      <c r="H2139" s="7"/>
      <c r="I2139" s="20"/>
      <c r="J2139" s="5"/>
      <c r="K2139" s="7"/>
      <c r="L2139" s="7"/>
      <c r="M2139" s="5"/>
      <c r="N2139" s="4"/>
      <c r="O2139" s="4"/>
    </row>
    <row r="2140" spans="1:15" x14ac:dyDescent="0.2">
      <c r="A2140" s="14"/>
      <c r="B2140" s="15"/>
      <c r="D2140" s="16"/>
      <c r="E2140" s="17"/>
      <c r="F2140" s="14"/>
      <c r="G2140" s="7"/>
      <c r="H2140" s="7"/>
      <c r="I2140" s="20"/>
      <c r="J2140" s="5"/>
      <c r="K2140" s="7"/>
      <c r="L2140" s="7"/>
      <c r="M2140" s="5"/>
      <c r="N2140" s="4"/>
      <c r="O2140" s="4"/>
    </row>
    <row r="2141" spans="1:15" x14ac:dyDescent="0.2">
      <c r="A2141" s="14"/>
      <c r="B2141" s="15"/>
      <c r="D2141" s="16"/>
      <c r="E2141" s="17"/>
      <c r="F2141" s="14"/>
      <c r="G2141" s="7"/>
      <c r="H2141" s="7"/>
      <c r="I2141" s="20"/>
      <c r="J2141" s="5"/>
      <c r="K2141" s="7"/>
      <c r="L2141" s="7"/>
      <c r="M2141" s="5"/>
      <c r="N2141" s="4"/>
      <c r="O2141" s="4"/>
    </row>
    <row r="2142" spans="1:15" x14ac:dyDescent="0.2">
      <c r="A2142" s="14"/>
      <c r="B2142" s="15"/>
      <c r="D2142" s="16"/>
      <c r="E2142" s="17"/>
      <c r="F2142" s="14"/>
      <c r="G2142" s="7"/>
      <c r="H2142" s="7"/>
      <c r="I2142" s="20"/>
      <c r="J2142" s="5"/>
      <c r="K2142" s="7"/>
      <c r="L2142" s="7"/>
      <c r="M2142" s="5"/>
      <c r="N2142" s="4"/>
      <c r="O2142" s="4"/>
    </row>
    <row r="2143" spans="1:15" x14ac:dyDescent="0.2">
      <c r="A2143" s="14"/>
      <c r="B2143" s="15"/>
      <c r="D2143" s="16"/>
      <c r="E2143" s="17"/>
      <c r="F2143" s="14"/>
      <c r="G2143" s="7"/>
      <c r="H2143" s="7"/>
      <c r="I2143" s="20"/>
      <c r="J2143" s="5"/>
      <c r="K2143" s="7"/>
      <c r="L2143" s="7"/>
      <c r="M2143" s="5"/>
      <c r="N2143" s="4"/>
      <c r="O2143" s="4"/>
    </row>
    <row r="2144" spans="1:15" x14ac:dyDescent="0.2">
      <c r="A2144" s="14"/>
      <c r="B2144" s="15"/>
      <c r="D2144" s="16"/>
      <c r="E2144" s="17"/>
      <c r="F2144" s="14"/>
      <c r="G2144" s="7"/>
      <c r="H2144" s="7"/>
      <c r="I2144" s="20"/>
      <c r="J2144" s="5"/>
      <c r="K2144" s="7"/>
      <c r="L2144" s="7"/>
      <c r="M2144" s="5"/>
      <c r="N2144" s="4"/>
      <c r="O2144" s="4"/>
    </row>
    <row r="2145" spans="1:15" x14ac:dyDescent="0.2">
      <c r="A2145" s="14"/>
      <c r="B2145" s="15"/>
      <c r="D2145" s="16"/>
      <c r="E2145" s="17"/>
      <c r="F2145" s="14"/>
      <c r="G2145" s="7"/>
      <c r="H2145" s="7"/>
      <c r="I2145" s="20"/>
      <c r="J2145" s="5"/>
      <c r="K2145" s="7"/>
      <c r="L2145" s="7"/>
      <c r="M2145" s="5"/>
      <c r="N2145" s="4"/>
      <c r="O2145" s="4"/>
    </row>
    <row r="2146" spans="1:15" x14ac:dyDescent="0.2">
      <c r="A2146" s="14"/>
      <c r="B2146" s="15"/>
      <c r="D2146" s="16"/>
      <c r="E2146" s="17"/>
      <c r="F2146" s="14"/>
      <c r="G2146" s="7"/>
      <c r="H2146" s="7"/>
      <c r="I2146" s="20"/>
      <c r="J2146" s="5"/>
      <c r="K2146" s="7"/>
      <c r="L2146" s="7"/>
      <c r="M2146" s="5"/>
      <c r="N2146" s="4"/>
      <c r="O2146" s="4"/>
    </row>
    <row r="2147" spans="1:15" x14ac:dyDescent="0.2">
      <c r="A2147" s="14"/>
      <c r="B2147" s="15"/>
      <c r="D2147" s="16"/>
      <c r="E2147" s="17"/>
      <c r="F2147" s="14"/>
      <c r="G2147" s="7"/>
      <c r="H2147" s="7"/>
      <c r="I2147" s="20"/>
      <c r="J2147" s="5"/>
      <c r="K2147" s="7"/>
      <c r="L2147" s="7"/>
      <c r="M2147" s="5"/>
      <c r="N2147" s="4"/>
      <c r="O2147" s="4"/>
    </row>
    <row r="2148" spans="1:15" x14ac:dyDescent="0.2">
      <c r="A2148" s="14"/>
      <c r="B2148" s="15"/>
      <c r="D2148" s="16"/>
      <c r="E2148" s="17"/>
      <c r="F2148" s="14"/>
      <c r="G2148" s="7"/>
      <c r="H2148" s="7"/>
      <c r="I2148" s="20"/>
      <c r="J2148" s="5"/>
      <c r="K2148" s="7"/>
      <c r="L2148" s="7"/>
      <c r="M2148" s="5"/>
      <c r="N2148" s="4"/>
      <c r="O2148" s="4"/>
    </row>
    <row r="2149" spans="1:15" x14ac:dyDescent="0.2">
      <c r="A2149" s="14"/>
      <c r="B2149" s="15"/>
      <c r="D2149" s="16"/>
      <c r="E2149" s="17"/>
      <c r="F2149" s="14"/>
      <c r="G2149" s="7"/>
      <c r="H2149" s="7"/>
      <c r="I2149" s="20"/>
      <c r="J2149" s="5"/>
      <c r="K2149" s="7"/>
      <c r="L2149" s="7"/>
      <c r="M2149" s="5"/>
      <c r="N2149" s="4"/>
      <c r="O2149" s="4"/>
    </row>
    <row r="2150" spans="1:15" x14ac:dyDescent="0.2">
      <c r="A2150" s="14"/>
      <c r="B2150" s="15"/>
      <c r="D2150" s="16"/>
      <c r="E2150" s="17"/>
      <c r="F2150" s="14"/>
      <c r="G2150" s="7"/>
      <c r="H2150" s="7"/>
      <c r="I2150" s="20"/>
      <c r="J2150" s="5"/>
      <c r="K2150" s="7"/>
      <c r="L2150" s="7"/>
      <c r="M2150" s="5"/>
      <c r="N2150" s="4"/>
      <c r="O2150" s="4"/>
    </row>
    <row r="2151" spans="1:15" x14ac:dyDescent="0.2">
      <c r="A2151" s="14"/>
      <c r="B2151" s="15"/>
      <c r="D2151" s="16"/>
      <c r="E2151" s="17"/>
      <c r="F2151" s="14"/>
      <c r="G2151" s="7"/>
      <c r="H2151" s="7"/>
      <c r="I2151" s="20"/>
      <c r="J2151" s="5"/>
      <c r="K2151" s="7"/>
      <c r="L2151" s="7"/>
      <c r="M2151" s="5"/>
      <c r="N2151" s="4"/>
      <c r="O2151" s="4"/>
    </row>
    <row r="2152" spans="1:15" x14ac:dyDescent="0.2">
      <c r="A2152" s="14"/>
      <c r="B2152" s="15"/>
      <c r="D2152" s="16"/>
      <c r="E2152" s="17"/>
      <c r="F2152" s="14"/>
      <c r="G2152" s="7"/>
      <c r="H2152" s="7"/>
      <c r="I2152" s="20"/>
      <c r="J2152" s="5"/>
      <c r="K2152" s="7"/>
      <c r="L2152" s="7"/>
      <c r="M2152" s="5"/>
      <c r="N2152" s="4"/>
      <c r="O2152" s="4"/>
    </row>
    <row r="2153" spans="1:15" x14ac:dyDescent="0.2">
      <c r="A2153" s="14"/>
      <c r="B2153" s="15"/>
      <c r="D2153" s="16"/>
      <c r="E2153" s="17"/>
      <c r="F2153" s="14"/>
      <c r="G2153" s="7"/>
      <c r="H2153" s="7"/>
      <c r="I2153" s="20"/>
      <c r="J2153" s="5"/>
      <c r="K2153" s="7"/>
      <c r="L2153" s="7"/>
      <c r="M2153" s="5"/>
      <c r="N2153" s="4"/>
      <c r="O2153" s="4"/>
    </row>
    <row r="2154" spans="1:15" x14ac:dyDescent="0.2">
      <c r="A2154" s="14"/>
      <c r="B2154" s="15"/>
      <c r="D2154" s="16"/>
      <c r="E2154" s="17"/>
      <c r="F2154" s="14"/>
      <c r="G2154" s="7"/>
      <c r="H2154" s="7"/>
      <c r="I2154" s="20"/>
      <c r="J2154" s="5"/>
      <c r="K2154" s="7"/>
      <c r="L2154" s="7"/>
      <c r="M2154" s="5"/>
      <c r="N2154" s="4"/>
      <c r="O2154" s="4"/>
    </row>
    <row r="2155" spans="1:15" x14ac:dyDescent="0.2">
      <c r="A2155" s="14"/>
      <c r="B2155" s="15"/>
      <c r="D2155" s="16"/>
      <c r="E2155" s="17"/>
      <c r="F2155" s="14"/>
      <c r="G2155" s="7"/>
      <c r="H2155" s="7"/>
      <c r="I2155" s="20"/>
      <c r="J2155" s="5"/>
      <c r="K2155" s="7"/>
      <c r="L2155" s="7"/>
      <c r="M2155" s="5"/>
      <c r="N2155" s="4"/>
      <c r="O2155" s="4"/>
    </row>
    <row r="2156" spans="1:15" x14ac:dyDescent="0.2">
      <c r="A2156" s="14"/>
      <c r="B2156" s="15"/>
      <c r="D2156" s="16"/>
      <c r="E2156" s="17"/>
      <c r="F2156" s="14"/>
      <c r="G2156" s="7"/>
      <c r="H2156" s="7"/>
      <c r="I2156" s="20"/>
      <c r="J2156" s="5"/>
      <c r="K2156" s="7"/>
      <c r="L2156" s="7"/>
      <c r="M2156" s="5"/>
      <c r="N2156" s="4"/>
      <c r="O2156" s="4"/>
    </row>
    <row r="2157" spans="1:15" x14ac:dyDescent="0.2">
      <c r="A2157" s="14"/>
      <c r="B2157" s="15"/>
      <c r="D2157" s="16"/>
      <c r="E2157" s="17"/>
      <c r="F2157" s="14"/>
      <c r="G2157" s="7"/>
      <c r="H2157" s="7"/>
      <c r="I2157" s="20"/>
      <c r="J2157" s="5"/>
      <c r="K2157" s="7"/>
      <c r="L2157" s="7"/>
      <c r="M2157" s="5"/>
      <c r="N2157" s="4"/>
      <c r="O2157" s="4"/>
    </row>
    <row r="2158" spans="1:15" x14ac:dyDescent="0.2">
      <c r="A2158" s="14"/>
      <c r="B2158" s="15"/>
      <c r="D2158" s="16"/>
      <c r="E2158" s="17"/>
      <c r="F2158" s="14"/>
      <c r="G2158" s="7"/>
      <c r="H2158" s="7"/>
      <c r="I2158" s="20"/>
      <c r="J2158" s="5"/>
      <c r="K2158" s="7"/>
      <c r="L2158" s="7"/>
      <c r="M2158" s="5"/>
      <c r="N2158" s="4"/>
      <c r="O2158" s="4"/>
    </row>
    <row r="2159" spans="1:15" x14ac:dyDescent="0.2">
      <c r="A2159" s="14"/>
      <c r="B2159" s="15"/>
      <c r="D2159" s="16"/>
      <c r="E2159" s="17"/>
      <c r="F2159" s="14"/>
      <c r="G2159" s="7"/>
      <c r="H2159" s="7"/>
      <c r="I2159" s="20"/>
      <c r="J2159" s="5"/>
      <c r="K2159" s="7"/>
      <c r="L2159" s="7"/>
      <c r="M2159" s="5"/>
      <c r="N2159" s="4"/>
      <c r="O2159" s="4"/>
    </row>
    <row r="2160" spans="1:15" x14ac:dyDescent="0.2">
      <c r="A2160" s="14"/>
      <c r="B2160" s="15"/>
      <c r="D2160" s="16"/>
      <c r="E2160" s="17"/>
      <c r="F2160" s="14"/>
      <c r="G2160" s="7"/>
      <c r="H2160" s="7"/>
      <c r="I2160" s="20"/>
      <c r="J2160" s="5"/>
      <c r="K2160" s="7"/>
      <c r="L2160" s="7"/>
      <c r="M2160" s="5"/>
      <c r="N2160" s="4"/>
      <c r="O2160" s="4"/>
    </row>
    <row r="2161" spans="1:15" x14ac:dyDescent="0.2">
      <c r="A2161" s="14"/>
      <c r="B2161" s="15"/>
      <c r="D2161" s="16"/>
      <c r="E2161" s="17"/>
      <c r="F2161" s="14"/>
      <c r="G2161" s="7"/>
      <c r="H2161" s="7"/>
      <c r="I2161" s="20"/>
      <c r="J2161" s="5"/>
      <c r="K2161" s="7"/>
      <c r="L2161" s="7"/>
      <c r="M2161" s="5"/>
      <c r="N2161" s="4"/>
      <c r="O2161" s="4"/>
    </row>
    <row r="2162" spans="1:15" x14ac:dyDescent="0.2">
      <c r="A2162" s="14"/>
      <c r="B2162" s="15"/>
      <c r="D2162" s="16"/>
      <c r="E2162" s="17"/>
      <c r="F2162" s="14"/>
      <c r="G2162" s="7"/>
      <c r="H2162" s="7"/>
      <c r="I2162" s="20"/>
      <c r="J2162" s="5"/>
      <c r="K2162" s="7"/>
      <c r="L2162" s="7"/>
      <c r="M2162" s="5"/>
      <c r="N2162" s="4"/>
      <c r="O2162" s="4"/>
    </row>
    <row r="2163" spans="1:15" x14ac:dyDescent="0.2">
      <c r="A2163" s="14"/>
      <c r="B2163" s="15"/>
      <c r="D2163" s="16"/>
      <c r="E2163" s="17"/>
      <c r="F2163" s="14"/>
      <c r="G2163" s="7"/>
      <c r="H2163" s="7"/>
      <c r="I2163" s="20"/>
      <c r="J2163" s="5"/>
      <c r="K2163" s="7"/>
      <c r="L2163" s="7"/>
      <c r="M2163" s="5"/>
      <c r="N2163" s="4"/>
      <c r="O2163" s="4"/>
    </row>
    <row r="2164" spans="1:15" x14ac:dyDescent="0.2">
      <c r="A2164" s="14"/>
      <c r="B2164" s="15"/>
      <c r="D2164" s="16"/>
      <c r="E2164" s="17"/>
      <c r="F2164" s="14"/>
      <c r="G2164" s="7"/>
      <c r="H2164" s="7"/>
      <c r="I2164" s="20"/>
      <c r="J2164" s="5"/>
      <c r="K2164" s="7"/>
      <c r="L2164" s="7"/>
      <c r="M2164" s="5"/>
      <c r="N2164" s="4"/>
      <c r="O2164" s="4"/>
    </row>
    <row r="2165" spans="1:15" x14ac:dyDescent="0.2">
      <c r="A2165" s="14"/>
      <c r="B2165" s="15"/>
      <c r="D2165" s="16"/>
      <c r="E2165" s="17"/>
      <c r="F2165" s="14"/>
      <c r="G2165" s="7"/>
      <c r="H2165" s="7"/>
      <c r="I2165" s="20"/>
      <c r="J2165" s="5"/>
      <c r="K2165" s="7"/>
      <c r="L2165" s="7"/>
      <c r="M2165" s="5"/>
      <c r="N2165" s="4"/>
      <c r="O2165" s="4"/>
    </row>
    <row r="2166" spans="1:15" x14ac:dyDescent="0.2">
      <c r="A2166" s="14"/>
      <c r="B2166" s="15"/>
      <c r="D2166" s="16"/>
      <c r="E2166" s="17"/>
      <c r="F2166" s="14"/>
      <c r="G2166" s="7"/>
      <c r="H2166" s="7"/>
      <c r="I2166" s="20"/>
      <c r="J2166" s="5"/>
      <c r="K2166" s="7"/>
      <c r="L2166" s="7"/>
      <c r="M2166" s="5"/>
      <c r="N2166" s="4"/>
      <c r="O2166" s="4"/>
    </row>
    <row r="2167" spans="1:15" x14ac:dyDescent="0.2">
      <c r="A2167" s="14"/>
      <c r="B2167" s="15"/>
      <c r="D2167" s="16"/>
      <c r="E2167" s="17"/>
      <c r="F2167" s="14"/>
      <c r="G2167" s="7"/>
      <c r="H2167" s="7"/>
      <c r="I2167" s="20"/>
      <c r="J2167" s="5"/>
      <c r="K2167" s="7"/>
      <c r="L2167" s="7"/>
      <c r="M2167" s="5"/>
      <c r="N2167" s="4"/>
      <c r="O2167" s="4"/>
    </row>
    <row r="2168" spans="1:15" x14ac:dyDescent="0.2">
      <c r="A2168" s="14"/>
      <c r="B2168" s="15"/>
      <c r="D2168" s="16"/>
      <c r="E2168" s="17"/>
      <c r="F2168" s="14"/>
      <c r="G2168" s="7"/>
      <c r="H2168" s="7"/>
      <c r="I2168" s="20"/>
      <c r="J2168" s="5"/>
      <c r="K2168" s="7"/>
      <c r="L2168" s="7"/>
      <c r="M2168" s="5"/>
      <c r="N2168" s="4"/>
      <c r="O2168" s="4"/>
    </row>
    <row r="2169" spans="1:15" x14ac:dyDescent="0.2">
      <c r="A2169" s="14"/>
      <c r="B2169" s="15"/>
      <c r="D2169" s="16"/>
      <c r="E2169" s="17"/>
      <c r="F2169" s="14"/>
      <c r="G2169" s="7"/>
      <c r="H2169" s="7"/>
      <c r="I2169" s="20"/>
      <c r="J2169" s="5"/>
      <c r="K2169" s="7"/>
      <c r="L2169" s="7"/>
      <c r="M2169" s="5"/>
      <c r="N2169" s="4"/>
      <c r="O2169" s="4"/>
    </row>
    <row r="2170" spans="1:15" x14ac:dyDescent="0.2">
      <c r="A2170" s="14"/>
      <c r="B2170" s="15"/>
      <c r="D2170" s="16"/>
      <c r="E2170" s="17"/>
      <c r="F2170" s="14"/>
      <c r="G2170" s="7"/>
      <c r="H2170" s="7"/>
      <c r="I2170" s="20"/>
      <c r="J2170" s="5"/>
      <c r="K2170" s="7"/>
      <c r="L2170" s="7"/>
      <c r="M2170" s="5"/>
      <c r="N2170" s="4"/>
      <c r="O2170" s="4"/>
    </row>
    <row r="2171" spans="1:15" x14ac:dyDescent="0.2">
      <c r="A2171" s="14"/>
      <c r="B2171" s="15"/>
      <c r="D2171" s="16"/>
      <c r="E2171" s="17"/>
      <c r="F2171" s="14"/>
      <c r="G2171" s="7"/>
      <c r="H2171" s="7"/>
      <c r="I2171" s="20"/>
      <c r="J2171" s="5"/>
      <c r="K2171" s="7"/>
      <c r="L2171" s="7"/>
      <c r="M2171" s="5"/>
      <c r="N2171" s="4"/>
      <c r="O2171" s="4"/>
    </row>
    <row r="2172" spans="1:15" x14ac:dyDescent="0.2">
      <c r="A2172" s="14"/>
      <c r="B2172" s="15"/>
      <c r="D2172" s="16"/>
      <c r="E2172" s="17"/>
      <c r="F2172" s="14"/>
      <c r="G2172" s="7"/>
      <c r="H2172" s="7"/>
      <c r="I2172" s="20"/>
      <c r="J2172" s="5"/>
      <c r="K2172" s="7"/>
      <c r="L2172" s="7"/>
      <c r="M2172" s="5"/>
      <c r="N2172" s="4"/>
      <c r="O2172" s="4"/>
    </row>
    <row r="2173" spans="1:15" x14ac:dyDescent="0.2">
      <c r="A2173" s="14"/>
      <c r="B2173" s="15"/>
      <c r="D2173" s="16"/>
      <c r="E2173" s="17"/>
      <c r="F2173" s="14"/>
      <c r="G2173" s="7"/>
      <c r="H2173" s="7"/>
      <c r="I2173" s="20"/>
      <c r="J2173" s="15"/>
      <c r="K2173" s="7"/>
      <c r="L2173" s="7"/>
      <c r="M2173" s="5"/>
      <c r="N2173" s="4"/>
      <c r="O2173" s="4"/>
    </row>
    <row r="2174" spans="1:15" x14ac:dyDescent="0.2">
      <c r="A2174" s="14"/>
      <c r="B2174" s="15"/>
      <c r="D2174" s="16"/>
      <c r="E2174" s="17"/>
      <c r="F2174" s="14"/>
      <c r="G2174" s="7"/>
      <c r="H2174" s="7"/>
      <c r="I2174" s="20"/>
      <c r="J2174" s="15"/>
      <c r="K2174" s="7"/>
      <c r="L2174" s="7"/>
      <c r="M2174" s="5"/>
      <c r="N2174" s="4"/>
      <c r="O2174" s="4"/>
    </row>
    <row r="2175" spans="1:15" x14ac:dyDescent="0.2">
      <c r="A2175" s="14"/>
      <c r="B2175" s="15"/>
      <c r="D2175" s="16"/>
      <c r="E2175" s="17"/>
      <c r="F2175" s="14"/>
      <c r="G2175" s="7"/>
      <c r="H2175" s="7"/>
      <c r="I2175" s="20"/>
      <c r="J2175" s="15"/>
      <c r="K2175" s="7"/>
      <c r="L2175" s="7"/>
      <c r="M2175" s="5"/>
      <c r="N2175" s="4"/>
      <c r="O2175" s="4"/>
    </row>
    <row r="2176" spans="1:15" x14ac:dyDescent="0.2">
      <c r="A2176" s="14"/>
      <c r="B2176" s="15"/>
      <c r="D2176" s="16"/>
      <c r="E2176" s="17"/>
      <c r="F2176" s="14"/>
      <c r="G2176" s="7"/>
      <c r="H2176" s="7"/>
      <c r="I2176" s="20"/>
      <c r="J2176" s="15"/>
      <c r="K2176" s="7"/>
      <c r="L2176" s="7"/>
      <c r="M2176" s="5"/>
      <c r="N2176" s="4"/>
      <c r="O2176" s="4"/>
    </row>
    <row r="2177" spans="1:15" x14ac:dyDescent="0.2">
      <c r="A2177" s="14"/>
      <c r="B2177" s="15"/>
      <c r="D2177" s="16"/>
      <c r="E2177" s="17"/>
      <c r="F2177" s="14"/>
      <c r="G2177" s="7"/>
      <c r="H2177" s="7"/>
      <c r="I2177" s="20"/>
      <c r="J2177" s="15"/>
      <c r="K2177" s="7"/>
      <c r="L2177" s="7"/>
      <c r="M2177" s="5"/>
      <c r="N2177" s="4"/>
      <c r="O2177" s="4"/>
    </row>
    <row r="2178" spans="1:15" x14ac:dyDescent="0.2">
      <c r="A2178" s="14"/>
      <c r="B2178" s="15"/>
      <c r="D2178" s="16"/>
      <c r="E2178" s="17"/>
      <c r="F2178" s="14"/>
      <c r="G2178" s="7"/>
      <c r="H2178" s="7"/>
      <c r="I2178" s="20"/>
      <c r="J2178" s="15"/>
      <c r="K2178" s="7"/>
      <c r="L2178" s="7"/>
      <c r="M2178" s="5"/>
      <c r="N2178" s="4"/>
      <c r="O2178" s="4"/>
    </row>
    <row r="2179" spans="1:15" x14ac:dyDescent="0.2">
      <c r="A2179" s="14"/>
      <c r="B2179" s="15"/>
      <c r="D2179" s="16"/>
      <c r="E2179" s="17"/>
      <c r="F2179" s="14"/>
      <c r="G2179" s="7"/>
      <c r="H2179" s="7"/>
      <c r="I2179" s="20"/>
      <c r="J2179" s="15"/>
      <c r="K2179" s="7"/>
      <c r="L2179" s="7"/>
      <c r="M2179" s="5"/>
      <c r="N2179" s="4"/>
      <c r="O2179" s="4"/>
    </row>
    <row r="2180" spans="1:15" x14ac:dyDescent="0.2">
      <c r="A2180" s="14"/>
      <c r="B2180" s="15"/>
      <c r="D2180" s="16"/>
      <c r="E2180" s="17"/>
      <c r="F2180" s="14"/>
      <c r="G2180" s="7"/>
      <c r="H2180" s="7"/>
      <c r="I2180" s="20"/>
      <c r="J2180" s="15"/>
      <c r="K2180" s="7"/>
      <c r="L2180" s="7"/>
      <c r="M2180" s="5"/>
      <c r="N2180" s="4"/>
      <c r="O2180" s="4"/>
    </row>
    <row r="2181" spans="1:15" x14ac:dyDescent="0.2">
      <c r="A2181" s="14"/>
      <c r="B2181" s="15"/>
      <c r="D2181" s="16"/>
      <c r="E2181" s="17"/>
      <c r="F2181" s="14"/>
      <c r="G2181" s="7"/>
      <c r="H2181" s="7"/>
      <c r="I2181" s="20"/>
      <c r="J2181" s="15"/>
      <c r="K2181" s="7"/>
      <c r="L2181" s="7"/>
      <c r="M2181" s="5"/>
      <c r="N2181" s="4"/>
      <c r="O2181" s="4"/>
    </row>
    <row r="2182" spans="1:15" x14ac:dyDescent="0.2">
      <c r="A2182" s="14"/>
      <c r="B2182" s="15"/>
      <c r="D2182" s="16"/>
      <c r="E2182" s="17"/>
      <c r="F2182" s="14"/>
      <c r="G2182" s="7"/>
      <c r="H2182" s="7"/>
      <c r="I2182" s="20"/>
      <c r="J2182" s="15"/>
      <c r="K2182" s="7"/>
      <c r="L2182" s="7"/>
      <c r="M2182" s="5"/>
      <c r="N2182" s="4"/>
      <c r="O2182" s="4"/>
    </row>
    <row r="2183" spans="1:15" x14ac:dyDescent="0.2">
      <c r="A2183" s="14"/>
      <c r="B2183" s="15"/>
      <c r="D2183" s="16"/>
      <c r="E2183" s="17"/>
      <c r="F2183" s="14"/>
      <c r="G2183" s="7"/>
      <c r="H2183" s="7"/>
      <c r="I2183" s="20"/>
      <c r="J2183" s="15"/>
      <c r="K2183" s="7"/>
      <c r="L2183" s="7"/>
      <c r="M2183" s="5"/>
      <c r="N2183" s="4"/>
      <c r="O2183" s="4"/>
    </row>
    <row r="2184" spans="1:15" x14ac:dyDescent="0.2">
      <c r="A2184" s="14"/>
      <c r="B2184" s="15"/>
      <c r="D2184" s="16"/>
      <c r="E2184" s="17"/>
      <c r="F2184" s="14"/>
      <c r="G2184" s="7"/>
      <c r="H2184" s="7"/>
      <c r="I2184" s="20"/>
      <c r="J2184" s="15"/>
      <c r="K2184" s="7"/>
      <c r="L2184" s="7"/>
      <c r="M2184" s="5"/>
      <c r="N2184" s="4"/>
      <c r="O2184" s="4"/>
    </row>
    <row r="2185" spans="1:15" x14ac:dyDescent="0.2">
      <c r="A2185" s="14"/>
      <c r="B2185" s="15"/>
      <c r="D2185" s="16"/>
      <c r="E2185" s="17"/>
      <c r="F2185" s="14"/>
      <c r="G2185" s="7"/>
      <c r="H2185" s="7"/>
      <c r="I2185" s="20"/>
      <c r="J2185" s="15"/>
      <c r="K2185" s="7"/>
      <c r="L2185" s="7"/>
      <c r="M2185" s="5"/>
      <c r="N2185" s="4"/>
      <c r="O2185" s="4"/>
    </row>
    <row r="2186" spans="1:15" x14ac:dyDescent="0.2">
      <c r="A2186" s="14"/>
      <c r="B2186" s="15"/>
      <c r="D2186" s="16"/>
      <c r="E2186" s="17"/>
      <c r="F2186" s="14"/>
      <c r="G2186" s="7"/>
      <c r="H2186" s="7"/>
      <c r="I2186" s="20"/>
      <c r="J2186" s="15"/>
      <c r="K2186" s="7"/>
      <c r="L2186" s="7"/>
      <c r="M2186" s="5"/>
      <c r="N2186" s="4"/>
      <c r="O2186" s="4"/>
    </row>
    <row r="2187" spans="1:15" x14ac:dyDescent="0.2">
      <c r="A2187" s="14"/>
      <c r="B2187" s="15"/>
      <c r="D2187" s="16"/>
      <c r="E2187" s="17"/>
      <c r="F2187" s="14"/>
      <c r="G2187" s="7"/>
      <c r="H2187" s="7"/>
      <c r="I2187" s="20"/>
      <c r="J2187" s="15"/>
      <c r="K2187" s="7"/>
      <c r="L2187" s="7"/>
      <c r="M2187" s="5"/>
      <c r="N2187" s="4"/>
      <c r="O2187" s="4"/>
    </row>
    <row r="2188" spans="1:15" x14ac:dyDescent="0.2">
      <c r="A2188" s="14"/>
      <c r="B2188" s="15"/>
      <c r="D2188" s="16"/>
      <c r="E2188" s="17"/>
      <c r="F2188" s="14"/>
      <c r="G2188" s="7"/>
      <c r="H2188" s="7"/>
      <c r="I2188" s="20"/>
      <c r="J2188" s="15"/>
      <c r="K2188" s="7"/>
      <c r="L2188" s="7"/>
      <c r="M2188" s="5"/>
      <c r="N2188" s="4"/>
      <c r="O2188" s="4"/>
    </row>
    <row r="2189" spans="1:15" x14ac:dyDescent="0.2">
      <c r="A2189" s="14"/>
      <c r="B2189" s="15"/>
      <c r="D2189" s="16"/>
      <c r="E2189" s="17"/>
      <c r="F2189" s="14"/>
      <c r="G2189" s="7"/>
      <c r="H2189" s="7"/>
      <c r="I2189" s="20"/>
      <c r="J2189" s="15"/>
      <c r="K2189" s="7"/>
      <c r="L2189" s="7"/>
      <c r="M2189" s="5"/>
      <c r="N2189" s="4"/>
      <c r="O2189" s="4"/>
    </row>
    <row r="2190" spans="1:15" x14ac:dyDescent="0.2">
      <c r="A2190" s="14"/>
      <c r="B2190" s="15"/>
      <c r="D2190" s="16"/>
      <c r="E2190" s="17"/>
      <c r="F2190" s="14"/>
      <c r="G2190" s="7"/>
      <c r="H2190" s="7"/>
      <c r="I2190" s="20"/>
      <c r="J2190" s="15"/>
      <c r="K2190" s="7"/>
      <c r="L2190" s="7"/>
      <c r="M2190" s="5"/>
      <c r="N2190" s="4"/>
      <c r="O2190" s="4"/>
    </row>
    <row r="2191" spans="1:15" x14ac:dyDescent="0.2">
      <c r="A2191" s="14"/>
      <c r="B2191" s="15"/>
      <c r="D2191" s="16"/>
      <c r="E2191" s="17"/>
      <c r="F2191" s="14"/>
      <c r="G2191" s="7"/>
      <c r="H2191" s="7"/>
      <c r="I2191" s="20"/>
      <c r="J2191" s="15"/>
      <c r="K2191" s="7"/>
      <c r="L2191" s="7"/>
      <c r="M2191" s="5"/>
      <c r="N2191" s="4"/>
      <c r="O2191" s="4"/>
    </row>
    <row r="2192" spans="1:15" x14ac:dyDescent="0.2">
      <c r="A2192" s="14"/>
      <c r="B2192" s="15"/>
      <c r="D2192" s="16"/>
      <c r="E2192" s="17"/>
      <c r="F2192" s="14"/>
      <c r="G2192" s="7"/>
      <c r="H2192" s="7"/>
      <c r="I2192" s="20"/>
      <c r="J2192" s="15"/>
      <c r="K2192" s="7"/>
      <c r="L2192" s="7"/>
      <c r="M2192" s="5"/>
      <c r="N2192" s="4"/>
      <c r="O2192" s="4"/>
    </row>
    <row r="2193" spans="1:15" x14ac:dyDescent="0.2">
      <c r="A2193" s="14"/>
      <c r="B2193" s="15"/>
      <c r="D2193" s="16"/>
      <c r="E2193" s="17"/>
      <c r="F2193" s="14"/>
      <c r="G2193" s="7"/>
      <c r="H2193" s="7"/>
      <c r="I2193" s="20"/>
      <c r="J2193" s="15"/>
      <c r="K2193" s="7"/>
      <c r="L2193" s="7"/>
      <c r="M2193" s="5"/>
      <c r="N2193" s="4"/>
      <c r="O2193" s="4"/>
    </row>
    <row r="2194" spans="1:15" x14ac:dyDescent="0.2">
      <c r="A2194" s="14"/>
      <c r="B2194" s="15"/>
      <c r="D2194" s="16"/>
      <c r="E2194" s="17"/>
      <c r="F2194" s="14"/>
      <c r="G2194" s="7"/>
      <c r="H2194" s="7"/>
      <c r="I2194" s="20"/>
      <c r="J2194" s="15"/>
      <c r="K2194" s="7"/>
      <c r="L2194" s="7"/>
      <c r="M2194" s="5"/>
      <c r="N2194" s="4"/>
      <c r="O2194" s="4"/>
    </row>
    <row r="2195" spans="1:15" x14ac:dyDescent="0.2">
      <c r="A2195" s="14"/>
      <c r="B2195" s="15"/>
      <c r="D2195" s="16"/>
      <c r="E2195" s="17"/>
      <c r="F2195" s="14"/>
      <c r="G2195" s="7"/>
      <c r="H2195" s="7"/>
      <c r="I2195" s="20"/>
      <c r="J2195" s="15"/>
      <c r="K2195" s="7"/>
      <c r="L2195" s="7"/>
      <c r="M2195" s="5"/>
      <c r="N2195" s="4"/>
      <c r="O2195" s="4"/>
    </row>
    <row r="2196" spans="1:15" x14ac:dyDescent="0.2">
      <c r="A2196" s="14"/>
      <c r="B2196" s="15"/>
      <c r="D2196" s="16"/>
      <c r="E2196" s="17"/>
      <c r="F2196" s="14"/>
      <c r="G2196" s="7"/>
      <c r="H2196" s="7"/>
      <c r="I2196" s="20"/>
      <c r="J2196" s="15"/>
      <c r="K2196" s="7"/>
      <c r="L2196" s="7"/>
      <c r="M2196" s="5"/>
      <c r="N2196" s="4"/>
      <c r="O2196" s="4"/>
    </row>
    <row r="2197" spans="1:15" x14ac:dyDescent="0.2">
      <c r="A2197" s="14"/>
      <c r="B2197" s="15"/>
      <c r="D2197" s="16"/>
      <c r="E2197" s="17"/>
      <c r="F2197" s="14"/>
      <c r="G2197" s="7"/>
      <c r="H2197" s="7"/>
      <c r="I2197" s="20"/>
      <c r="J2197" s="15"/>
      <c r="K2197" s="7"/>
      <c r="L2197" s="7"/>
      <c r="M2197" s="5"/>
      <c r="N2197" s="4"/>
      <c r="O2197" s="4"/>
    </row>
    <row r="2198" spans="1:15" x14ac:dyDescent="0.2">
      <c r="A2198" s="14"/>
      <c r="B2198" s="15"/>
      <c r="D2198" s="16"/>
      <c r="E2198" s="17"/>
      <c r="F2198" s="14"/>
      <c r="G2198" s="7"/>
      <c r="H2198" s="7"/>
      <c r="I2198" s="20"/>
      <c r="J2198" s="15"/>
      <c r="K2198" s="7"/>
      <c r="L2198" s="7"/>
      <c r="M2198" s="5"/>
      <c r="N2198" s="4"/>
      <c r="O2198" s="4"/>
    </row>
    <row r="2199" spans="1:15" x14ac:dyDescent="0.2">
      <c r="A2199" s="14"/>
      <c r="B2199" s="15"/>
      <c r="D2199" s="16"/>
      <c r="E2199" s="17"/>
      <c r="F2199" s="14"/>
      <c r="G2199" s="7"/>
      <c r="H2199" s="7"/>
      <c r="I2199" s="20"/>
      <c r="J2199" s="15"/>
      <c r="K2199" s="7"/>
      <c r="L2199" s="7"/>
      <c r="M2199" s="5"/>
      <c r="N2199" s="4"/>
      <c r="O2199" s="4"/>
    </row>
    <row r="2200" spans="1:15" x14ac:dyDescent="0.2">
      <c r="A2200" s="14"/>
      <c r="B2200" s="15"/>
      <c r="D2200" s="16"/>
      <c r="E2200" s="17"/>
      <c r="F2200" s="14"/>
      <c r="G2200" s="7"/>
      <c r="H2200" s="7"/>
      <c r="I2200" s="20"/>
      <c r="J2200" s="15"/>
      <c r="K2200" s="7"/>
      <c r="L2200" s="7"/>
      <c r="M2200" s="5"/>
      <c r="N2200" s="4"/>
      <c r="O2200" s="4"/>
    </row>
    <row r="2201" spans="1:15" x14ac:dyDescent="0.2">
      <c r="A2201" s="14"/>
      <c r="B2201" s="15"/>
      <c r="D2201" s="16"/>
      <c r="E2201" s="17"/>
      <c r="F2201" s="14"/>
      <c r="G2201" s="7"/>
      <c r="H2201" s="7"/>
      <c r="I2201" s="20"/>
      <c r="J2201" s="15"/>
      <c r="K2201" s="7"/>
      <c r="L2201" s="7"/>
      <c r="M2201" s="5"/>
      <c r="N2201" s="4"/>
      <c r="O2201" s="4"/>
    </row>
    <row r="2202" spans="1:15" x14ac:dyDescent="0.2">
      <c r="A2202" s="14"/>
      <c r="B2202" s="15"/>
      <c r="D2202" s="16"/>
      <c r="E2202" s="17"/>
      <c r="F2202" s="14"/>
      <c r="G2202" s="7"/>
      <c r="H2202" s="7"/>
      <c r="I2202" s="20"/>
      <c r="J2202" s="15"/>
      <c r="K2202" s="7"/>
      <c r="L2202" s="7"/>
      <c r="M2202" s="5"/>
      <c r="N2202" s="4"/>
      <c r="O2202" s="4"/>
    </row>
    <row r="2203" spans="1:15" x14ac:dyDescent="0.2">
      <c r="A2203" s="14"/>
      <c r="B2203" s="15"/>
      <c r="D2203" s="16"/>
      <c r="E2203" s="17"/>
      <c r="F2203" s="14"/>
      <c r="G2203" s="7"/>
      <c r="H2203" s="7"/>
      <c r="I2203" s="20"/>
      <c r="J2203" s="15"/>
      <c r="K2203" s="7"/>
      <c r="L2203" s="7"/>
      <c r="M2203" s="5"/>
      <c r="N2203" s="4"/>
      <c r="O2203" s="4"/>
    </row>
    <row r="2204" spans="1:15" x14ac:dyDescent="0.2">
      <c r="A2204" s="14"/>
      <c r="B2204" s="15"/>
      <c r="D2204" s="16"/>
      <c r="E2204" s="17"/>
      <c r="F2204" s="14"/>
      <c r="G2204" s="7"/>
      <c r="H2204" s="7"/>
      <c r="I2204" s="20"/>
      <c r="J2204" s="15"/>
      <c r="K2204" s="7"/>
      <c r="L2204" s="7"/>
      <c r="M2204" s="5"/>
      <c r="N2204" s="4"/>
      <c r="O2204" s="4"/>
    </row>
    <row r="2205" spans="1:15" x14ac:dyDescent="0.2">
      <c r="A2205" s="14"/>
      <c r="B2205" s="15"/>
      <c r="D2205" s="16"/>
      <c r="E2205" s="17"/>
      <c r="F2205" s="14"/>
      <c r="G2205" s="7"/>
      <c r="H2205" s="7"/>
      <c r="I2205" s="20"/>
      <c r="J2205" s="15"/>
      <c r="K2205" s="7"/>
      <c r="L2205" s="7"/>
      <c r="M2205" s="5"/>
      <c r="N2205" s="4"/>
      <c r="O2205" s="4"/>
    </row>
    <row r="2206" spans="1:15" x14ac:dyDescent="0.2">
      <c r="A2206" s="14"/>
      <c r="B2206" s="15"/>
      <c r="D2206" s="16"/>
      <c r="E2206" s="17"/>
      <c r="F2206" s="14"/>
      <c r="G2206" s="7"/>
      <c r="H2206" s="7"/>
      <c r="I2206" s="20"/>
      <c r="J2206" s="15"/>
      <c r="K2206" s="7"/>
      <c r="L2206" s="7"/>
      <c r="M2206" s="5"/>
      <c r="N2206" s="4"/>
      <c r="O2206" s="4"/>
    </row>
    <row r="2207" spans="1:15" x14ac:dyDescent="0.2">
      <c r="A2207" s="14"/>
      <c r="B2207" s="15"/>
      <c r="D2207" s="16"/>
      <c r="E2207" s="17"/>
      <c r="F2207" s="14"/>
      <c r="G2207" s="7"/>
      <c r="H2207" s="7"/>
      <c r="I2207" s="20"/>
      <c r="J2207" s="15"/>
      <c r="K2207" s="7"/>
      <c r="L2207" s="7"/>
      <c r="M2207" s="5"/>
      <c r="N2207" s="4"/>
      <c r="O2207" s="4"/>
    </row>
    <row r="2208" spans="1:15" x14ac:dyDescent="0.2">
      <c r="A2208" s="14"/>
      <c r="B2208" s="15"/>
      <c r="D2208" s="16"/>
      <c r="E2208" s="17"/>
      <c r="F2208" s="14"/>
      <c r="G2208" s="7"/>
      <c r="H2208" s="7"/>
      <c r="I2208" s="20"/>
      <c r="J2208" s="15"/>
      <c r="K2208" s="7"/>
      <c r="L2208" s="7"/>
      <c r="M2208" s="5"/>
      <c r="N2208" s="4"/>
      <c r="O2208" s="4"/>
    </row>
    <row r="2209" spans="1:15" x14ac:dyDescent="0.2">
      <c r="A2209" s="14"/>
      <c r="B2209" s="15"/>
      <c r="D2209" s="16"/>
      <c r="E2209" s="17"/>
      <c r="F2209" s="14"/>
      <c r="G2209" s="7"/>
      <c r="H2209" s="7"/>
      <c r="I2209" s="20"/>
      <c r="J2209" s="15"/>
      <c r="K2209" s="7"/>
      <c r="L2209" s="7"/>
      <c r="M2209" s="5"/>
      <c r="N2209" s="4"/>
      <c r="O2209" s="4"/>
    </row>
    <row r="2210" spans="1:15" x14ac:dyDescent="0.2">
      <c r="A2210" s="14"/>
      <c r="B2210" s="15"/>
      <c r="D2210" s="16"/>
      <c r="E2210" s="17"/>
      <c r="F2210" s="14"/>
      <c r="G2210" s="7"/>
      <c r="H2210" s="7"/>
      <c r="I2210" s="20"/>
      <c r="J2210" s="15"/>
      <c r="K2210" s="7"/>
      <c r="L2210" s="7"/>
      <c r="M2210" s="5"/>
      <c r="N2210" s="4"/>
      <c r="O2210" s="4"/>
    </row>
    <row r="2211" spans="1:15" x14ac:dyDescent="0.2">
      <c r="A2211" s="14"/>
      <c r="B2211" s="15"/>
      <c r="D2211" s="16"/>
      <c r="E2211" s="17"/>
      <c r="F2211" s="14"/>
      <c r="G2211" s="7"/>
      <c r="H2211" s="7"/>
      <c r="I2211" s="20"/>
      <c r="J2211" s="15"/>
      <c r="K2211" s="7"/>
      <c r="L2211" s="7"/>
      <c r="M2211" s="5"/>
      <c r="N2211" s="4"/>
      <c r="O2211" s="4"/>
    </row>
    <row r="2212" spans="1:15" x14ac:dyDescent="0.2">
      <c r="A2212" s="14"/>
      <c r="B2212" s="15"/>
      <c r="D2212" s="16"/>
      <c r="E2212" s="17"/>
      <c r="F2212" s="14"/>
      <c r="G2212" s="7"/>
      <c r="H2212" s="7"/>
      <c r="I2212" s="20"/>
      <c r="J2212" s="15"/>
      <c r="K2212" s="7"/>
      <c r="L2212" s="7"/>
      <c r="M2212" s="5"/>
      <c r="N2212" s="4"/>
      <c r="O2212" s="4"/>
    </row>
    <row r="2213" spans="1:15" x14ac:dyDescent="0.2">
      <c r="A2213" s="14"/>
      <c r="B2213" s="15"/>
      <c r="D2213" s="16"/>
      <c r="E2213" s="17"/>
      <c r="F2213" s="14"/>
      <c r="G2213" s="7"/>
      <c r="H2213" s="7"/>
      <c r="I2213" s="20"/>
      <c r="J2213" s="15"/>
      <c r="K2213" s="7"/>
      <c r="L2213" s="7"/>
      <c r="M2213" s="5"/>
      <c r="N2213" s="4"/>
      <c r="O2213" s="4"/>
    </row>
    <row r="2214" spans="1:15" x14ac:dyDescent="0.2">
      <c r="A2214" s="14"/>
      <c r="B2214" s="15"/>
      <c r="D2214" s="16"/>
      <c r="E2214" s="17"/>
      <c r="F2214" s="14"/>
      <c r="G2214" s="7"/>
      <c r="H2214" s="7"/>
      <c r="I2214" s="20"/>
      <c r="J2214" s="15"/>
      <c r="K2214" s="7"/>
      <c r="L2214" s="7"/>
      <c r="M2214" s="5"/>
      <c r="N2214" s="4"/>
      <c r="O2214" s="4"/>
    </row>
    <row r="2215" spans="1:15" x14ac:dyDescent="0.2">
      <c r="A2215" s="14"/>
      <c r="B2215" s="15"/>
      <c r="D2215" s="16"/>
      <c r="E2215" s="17"/>
      <c r="F2215" s="14"/>
      <c r="G2215" s="7"/>
      <c r="H2215" s="7"/>
      <c r="I2215" s="20"/>
      <c r="J2215" s="15"/>
      <c r="K2215" s="7"/>
      <c r="L2215" s="7"/>
      <c r="M2215" s="5"/>
      <c r="N2215" s="4"/>
      <c r="O2215" s="4"/>
    </row>
    <row r="2216" spans="1:15" x14ac:dyDescent="0.2">
      <c r="A2216" s="14"/>
      <c r="B2216" s="15"/>
      <c r="D2216" s="16"/>
      <c r="E2216" s="17"/>
      <c r="F2216" s="14"/>
      <c r="G2216" s="7"/>
      <c r="H2216" s="7"/>
      <c r="I2216" s="20"/>
      <c r="J2216" s="15"/>
      <c r="K2216" s="7"/>
      <c r="L2216" s="7"/>
      <c r="M2216" s="5"/>
      <c r="N2216" s="4"/>
      <c r="O2216" s="4"/>
    </row>
    <row r="2217" spans="1:15" x14ac:dyDescent="0.2">
      <c r="A2217" s="14"/>
      <c r="B2217" s="15"/>
      <c r="D2217" s="16"/>
      <c r="E2217" s="17"/>
      <c r="F2217" s="14"/>
      <c r="G2217" s="7"/>
      <c r="H2217" s="7"/>
      <c r="I2217" s="20"/>
      <c r="J2217" s="15"/>
      <c r="K2217" s="7"/>
      <c r="L2217" s="7"/>
      <c r="M2217" s="5"/>
      <c r="N2217" s="4"/>
      <c r="O2217" s="4"/>
    </row>
    <row r="2218" spans="1:15" x14ac:dyDescent="0.2">
      <c r="A2218" s="14"/>
      <c r="B2218" s="15"/>
      <c r="D2218" s="16"/>
      <c r="E2218" s="17"/>
      <c r="F2218" s="14"/>
      <c r="G2218" s="7"/>
      <c r="H2218" s="7"/>
      <c r="I2218" s="20"/>
      <c r="J2218" s="15"/>
      <c r="K2218" s="7"/>
      <c r="L2218" s="7"/>
      <c r="M2218" s="5"/>
      <c r="N2218" s="4"/>
      <c r="O2218" s="4"/>
    </row>
    <row r="2219" spans="1:15" x14ac:dyDescent="0.2">
      <c r="A2219" s="14"/>
      <c r="B2219" s="15"/>
      <c r="D2219" s="16"/>
      <c r="E2219" s="17"/>
      <c r="F2219" s="14"/>
      <c r="G2219" s="7"/>
      <c r="H2219" s="7"/>
      <c r="I2219" s="20"/>
      <c r="J2219" s="15"/>
      <c r="K2219" s="7"/>
      <c r="L2219" s="7"/>
      <c r="M2219" s="5"/>
      <c r="N2219" s="4"/>
      <c r="O2219" s="4"/>
    </row>
    <row r="2220" spans="1:15" x14ac:dyDescent="0.2">
      <c r="A2220" s="14"/>
      <c r="B2220" s="15"/>
      <c r="D2220" s="16"/>
      <c r="E2220" s="17"/>
      <c r="F2220" s="14"/>
      <c r="G2220" s="7"/>
      <c r="H2220" s="7"/>
      <c r="I2220" s="20"/>
      <c r="J2220" s="15"/>
      <c r="K2220" s="7"/>
      <c r="L2220" s="7"/>
      <c r="M2220" s="5"/>
      <c r="N2220" s="4"/>
      <c r="O2220" s="4"/>
    </row>
    <row r="2221" spans="1:15" x14ac:dyDescent="0.2">
      <c r="A2221" s="14"/>
      <c r="B2221" s="15"/>
      <c r="D2221" s="16"/>
      <c r="E2221" s="17"/>
      <c r="F2221" s="14"/>
      <c r="G2221" s="7"/>
      <c r="H2221" s="7"/>
      <c r="I2221" s="20"/>
      <c r="J2221" s="15"/>
      <c r="K2221" s="7"/>
      <c r="L2221" s="7"/>
      <c r="M2221" s="5"/>
      <c r="N2221" s="4"/>
      <c r="O2221" s="4"/>
    </row>
    <row r="2222" spans="1:15" x14ac:dyDescent="0.2">
      <c r="A2222" s="14"/>
      <c r="B2222" s="15"/>
      <c r="D2222" s="16"/>
      <c r="E2222" s="17"/>
      <c r="F2222" s="14"/>
      <c r="G2222" s="7"/>
      <c r="H2222" s="7"/>
      <c r="I2222" s="20"/>
      <c r="J2222" s="15"/>
      <c r="K2222" s="7"/>
      <c r="L2222" s="7"/>
      <c r="M2222" s="5"/>
      <c r="N2222" s="4"/>
      <c r="O2222" s="4"/>
    </row>
    <row r="2223" spans="1:15" x14ac:dyDescent="0.2">
      <c r="A2223" s="14"/>
      <c r="B2223" s="15"/>
      <c r="D2223" s="16"/>
      <c r="E2223" s="17"/>
      <c r="F2223" s="14"/>
      <c r="G2223" s="7"/>
      <c r="H2223" s="7"/>
      <c r="I2223" s="20"/>
      <c r="J2223" s="15"/>
      <c r="K2223" s="7"/>
      <c r="L2223" s="7"/>
      <c r="M2223" s="5"/>
      <c r="N2223" s="4"/>
      <c r="O2223" s="4"/>
    </row>
    <row r="2224" spans="1:15" x14ac:dyDescent="0.2">
      <c r="A2224" s="14"/>
      <c r="B2224" s="15"/>
      <c r="D2224" s="16"/>
      <c r="E2224" s="17"/>
      <c r="F2224" s="14"/>
      <c r="G2224" s="7"/>
      <c r="H2224" s="7"/>
      <c r="I2224" s="20"/>
      <c r="J2224" s="15"/>
      <c r="K2224" s="7"/>
      <c r="L2224" s="7"/>
      <c r="M2224" s="5"/>
      <c r="N2224" s="4"/>
      <c r="O2224" s="4"/>
    </row>
    <row r="2225" spans="1:15" x14ac:dyDescent="0.2">
      <c r="A2225" s="14"/>
      <c r="B2225" s="15"/>
      <c r="D2225" s="16"/>
      <c r="E2225" s="17"/>
      <c r="F2225" s="14"/>
      <c r="G2225" s="7"/>
      <c r="H2225" s="7"/>
      <c r="I2225" s="20"/>
      <c r="J2225" s="15"/>
      <c r="K2225" s="7"/>
      <c r="L2225" s="7"/>
      <c r="M2225" s="5"/>
      <c r="N2225" s="4"/>
      <c r="O2225" s="4"/>
    </row>
    <row r="2226" spans="1:15" x14ac:dyDescent="0.2">
      <c r="A2226" s="14"/>
      <c r="B2226" s="15"/>
      <c r="D2226" s="16"/>
      <c r="E2226" s="17"/>
      <c r="F2226" s="14"/>
      <c r="G2226" s="7"/>
      <c r="H2226" s="7"/>
      <c r="I2226" s="20"/>
      <c r="J2226" s="15"/>
      <c r="K2226" s="7"/>
      <c r="L2226" s="7"/>
      <c r="M2226" s="5"/>
      <c r="N2226" s="4"/>
      <c r="O2226" s="4"/>
    </row>
    <row r="2227" spans="1:15" x14ac:dyDescent="0.2">
      <c r="A2227" s="14"/>
      <c r="B2227" s="15"/>
      <c r="D2227" s="16"/>
      <c r="E2227" s="17"/>
      <c r="F2227" s="14"/>
      <c r="G2227" s="7"/>
      <c r="H2227" s="7"/>
      <c r="I2227" s="20"/>
      <c r="J2227" s="15"/>
      <c r="K2227" s="7"/>
      <c r="L2227" s="7"/>
      <c r="M2227" s="5"/>
      <c r="N2227" s="4"/>
      <c r="O2227" s="4"/>
    </row>
    <row r="2228" spans="1:15" x14ac:dyDescent="0.2">
      <c r="A2228" s="14"/>
      <c r="B2228" s="15"/>
      <c r="D2228" s="16"/>
      <c r="E2228" s="17"/>
      <c r="F2228" s="14"/>
      <c r="G2228" s="7"/>
      <c r="H2228" s="7"/>
      <c r="I2228" s="20"/>
      <c r="J2228" s="15"/>
      <c r="K2228" s="7"/>
      <c r="L2228" s="7"/>
      <c r="M2228" s="5"/>
      <c r="N2228" s="4"/>
      <c r="O2228" s="4"/>
    </row>
    <row r="2229" spans="1:15" x14ac:dyDescent="0.2">
      <c r="A2229" s="14"/>
      <c r="B2229" s="15"/>
      <c r="D2229" s="16"/>
      <c r="E2229" s="17"/>
      <c r="F2229" s="14"/>
      <c r="G2229" s="7"/>
      <c r="H2229" s="7"/>
      <c r="I2229" s="20"/>
      <c r="J2229" s="15"/>
      <c r="K2229" s="7"/>
      <c r="L2229" s="7"/>
      <c r="M2229" s="5"/>
      <c r="N2229" s="4"/>
      <c r="O2229" s="4"/>
    </row>
    <row r="2230" spans="1:15" x14ac:dyDescent="0.2">
      <c r="A2230" s="14"/>
      <c r="B2230" s="15"/>
      <c r="D2230" s="16"/>
      <c r="E2230" s="17"/>
      <c r="F2230" s="14"/>
      <c r="G2230" s="7"/>
      <c r="H2230" s="7"/>
      <c r="I2230" s="20"/>
      <c r="J2230" s="15"/>
      <c r="K2230" s="7"/>
      <c r="L2230" s="7"/>
      <c r="M2230" s="5"/>
      <c r="N2230" s="4"/>
      <c r="O2230" s="4"/>
    </row>
    <row r="2231" spans="1:15" x14ac:dyDescent="0.2">
      <c r="A2231" s="14"/>
      <c r="B2231" s="15"/>
      <c r="D2231" s="16"/>
      <c r="E2231" s="17"/>
      <c r="F2231" s="14"/>
      <c r="G2231" s="7"/>
      <c r="H2231" s="7"/>
      <c r="I2231" s="20"/>
      <c r="J2231" s="15"/>
      <c r="K2231" s="7"/>
      <c r="L2231" s="7"/>
      <c r="M2231" s="5"/>
      <c r="N2231" s="4"/>
      <c r="O2231" s="4"/>
    </row>
    <row r="2232" spans="1:15" x14ac:dyDescent="0.2">
      <c r="A2232" s="14"/>
      <c r="B2232" s="15"/>
      <c r="D2232" s="16"/>
      <c r="E2232" s="17"/>
      <c r="F2232" s="14"/>
      <c r="G2232" s="7"/>
      <c r="H2232" s="7"/>
      <c r="I2232" s="20"/>
      <c r="J2232" s="15"/>
      <c r="K2232" s="7"/>
      <c r="L2232" s="7"/>
      <c r="M2232" s="5"/>
      <c r="N2232" s="4"/>
      <c r="O2232" s="4"/>
    </row>
    <row r="2233" spans="1:15" x14ac:dyDescent="0.2">
      <c r="A2233" s="14"/>
      <c r="B2233" s="15"/>
      <c r="D2233" s="16"/>
      <c r="E2233" s="17"/>
      <c r="F2233" s="14"/>
      <c r="G2233" s="7"/>
      <c r="H2233" s="7"/>
      <c r="I2233" s="20"/>
      <c r="J2233" s="15"/>
      <c r="K2233" s="7"/>
      <c r="L2233" s="7"/>
      <c r="M2233" s="5"/>
      <c r="N2233" s="4"/>
      <c r="O2233" s="4"/>
    </row>
    <row r="2234" spans="1:15" x14ac:dyDescent="0.2">
      <c r="A2234" s="14"/>
      <c r="B2234" s="15"/>
      <c r="D2234" s="16"/>
      <c r="E2234" s="17"/>
      <c r="F2234" s="14"/>
      <c r="G2234" s="7"/>
      <c r="H2234" s="7"/>
      <c r="I2234" s="20"/>
      <c r="J2234" s="15"/>
      <c r="K2234" s="7"/>
      <c r="L2234" s="7"/>
      <c r="M2234" s="5"/>
      <c r="N2234" s="4"/>
      <c r="O2234" s="4"/>
    </row>
    <row r="2235" spans="1:15" x14ac:dyDescent="0.2">
      <c r="A2235" s="14"/>
      <c r="B2235" s="15"/>
      <c r="D2235" s="16"/>
      <c r="E2235" s="17"/>
      <c r="F2235" s="14"/>
      <c r="G2235" s="7"/>
      <c r="H2235" s="7"/>
      <c r="I2235" s="20"/>
      <c r="J2235" s="15"/>
      <c r="K2235" s="7"/>
      <c r="L2235" s="7"/>
      <c r="M2235" s="5"/>
      <c r="N2235" s="4"/>
      <c r="O2235" s="4"/>
    </row>
    <row r="2236" spans="1:15" x14ac:dyDescent="0.2">
      <c r="A2236" s="14"/>
      <c r="B2236" s="15"/>
      <c r="D2236" s="16"/>
      <c r="E2236" s="17"/>
      <c r="F2236" s="14"/>
      <c r="G2236" s="7"/>
      <c r="H2236" s="7"/>
      <c r="I2236" s="20"/>
      <c r="J2236" s="15"/>
      <c r="K2236" s="7"/>
      <c r="L2236" s="7"/>
      <c r="M2236" s="5"/>
      <c r="N2236" s="4"/>
      <c r="O2236" s="4"/>
    </row>
    <row r="2237" spans="1:15" x14ac:dyDescent="0.2">
      <c r="A2237" s="14"/>
      <c r="B2237" s="15"/>
      <c r="D2237" s="16"/>
      <c r="E2237" s="17"/>
      <c r="F2237" s="14"/>
      <c r="G2237" s="7"/>
      <c r="H2237" s="7"/>
      <c r="I2237" s="20"/>
      <c r="J2237" s="15"/>
      <c r="K2237" s="7"/>
      <c r="L2237" s="7"/>
      <c r="M2237" s="5"/>
      <c r="N2237" s="4"/>
      <c r="O2237" s="4"/>
    </row>
    <row r="2238" spans="1:15" x14ac:dyDescent="0.2">
      <c r="A2238" s="14"/>
      <c r="B2238" s="15"/>
      <c r="D2238" s="16"/>
      <c r="E2238" s="17"/>
      <c r="F2238" s="14"/>
      <c r="G2238" s="7"/>
      <c r="H2238" s="7"/>
      <c r="I2238" s="20"/>
      <c r="J2238" s="15"/>
      <c r="K2238" s="7"/>
      <c r="L2238" s="7"/>
      <c r="M2238" s="5"/>
      <c r="N2238" s="4"/>
      <c r="O2238" s="4"/>
    </row>
    <row r="2239" spans="1:15" x14ac:dyDescent="0.2">
      <c r="A2239" s="14"/>
      <c r="B2239" s="15"/>
      <c r="D2239" s="16"/>
      <c r="E2239" s="17"/>
      <c r="F2239" s="14"/>
      <c r="G2239" s="7"/>
      <c r="H2239" s="7"/>
      <c r="I2239" s="20"/>
      <c r="J2239" s="15"/>
      <c r="K2239" s="7"/>
      <c r="L2239" s="7"/>
      <c r="M2239" s="5"/>
      <c r="N2239" s="4"/>
      <c r="O2239" s="4"/>
    </row>
    <row r="2240" spans="1:15" x14ac:dyDescent="0.2">
      <c r="A2240" s="14"/>
      <c r="B2240" s="15"/>
      <c r="D2240" s="16"/>
      <c r="E2240" s="17"/>
      <c r="F2240" s="14"/>
      <c r="G2240" s="7"/>
      <c r="H2240" s="7"/>
      <c r="I2240" s="20"/>
      <c r="J2240" s="15"/>
      <c r="K2240" s="7"/>
      <c r="L2240" s="7"/>
      <c r="M2240" s="5"/>
      <c r="N2240" s="4"/>
      <c r="O2240" s="4"/>
    </row>
    <row r="2241" spans="1:15" x14ac:dyDescent="0.2">
      <c r="A2241" s="14"/>
      <c r="B2241" s="15"/>
      <c r="D2241" s="16"/>
      <c r="E2241" s="17"/>
      <c r="F2241" s="14"/>
      <c r="G2241" s="7"/>
      <c r="H2241" s="7"/>
      <c r="I2241" s="20"/>
      <c r="J2241" s="15"/>
      <c r="K2241" s="7"/>
      <c r="L2241" s="7"/>
      <c r="M2241" s="5"/>
      <c r="N2241" s="4"/>
      <c r="O2241" s="4"/>
    </row>
    <row r="2242" spans="1:15" x14ac:dyDescent="0.2">
      <c r="A2242" s="14"/>
      <c r="B2242" s="15"/>
      <c r="D2242" s="16"/>
      <c r="E2242" s="17"/>
      <c r="F2242" s="14"/>
      <c r="G2242" s="7"/>
      <c r="H2242" s="7"/>
      <c r="I2242" s="20"/>
      <c r="J2242" s="15"/>
      <c r="K2242" s="7"/>
      <c r="L2242" s="7"/>
      <c r="M2242" s="5"/>
      <c r="N2242" s="4"/>
      <c r="O2242" s="4"/>
    </row>
    <row r="2243" spans="1:15" x14ac:dyDescent="0.2">
      <c r="A2243" s="14"/>
      <c r="B2243" s="15"/>
      <c r="D2243" s="16"/>
      <c r="E2243" s="17"/>
      <c r="F2243" s="14"/>
      <c r="G2243" s="7"/>
      <c r="H2243" s="7"/>
      <c r="I2243" s="20"/>
      <c r="J2243" s="15"/>
      <c r="K2243" s="7"/>
      <c r="L2243" s="7"/>
      <c r="M2243" s="5"/>
      <c r="N2243" s="4"/>
      <c r="O2243" s="4"/>
    </row>
    <row r="2244" spans="1:15" x14ac:dyDescent="0.2">
      <c r="A2244" s="14"/>
      <c r="B2244" s="15"/>
      <c r="D2244" s="16"/>
      <c r="E2244" s="17"/>
      <c r="F2244" s="14"/>
      <c r="G2244" s="7"/>
      <c r="H2244" s="7"/>
      <c r="I2244" s="20"/>
      <c r="J2244" s="15"/>
      <c r="K2244" s="7"/>
      <c r="L2244" s="7"/>
      <c r="M2244" s="5"/>
      <c r="N2244" s="4"/>
      <c r="O2244" s="4"/>
    </row>
    <row r="2245" spans="1:15" x14ac:dyDescent="0.2">
      <c r="A2245" s="14"/>
      <c r="B2245" s="15"/>
      <c r="D2245" s="16"/>
      <c r="E2245" s="17"/>
      <c r="F2245" s="14"/>
      <c r="G2245" s="7"/>
      <c r="H2245" s="7"/>
      <c r="I2245" s="20"/>
      <c r="J2245" s="15"/>
      <c r="K2245" s="7"/>
      <c r="L2245" s="7"/>
      <c r="M2245" s="5"/>
      <c r="N2245" s="4"/>
      <c r="O2245" s="4"/>
    </row>
    <row r="2246" spans="1:15" x14ac:dyDescent="0.2">
      <c r="A2246" s="14"/>
      <c r="B2246" s="15"/>
      <c r="D2246" s="16"/>
      <c r="E2246" s="17"/>
      <c r="F2246" s="14"/>
      <c r="G2246" s="7"/>
      <c r="H2246" s="7"/>
      <c r="I2246" s="20"/>
      <c r="J2246" s="15"/>
      <c r="K2246" s="7"/>
      <c r="L2246" s="7"/>
      <c r="M2246" s="5"/>
      <c r="N2246" s="4"/>
      <c r="O2246" s="4"/>
    </row>
    <row r="2247" spans="1:15" x14ac:dyDescent="0.2">
      <c r="A2247" s="14"/>
      <c r="B2247" s="15"/>
      <c r="D2247" s="16"/>
      <c r="E2247" s="17"/>
      <c r="F2247" s="14"/>
      <c r="G2247" s="7"/>
      <c r="H2247" s="7"/>
      <c r="I2247" s="20"/>
      <c r="J2247" s="15"/>
      <c r="K2247" s="7"/>
      <c r="L2247" s="7"/>
      <c r="M2247" s="5"/>
      <c r="N2247" s="4"/>
      <c r="O2247" s="4"/>
    </row>
    <row r="2248" spans="1:15" x14ac:dyDescent="0.2">
      <c r="A2248" s="14"/>
      <c r="B2248" s="15"/>
      <c r="D2248" s="16"/>
      <c r="E2248" s="17"/>
      <c r="F2248" s="14"/>
      <c r="G2248" s="7"/>
      <c r="H2248" s="7"/>
      <c r="I2248" s="20"/>
      <c r="J2248" s="15"/>
      <c r="K2248" s="7"/>
      <c r="L2248" s="7"/>
      <c r="M2248" s="5"/>
      <c r="N2248" s="4"/>
      <c r="O2248" s="4"/>
    </row>
    <row r="2249" spans="1:15" x14ac:dyDescent="0.2">
      <c r="A2249" s="14"/>
      <c r="B2249" s="15"/>
      <c r="D2249" s="16"/>
      <c r="E2249" s="17"/>
      <c r="F2249" s="14"/>
      <c r="G2249" s="7"/>
      <c r="H2249" s="7"/>
      <c r="I2249" s="20"/>
      <c r="J2249" s="15"/>
      <c r="K2249" s="7"/>
      <c r="L2249" s="7"/>
      <c r="M2249" s="5"/>
      <c r="N2249" s="4"/>
      <c r="O2249" s="4"/>
    </row>
    <row r="2250" spans="1:15" x14ac:dyDescent="0.2">
      <c r="A2250" s="14"/>
      <c r="B2250" s="15"/>
      <c r="D2250" s="16"/>
      <c r="E2250" s="17"/>
      <c r="F2250" s="14"/>
      <c r="G2250" s="7"/>
      <c r="H2250" s="7"/>
      <c r="I2250" s="20"/>
      <c r="J2250" s="15"/>
      <c r="K2250" s="7"/>
      <c r="L2250" s="7"/>
      <c r="M2250" s="5"/>
      <c r="N2250" s="4"/>
      <c r="O2250" s="4"/>
    </row>
    <row r="2251" spans="1:15" x14ac:dyDescent="0.2">
      <c r="A2251" s="14"/>
      <c r="B2251" s="15"/>
      <c r="D2251" s="16"/>
      <c r="E2251" s="17"/>
      <c r="F2251" s="14"/>
      <c r="G2251" s="7"/>
      <c r="H2251" s="7"/>
      <c r="I2251" s="20"/>
      <c r="J2251" s="15"/>
      <c r="K2251" s="7"/>
      <c r="L2251" s="7"/>
      <c r="M2251" s="5"/>
      <c r="N2251" s="4"/>
      <c r="O2251" s="4"/>
    </row>
    <row r="2252" spans="1:15" x14ac:dyDescent="0.2">
      <c r="A2252" s="14"/>
      <c r="B2252" s="15"/>
      <c r="D2252" s="16"/>
      <c r="E2252" s="17"/>
      <c r="F2252" s="14"/>
      <c r="G2252" s="7"/>
      <c r="H2252" s="7"/>
      <c r="I2252" s="20"/>
      <c r="J2252" s="15"/>
      <c r="K2252" s="7"/>
      <c r="L2252" s="7"/>
      <c r="M2252" s="5"/>
      <c r="N2252" s="4"/>
      <c r="O2252" s="4"/>
    </row>
    <row r="2253" spans="1:15" x14ac:dyDescent="0.2">
      <c r="A2253" s="14"/>
      <c r="B2253" s="15"/>
      <c r="D2253" s="16"/>
      <c r="E2253" s="17"/>
      <c r="F2253" s="14"/>
      <c r="G2253" s="7"/>
      <c r="H2253" s="7"/>
      <c r="I2253" s="20"/>
      <c r="J2253" s="15"/>
      <c r="K2253" s="7"/>
      <c r="L2253" s="7"/>
      <c r="M2253" s="5"/>
      <c r="N2253" s="4"/>
      <c r="O2253" s="4"/>
    </row>
    <row r="2254" spans="1:15" x14ac:dyDescent="0.2">
      <c r="A2254" s="14"/>
      <c r="B2254" s="15"/>
      <c r="D2254" s="16"/>
      <c r="E2254" s="17"/>
      <c r="F2254" s="14"/>
      <c r="G2254" s="7"/>
      <c r="H2254" s="7"/>
      <c r="I2254" s="20"/>
      <c r="J2254" s="15"/>
      <c r="K2254" s="7"/>
      <c r="L2254" s="7"/>
      <c r="M2254" s="5"/>
      <c r="N2254" s="4"/>
      <c r="O2254" s="4"/>
    </row>
    <row r="2255" spans="1:15" x14ac:dyDescent="0.2">
      <c r="A2255" s="14"/>
      <c r="B2255" s="15"/>
      <c r="D2255" s="16"/>
      <c r="E2255" s="17"/>
      <c r="F2255" s="14"/>
      <c r="G2255" s="7"/>
      <c r="H2255" s="7"/>
      <c r="I2255" s="20"/>
      <c r="J2255" s="15"/>
      <c r="K2255" s="7"/>
      <c r="L2255" s="7"/>
      <c r="M2255" s="5"/>
      <c r="N2255" s="4"/>
      <c r="O2255" s="4"/>
    </row>
    <row r="2256" spans="1:15" x14ac:dyDescent="0.2">
      <c r="A2256" s="14"/>
      <c r="B2256" s="15"/>
      <c r="D2256" s="16"/>
      <c r="E2256" s="17"/>
      <c r="F2256" s="14"/>
      <c r="G2256" s="7"/>
      <c r="H2256" s="7"/>
      <c r="I2256" s="20"/>
      <c r="J2256" s="15"/>
      <c r="K2256" s="7"/>
      <c r="L2256" s="7"/>
      <c r="M2256" s="5"/>
      <c r="N2256" s="4"/>
      <c r="O2256" s="4"/>
    </row>
    <row r="2257" spans="1:15" x14ac:dyDescent="0.2">
      <c r="A2257" s="14"/>
      <c r="B2257" s="15"/>
      <c r="D2257" s="16"/>
      <c r="E2257" s="17"/>
      <c r="F2257" s="14"/>
      <c r="G2257" s="7"/>
      <c r="H2257" s="7"/>
      <c r="I2257" s="20"/>
      <c r="J2257" s="15"/>
      <c r="K2257" s="7"/>
      <c r="L2257" s="7"/>
      <c r="M2257" s="5"/>
      <c r="N2257" s="4"/>
      <c r="O2257" s="4"/>
    </row>
    <row r="2258" spans="1:15" x14ac:dyDescent="0.2">
      <c r="A2258" s="14"/>
      <c r="B2258" s="15"/>
      <c r="D2258" s="16"/>
      <c r="E2258" s="17"/>
      <c r="F2258" s="14"/>
      <c r="G2258" s="7"/>
      <c r="H2258" s="7"/>
      <c r="I2258" s="20"/>
      <c r="J2258" s="15"/>
      <c r="K2258" s="7"/>
      <c r="L2258" s="7"/>
      <c r="M2258" s="5"/>
      <c r="N2258" s="4"/>
      <c r="O2258" s="4"/>
    </row>
    <row r="2259" spans="1:15" x14ac:dyDescent="0.2">
      <c r="A2259" s="14"/>
      <c r="B2259" s="15"/>
      <c r="D2259" s="16"/>
      <c r="E2259" s="17"/>
      <c r="F2259" s="14"/>
      <c r="G2259" s="7"/>
      <c r="H2259" s="7"/>
      <c r="I2259" s="20"/>
      <c r="J2259" s="15"/>
      <c r="K2259" s="7"/>
      <c r="L2259" s="7"/>
      <c r="M2259" s="5"/>
      <c r="N2259" s="4"/>
      <c r="O2259" s="4"/>
    </row>
    <row r="2260" spans="1:15" x14ac:dyDescent="0.2">
      <c r="A2260" s="14"/>
      <c r="B2260" s="15"/>
      <c r="D2260" s="16"/>
      <c r="E2260" s="17"/>
      <c r="F2260" s="14"/>
      <c r="G2260" s="7"/>
      <c r="H2260" s="7"/>
      <c r="I2260" s="20"/>
      <c r="J2260" s="15"/>
      <c r="K2260" s="7"/>
      <c r="L2260" s="7"/>
      <c r="M2260" s="5"/>
      <c r="N2260" s="4"/>
      <c r="O2260" s="4"/>
    </row>
    <row r="2261" spans="1:15" x14ac:dyDescent="0.2">
      <c r="A2261" s="14"/>
      <c r="B2261" s="15"/>
      <c r="D2261" s="16"/>
      <c r="E2261" s="17"/>
      <c r="F2261" s="14"/>
      <c r="G2261" s="7"/>
      <c r="H2261" s="7"/>
      <c r="I2261" s="20"/>
      <c r="J2261" s="15"/>
      <c r="K2261" s="7"/>
      <c r="L2261" s="7"/>
      <c r="M2261" s="5"/>
      <c r="N2261" s="4"/>
      <c r="O2261" s="4"/>
    </row>
    <row r="2262" spans="1:15" x14ac:dyDescent="0.2">
      <c r="A2262" s="14"/>
      <c r="B2262" s="15"/>
      <c r="D2262" s="16"/>
      <c r="E2262" s="17"/>
      <c r="F2262" s="14"/>
      <c r="G2262" s="7"/>
      <c r="H2262" s="7"/>
      <c r="I2262" s="20"/>
      <c r="J2262" s="15"/>
      <c r="K2262" s="7"/>
      <c r="L2262" s="7"/>
      <c r="M2262" s="5"/>
      <c r="N2262" s="4"/>
      <c r="O2262" s="4"/>
    </row>
    <row r="2263" spans="1:15" x14ac:dyDescent="0.2">
      <c r="A2263" s="14"/>
      <c r="B2263" s="15"/>
      <c r="D2263" s="16"/>
      <c r="E2263" s="17"/>
      <c r="F2263" s="14"/>
      <c r="G2263" s="7"/>
      <c r="H2263" s="7"/>
      <c r="I2263" s="20"/>
      <c r="J2263" s="15"/>
      <c r="K2263" s="7"/>
      <c r="L2263" s="7"/>
      <c r="M2263" s="5"/>
      <c r="N2263" s="4"/>
      <c r="O2263" s="4"/>
    </row>
    <row r="2264" spans="1:15" x14ac:dyDescent="0.2">
      <c r="A2264" s="14"/>
      <c r="B2264" s="15"/>
      <c r="D2264" s="16"/>
      <c r="E2264" s="17"/>
      <c r="F2264" s="14"/>
      <c r="G2264" s="7"/>
      <c r="H2264" s="7"/>
      <c r="I2264" s="20"/>
      <c r="J2264" s="15"/>
      <c r="K2264" s="7"/>
      <c r="L2264" s="7"/>
      <c r="M2264" s="5"/>
      <c r="N2264" s="4"/>
      <c r="O2264" s="4"/>
    </row>
    <row r="2265" spans="1:15" x14ac:dyDescent="0.2">
      <c r="A2265" s="14"/>
      <c r="B2265" s="15"/>
      <c r="D2265" s="16"/>
      <c r="E2265" s="17"/>
      <c r="F2265" s="14"/>
      <c r="G2265" s="7"/>
      <c r="H2265" s="7"/>
      <c r="I2265" s="20"/>
      <c r="J2265" s="15"/>
      <c r="K2265" s="7"/>
      <c r="L2265" s="7"/>
      <c r="M2265" s="5"/>
      <c r="N2265" s="4"/>
      <c r="O2265" s="4"/>
    </row>
    <row r="2266" spans="1:15" x14ac:dyDescent="0.2">
      <c r="A2266" s="14"/>
      <c r="B2266" s="15"/>
      <c r="D2266" s="16"/>
      <c r="E2266" s="17"/>
      <c r="F2266" s="14"/>
      <c r="G2266" s="7"/>
      <c r="H2266" s="7"/>
      <c r="I2266" s="20"/>
      <c r="J2266" s="15"/>
      <c r="K2266" s="7"/>
      <c r="L2266" s="7"/>
      <c r="M2266" s="5"/>
      <c r="N2266" s="4"/>
      <c r="O2266" s="4"/>
    </row>
    <row r="2267" spans="1:15" x14ac:dyDescent="0.2">
      <c r="A2267" s="14"/>
      <c r="B2267" s="15"/>
      <c r="D2267" s="16"/>
      <c r="E2267" s="17"/>
      <c r="F2267" s="14"/>
      <c r="G2267" s="7"/>
      <c r="H2267" s="7"/>
      <c r="I2267" s="20"/>
      <c r="J2267" s="15"/>
      <c r="K2267" s="7"/>
      <c r="L2267" s="7"/>
      <c r="M2267" s="5"/>
      <c r="N2267" s="4"/>
      <c r="O2267" s="4"/>
    </row>
    <row r="2268" spans="1:15" x14ac:dyDescent="0.2">
      <c r="A2268" s="14"/>
      <c r="B2268" s="15"/>
      <c r="D2268" s="16"/>
      <c r="E2268" s="17"/>
      <c r="F2268" s="14"/>
      <c r="G2268" s="7"/>
      <c r="H2268" s="7"/>
      <c r="I2268" s="20"/>
      <c r="J2268" s="15"/>
      <c r="K2268" s="7"/>
      <c r="L2268" s="7"/>
      <c r="M2268" s="5"/>
      <c r="N2268" s="4"/>
      <c r="O2268" s="4"/>
    </row>
    <row r="2269" spans="1:15" x14ac:dyDescent="0.2">
      <c r="A2269" s="14"/>
      <c r="B2269" s="15"/>
      <c r="D2269" s="16"/>
      <c r="E2269" s="17"/>
      <c r="F2269" s="14"/>
      <c r="G2269" s="7"/>
      <c r="H2269" s="7"/>
      <c r="I2269" s="20"/>
      <c r="J2269" s="15"/>
      <c r="K2269" s="7"/>
      <c r="L2269" s="7"/>
      <c r="M2269" s="5"/>
      <c r="N2269" s="4"/>
      <c r="O2269" s="4"/>
    </row>
    <row r="2270" spans="1:15" x14ac:dyDescent="0.2">
      <c r="A2270" s="14"/>
      <c r="B2270" s="15"/>
      <c r="D2270" s="16"/>
      <c r="E2270" s="17"/>
      <c r="F2270" s="14"/>
      <c r="G2270" s="7"/>
      <c r="H2270" s="7"/>
      <c r="I2270" s="20"/>
      <c r="J2270" s="15"/>
      <c r="K2270" s="7"/>
      <c r="L2270" s="7"/>
      <c r="M2270" s="5"/>
      <c r="N2270" s="4"/>
      <c r="O2270" s="4"/>
    </row>
    <row r="2271" spans="1:15" x14ac:dyDescent="0.2">
      <c r="A2271" s="14"/>
      <c r="B2271" s="15"/>
      <c r="D2271" s="16"/>
      <c r="E2271" s="17"/>
      <c r="F2271" s="14"/>
      <c r="G2271" s="7"/>
      <c r="H2271" s="7"/>
      <c r="I2271" s="20"/>
      <c r="J2271" s="15"/>
      <c r="K2271" s="7"/>
      <c r="L2271" s="7"/>
      <c r="M2271" s="5"/>
      <c r="N2271" s="4"/>
      <c r="O2271" s="4"/>
    </row>
    <row r="2272" spans="1:15" x14ac:dyDescent="0.2">
      <c r="A2272" s="14"/>
      <c r="B2272" s="15"/>
      <c r="D2272" s="16"/>
      <c r="E2272" s="17"/>
      <c r="F2272" s="14"/>
      <c r="G2272" s="7"/>
      <c r="H2272" s="7"/>
      <c r="I2272" s="20"/>
      <c r="J2272" s="15"/>
      <c r="K2272" s="7"/>
      <c r="L2272" s="7"/>
      <c r="M2272" s="5"/>
      <c r="N2272" s="4"/>
      <c r="O2272" s="4"/>
    </row>
    <row r="2273" spans="1:15" x14ac:dyDescent="0.2">
      <c r="A2273" s="14"/>
      <c r="B2273" s="15"/>
      <c r="D2273" s="16"/>
      <c r="E2273" s="17"/>
      <c r="F2273" s="14"/>
      <c r="G2273" s="7"/>
      <c r="H2273" s="7"/>
      <c r="I2273" s="20"/>
      <c r="J2273" s="15"/>
      <c r="K2273" s="7"/>
      <c r="L2273" s="7"/>
      <c r="M2273" s="5"/>
      <c r="N2273" s="4"/>
      <c r="O2273" s="4"/>
    </row>
    <row r="2274" spans="1:15" x14ac:dyDescent="0.2">
      <c r="A2274" s="14"/>
      <c r="B2274" s="15"/>
      <c r="D2274" s="16"/>
      <c r="E2274" s="17"/>
      <c r="F2274" s="14"/>
      <c r="G2274" s="7"/>
      <c r="H2274" s="7"/>
      <c r="I2274" s="20"/>
      <c r="J2274" s="15"/>
      <c r="K2274" s="7"/>
      <c r="L2274" s="7"/>
      <c r="M2274" s="5"/>
      <c r="N2274" s="4"/>
      <c r="O2274" s="4"/>
    </row>
    <row r="2275" spans="1:15" x14ac:dyDescent="0.2">
      <c r="A2275" s="14"/>
      <c r="B2275" s="15"/>
      <c r="D2275" s="16"/>
      <c r="E2275" s="17"/>
      <c r="F2275" s="14"/>
      <c r="G2275" s="7"/>
      <c r="H2275" s="7"/>
      <c r="I2275" s="20"/>
      <c r="J2275" s="15"/>
      <c r="K2275" s="7"/>
      <c r="L2275" s="7"/>
      <c r="M2275" s="5"/>
      <c r="N2275" s="4"/>
      <c r="O2275" s="4"/>
    </row>
    <row r="2276" spans="1:15" x14ac:dyDescent="0.2">
      <c r="A2276" s="14"/>
      <c r="B2276" s="15"/>
      <c r="D2276" s="16"/>
      <c r="E2276" s="17"/>
      <c r="F2276" s="14"/>
      <c r="G2276" s="7"/>
      <c r="H2276" s="7"/>
      <c r="I2276" s="20"/>
      <c r="J2276" s="15"/>
      <c r="K2276" s="7"/>
      <c r="L2276" s="7"/>
      <c r="M2276" s="5"/>
      <c r="N2276" s="4"/>
      <c r="O2276" s="4"/>
    </row>
    <row r="2277" spans="1:15" x14ac:dyDescent="0.2">
      <c r="A2277" s="14"/>
      <c r="B2277" s="15"/>
      <c r="D2277" s="16"/>
      <c r="E2277" s="17"/>
      <c r="F2277" s="14"/>
      <c r="G2277" s="7"/>
      <c r="H2277" s="7"/>
      <c r="I2277" s="20"/>
      <c r="J2277" s="15"/>
      <c r="K2277" s="7"/>
      <c r="L2277" s="7"/>
      <c r="M2277" s="5"/>
      <c r="N2277" s="4"/>
      <c r="O2277" s="4"/>
    </row>
    <row r="2278" spans="1:15" x14ac:dyDescent="0.2">
      <c r="A2278" s="14"/>
      <c r="B2278" s="15"/>
      <c r="D2278" s="16"/>
      <c r="E2278" s="17"/>
      <c r="F2278" s="14"/>
      <c r="G2278" s="7"/>
      <c r="H2278" s="7"/>
      <c r="I2278" s="20"/>
      <c r="J2278" s="15"/>
      <c r="K2278" s="7"/>
      <c r="L2278" s="7"/>
      <c r="M2278" s="5"/>
      <c r="N2278" s="4"/>
      <c r="O2278" s="4"/>
    </row>
    <row r="2279" spans="1:15" x14ac:dyDescent="0.2">
      <c r="A2279" s="14"/>
      <c r="B2279" s="15"/>
      <c r="D2279" s="16"/>
      <c r="E2279" s="17"/>
      <c r="F2279" s="14"/>
      <c r="G2279" s="7"/>
      <c r="H2279" s="7"/>
      <c r="I2279" s="20"/>
      <c r="J2279" s="15"/>
      <c r="K2279" s="7"/>
      <c r="L2279" s="7"/>
      <c r="M2279" s="5"/>
      <c r="N2279" s="4"/>
      <c r="O2279" s="4"/>
    </row>
    <row r="2280" spans="1:15" x14ac:dyDescent="0.2">
      <c r="A2280" s="14"/>
      <c r="B2280" s="15"/>
      <c r="D2280" s="16"/>
      <c r="E2280" s="17"/>
      <c r="F2280" s="14"/>
      <c r="G2280" s="7"/>
      <c r="H2280" s="7"/>
      <c r="I2280" s="20"/>
      <c r="J2280" s="15"/>
      <c r="K2280" s="7"/>
      <c r="L2280" s="7"/>
      <c r="M2280" s="5"/>
      <c r="N2280" s="4"/>
      <c r="O2280" s="4"/>
    </row>
    <row r="2281" spans="1:15" x14ac:dyDescent="0.2">
      <c r="A2281" s="14"/>
      <c r="B2281" s="15"/>
      <c r="D2281" s="16"/>
      <c r="E2281" s="17"/>
      <c r="F2281" s="14"/>
      <c r="G2281" s="7"/>
      <c r="H2281" s="7"/>
      <c r="I2281" s="20"/>
      <c r="J2281" s="15"/>
      <c r="K2281" s="7"/>
      <c r="L2281" s="7"/>
      <c r="M2281" s="5"/>
      <c r="N2281" s="4"/>
      <c r="O2281" s="4"/>
    </row>
    <row r="2282" spans="1:15" x14ac:dyDescent="0.2">
      <c r="A2282" s="14"/>
      <c r="B2282" s="15"/>
      <c r="D2282" s="16"/>
      <c r="E2282" s="17"/>
      <c r="F2282" s="14"/>
      <c r="G2282" s="7"/>
      <c r="H2282" s="7"/>
      <c r="I2282" s="20"/>
      <c r="J2282" s="15"/>
      <c r="K2282" s="7"/>
      <c r="L2282" s="7"/>
      <c r="M2282" s="5"/>
      <c r="N2282" s="4"/>
      <c r="O2282" s="4"/>
    </row>
    <row r="2283" spans="1:15" x14ac:dyDescent="0.2">
      <c r="A2283" s="14"/>
      <c r="B2283" s="15"/>
      <c r="D2283" s="16"/>
      <c r="E2283" s="17"/>
      <c r="F2283" s="14"/>
      <c r="G2283" s="7"/>
      <c r="H2283" s="7"/>
      <c r="I2283" s="20"/>
      <c r="J2283" s="15"/>
      <c r="K2283" s="7"/>
      <c r="L2283" s="7"/>
      <c r="M2283" s="5"/>
      <c r="N2283" s="4"/>
      <c r="O2283" s="4"/>
    </row>
    <row r="2284" spans="1:15" x14ac:dyDescent="0.2">
      <c r="A2284" s="14"/>
      <c r="B2284" s="15"/>
      <c r="D2284" s="16"/>
      <c r="E2284" s="17"/>
      <c r="F2284" s="14"/>
      <c r="G2284" s="7"/>
      <c r="H2284" s="7"/>
      <c r="I2284" s="20"/>
      <c r="J2284" s="15"/>
      <c r="K2284" s="7"/>
      <c r="L2284" s="7"/>
      <c r="M2284" s="5"/>
      <c r="N2284" s="4"/>
      <c r="O2284" s="4"/>
    </row>
    <row r="2285" spans="1:15" x14ac:dyDescent="0.2">
      <c r="A2285" s="14"/>
      <c r="B2285" s="15"/>
      <c r="D2285" s="16"/>
      <c r="E2285" s="17"/>
      <c r="F2285" s="14"/>
      <c r="G2285" s="7"/>
      <c r="H2285" s="7"/>
      <c r="I2285" s="20"/>
      <c r="J2285" s="15"/>
      <c r="K2285" s="7"/>
      <c r="L2285" s="7"/>
      <c r="M2285" s="5"/>
      <c r="N2285" s="4"/>
      <c r="O2285" s="4"/>
    </row>
    <row r="2286" spans="1:15" x14ac:dyDescent="0.2">
      <c r="A2286" s="14"/>
      <c r="B2286" s="15"/>
      <c r="D2286" s="16"/>
      <c r="E2286" s="17"/>
      <c r="F2286" s="14"/>
      <c r="G2286" s="7"/>
      <c r="H2286" s="7"/>
      <c r="I2286" s="20"/>
      <c r="J2286" s="15"/>
      <c r="K2286" s="7"/>
      <c r="L2286" s="7"/>
      <c r="M2286" s="5"/>
      <c r="N2286" s="4"/>
      <c r="O2286" s="4"/>
    </row>
    <row r="2287" spans="1:15" x14ac:dyDescent="0.2">
      <c r="A2287" s="14"/>
      <c r="B2287" s="15"/>
      <c r="D2287" s="16"/>
      <c r="E2287" s="17"/>
      <c r="F2287" s="14"/>
      <c r="G2287" s="7"/>
      <c r="H2287" s="7"/>
      <c r="I2287" s="20"/>
      <c r="J2287" s="15"/>
      <c r="K2287" s="7"/>
      <c r="L2287" s="7"/>
      <c r="M2287" s="5"/>
      <c r="N2287" s="4"/>
      <c r="O2287" s="4"/>
    </row>
    <row r="2288" spans="1:15" x14ac:dyDescent="0.2">
      <c r="A2288" s="14"/>
      <c r="B2288" s="15"/>
      <c r="D2288" s="16"/>
      <c r="E2288" s="17"/>
      <c r="F2288" s="14"/>
      <c r="G2288" s="7"/>
      <c r="H2288" s="7"/>
      <c r="I2288" s="20"/>
      <c r="J2288" s="15"/>
      <c r="K2288" s="7"/>
      <c r="L2288" s="7"/>
      <c r="M2288" s="5"/>
      <c r="N2288" s="4"/>
      <c r="O2288" s="4"/>
    </row>
    <row r="2289" spans="1:15" x14ac:dyDescent="0.2">
      <c r="A2289" s="14"/>
      <c r="B2289" s="15"/>
      <c r="D2289" s="16"/>
      <c r="E2289" s="17"/>
      <c r="F2289" s="14"/>
      <c r="G2289" s="7"/>
      <c r="H2289" s="7"/>
      <c r="I2289" s="20"/>
      <c r="J2289" s="15"/>
      <c r="K2289" s="7"/>
      <c r="L2289" s="7"/>
      <c r="M2289" s="5"/>
      <c r="N2289" s="4"/>
      <c r="O2289" s="4"/>
    </row>
    <row r="2290" spans="1:15" x14ac:dyDescent="0.2">
      <c r="A2290" s="14"/>
      <c r="B2290" s="15"/>
      <c r="D2290" s="16"/>
      <c r="E2290" s="17"/>
      <c r="F2290" s="14"/>
      <c r="G2290" s="7"/>
      <c r="H2290" s="7"/>
      <c r="I2290" s="20"/>
      <c r="J2290" s="15"/>
      <c r="K2290" s="7"/>
      <c r="L2290" s="7"/>
      <c r="M2290" s="5"/>
      <c r="N2290" s="4"/>
      <c r="O2290" s="4"/>
    </row>
    <row r="2291" spans="1:15" x14ac:dyDescent="0.2">
      <c r="A2291" s="14"/>
      <c r="B2291" s="15"/>
      <c r="D2291" s="16"/>
      <c r="E2291" s="17"/>
      <c r="F2291" s="14"/>
      <c r="G2291" s="7"/>
      <c r="H2291" s="7"/>
      <c r="I2291" s="20"/>
      <c r="J2291" s="15"/>
      <c r="K2291" s="7"/>
      <c r="L2291" s="7"/>
      <c r="M2291" s="5"/>
      <c r="N2291" s="4"/>
      <c r="O2291" s="4"/>
    </row>
    <row r="2292" spans="1:15" x14ac:dyDescent="0.2">
      <c r="A2292" s="14"/>
      <c r="B2292" s="15"/>
      <c r="D2292" s="16"/>
      <c r="E2292" s="17"/>
      <c r="F2292" s="14"/>
      <c r="G2292" s="7"/>
      <c r="H2292" s="7"/>
      <c r="I2292" s="20"/>
      <c r="J2292" s="15"/>
      <c r="K2292" s="7"/>
      <c r="L2292" s="7"/>
      <c r="M2292" s="5"/>
      <c r="N2292" s="4"/>
      <c r="O2292" s="4"/>
    </row>
    <row r="2293" spans="1:15" x14ac:dyDescent="0.2">
      <c r="A2293" s="14"/>
      <c r="B2293" s="15"/>
      <c r="D2293" s="16"/>
      <c r="E2293" s="17"/>
      <c r="F2293" s="14"/>
      <c r="G2293" s="7"/>
      <c r="H2293" s="7"/>
      <c r="I2293" s="20"/>
      <c r="J2293" s="15"/>
      <c r="K2293" s="7"/>
      <c r="L2293" s="7"/>
      <c r="M2293" s="5"/>
      <c r="N2293" s="4"/>
      <c r="O2293" s="4"/>
    </row>
    <row r="2294" spans="1:15" x14ac:dyDescent="0.2">
      <c r="A2294" s="14"/>
      <c r="B2294" s="15"/>
      <c r="D2294" s="16"/>
      <c r="E2294" s="17"/>
      <c r="F2294" s="14"/>
      <c r="G2294" s="7"/>
      <c r="H2294" s="7"/>
      <c r="I2294" s="20"/>
      <c r="J2294" s="15"/>
      <c r="K2294" s="7"/>
      <c r="L2294" s="7"/>
      <c r="M2294" s="5"/>
      <c r="N2294" s="4"/>
      <c r="O2294" s="4"/>
    </row>
    <row r="2295" spans="1:15" x14ac:dyDescent="0.2">
      <c r="A2295" s="14"/>
      <c r="B2295" s="15"/>
      <c r="D2295" s="16"/>
      <c r="E2295" s="17"/>
      <c r="F2295" s="14"/>
      <c r="G2295" s="7"/>
      <c r="H2295" s="7"/>
      <c r="I2295" s="20"/>
      <c r="J2295" s="15"/>
      <c r="K2295" s="7"/>
      <c r="L2295" s="7"/>
      <c r="M2295" s="5"/>
      <c r="N2295" s="4"/>
      <c r="O2295" s="4"/>
    </row>
    <row r="2296" spans="1:15" x14ac:dyDescent="0.2">
      <c r="A2296" s="14"/>
      <c r="B2296" s="15"/>
      <c r="D2296" s="16"/>
      <c r="E2296" s="17"/>
      <c r="F2296" s="14"/>
      <c r="G2296" s="7"/>
      <c r="H2296" s="7"/>
      <c r="I2296" s="20"/>
      <c r="J2296" s="15"/>
      <c r="K2296" s="7"/>
      <c r="L2296" s="7"/>
      <c r="M2296" s="5"/>
      <c r="N2296" s="4"/>
      <c r="O2296" s="4"/>
    </row>
    <row r="2297" spans="1:15" x14ac:dyDescent="0.2">
      <c r="A2297" s="14"/>
      <c r="B2297" s="15"/>
      <c r="D2297" s="16"/>
      <c r="E2297" s="17"/>
      <c r="F2297" s="14"/>
      <c r="G2297" s="7"/>
      <c r="H2297" s="7"/>
      <c r="I2297" s="20"/>
      <c r="J2297" s="15"/>
      <c r="K2297" s="7"/>
      <c r="L2297" s="7"/>
      <c r="M2297" s="5"/>
      <c r="N2297" s="4"/>
      <c r="O2297" s="4"/>
    </row>
    <row r="2298" spans="1:15" x14ac:dyDescent="0.2">
      <c r="A2298" s="14"/>
      <c r="B2298" s="15"/>
      <c r="D2298" s="16"/>
      <c r="E2298" s="17"/>
      <c r="F2298" s="14"/>
      <c r="G2298" s="7"/>
      <c r="H2298" s="7"/>
      <c r="I2298" s="20"/>
      <c r="J2298" s="15"/>
      <c r="K2298" s="7"/>
      <c r="L2298" s="7"/>
      <c r="M2298" s="5"/>
      <c r="N2298" s="4"/>
      <c r="O2298" s="4"/>
    </row>
    <row r="2299" spans="1:15" x14ac:dyDescent="0.2">
      <c r="A2299" s="14"/>
      <c r="B2299" s="15"/>
      <c r="D2299" s="16"/>
      <c r="E2299" s="17"/>
      <c r="F2299" s="14"/>
      <c r="G2299" s="7"/>
      <c r="H2299" s="7"/>
      <c r="I2299" s="20"/>
      <c r="J2299" s="15"/>
      <c r="K2299" s="7"/>
      <c r="L2299" s="7"/>
      <c r="M2299" s="5"/>
      <c r="N2299" s="4"/>
      <c r="O2299" s="4"/>
    </row>
    <row r="2300" spans="1:15" x14ac:dyDescent="0.2">
      <c r="A2300" s="14"/>
      <c r="B2300" s="15"/>
      <c r="D2300" s="16"/>
      <c r="E2300" s="17"/>
      <c r="F2300" s="14"/>
      <c r="G2300" s="7"/>
      <c r="H2300" s="7"/>
      <c r="I2300" s="20"/>
      <c r="J2300" s="15"/>
      <c r="K2300" s="7"/>
      <c r="L2300" s="7"/>
      <c r="M2300" s="5"/>
      <c r="N2300" s="4"/>
      <c r="O2300" s="4"/>
    </row>
    <row r="2301" spans="1:15" x14ac:dyDescent="0.2">
      <c r="A2301" s="14"/>
      <c r="B2301" s="15"/>
      <c r="D2301" s="16"/>
      <c r="E2301" s="17"/>
      <c r="F2301" s="14"/>
      <c r="G2301" s="7"/>
      <c r="H2301" s="7"/>
      <c r="I2301" s="20"/>
      <c r="J2301" s="15"/>
      <c r="K2301" s="7"/>
      <c r="L2301" s="7"/>
      <c r="M2301" s="5"/>
      <c r="N2301" s="4"/>
      <c r="O2301" s="4"/>
    </row>
    <row r="2302" spans="1:15" x14ac:dyDescent="0.2">
      <c r="A2302" s="14"/>
      <c r="B2302" s="15"/>
      <c r="D2302" s="16"/>
      <c r="E2302" s="17"/>
      <c r="F2302" s="14"/>
      <c r="G2302" s="7"/>
      <c r="H2302" s="7"/>
      <c r="I2302" s="20"/>
      <c r="J2302" s="15"/>
      <c r="K2302" s="7"/>
      <c r="L2302" s="7"/>
      <c r="M2302" s="5"/>
      <c r="N2302" s="4"/>
      <c r="O2302" s="4"/>
    </row>
    <row r="2303" spans="1:15" x14ac:dyDescent="0.2">
      <c r="A2303" s="14"/>
      <c r="B2303" s="15"/>
      <c r="D2303" s="16"/>
      <c r="E2303" s="17"/>
      <c r="F2303" s="14"/>
      <c r="G2303" s="7"/>
      <c r="H2303" s="7"/>
      <c r="I2303" s="20"/>
      <c r="J2303" s="15"/>
      <c r="K2303" s="7"/>
      <c r="L2303" s="7"/>
      <c r="M2303" s="5"/>
      <c r="N2303" s="4"/>
      <c r="O2303" s="4"/>
    </row>
    <row r="2304" spans="1:15" x14ac:dyDescent="0.2">
      <c r="A2304" s="14"/>
      <c r="B2304" s="15"/>
      <c r="D2304" s="16"/>
      <c r="E2304" s="17"/>
      <c r="F2304" s="14"/>
      <c r="G2304" s="7"/>
      <c r="H2304" s="7"/>
      <c r="I2304" s="20"/>
      <c r="J2304" s="15"/>
      <c r="K2304" s="7"/>
      <c r="L2304" s="7"/>
      <c r="M2304" s="5"/>
      <c r="N2304" s="4"/>
      <c r="O2304" s="4"/>
    </row>
    <row r="2305" spans="1:15" x14ac:dyDescent="0.2">
      <c r="A2305" s="14"/>
      <c r="B2305" s="15"/>
      <c r="D2305" s="16"/>
      <c r="E2305" s="17"/>
      <c r="F2305" s="14"/>
      <c r="G2305" s="7"/>
      <c r="H2305" s="7"/>
      <c r="I2305" s="20"/>
      <c r="J2305" s="15"/>
      <c r="K2305" s="7"/>
      <c r="L2305" s="7"/>
      <c r="M2305" s="5"/>
      <c r="N2305" s="4"/>
      <c r="O2305" s="4"/>
    </row>
    <row r="2306" spans="1:15" x14ac:dyDescent="0.2">
      <c r="A2306" s="14"/>
      <c r="B2306" s="15"/>
      <c r="D2306" s="16"/>
      <c r="E2306" s="17"/>
      <c r="F2306" s="14"/>
      <c r="G2306" s="7"/>
      <c r="H2306" s="7"/>
      <c r="I2306" s="20"/>
      <c r="J2306" s="15"/>
      <c r="K2306" s="7"/>
      <c r="L2306" s="7"/>
      <c r="M2306" s="5"/>
      <c r="N2306" s="4"/>
      <c r="O2306" s="4"/>
    </row>
    <row r="2307" spans="1:15" x14ac:dyDescent="0.2">
      <c r="A2307" s="14"/>
      <c r="B2307" s="15"/>
      <c r="D2307" s="16"/>
      <c r="E2307" s="17"/>
      <c r="F2307" s="14"/>
      <c r="G2307" s="7"/>
      <c r="H2307" s="7"/>
      <c r="I2307" s="20"/>
      <c r="J2307" s="15"/>
      <c r="K2307" s="7"/>
      <c r="L2307" s="7"/>
      <c r="M2307" s="5"/>
      <c r="N2307" s="4"/>
      <c r="O2307" s="4"/>
    </row>
    <row r="2308" spans="1:15" x14ac:dyDescent="0.2">
      <c r="A2308" s="14"/>
      <c r="B2308" s="15"/>
      <c r="D2308" s="16"/>
      <c r="E2308" s="17"/>
      <c r="F2308" s="14"/>
      <c r="G2308" s="7"/>
      <c r="H2308" s="7"/>
      <c r="I2308" s="20"/>
      <c r="J2308" s="15"/>
      <c r="K2308" s="7"/>
      <c r="L2308" s="7"/>
      <c r="M2308" s="5"/>
      <c r="N2308" s="4"/>
      <c r="O2308" s="4"/>
    </row>
    <row r="2309" spans="1:15" x14ac:dyDescent="0.2">
      <c r="A2309" s="14"/>
      <c r="B2309" s="15"/>
      <c r="D2309" s="16"/>
      <c r="E2309" s="17"/>
      <c r="F2309" s="14"/>
      <c r="G2309" s="7"/>
      <c r="H2309" s="7"/>
      <c r="I2309" s="20"/>
      <c r="J2309" s="15"/>
      <c r="K2309" s="7"/>
      <c r="L2309" s="7"/>
      <c r="M2309" s="5"/>
      <c r="N2309" s="4"/>
      <c r="O2309" s="4"/>
    </row>
    <row r="2310" spans="1:15" x14ac:dyDescent="0.2">
      <c r="A2310" s="14"/>
      <c r="B2310" s="15"/>
      <c r="D2310" s="16"/>
      <c r="E2310" s="17"/>
      <c r="F2310" s="14"/>
      <c r="G2310" s="7"/>
      <c r="H2310" s="7"/>
      <c r="I2310" s="20"/>
      <c r="J2310" s="15"/>
      <c r="K2310" s="7"/>
      <c r="L2310" s="7"/>
      <c r="M2310" s="5"/>
      <c r="N2310" s="4"/>
      <c r="O2310" s="4"/>
    </row>
    <row r="2311" spans="1:15" x14ac:dyDescent="0.2">
      <c r="A2311" s="14"/>
      <c r="B2311" s="15"/>
      <c r="D2311" s="16"/>
      <c r="E2311" s="17"/>
      <c r="F2311" s="14"/>
      <c r="G2311" s="7"/>
      <c r="H2311" s="7"/>
      <c r="I2311" s="20"/>
      <c r="J2311" s="15"/>
      <c r="K2311" s="7"/>
      <c r="L2311" s="7"/>
      <c r="M2311" s="5"/>
      <c r="N2311" s="4"/>
      <c r="O2311" s="4"/>
    </row>
    <row r="2312" spans="1:15" x14ac:dyDescent="0.2">
      <c r="A2312" s="14"/>
      <c r="B2312" s="15"/>
      <c r="D2312" s="16"/>
      <c r="E2312" s="17"/>
      <c r="F2312" s="14"/>
      <c r="G2312" s="7"/>
      <c r="H2312" s="7"/>
      <c r="I2312" s="20"/>
      <c r="J2312" s="15"/>
      <c r="K2312" s="7"/>
      <c r="L2312" s="7"/>
      <c r="M2312" s="5"/>
      <c r="N2312" s="4"/>
      <c r="O2312" s="4"/>
    </row>
    <row r="2313" spans="1:15" x14ac:dyDescent="0.2">
      <c r="A2313" s="14"/>
      <c r="B2313" s="15"/>
      <c r="D2313" s="16"/>
      <c r="E2313" s="17"/>
      <c r="F2313" s="14"/>
      <c r="G2313" s="7"/>
      <c r="H2313" s="7"/>
      <c r="I2313" s="20"/>
      <c r="J2313" s="15"/>
      <c r="K2313" s="7"/>
      <c r="L2313" s="7"/>
      <c r="M2313" s="5"/>
      <c r="N2313" s="4"/>
      <c r="O2313" s="4"/>
    </row>
    <row r="2314" spans="1:15" x14ac:dyDescent="0.2">
      <c r="A2314" s="14"/>
      <c r="B2314" s="15"/>
      <c r="D2314" s="16"/>
      <c r="E2314" s="17"/>
      <c r="F2314" s="14"/>
      <c r="G2314" s="7"/>
      <c r="H2314" s="7"/>
      <c r="I2314" s="20"/>
      <c r="J2314" s="15"/>
      <c r="K2314" s="7"/>
      <c r="L2314" s="7"/>
      <c r="M2314" s="5"/>
      <c r="N2314" s="4"/>
      <c r="O2314" s="4"/>
    </row>
    <row r="2315" spans="1:15" x14ac:dyDescent="0.2">
      <c r="A2315" s="14"/>
      <c r="B2315" s="15"/>
      <c r="D2315" s="16"/>
      <c r="E2315" s="17"/>
      <c r="F2315" s="14"/>
      <c r="G2315" s="7"/>
      <c r="H2315" s="7"/>
      <c r="I2315" s="20"/>
      <c r="J2315" s="15"/>
      <c r="K2315" s="7"/>
      <c r="L2315" s="7"/>
      <c r="M2315" s="5"/>
      <c r="N2315" s="4"/>
      <c r="O2315" s="4"/>
    </row>
    <row r="2316" spans="1:15" x14ac:dyDescent="0.2">
      <c r="A2316" s="14"/>
      <c r="B2316" s="15"/>
      <c r="D2316" s="16"/>
      <c r="E2316" s="17"/>
      <c r="F2316" s="14"/>
      <c r="G2316" s="7"/>
      <c r="H2316" s="7"/>
      <c r="I2316" s="20"/>
      <c r="J2316" s="15"/>
      <c r="K2316" s="7"/>
      <c r="L2316" s="7"/>
      <c r="M2316" s="5"/>
      <c r="N2316" s="4"/>
      <c r="O2316" s="4"/>
    </row>
    <row r="2317" spans="1:15" x14ac:dyDescent="0.2">
      <c r="A2317" s="14"/>
      <c r="B2317" s="15"/>
      <c r="D2317" s="16"/>
      <c r="E2317" s="17"/>
      <c r="F2317" s="14"/>
      <c r="G2317" s="7"/>
      <c r="H2317" s="7"/>
      <c r="I2317" s="20"/>
      <c r="J2317" s="15"/>
      <c r="K2317" s="7"/>
      <c r="L2317" s="7"/>
      <c r="M2317" s="5"/>
      <c r="N2317" s="4"/>
      <c r="O2317" s="4"/>
    </row>
    <row r="2318" spans="1:15" x14ac:dyDescent="0.2">
      <c r="A2318" s="14"/>
      <c r="B2318" s="15"/>
      <c r="D2318" s="16"/>
      <c r="E2318" s="17"/>
      <c r="F2318" s="14"/>
      <c r="G2318" s="7"/>
      <c r="H2318" s="7"/>
      <c r="I2318" s="20"/>
      <c r="J2318" s="15"/>
      <c r="K2318" s="7"/>
      <c r="L2318" s="7"/>
      <c r="M2318" s="5"/>
      <c r="N2318" s="4"/>
      <c r="O2318" s="4"/>
    </row>
    <row r="2319" spans="1:15" x14ac:dyDescent="0.2">
      <c r="A2319" s="14"/>
      <c r="B2319" s="15"/>
      <c r="D2319" s="16"/>
      <c r="E2319" s="17"/>
      <c r="F2319" s="14"/>
      <c r="G2319" s="7"/>
      <c r="H2319" s="7"/>
      <c r="I2319" s="20"/>
      <c r="J2319" s="15"/>
      <c r="K2319" s="7"/>
      <c r="L2319" s="7"/>
      <c r="M2319" s="5"/>
      <c r="N2319" s="4"/>
      <c r="O2319" s="4"/>
    </row>
    <row r="2320" spans="1:15" x14ac:dyDescent="0.2">
      <c r="A2320" s="14"/>
      <c r="B2320" s="15"/>
      <c r="D2320" s="16"/>
      <c r="E2320" s="17"/>
      <c r="F2320" s="14"/>
      <c r="G2320" s="7"/>
      <c r="H2320" s="7"/>
      <c r="I2320" s="20"/>
      <c r="J2320" s="15"/>
      <c r="K2320" s="7"/>
      <c r="L2320" s="7"/>
      <c r="M2320" s="5"/>
      <c r="N2320" s="4"/>
      <c r="O2320" s="4"/>
    </row>
    <row r="2321" spans="1:15" x14ac:dyDescent="0.2">
      <c r="A2321" s="14"/>
      <c r="B2321" s="15"/>
      <c r="D2321" s="16"/>
      <c r="E2321" s="17"/>
      <c r="F2321" s="14"/>
      <c r="G2321" s="7"/>
      <c r="H2321" s="7"/>
      <c r="I2321" s="20"/>
      <c r="J2321" s="15"/>
      <c r="K2321" s="7"/>
      <c r="L2321" s="7"/>
      <c r="M2321" s="5"/>
      <c r="N2321" s="4"/>
      <c r="O2321" s="4"/>
    </row>
    <row r="2322" spans="1:15" x14ac:dyDescent="0.2">
      <c r="A2322" s="14"/>
      <c r="B2322" s="15"/>
      <c r="D2322" s="16"/>
      <c r="E2322" s="17"/>
      <c r="F2322" s="14"/>
      <c r="G2322" s="7"/>
      <c r="H2322" s="7"/>
      <c r="I2322" s="20"/>
      <c r="J2322" s="15"/>
      <c r="K2322" s="7"/>
      <c r="L2322" s="7"/>
      <c r="M2322" s="5"/>
      <c r="N2322" s="4"/>
      <c r="O2322" s="4"/>
    </row>
    <row r="2323" spans="1:15" x14ac:dyDescent="0.2">
      <c r="A2323" s="14"/>
      <c r="B2323" s="15"/>
      <c r="D2323" s="16"/>
      <c r="E2323" s="17"/>
      <c r="F2323" s="14"/>
      <c r="G2323" s="7"/>
      <c r="H2323" s="7"/>
      <c r="I2323" s="20"/>
      <c r="J2323" s="15"/>
      <c r="K2323" s="7"/>
      <c r="L2323" s="7"/>
      <c r="M2323" s="5"/>
      <c r="N2323" s="4"/>
      <c r="O2323" s="4"/>
    </row>
    <row r="2324" spans="1:15" x14ac:dyDescent="0.2">
      <c r="A2324" s="14"/>
      <c r="B2324" s="15"/>
      <c r="D2324" s="16"/>
      <c r="E2324" s="17"/>
      <c r="F2324" s="14"/>
      <c r="G2324" s="7"/>
      <c r="H2324" s="7"/>
      <c r="I2324" s="20"/>
      <c r="J2324" s="15"/>
      <c r="K2324" s="7"/>
      <c r="L2324" s="7"/>
      <c r="M2324" s="5"/>
      <c r="N2324" s="4"/>
      <c r="O2324" s="4"/>
    </row>
    <row r="2325" spans="1:15" x14ac:dyDescent="0.2">
      <c r="A2325" s="14"/>
      <c r="B2325" s="15"/>
      <c r="D2325" s="16"/>
      <c r="E2325" s="17"/>
      <c r="F2325" s="14"/>
      <c r="G2325" s="7"/>
      <c r="H2325" s="7"/>
      <c r="I2325" s="20"/>
      <c r="J2325" s="15"/>
      <c r="K2325" s="7"/>
      <c r="L2325" s="7"/>
      <c r="M2325" s="5"/>
      <c r="N2325" s="4"/>
      <c r="O2325" s="4"/>
    </row>
    <row r="2326" spans="1:15" x14ac:dyDescent="0.2">
      <c r="A2326" s="14"/>
      <c r="B2326" s="15"/>
      <c r="D2326" s="16"/>
      <c r="E2326" s="17"/>
      <c r="F2326" s="14"/>
      <c r="G2326" s="7"/>
      <c r="H2326" s="7"/>
      <c r="I2326" s="20"/>
      <c r="J2326" s="15"/>
      <c r="K2326" s="7"/>
      <c r="L2326" s="7"/>
      <c r="M2326" s="5"/>
      <c r="N2326" s="4"/>
      <c r="O2326" s="4"/>
    </row>
    <row r="2327" spans="1:15" x14ac:dyDescent="0.2">
      <c r="A2327" s="14"/>
      <c r="B2327" s="15"/>
      <c r="D2327" s="16"/>
      <c r="E2327" s="17"/>
      <c r="F2327" s="14"/>
      <c r="G2327" s="7"/>
      <c r="H2327" s="7"/>
      <c r="I2327" s="20"/>
      <c r="J2327" s="15"/>
      <c r="K2327" s="7"/>
      <c r="L2327" s="7"/>
      <c r="M2327" s="5"/>
      <c r="N2327" s="4"/>
      <c r="O2327" s="4"/>
    </row>
    <row r="2328" spans="1:15" x14ac:dyDescent="0.2">
      <c r="A2328" s="14"/>
      <c r="B2328" s="15"/>
      <c r="D2328" s="16"/>
      <c r="E2328" s="17"/>
      <c r="F2328" s="14"/>
      <c r="G2328" s="7"/>
      <c r="H2328" s="7"/>
      <c r="I2328" s="20"/>
      <c r="J2328" s="15"/>
      <c r="K2328" s="7"/>
      <c r="L2328" s="7"/>
      <c r="M2328" s="5"/>
      <c r="N2328" s="4"/>
      <c r="O2328" s="4"/>
    </row>
    <row r="2329" spans="1:15" x14ac:dyDescent="0.2">
      <c r="A2329" s="14"/>
      <c r="B2329" s="15"/>
      <c r="D2329" s="16"/>
      <c r="E2329" s="17"/>
      <c r="F2329" s="14"/>
      <c r="G2329" s="7"/>
      <c r="H2329" s="7"/>
      <c r="I2329" s="20"/>
      <c r="J2329" s="15"/>
      <c r="K2329" s="7"/>
      <c r="L2329" s="7"/>
      <c r="M2329" s="5"/>
      <c r="N2329" s="4"/>
      <c r="O2329" s="4"/>
    </row>
    <row r="2330" spans="1:15" x14ac:dyDescent="0.2">
      <c r="A2330" s="14"/>
      <c r="B2330" s="15"/>
      <c r="D2330" s="16"/>
      <c r="E2330" s="17"/>
      <c r="F2330" s="14"/>
      <c r="G2330" s="7"/>
      <c r="H2330" s="7"/>
      <c r="I2330" s="20"/>
      <c r="J2330" s="15"/>
      <c r="K2330" s="7"/>
      <c r="L2330" s="7"/>
      <c r="M2330" s="5"/>
      <c r="N2330" s="4"/>
      <c r="O2330" s="4"/>
    </row>
    <row r="2331" spans="1:15" x14ac:dyDescent="0.2">
      <c r="A2331" s="14"/>
      <c r="B2331" s="15"/>
      <c r="D2331" s="16"/>
      <c r="E2331" s="17"/>
      <c r="F2331" s="14"/>
      <c r="G2331" s="7"/>
      <c r="H2331" s="7"/>
      <c r="I2331" s="20"/>
      <c r="J2331" s="15"/>
      <c r="K2331" s="7"/>
      <c r="L2331" s="7"/>
      <c r="M2331" s="5"/>
      <c r="N2331" s="4"/>
      <c r="O2331" s="4"/>
    </row>
    <row r="2332" spans="1:15" x14ac:dyDescent="0.2">
      <c r="A2332" s="14"/>
      <c r="B2332" s="15"/>
      <c r="D2332" s="16"/>
      <c r="E2332" s="17"/>
      <c r="F2332" s="14"/>
      <c r="G2332" s="7"/>
      <c r="H2332" s="7"/>
      <c r="I2332" s="20"/>
      <c r="J2332" s="15"/>
      <c r="K2332" s="7"/>
      <c r="L2332" s="7"/>
      <c r="M2332" s="5"/>
      <c r="N2332" s="4"/>
      <c r="O2332" s="4"/>
    </row>
    <row r="2333" spans="1:15" x14ac:dyDescent="0.2">
      <c r="A2333" s="14"/>
      <c r="B2333" s="15"/>
      <c r="D2333" s="16"/>
      <c r="E2333" s="17"/>
      <c r="F2333" s="14"/>
      <c r="G2333" s="7"/>
      <c r="H2333" s="7"/>
      <c r="I2333" s="20"/>
      <c r="J2333" s="15"/>
      <c r="K2333" s="7"/>
      <c r="L2333" s="7"/>
      <c r="M2333" s="5"/>
      <c r="N2333" s="4"/>
      <c r="O2333" s="4"/>
    </row>
    <row r="2334" spans="1:15" x14ac:dyDescent="0.2">
      <c r="A2334" s="14"/>
      <c r="B2334" s="15"/>
      <c r="D2334" s="16"/>
      <c r="E2334" s="17"/>
      <c r="F2334" s="14"/>
      <c r="G2334" s="7"/>
      <c r="H2334" s="7"/>
      <c r="I2334" s="20"/>
      <c r="J2334" s="15"/>
      <c r="K2334" s="7"/>
      <c r="L2334" s="7"/>
      <c r="M2334" s="5"/>
      <c r="N2334" s="4"/>
      <c r="O2334" s="4"/>
    </row>
    <row r="2335" spans="1:15" x14ac:dyDescent="0.2">
      <c r="A2335" s="14"/>
      <c r="B2335" s="15"/>
      <c r="D2335" s="16"/>
      <c r="E2335" s="17"/>
      <c r="F2335" s="14"/>
      <c r="G2335" s="7"/>
      <c r="H2335" s="7"/>
      <c r="I2335" s="20"/>
      <c r="J2335" s="15"/>
      <c r="K2335" s="7"/>
      <c r="L2335" s="7"/>
      <c r="M2335" s="5"/>
      <c r="N2335" s="4"/>
      <c r="O2335" s="4"/>
    </row>
    <row r="2336" spans="1:15" x14ac:dyDescent="0.2">
      <c r="A2336" s="14"/>
      <c r="B2336" s="15"/>
      <c r="D2336" s="16"/>
      <c r="E2336" s="17"/>
      <c r="F2336" s="14"/>
      <c r="G2336" s="7"/>
      <c r="H2336" s="7"/>
      <c r="I2336" s="20"/>
      <c r="J2336" s="15"/>
      <c r="K2336" s="7"/>
      <c r="L2336" s="7"/>
      <c r="M2336" s="5"/>
      <c r="N2336" s="4"/>
      <c r="O2336" s="4"/>
    </row>
    <row r="2337" spans="1:15" x14ac:dyDescent="0.2">
      <c r="A2337" s="14"/>
      <c r="B2337" s="15"/>
      <c r="D2337" s="16"/>
      <c r="E2337" s="17"/>
      <c r="F2337" s="14"/>
      <c r="G2337" s="7"/>
      <c r="H2337" s="7"/>
      <c r="I2337" s="20"/>
      <c r="J2337" s="15"/>
      <c r="K2337" s="7"/>
      <c r="L2337" s="7"/>
      <c r="M2337" s="5"/>
      <c r="N2337" s="4"/>
      <c r="O2337" s="4"/>
    </row>
    <row r="2338" spans="1:15" x14ac:dyDescent="0.2">
      <c r="A2338" s="14"/>
      <c r="B2338" s="15"/>
      <c r="D2338" s="16"/>
      <c r="E2338" s="17"/>
      <c r="F2338" s="14"/>
      <c r="G2338" s="7"/>
      <c r="H2338" s="7"/>
      <c r="I2338" s="20"/>
      <c r="J2338" s="15"/>
      <c r="K2338" s="7"/>
      <c r="L2338" s="7"/>
      <c r="M2338" s="5"/>
      <c r="N2338" s="4"/>
      <c r="O2338" s="4"/>
    </row>
    <row r="2339" spans="1:15" x14ac:dyDescent="0.2">
      <c r="A2339" s="14"/>
      <c r="B2339" s="15"/>
      <c r="D2339" s="16"/>
      <c r="E2339" s="17"/>
      <c r="F2339" s="14"/>
      <c r="G2339" s="7"/>
      <c r="H2339" s="7"/>
      <c r="I2339" s="20"/>
      <c r="J2339" s="15"/>
      <c r="K2339" s="7"/>
      <c r="L2339" s="7"/>
      <c r="M2339" s="5"/>
      <c r="N2339" s="4"/>
      <c r="O2339" s="4"/>
    </row>
    <row r="2340" spans="1:15" x14ac:dyDescent="0.2">
      <c r="A2340" s="14"/>
      <c r="B2340" s="15"/>
      <c r="D2340" s="16"/>
      <c r="E2340" s="17"/>
      <c r="F2340" s="14"/>
      <c r="G2340" s="7"/>
      <c r="H2340" s="7"/>
      <c r="I2340" s="20"/>
      <c r="J2340" s="15"/>
      <c r="K2340" s="7"/>
      <c r="L2340" s="7"/>
      <c r="M2340" s="5"/>
      <c r="N2340" s="4"/>
      <c r="O2340" s="4"/>
    </row>
    <row r="2341" spans="1:15" x14ac:dyDescent="0.2">
      <c r="A2341" s="14"/>
      <c r="B2341" s="15"/>
      <c r="D2341" s="16"/>
      <c r="E2341" s="17"/>
      <c r="F2341" s="14"/>
      <c r="G2341" s="7"/>
      <c r="H2341" s="7"/>
      <c r="I2341" s="20"/>
      <c r="J2341" s="15"/>
      <c r="K2341" s="7"/>
      <c r="L2341" s="7"/>
      <c r="M2341" s="5"/>
      <c r="N2341" s="4"/>
      <c r="O2341" s="4"/>
    </row>
    <row r="2342" spans="1:15" x14ac:dyDescent="0.2">
      <c r="A2342" s="14"/>
      <c r="B2342" s="15"/>
      <c r="D2342" s="16"/>
      <c r="E2342" s="17"/>
      <c r="F2342" s="14"/>
      <c r="G2342" s="7"/>
      <c r="H2342" s="7"/>
      <c r="I2342" s="20"/>
      <c r="J2342" s="15"/>
      <c r="K2342" s="7"/>
      <c r="L2342" s="7"/>
      <c r="M2342" s="5"/>
      <c r="N2342" s="4"/>
      <c r="O2342" s="4"/>
    </row>
    <row r="2343" spans="1:15" x14ac:dyDescent="0.2">
      <c r="A2343" s="14"/>
      <c r="B2343" s="15"/>
      <c r="D2343" s="16"/>
      <c r="E2343" s="17"/>
      <c r="F2343" s="14"/>
      <c r="G2343" s="7"/>
      <c r="H2343" s="7"/>
      <c r="I2343" s="20"/>
      <c r="J2343" s="15"/>
      <c r="K2343" s="7"/>
      <c r="L2343" s="7"/>
      <c r="M2343" s="5"/>
      <c r="N2343" s="4"/>
      <c r="O2343" s="4"/>
    </row>
    <row r="2344" spans="1:15" x14ac:dyDescent="0.2">
      <c r="A2344" s="14"/>
      <c r="B2344" s="15"/>
      <c r="D2344" s="16"/>
      <c r="E2344" s="17"/>
      <c r="F2344" s="14"/>
      <c r="G2344" s="7"/>
      <c r="H2344" s="7"/>
      <c r="I2344" s="20"/>
      <c r="J2344" s="15"/>
      <c r="K2344" s="7"/>
      <c r="L2344" s="7"/>
      <c r="M2344" s="5"/>
      <c r="N2344" s="4"/>
      <c r="O2344" s="4"/>
    </row>
    <row r="2345" spans="1:15" x14ac:dyDescent="0.2">
      <c r="A2345" s="13"/>
      <c r="B2345" s="14"/>
      <c r="C2345" s="15"/>
      <c r="D2345" s="14"/>
      <c r="E2345" s="16"/>
      <c r="F2345" s="17"/>
      <c r="G2345" s="14"/>
      <c r="H2345" s="7"/>
      <c r="J2345" s="20"/>
      <c r="K2345" s="15"/>
      <c r="L2345" s="7"/>
      <c r="M2345" s="5"/>
      <c r="N2345" s="4"/>
      <c r="O2345" s="4"/>
    </row>
    <row r="2346" spans="1:15" x14ac:dyDescent="0.2">
      <c r="A2346" s="13"/>
      <c r="B2346" s="14"/>
      <c r="C2346" s="15"/>
      <c r="D2346" s="14"/>
      <c r="E2346" s="16"/>
      <c r="F2346" s="17"/>
      <c r="G2346" s="14"/>
      <c r="H2346" s="7"/>
      <c r="J2346" s="20"/>
      <c r="K2346" s="15"/>
      <c r="L2346" s="7"/>
      <c r="N2346" s="5"/>
      <c r="O2346" s="4"/>
    </row>
    <row r="2347" spans="1:15" x14ac:dyDescent="0.2">
      <c r="A2347" s="13"/>
      <c r="B2347" s="14"/>
      <c r="C2347" s="15"/>
      <c r="D2347" s="14"/>
      <c r="E2347" s="16"/>
      <c r="F2347" s="17"/>
      <c r="G2347" s="14"/>
      <c r="H2347" s="7"/>
      <c r="J2347" s="20"/>
      <c r="K2347" s="15"/>
      <c r="L2347" s="7"/>
      <c r="N2347" s="5"/>
      <c r="O2347" s="4"/>
    </row>
    <row r="2348" spans="1:15" x14ac:dyDescent="0.2">
      <c r="A2348" s="13"/>
      <c r="B2348" s="14"/>
      <c r="C2348" s="15"/>
      <c r="D2348" s="14"/>
      <c r="E2348" s="16"/>
      <c r="F2348" s="17"/>
      <c r="G2348" s="14"/>
      <c r="H2348" s="7"/>
      <c r="J2348" s="20"/>
      <c r="K2348" s="15"/>
      <c r="L2348" s="7"/>
      <c r="N2348" s="5"/>
      <c r="O2348" s="4"/>
    </row>
    <row r="2349" spans="1:15" x14ac:dyDescent="0.2">
      <c r="A2349" s="13"/>
      <c r="B2349" s="14"/>
      <c r="C2349" s="15"/>
      <c r="D2349" s="14"/>
      <c r="E2349" s="16"/>
      <c r="F2349" s="17"/>
      <c r="G2349" s="14"/>
      <c r="H2349" s="7"/>
      <c r="J2349" s="20"/>
      <c r="K2349" s="15"/>
      <c r="L2349" s="7"/>
      <c r="N2349" s="5"/>
      <c r="O2349" s="4"/>
    </row>
    <row r="2350" spans="1:15" x14ac:dyDescent="0.2">
      <c r="A2350" s="13"/>
      <c r="B2350" s="14"/>
      <c r="C2350" s="15"/>
      <c r="D2350" s="14"/>
      <c r="E2350" s="16"/>
      <c r="F2350" s="17"/>
      <c r="G2350" s="14"/>
      <c r="H2350" s="7"/>
      <c r="J2350" s="20"/>
      <c r="K2350" s="15"/>
      <c r="L2350" s="7"/>
      <c r="N2350" s="5"/>
      <c r="O2350" s="4"/>
    </row>
    <row r="2351" spans="1:15" x14ac:dyDescent="0.2">
      <c r="A2351" s="13"/>
      <c r="B2351" s="14"/>
      <c r="C2351" s="15"/>
      <c r="D2351" s="14"/>
      <c r="E2351" s="16"/>
      <c r="F2351" s="17"/>
      <c r="G2351" s="14"/>
      <c r="H2351" s="7"/>
      <c r="J2351" s="20"/>
      <c r="K2351" s="15"/>
      <c r="L2351" s="7"/>
      <c r="N2351" s="5"/>
      <c r="O2351" s="4"/>
    </row>
    <row r="2352" spans="1:15" x14ac:dyDescent="0.2">
      <c r="A2352" s="13"/>
      <c r="B2352" s="14"/>
      <c r="C2352" s="15"/>
      <c r="D2352" s="14"/>
      <c r="E2352" s="16"/>
      <c r="F2352" s="17"/>
      <c r="G2352" s="14"/>
      <c r="H2352" s="7"/>
      <c r="J2352" s="20"/>
      <c r="K2352" s="15"/>
      <c r="L2352" s="7"/>
      <c r="N2352" s="5"/>
      <c r="O2352" s="4"/>
    </row>
    <row r="2353" spans="1:15" x14ac:dyDescent="0.2">
      <c r="A2353" s="13"/>
      <c r="B2353" s="14"/>
      <c r="C2353" s="15"/>
      <c r="D2353" s="14"/>
      <c r="E2353" s="16"/>
      <c r="F2353" s="17"/>
      <c r="G2353" s="14"/>
      <c r="H2353" s="7"/>
      <c r="J2353" s="20"/>
      <c r="K2353" s="15"/>
      <c r="L2353" s="7"/>
      <c r="N2353" s="5"/>
      <c r="O2353" s="4"/>
    </row>
    <row r="2354" spans="1:15" x14ac:dyDescent="0.2">
      <c r="A2354" s="13"/>
      <c r="B2354" s="14"/>
      <c r="C2354" s="15"/>
      <c r="D2354" s="14"/>
      <c r="E2354" s="16"/>
      <c r="F2354" s="17"/>
      <c r="G2354" s="14"/>
      <c r="H2354" s="7"/>
      <c r="J2354" s="20"/>
      <c r="K2354" s="15"/>
      <c r="L2354" s="7"/>
      <c r="N2354" s="5"/>
      <c r="O2354" s="4"/>
    </row>
    <row r="2355" spans="1:15" x14ac:dyDescent="0.2">
      <c r="A2355" s="13"/>
      <c r="B2355" s="14"/>
      <c r="C2355" s="15"/>
      <c r="D2355" s="14"/>
      <c r="E2355" s="16"/>
      <c r="F2355" s="17"/>
      <c r="G2355" s="14"/>
      <c r="H2355" s="7"/>
      <c r="J2355" s="20"/>
      <c r="K2355" s="15"/>
      <c r="L2355" s="7"/>
      <c r="N2355" s="5"/>
      <c r="O2355" s="4"/>
    </row>
    <row r="2356" spans="1:15" x14ac:dyDescent="0.2">
      <c r="A2356" s="13"/>
      <c r="B2356" s="14"/>
      <c r="C2356" s="15"/>
      <c r="D2356" s="14"/>
      <c r="E2356" s="16"/>
      <c r="F2356" s="17"/>
      <c r="G2356" s="14"/>
      <c r="H2356" s="7"/>
      <c r="J2356" s="20"/>
      <c r="K2356" s="15"/>
      <c r="L2356" s="7"/>
      <c r="N2356" s="5"/>
      <c r="O2356" s="4"/>
    </row>
    <row r="2357" spans="1:15" x14ac:dyDescent="0.2">
      <c r="A2357" s="13"/>
      <c r="B2357" s="14"/>
      <c r="C2357" s="15"/>
      <c r="D2357" s="14"/>
      <c r="E2357" s="16"/>
      <c r="F2357" s="17"/>
      <c r="G2357" s="14"/>
      <c r="H2357" s="7"/>
      <c r="J2357" s="20"/>
      <c r="K2357" s="15"/>
      <c r="L2357" s="7"/>
      <c r="N2357" s="5"/>
      <c r="O2357" s="4"/>
    </row>
    <row r="2358" spans="1:15" x14ac:dyDescent="0.2">
      <c r="A2358" s="13"/>
      <c r="B2358" s="14"/>
      <c r="C2358" s="15"/>
      <c r="D2358" s="14"/>
      <c r="E2358" s="16"/>
      <c r="F2358" s="17"/>
      <c r="G2358" s="14"/>
      <c r="H2358" s="7"/>
      <c r="J2358" s="20"/>
      <c r="K2358" s="15"/>
      <c r="L2358" s="7"/>
      <c r="N2358" s="5"/>
      <c r="O2358" s="4"/>
    </row>
    <row r="2359" spans="1:15" x14ac:dyDescent="0.2">
      <c r="A2359" s="13"/>
      <c r="B2359" s="14"/>
      <c r="C2359" s="15"/>
      <c r="D2359" s="14"/>
      <c r="E2359" s="16"/>
      <c r="F2359" s="17"/>
      <c r="G2359" s="14"/>
      <c r="H2359" s="7"/>
      <c r="J2359" s="20"/>
      <c r="K2359" s="15"/>
      <c r="L2359" s="7"/>
      <c r="N2359" s="5"/>
      <c r="O2359" s="4"/>
    </row>
    <row r="2360" spans="1:15" x14ac:dyDescent="0.2">
      <c r="A2360" s="13"/>
      <c r="B2360" s="14"/>
      <c r="C2360" s="15"/>
      <c r="D2360" s="14"/>
      <c r="E2360" s="16"/>
      <c r="F2360" s="17"/>
      <c r="G2360" s="14"/>
      <c r="H2360" s="7"/>
      <c r="J2360" s="20"/>
      <c r="K2360" s="15"/>
      <c r="L2360" s="7"/>
      <c r="N2360" s="5"/>
      <c r="O2360" s="4"/>
    </row>
    <row r="2361" spans="1:15" x14ac:dyDescent="0.2">
      <c r="A2361" s="13"/>
      <c r="B2361" s="14"/>
      <c r="C2361" s="15"/>
      <c r="D2361" s="14"/>
      <c r="E2361" s="16"/>
      <c r="F2361" s="17"/>
      <c r="G2361" s="14"/>
      <c r="H2361" s="7"/>
      <c r="J2361" s="20"/>
      <c r="K2361" s="15"/>
      <c r="L2361" s="7"/>
      <c r="N2361" s="5"/>
      <c r="O2361" s="4"/>
    </row>
    <row r="2362" spans="1:15" x14ac:dyDescent="0.2">
      <c r="A2362" s="13"/>
      <c r="B2362" s="14"/>
      <c r="C2362" s="15"/>
      <c r="D2362" s="14"/>
      <c r="E2362" s="16"/>
      <c r="F2362" s="17"/>
      <c r="G2362" s="14"/>
      <c r="H2362" s="7"/>
      <c r="J2362" s="20"/>
      <c r="K2362" s="15"/>
      <c r="L2362" s="7"/>
      <c r="N2362" s="5"/>
      <c r="O2362" s="4"/>
    </row>
    <row r="2363" spans="1:15" x14ac:dyDescent="0.2">
      <c r="A2363" s="13"/>
      <c r="B2363" s="14"/>
      <c r="C2363" s="15"/>
      <c r="D2363" s="14"/>
      <c r="E2363" s="16"/>
      <c r="F2363" s="17"/>
      <c r="G2363" s="14"/>
      <c r="H2363" s="7"/>
      <c r="J2363" s="20"/>
      <c r="K2363" s="15"/>
      <c r="L2363" s="7"/>
      <c r="N2363" s="5"/>
      <c r="O2363" s="4"/>
    </row>
    <row r="2364" spans="1:15" x14ac:dyDescent="0.2">
      <c r="A2364" s="13"/>
      <c r="B2364" s="14"/>
      <c r="C2364" s="15"/>
      <c r="D2364" s="14"/>
      <c r="E2364" s="16"/>
      <c r="F2364" s="17"/>
      <c r="G2364" s="14"/>
      <c r="H2364" s="7"/>
      <c r="J2364" s="20"/>
      <c r="K2364" s="15"/>
      <c r="L2364" s="7"/>
      <c r="N2364" s="5"/>
      <c r="O2364" s="4"/>
    </row>
    <row r="2365" spans="1:15" x14ac:dyDescent="0.2">
      <c r="A2365" s="13"/>
      <c r="B2365" s="14"/>
      <c r="C2365" s="15"/>
      <c r="D2365" s="14"/>
      <c r="E2365" s="16"/>
      <c r="F2365" s="17"/>
      <c r="G2365" s="14"/>
      <c r="H2365" s="7"/>
      <c r="J2365" s="20"/>
      <c r="K2365" s="15"/>
      <c r="L2365" s="7"/>
      <c r="N2365" s="5"/>
      <c r="O2365" s="4"/>
    </row>
    <row r="2366" spans="1:15" x14ac:dyDescent="0.2">
      <c r="A2366" s="13"/>
      <c r="B2366" s="14"/>
      <c r="C2366" s="15"/>
      <c r="D2366" s="14"/>
      <c r="E2366" s="16"/>
      <c r="F2366" s="17"/>
      <c r="G2366" s="14"/>
      <c r="H2366" s="7"/>
      <c r="J2366" s="20"/>
      <c r="K2366" s="15"/>
      <c r="L2366" s="7"/>
      <c r="N2366" s="5"/>
      <c r="O2366" s="4"/>
    </row>
    <row r="2367" spans="1:15" x14ac:dyDescent="0.2">
      <c r="A2367" s="13"/>
      <c r="B2367" s="14"/>
      <c r="C2367" s="15"/>
      <c r="D2367" s="14"/>
      <c r="E2367" s="16"/>
      <c r="F2367" s="17"/>
      <c r="G2367" s="14"/>
      <c r="H2367" s="7"/>
      <c r="J2367" s="20"/>
      <c r="K2367" s="15"/>
      <c r="L2367" s="7"/>
      <c r="N2367" s="5"/>
      <c r="O2367" s="4"/>
    </row>
    <row r="2368" spans="1:15" x14ac:dyDescent="0.2">
      <c r="A2368" s="13"/>
      <c r="B2368" s="14"/>
      <c r="C2368" s="15"/>
      <c r="D2368" s="14"/>
      <c r="E2368" s="16"/>
      <c r="F2368" s="17"/>
      <c r="G2368" s="14"/>
      <c r="H2368" s="7"/>
      <c r="J2368" s="20"/>
      <c r="K2368" s="15"/>
      <c r="L2368" s="7"/>
      <c r="N2368" s="5"/>
      <c r="O2368" s="4"/>
    </row>
    <row r="2369" spans="1:15" x14ac:dyDescent="0.2">
      <c r="A2369" s="13"/>
      <c r="B2369" s="14"/>
      <c r="C2369" s="15"/>
      <c r="D2369" s="14"/>
      <c r="E2369" s="16"/>
      <c r="F2369" s="17"/>
      <c r="G2369" s="14"/>
      <c r="H2369" s="7"/>
      <c r="J2369" s="20"/>
      <c r="K2369" s="15"/>
      <c r="L2369" s="7"/>
      <c r="N2369" s="5"/>
      <c r="O2369" s="4"/>
    </row>
    <row r="2370" spans="1:15" x14ac:dyDescent="0.2">
      <c r="A2370" s="13"/>
      <c r="B2370" s="14"/>
      <c r="C2370" s="15"/>
      <c r="D2370" s="14"/>
      <c r="E2370" s="16"/>
      <c r="F2370" s="17"/>
      <c r="G2370" s="14"/>
      <c r="H2370" s="7"/>
      <c r="J2370" s="20"/>
      <c r="K2370" s="15"/>
      <c r="L2370" s="7"/>
      <c r="N2370" s="5"/>
      <c r="O2370" s="4"/>
    </row>
    <row r="2371" spans="1:15" x14ac:dyDescent="0.2">
      <c r="A2371" s="13"/>
      <c r="B2371" s="14"/>
      <c r="C2371" s="15"/>
      <c r="D2371" s="14"/>
      <c r="E2371" s="16"/>
      <c r="F2371" s="17"/>
      <c r="G2371" s="14"/>
      <c r="H2371" s="7"/>
      <c r="J2371" s="20"/>
      <c r="K2371" s="15"/>
      <c r="L2371" s="7"/>
      <c r="N2371" s="5"/>
      <c r="O2371" s="4"/>
    </row>
    <row r="2372" spans="1:15" x14ac:dyDescent="0.2">
      <c r="A2372" s="13"/>
      <c r="B2372" s="14"/>
      <c r="C2372" s="15"/>
      <c r="D2372" s="14"/>
      <c r="E2372" s="16"/>
      <c r="F2372" s="17"/>
      <c r="G2372" s="14"/>
      <c r="H2372" s="7"/>
      <c r="J2372" s="20"/>
      <c r="K2372" s="15"/>
      <c r="L2372" s="7"/>
      <c r="N2372" s="5"/>
      <c r="O2372" s="4"/>
    </row>
    <row r="2373" spans="1:15" x14ac:dyDescent="0.2">
      <c r="A2373" s="13"/>
      <c r="B2373" s="14"/>
      <c r="C2373" s="15"/>
      <c r="D2373" s="14"/>
      <c r="E2373" s="16"/>
      <c r="F2373" s="17"/>
      <c r="G2373" s="14"/>
      <c r="H2373" s="7"/>
      <c r="J2373" s="20"/>
      <c r="K2373" s="15"/>
      <c r="L2373" s="7"/>
      <c r="N2373" s="5"/>
      <c r="O2373" s="4"/>
    </row>
    <row r="2374" spans="1:15" x14ac:dyDescent="0.2">
      <c r="A2374" s="13"/>
      <c r="B2374" s="14"/>
      <c r="C2374" s="15"/>
      <c r="D2374" s="14"/>
      <c r="E2374" s="16"/>
      <c r="F2374" s="17"/>
      <c r="G2374" s="14"/>
      <c r="H2374" s="7"/>
      <c r="J2374" s="20"/>
      <c r="K2374" s="15"/>
      <c r="L2374" s="7"/>
      <c r="N2374" s="5"/>
      <c r="O2374" s="4"/>
    </row>
    <row r="2375" spans="1:15" x14ac:dyDescent="0.2">
      <c r="A2375" s="13"/>
      <c r="B2375" s="14"/>
      <c r="C2375" s="15"/>
      <c r="D2375" s="14"/>
      <c r="E2375" s="16"/>
      <c r="F2375" s="17"/>
      <c r="G2375" s="14"/>
      <c r="H2375" s="7"/>
      <c r="J2375" s="20"/>
      <c r="K2375" s="15"/>
      <c r="L2375" s="7"/>
      <c r="N2375" s="5"/>
      <c r="O2375" s="4"/>
    </row>
    <row r="2376" spans="1:15" x14ac:dyDescent="0.2">
      <c r="A2376" s="13"/>
      <c r="B2376" s="14"/>
      <c r="C2376" s="15"/>
      <c r="D2376" s="14"/>
      <c r="E2376" s="16"/>
      <c r="F2376" s="17"/>
      <c r="G2376" s="14"/>
      <c r="H2376" s="7"/>
      <c r="J2376" s="20"/>
      <c r="K2376" s="15"/>
      <c r="L2376" s="7"/>
      <c r="N2376" s="5"/>
      <c r="O2376" s="4"/>
    </row>
    <row r="2377" spans="1:15" x14ac:dyDescent="0.2">
      <c r="A2377" s="13"/>
      <c r="B2377" s="14"/>
      <c r="C2377" s="15"/>
      <c r="D2377" s="14"/>
      <c r="E2377" s="16"/>
      <c r="F2377" s="17"/>
      <c r="G2377" s="14"/>
      <c r="H2377" s="7"/>
      <c r="J2377" s="20"/>
      <c r="K2377" s="15"/>
      <c r="L2377" s="7"/>
      <c r="N2377" s="5"/>
      <c r="O2377" s="4"/>
    </row>
    <row r="2378" spans="1:15" x14ac:dyDescent="0.2">
      <c r="A2378" s="13"/>
      <c r="B2378" s="14"/>
      <c r="C2378" s="15"/>
      <c r="D2378" s="14"/>
      <c r="E2378" s="16"/>
      <c r="F2378" s="17"/>
      <c r="G2378" s="14"/>
      <c r="H2378" s="7"/>
      <c r="J2378" s="20"/>
      <c r="K2378" s="15"/>
      <c r="L2378" s="7"/>
      <c r="N2378" s="5"/>
      <c r="O2378" s="4"/>
    </row>
    <row r="2379" spans="1:15" x14ac:dyDescent="0.2">
      <c r="A2379" s="13"/>
      <c r="B2379" s="14"/>
      <c r="C2379" s="15"/>
      <c r="D2379" s="14"/>
      <c r="E2379" s="16"/>
      <c r="F2379" s="17"/>
      <c r="G2379" s="14"/>
      <c r="H2379" s="7"/>
      <c r="J2379" s="20"/>
      <c r="K2379" s="15"/>
      <c r="L2379" s="7"/>
      <c r="N2379" s="5"/>
      <c r="O2379" s="4"/>
    </row>
    <row r="2380" spans="1:15" x14ac:dyDescent="0.2">
      <c r="A2380" s="13"/>
      <c r="B2380" s="14"/>
      <c r="C2380" s="15"/>
      <c r="D2380" s="14"/>
      <c r="E2380" s="16"/>
      <c r="F2380" s="17"/>
      <c r="G2380" s="14"/>
      <c r="H2380" s="7"/>
      <c r="J2380" s="20"/>
      <c r="K2380" s="15"/>
      <c r="L2380" s="7"/>
      <c r="N2380" s="5"/>
      <c r="O2380" s="4"/>
    </row>
    <row r="2381" spans="1:15" x14ac:dyDescent="0.2">
      <c r="A2381" s="13"/>
      <c r="B2381" s="14"/>
      <c r="C2381" s="15"/>
      <c r="D2381" s="14"/>
      <c r="E2381" s="16"/>
      <c r="F2381" s="17"/>
      <c r="G2381" s="14"/>
      <c r="H2381" s="7"/>
      <c r="J2381" s="20"/>
      <c r="K2381" s="15"/>
      <c r="L2381" s="7"/>
      <c r="N2381" s="5"/>
      <c r="O2381" s="4"/>
    </row>
    <row r="2382" spans="1:15" x14ac:dyDescent="0.2">
      <c r="A2382" s="13"/>
      <c r="B2382" s="14"/>
      <c r="C2382" s="15"/>
      <c r="D2382" s="14"/>
      <c r="E2382" s="16"/>
      <c r="F2382" s="17"/>
      <c r="G2382" s="14"/>
      <c r="H2382" s="7"/>
      <c r="J2382" s="20"/>
      <c r="K2382" s="15"/>
      <c r="L2382" s="7"/>
      <c r="N2382" s="5"/>
      <c r="O2382" s="4"/>
    </row>
    <row r="2383" spans="1:15" x14ac:dyDescent="0.2">
      <c r="A2383" s="13"/>
      <c r="B2383" s="14"/>
      <c r="C2383" s="15"/>
      <c r="D2383" s="14"/>
      <c r="E2383" s="16"/>
      <c r="F2383" s="17"/>
      <c r="G2383" s="14"/>
      <c r="H2383" s="7"/>
      <c r="J2383" s="20"/>
      <c r="K2383" s="15"/>
      <c r="L2383" s="7"/>
      <c r="N2383" s="5"/>
      <c r="O2383" s="4"/>
    </row>
    <row r="2384" spans="1:15" x14ac:dyDescent="0.2">
      <c r="A2384" s="13"/>
      <c r="B2384" s="14"/>
      <c r="C2384" s="15"/>
      <c r="D2384" s="14"/>
      <c r="E2384" s="16"/>
      <c r="F2384" s="17"/>
      <c r="G2384" s="14"/>
      <c r="H2384" s="7"/>
      <c r="J2384" s="20"/>
      <c r="K2384" s="15"/>
      <c r="L2384" s="7"/>
      <c r="N2384" s="5"/>
      <c r="O2384" s="4"/>
    </row>
    <row r="2385" spans="1:15" x14ac:dyDescent="0.2">
      <c r="A2385" s="13"/>
      <c r="B2385" s="14"/>
      <c r="C2385" s="15"/>
      <c r="D2385" s="14"/>
      <c r="E2385" s="16"/>
      <c r="F2385" s="17"/>
      <c r="G2385" s="14"/>
      <c r="H2385" s="7"/>
      <c r="J2385" s="20"/>
      <c r="K2385" s="15"/>
      <c r="L2385" s="7"/>
      <c r="N2385" s="5"/>
      <c r="O2385" s="4"/>
    </row>
    <row r="2386" spans="1:15" x14ac:dyDescent="0.2">
      <c r="A2386" s="13"/>
      <c r="B2386" s="14"/>
      <c r="C2386" s="15"/>
      <c r="D2386" s="14"/>
      <c r="E2386" s="16"/>
      <c r="F2386" s="17"/>
      <c r="G2386" s="14"/>
      <c r="H2386" s="7"/>
      <c r="J2386" s="20"/>
      <c r="K2386" s="15"/>
      <c r="L2386" s="7"/>
      <c r="N2386" s="5"/>
      <c r="O2386" s="4"/>
    </row>
    <row r="2387" spans="1:15" x14ac:dyDescent="0.2">
      <c r="A2387" s="13"/>
      <c r="B2387" s="14"/>
      <c r="C2387" s="15"/>
      <c r="D2387" s="14"/>
      <c r="E2387" s="16"/>
      <c r="F2387" s="17"/>
      <c r="G2387" s="14"/>
      <c r="H2387" s="7"/>
      <c r="J2387" s="20"/>
      <c r="K2387" s="15"/>
      <c r="L2387" s="7"/>
      <c r="N2387" s="5"/>
      <c r="O2387" s="4"/>
    </row>
    <row r="2388" spans="1:15" x14ac:dyDescent="0.2">
      <c r="A2388" s="13"/>
      <c r="B2388" s="14"/>
      <c r="C2388" s="15"/>
      <c r="D2388" s="14"/>
      <c r="E2388" s="16"/>
      <c r="F2388" s="17"/>
      <c r="G2388" s="14"/>
      <c r="H2388" s="7"/>
      <c r="J2388" s="20"/>
      <c r="K2388" s="15"/>
      <c r="L2388" s="7"/>
      <c r="N2388" s="5"/>
      <c r="O2388" s="4"/>
    </row>
    <row r="2389" spans="1:15" x14ac:dyDescent="0.2">
      <c r="A2389" s="13"/>
      <c r="B2389" s="14"/>
      <c r="C2389" s="15"/>
      <c r="D2389" s="14"/>
      <c r="E2389" s="16"/>
      <c r="F2389" s="17"/>
      <c r="G2389" s="14"/>
      <c r="H2389" s="7"/>
      <c r="J2389" s="20"/>
      <c r="K2389" s="15"/>
      <c r="L2389" s="7"/>
      <c r="N2389" s="5"/>
      <c r="O2389" s="4"/>
    </row>
    <row r="2390" spans="1:15" x14ac:dyDescent="0.2">
      <c r="A2390" s="13"/>
      <c r="B2390" s="14"/>
      <c r="C2390" s="15"/>
      <c r="D2390" s="14"/>
      <c r="E2390" s="16"/>
      <c r="F2390" s="17"/>
      <c r="G2390" s="14"/>
      <c r="H2390" s="7"/>
      <c r="J2390" s="20"/>
      <c r="K2390" s="15"/>
      <c r="L2390" s="7"/>
      <c r="N2390" s="5"/>
      <c r="O2390" s="4"/>
    </row>
    <row r="2391" spans="1:15" x14ac:dyDescent="0.2">
      <c r="A2391" s="13"/>
      <c r="B2391" s="14"/>
      <c r="C2391" s="15"/>
      <c r="D2391" s="14"/>
      <c r="E2391" s="16"/>
      <c r="F2391" s="17"/>
      <c r="G2391" s="14"/>
      <c r="H2391" s="7"/>
      <c r="J2391" s="20"/>
      <c r="K2391" s="15"/>
      <c r="L2391" s="7"/>
      <c r="N2391" s="5"/>
      <c r="O2391" s="4"/>
    </row>
    <row r="2392" spans="1:15" x14ac:dyDescent="0.2">
      <c r="A2392" s="13"/>
      <c r="B2392" s="14"/>
      <c r="C2392" s="15"/>
      <c r="D2392" s="14"/>
      <c r="E2392" s="16"/>
      <c r="F2392" s="17"/>
      <c r="G2392" s="14"/>
      <c r="H2392" s="7"/>
      <c r="J2392" s="20"/>
      <c r="K2392" s="15"/>
      <c r="L2392" s="7"/>
      <c r="N2392" s="5"/>
      <c r="O2392" s="4"/>
    </row>
    <row r="2393" spans="1:15" x14ac:dyDescent="0.2">
      <c r="A2393" s="13"/>
      <c r="B2393" s="14"/>
      <c r="C2393" s="15"/>
      <c r="D2393" s="14"/>
      <c r="E2393" s="16"/>
      <c r="F2393" s="17"/>
      <c r="G2393" s="14"/>
      <c r="H2393" s="7"/>
      <c r="J2393" s="20"/>
      <c r="K2393" s="15"/>
      <c r="L2393" s="7"/>
      <c r="N2393" s="5"/>
      <c r="O2393" s="4"/>
    </row>
    <row r="2394" spans="1:15" x14ac:dyDescent="0.2">
      <c r="A2394" s="13"/>
      <c r="B2394" s="14"/>
      <c r="C2394" s="15"/>
      <c r="D2394" s="14"/>
      <c r="E2394" s="16"/>
      <c r="F2394" s="17"/>
      <c r="G2394" s="14"/>
      <c r="H2394" s="7"/>
      <c r="J2394" s="20"/>
      <c r="K2394" s="15"/>
      <c r="L2394" s="7"/>
      <c r="N2394" s="5"/>
      <c r="O2394" s="4"/>
    </row>
    <row r="2395" spans="1:15" x14ac:dyDescent="0.2">
      <c r="A2395" s="13"/>
      <c r="B2395" s="14"/>
      <c r="C2395" s="15"/>
      <c r="D2395" s="14"/>
      <c r="E2395" s="16"/>
      <c r="F2395" s="17"/>
      <c r="G2395" s="14"/>
      <c r="H2395" s="7"/>
      <c r="J2395" s="20"/>
      <c r="K2395" s="15"/>
      <c r="L2395" s="7"/>
      <c r="N2395" s="5"/>
      <c r="O2395" s="4"/>
    </row>
    <row r="2396" spans="1:15" x14ac:dyDescent="0.2">
      <c r="A2396" s="13"/>
      <c r="B2396" s="14"/>
      <c r="C2396" s="15"/>
      <c r="D2396" s="14"/>
      <c r="E2396" s="16"/>
      <c r="F2396" s="17"/>
      <c r="G2396" s="14"/>
      <c r="H2396" s="7"/>
      <c r="J2396" s="20"/>
      <c r="K2396" s="15"/>
      <c r="L2396" s="7"/>
      <c r="N2396" s="5"/>
      <c r="O2396" s="4"/>
    </row>
    <row r="2397" spans="1:15" x14ac:dyDescent="0.2">
      <c r="A2397" s="13"/>
      <c r="B2397" s="14"/>
      <c r="C2397" s="15"/>
      <c r="D2397" s="14"/>
      <c r="E2397" s="16"/>
      <c r="F2397" s="17"/>
      <c r="G2397" s="14"/>
      <c r="H2397" s="7"/>
      <c r="J2397" s="20"/>
      <c r="K2397" s="15"/>
      <c r="L2397" s="7"/>
      <c r="N2397" s="5"/>
      <c r="O2397" s="4"/>
    </row>
    <row r="2398" spans="1:15" x14ac:dyDescent="0.2">
      <c r="A2398" s="13"/>
      <c r="B2398" s="14"/>
      <c r="C2398" s="15"/>
      <c r="D2398" s="14"/>
      <c r="E2398" s="16"/>
      <c r="F2398" s="17"/>
      <c r="G2398" s="14"/>
      <c r="H2398" s="7"/>
      <c r="J2398" s="20"/>
      <c r="K2398" s="15"/>
      <c r="L2398" s="7"/>
      <c r="N2398" s="5"/>
      <c r="O2398" s="4"/>
    </row>
    <row r="2399" spans="1:15" x14ac:dyDescent="0.2">
      <c r="A2399" s="13"/>
      <c r="B2399" s="14"/>
      <c r="C2399" s="15"/>
      <c r="D2399" s="14"/>
      <c r="E2399" s="16"/>
      <c r="F2399" s="17"/>
      <c r="G2399" s="14"/>
      <c r="H2399" s="7"/>
      <c r="J2399" s="20"/>
      <c r="K2399" s="15"/>
      <c r="L2399" s="7"/>
      <c r="N2399" s="5"/>
      <c r="O2399" s="4"/>
    </row>
    <row r="2400" spans="1:15" x14ac:dyDescent="0.2">
      <c r="A2400" s="13"/>
      <c r="B2400" s="14"/>
      <c r="C2400" s="15"/>
      <c r="D2400" s="14"/>
      <c r="E2400" s="16"/>
      <c r="F2400" s="17"/>
      <c r="G2400" s="14"/>
      <c r="H2400" s="7"/>
      <c r="J2400" s="20"/>
      <c r="K2400" s="15"/>
      <c r="L2400" s="7"/>
      <c r="N2400" s="5"/>
      <c r="O2400" s="4"/>
    </row>
    <row r="2401" spans="1:15" x14ac:dyDescent="0.2">
      <c r="A2401" s="13"/>
      <c r="B2401" s="14"/>
      <c r="C2401" s="15"/>
      <c r="D2401" s="14"/>
      <c r="E2401" s="16"/>
      <c r="F2401" s="17"/>
      <c r="G2401" s="14"/>
      <c r="H2401" s="7"/>
      <c r="J2401" s="20"/>
      <c r="K2401" s="15"/>
      <c r="L2401" s="7"/>
      <c r="N2401" s="5"/>
      <c r="O2401" s="4"/>
    </row>
    <row r="2402" spans="1:15" x14ac:dyDescent="0.2">
      <c r="A2402" s="13"/>
      <c r="B2402" s="14"/>
      <c r="C2402" s="15"/>
      <c r="D2402" s="14"/>
      <c r="E2402" s="16"/>
      <c r="F2402" s="17"/>
      <c r="G2402" s="14"/>
      <c r="H2402" s="7"/>
      <c r="J2402" s="20"/>
      <c r="K2402" s="15"/>
      <c r="L2402" s="7"/>
      <c r="N2402" s="5"/>
      <c r="O2402" s="4"/>
    </row>
    <row r="2403" spans="1:15" x14ac:dyDescent="0.2">
      <c r="A2403" s="13"/>
      <c r="B2403" s="14"/>
      <c r="C2403" s="15"/>
      <c r="D2403" s="14"/>
      <c r="E2403" s="16"/>
      <c r="F2403" s="17"/>
      <c r="G2403" s="14"/>
      <c r="H2403" s="7"/>
      <c r="J2403" s="20"/>
      <c r="K2403" s="15"/>
      <c r="L2403" s="7"/>
      <c r="N2403" s="5"/>
      <c r="O2403" s="4"/>
    </row>
    <row r="2404" spans="1:15" x14ac:dyDescent="0.2">
      <c r="A2404" s="13"/>
      <c r="B2404" s="14"/>
      <c r="C2404" s="15"/>
      <c r="D2404" s="14"/>
      <c r="E2404" s="16"/>
      <c r="F2404" s="17"/>
      <c r="G2404" s="14"/>
      <c r="H2404" s="7"/>
      <c r="J2404" s="20"/>
      <c r="K2404" s="15"/>
      <c r="L2404" s="7"/>
      <c r="N2404" s="5"/>
      <c r="O2404" s="4"/>
    </row>
    <row r="2405" spans="1:15" x14ac:dyDescent="0.2">
      <c r="A2405" s="13"/>
      <c r="B2405" s="14"/>
      <c r="C2405" s="15"/>
      <c r="D2405" s="14"/>
      <c r="E2405" s="16"/>
      <c r="F2405" s="17"/>
      <c r="G2405" s="14"/>
      <c r="H2405" s="7"/>
      <c r="J2405" s="20"/>
      <c r="K2405" s="15"/>
      <c r="L2405" s="7"/>
      <c r="N2405" s="5"/>
      <c r="O2405" s="4"/>
    </row>
    <row r="2406" spans="1:15" x14ac:dyDescent="0.2">
      <c r="A2406" s="13"/>
      <c r="B2406" s="14"/>
      <c r="C2406" s="15"/>
      <c r="D2406" s="14"/>
      <c r="E2406" s="16"/>
      <c r="F2406" s="17"/>
      <c r="G2406" s="14"/>
      <c r="H2406" s="7"/>
      <c r="J2406" s="20"/>
      <c r="K2406" s="15"/>
      <c r="L2406" s="7"/>
      <c r="N2406" s="5"/>
      <c r="O2406" s="4"/>
    </row>
    <row r="2407" spans="1:15" x14ac:dyDescent="0.2">
      <c r="A2407" s="13"/>
      <c r="B2407" s="14"/>
      <c r="C2407" s="15"/>
      <c r="D2407" s="14"/>
      <c r="E2407" s="16"/>
      <c r="F2407" s="17"/>
      <c r="G2407" s="14"/>
      <c r="H2407" s="7"/>
      <c r="J2407" s="20"/>
      <c r="K2407" s="15"/>
      <c r="L2407" s="7"/>
      <c r="N2407" s="5"/>
      <c r="O2407" s="4"/>
    </row>
    <row r="2408" spans="1:15" x14ac:dyDescent="0.2">
      <c r="A2408" s="13"/>
      <c r="B2408" s="14"/>
      <c r="C2408" s="15"/>
      <c r="D2408" s="14"/>
      <c r="E2408" s="16"/>
      <c r="F2408" s="17"/>
      <c r="G2408" s="14"/>
      <c r="H2408" s="7"/>
      <c r="J2408" s="20"/>
      <c r="K2408" s="15"/>
      <c r="L2408" s="7"/>
      <c r="N2408" s="5"/>
      <c r="O2408" s="4"/>
    </row>
    <row r="2409" spans="1:15" x14ac:dyDescent="0.2">
      <c r="A2409" s="13"/>
      <c r="B2409" s="14"/>
      <c r="C2409" s="15"/>
      <c r="D2409" s="14"/>
      <c r="E2409" s="16"/>
      <c r="F2409" s="17"/>
      <c r="G2409" s="14"/>
      <c r="H2409" s="7"/>
      <c r="J2409" s="20"/>
      <c r="K2409" s="15"/>
      <c r="L2409" s="7"/>
      <c r="N2409" s="5"/>
      <c r="O2409" s="4"/>
    </row>
    <row r="2410" spans="1:15" x14ac:dyDescent="0.2">
      <c r="A2410" s="13"/>
      <c r="B2410" s="14"/>
      <c r="C2410" s="15"/>
      <c r="D2410" s="14"/>
      <c r="E2410" s="16"/>
      <c r="F2410" s="17"/>
      <c r="G2410" s="14"/>
      <c r="H2410" s="7"/>
      <c r="J2410" s="20"/>
      <c r="K2410" s="15"/>
      <c r="L2410" s="7"/>
      <c r="N2410" s="5"/>
      <c r="O2410" s="4"/>
    </row>
    <row r="2411" spans="1:15" x14ac:dyDescent="0.2">
      <c r="A2411" s="13"/>
      <c r="B2411" s="14"/>
      <c r="C2411" s="15"/>
      <c r="D2411" s="14"/>
      <c r="E2411" s="16"/>
      <c r="F2411" s="17"/>
      <c r="G2411" s="14"/>
      <c r="H2411" s="7"/>
      <c r="J2411" s="20"/>
      <c r="K2411" s="15"/>
      <c r="L2411" s="7"/>
      <c r="N2411" s="5"/>
      <c r="O2411" s="4"/>
    </row>
    <row r="2412" spans="1:15" x14ac:dyDescent="0.2">
      <c r="A2412" s="13"/>
      <c r="B2412" s="14"/>
      <c r="C2412" s="15"/>
      <c r="D2412" s="14"/>
      <c r="E2412" s="16"/>
      <c r="F2412" s="17"/>
      <c r="G2412" s="14"/>
      <c r="H2412" s="7"/>
      <c r="J2412" s="20"/>
      <c r="K2412" s="15"/>
      <c r="L2412" s="7"/>
      <c r="N2412" s="5"/>
      <c r="O2412" s="4"/>
    </row>
    <row r="2413" spans="1:15" x14ac:dyDescent="0.2">
      <c r="A2413" s="13"/>
      <c r="B2413" s="14"/>
      <c r="C2413" s="15"/>
      <c r="D2413" s="14"/>
      <c r="E2413" s="16"/>
      <c r="F2413" s="17"/>
      <c r="G2413" s="14"/>
      <c r="H2413" s="7"/>
      <c r="J2413" s="20"/>
      <c r="K2413" s="15"/>
      <c r="L2413" s="7"/>
      <c r="N2413" s="5"/>
      <c r="O2413" s="4"/>
    </row>
    <row r="2414" spans="1:15" x14ac:dyDescent="0.2">
      <c r="A2414" s="13"/>
      <c r="B2414" s="14"/>
      <c r="C2414" s="15"/>
      <c r="D2414" s="14"/>
      <c r="E2414" s="16"/>
      <c r="F2414" s="17"/>
      <c r="G2414" s="14"/>
      <c r="H2414" s="7"/>
      <c r="J2414" s="20"/>
      <c r="K2414" s="15"/>
      <c r="L2414" s="7"/>
      <c r="N2414" s="5"/>
      <c r="O2414" s="4"/>
    </row>
    <row r="2415" spans="1:15" x14ac:dyDescent="0.2">
      <c r="A2415" s="13"/>
      <c r="B2415" s="14"/>
      <c r="C2415" s="15"/>
      <c r="D2415" s="14"/>
      <c r="E2415" s="16"/>
      <c r="F2415" s="17"/>
      <c r="G2415" s="14"/>
      <c r="H2415" s="7"/>
      <c r="J2415" s="20"/>
      <c r="K2415" s="15"/>
      <c r="L2415" s="7"/>
      <c r="N2415" s="5"/>
      <c r="O2415" s="4"/>
    </row>
    <row r="2416" spans="1:15" x14ac:dyDescent="0.2">
      <c r="A2416" s="13"/>
      <c r="B2416" s="14"/>
      <c r="C2416" s="15"/>
      <c r="D2416" s="14"/>
      <c r="E2416" s="16"/>
      <c r="F2416" s="17"/>
      <c r="G2416" s="14"/>
      <c r="H2416" s="7"/>
      <c r="J2416" s="20"/>
      <c r="K2416" s="15"/>
      <c r="L2416" s="7"/>
      <c r="N2416" s="5"/>
      <c r="O2416" s="4"/>
    </row>
    <row r="2417" spans="1:15" x14ac:dyDescent="0.2">
      <c r="A2417" s="13"/>
      <c r="B2417" s="14"/>
      <c r="C2417" s="15"/>
      <c r="D2417" s="14"/>
      <c r="E2417" s="16"/>
      <c r="F2417" s="17"/>
      <c r="G2417" s="14"/>
      <c r="H2417" s="7"/>
      <c r="J2417" s="20"/>
      <c r="K2417" s="15"/>
      <c r="L2417" s="7"/>
      <c r="N2417" s="5"/>
      <c r="O2417" s="4"/>
    </row>
    <row r="2418" spans="1:15" x14ac:dyDescent="0.2">
      <c r="A2418" s="13"/>
      <c r="B2418" s="14"/>
      <c r="C2418" s="15"/>
      <c r="D2418" s="14"/>
      <c r="E2418" s="16"/>
      <c r="F2418" s="17"/>
      <c r="G2418" s="14"/>
      <c r="H2418" s="7"/>
      <c r="J2418" s="20"/>
      <c r="K2418" s="15"/>
      <c r="L2418" s="7"/>
      <c r="N2418" s="5"/>
      <c r="O2418" s="4"/>
    </row>
    <row r="2419" spans="1:15" x14ac:dyDescent="0.2">
      <c r="A2419" s="13"/>
      <c r="B2419" s="14"/>
      <c r="C2419" s="15"/>
      <c r="D2419" s="14"/>
      <c r="E2419" s="16"/>
      <c r="F2419" s="17"/>
      <c r="G2419" s="14"/>
      <c r="H2419" s="7"/>
      <c r="J2419" s="20"/>
      <c r="K2419" s="15"/>
      <c r="L2419" s="7"/>
      <c r="N2419" s="5"/>
      <c r="O2419" s="4"/>
    </row>
    <row r="2420" spans="1:15" x14ac:dyDescent="0.2">
      <c r="A2420" s="13"/>
      <c r="B2420" s="14"/>
      <c r="C2420" s="15"/>
      <c r="D2420" s="14"/>
      <c r="E2420" s="16"/>
      <c r="F2420" s="17"/>
      <c r="G2420" s="14"/>
      <c r="H2420" s="7"/>
      <c r="J2420" s="20"/>
      <c r="K2420" s="15"/>
      <c r="L2420" s="7"/>
      <c r="N2420" s="5"/>
      <c r="O2420" s="4"/>
    </row>
    <row r="2421" spans="1:15" x14ac:dyDescent="0.2">
      <c r="A2421" s="13"/>
      <c r="B2421" s="14"/>
      <c r="C2421" s="15"/>
      <c r="D2421" s="14"/>
      <c r="E2421" s="16"/>
      <c r="F2421" s="17"/>
      <c r="G2421" s="14"/>
      <c r="H2421" s="7"/>
      <c r="J2421" s="20"/>
      <c r="K2421" s="15"/>
      <c r="L2421" s="7"/>
      <c r="N2421" s="5"/>
      <c r="O2421" s="4"/>
    </row>
    <row r="2422" spans="1:15" x14ac:dyDescent="0.2">
      <c r="A2422" s="13"/>
      <c r="B2422" s="14"/>
      <c r="C2422" s="15"/>
      <c r="D2422" s="14"/>
      <c r="E2422" s="16"/>
      <c r="F2422" s="17"/>
      <c r="G2422" s="14"/>
      <c r="H2422" s="7"/>
      <c r="J2422" s="20"/>
      <c r="K2422" s="15"/>
      <c r="L2422" s="7"/>
      <c r="N2422" s="5"/>
      <c r="O2422" s="4"/>
    </row>
    <row r="2423" spans="1:15" x14ac:dyDescent="0.2">
      <c r="A2423" s="13"/>
      <c r="B2423" s="14"/>
      <c r="C2423" s="15"/>
      <c r="D2423" s="14"/>
      <c r="E2423" s="16"/>
      <c r="F2423" s="17"/>
      <c r="G2423" s="14"/>
      <c r="H2423" s="7"/>
      <c r="J2423" s="20"/>
      <c r="K2423" s="15"/>
      <c r="L2423" s="7"/>
      <c r="N2423" s="5"/>
      <c r="O2423" s="4"/>
    </row>
    <row r="2424" spans="1:15" x14ac:dyDescent="0.2">
      <c r="A2424" s="13"/>
      <c r="B2424" s="14"/>
      <c r="C2424" s="15"/>
      <c r="D2424" s="14"/>
      <c r="E2424" s="16"/>
      <c r="F2424" s="17"/>
      <c r="G2424" s="14"/>
      <c r="H2424" s="7"/>
      <c r="J2424" s="20"/>
      <c r="K2424" s="15"/>
      <c r="L2424" s="7"/>
      <c r="N2424" s="5"/>
      <c r="O2424" s="4"/>
    </row>
    <row r="2425" spans="1:15" x14ac:dyDescent="0.2">
      <c r="A2425" s="13"/>
      <c r="B2425" s="14"/>
      <c r="C2425" s="15"/>
      <c r="D2425" s="14"/>
      <c r="E2425" s="16"/>
      <c r="F2425" s="17"/>
      <c r="G2425" s="14"/>
      <c r="H2425" s="7"/>
      <c r="J2425" s="20"/>
      <c r="K2425" s="15"/>
      <c r="L2425" s="7"/>
      <c r="N2425" s="5"/>
      <c r="O2425" s="4"/>
    </row>
    <row r="2426" spans="1:15" x14ac:dyDescent="0.2">
      <c r="A2426" s="13"/>
      <c r="B2426" s="14"/>
      <c r="C2426" s="15"/>
      <c r="D2426" s="14"/>
      <c r="E2426" s="16"/>
      <c r="F2426" s="17"/>
      <c r="G2426" s="14"/>
      <c r="H2426" s="7"/>
      <c r="J2426" s="20"/>
      <c r="K2426" s="15"/>
      <c r="L2426" s="7"/>
      <c r="N2426" s="5"/>
      <c r="O2426" s="4"/>
    </row>
    <row r="2427" spans="1:15" x14ac:dyDescent="0.2">
      <c r="A2427" s="13"/>
      <c r="B2427" s="14"/>
      <c r="C2427" s="15"/>
      <c r="D2427" s="14"/>
      <c r="E2427" s="16"/>
      <c r="F2427" s="17"/>
      <c r="G2427" s="14"/>
      <c r="H2427" s="7"/>
      <c r="J2427" s="20"/>
      <c r="K2427" s="15"/>
      <c r="L2427" s="7"/>
      <c r="N2427" s="5"/>
      <c r="O2427" s="4"/>
    </row>
    <row r="2428" spans="1:15" x14ac:dyDescent="0.2">
      <c r="A2428" s="13"/>
      <c r="B2428" s="14"/>
      <c r="C2428" s="15"/>
      <c r="D2428" s="14"/>
      <c r="E2428" s="16"/>
      <c r="F2428" s="17"/>
      <c r="G2428" s="14"/>
      <c r="H2428" s="7"/>
      <c r="J2428" s="20"/>
      <c r="K2428" s="15"/>
      <c r="L2428" s="7"/>
      <c r="N2428" s="5"/>
      <c r="O2428" s="4"/>
    </row>
    <row r="2429" spans="1:15" x14ac:dyDescent="0.2">
      <c r="A2429" s="13"/>
      <c r="B2429" s="14"/>
      <c r="C2429" s="15"/>
      <c r="D2429" s="14"/>
      <c r="E2429" s="16"/>
      <c r="F2429" s="17"/>
      <c r="G2429" s="14"/>
      <c r="H2429" s="7"/>
      <c r="J2429" s="20"/>
      <c r="K2429" s="15"/>
      <c r="L2429" s="7"/>
      <c r="N2429" s="5"/>
      <c r="O2429" s="4"/>
    </row>
    <row r="2430" spans="1:15" x14ac:dyDescent="0.2">
      <c r="A2430" s="13"/>
      <c r="B2430" s="14"/>
      <c r="C2430" s="15"/>
      <c r="D2430" s="14"/>
      <c r="E2430" s="16"/>
      <c r="F2430" s="17"/>
      <c r="G2430" s="14"/>
      <c r="H2430" s="7"/>
      <c r="J2430" s="20"/>
      <c r="K2430" s="15"/>
      <c r="L2430" s="7"/>
      <c r="N2430" s="5"/>
      <c r="O2430" s="4"/>
    </row>
    <row r="2431" spans="1:15" x14ac:dyDescent="0.2">
      <c r="A2431" s="13"/>
      <c r="B2431" s="14"/>
      <c r="C2431" s="15"/>
      <c r="D2431" s="14"/>
      <c r="E2431" s="16"/>
      <c r="F2431" s="17"/>
      <c r="G2431" s="14"/>
      <c r="H2431" s="7"/>
      <c r="J2431" s="20"/>
      <c r="K2431" s="15"/>
      <c r="L2431" s="7"/>
      <c r="N2431" s="5"/>
      <c r="O2431" s="4"/>
    </row>
    <row r="2432" spans="1:15" x14ac:dyDescent="0.2">
      <c r="A2432" s="13"/>
      <c r="B2432" s="14"/>
      <c r="C2432" s="15"/>
      <c r="D2432" s="14"/>
      <c r="E2432" s="16"/>
      <c r="F2432" s="17"/>
      <c r="G2432" s="14"/>
      <c r="H2432" s="7"/>
      <c r="J2432" s="20"/>
      <c r="K2432" s="15"/>
      <c r="L2432" s="7"/>
      <c r="N2432" s="5"/>
      <c r="O2432" s="4"/>
    </row>
    <row r="2433" spans="1:15" x14ac:dyDescent="0.2">
      <c r="A2433" s="13"/>
      <c r="B2433" s="14"/>
      <c r="C2433" s="15"/>
      <c r="D2433" s="14"/>
      <c r="E2433" s="16"/>
      <c r="F2433" s="17"/>
      <c r="G2433" s="14"/>
      <c r="H2433" s="7"/>
      <c r="J2433" s="20"/>
      <c r="K2433" s="15"/>
      <c r="L2433" s="7"/>
      <c r="N2433" s="5"/>
      <c r="O2433" s="4"/>
    </row>
    <row r="2434" spans="1:15" x14ac:dyDescent="0.2">
      <c r="A2434" s="13"/>
      <c r="B2434" s="14"/>
      <c r="C2434" s="15"/>
      <c r="D2434" s="14"/>
      <c r="E2434" s="16"/>
      <c r="F2434" s="17"/>
      <c r="G2434" s="14"/>
      <c r="H2434" s="7"/>
      <c r="J2434" s="20"/>
      <c r="K2434" s="15"/>
      <c r="L2434" s="7"/>
      <c r="N2434" s="5"/>
      <c r="O2434" s="4"/>
    </row>
    <row r="2435" spans="1:15" x14ac:dyDescent="0.2">
      <c r="A2435" s="13"/>
      <c r="B2435" s="14"/>
      <c r="C2435" s="15"/>
      <c r="D2435" s="14"/>
      <c r="E2435" s="16"/>
      <c r="F2435" s="17"/>
      <c r="G2435" s="14"/>
      <c r="H2435" s="7"/>
      <c r="J2435" s="20"/>
      <c r="K2435" s="15"/>
      <c r="L2435" s="7"/>
      <c r="N2435" s="5"/>
      <c r="O2435" s="4"/>
    </row>
    <row r="2436" spans="1:15" x14ac:dyDescent="0.2">
      <c r="A2436" s="13"/>
      <c r="B2436" s="14"/>
      <c r="C2436" s="15"/>
      <c r="D2436" s="14"/>
      <c r="E2436" s="16"/>
      <c r="F2436" s="17"/>
      <c r="G2436" s="14"/>
      <c r="H2436" s="7"/>
      <c r="J2436" s="20"/>
      <c r="K2436" s="15"/>
      <c r="L2436" s="7"/>
      <c r="N2436" s="5"/>
      <c r="O2436" s="4"/>
    </row>
    <row r="2437" spans="1:15" x14ac:dyDescent="0.2">
      <c r="A2437" s="13"/>
      <c r="B2437" s="14"/>
      <c r="C2437" s="15"/>
      <c r="D2437" s="14"/>
      <c r="E2437" s="16"/>
      <c r="F2437" s="17"/>
      <c r="G2437" s="14"/>
      <c r="H2437" s="7"/>
      <c r="J2437" s="20"/>
      <c r="K2437" s="15"/>
      <c r="L2437" s="7"/>
      <c r="N2437" s="5"/>
      <c r="O2437" s="4"/>
    </row>
    <row r="2438" spans="1:15" x14ac:dyDescent="0.2">
      <c r="A2438" s="13"/>
      <c r="B2438" s="14"/>
      <c r="C2438" s="15"/>
      <c r="D2438" s="14"/>
      <c r="E2438" s="16"/>
      <c r="F2438" s="17"/>
      <c r="G2438" s="14"/>
      <c r="H2438" s="7"/>
      <c r="J2438" s="20"/>
      <c r="K2438" s="15"/>
      <c r="L2438" s="7"/>
      <c r="N2438" s="5"/>
      <c r="O2438" s="4"/>
    </row>
    <row r="2439" spans="1:15" x14ac:dyDescent="0.2">
      <c r="A2439" s="13"/>
      <c r="B2439" s="14"/>
      <c r="C2439" s="15"/>
      <c r="D2439" s="14"/>
      <c r="E2439" s="16"/>
      <c r="F2439" s="17"/>
      <c r="G2439" s="14"/>
      <c r="H2439" s="7"/>
      <c r="J2439" s="20"/>
      <c r="K2439" s="15"/>
      <c r="L2439" s="7"/>
      <c r="N2439" s="5"/>
      <c r="O2439" s="4"/>
    </row>
    <row r="2440" spans="1:15" x14ac:dyDescent="0.2">
      <c r="A2440" s="13"/>
      <c r="B2440" s="14"/>
      <c r="C2440" s="15"/>
      <c r="D2440" s="14"/>
      <c r="E2440" s="16"/>
      <c r="F2440" s="17"/>
      <c r="G2440" s="14"/>
      <c r="H2440" s="7"/>
      <c r="J2440" s="20"/>
      <c r="K2440" s="15"/>
      <c r="L2440" s="7"/>
      <c r="N2440" s="5"/>
      <c r="O2440" s="4"/>
    </row>
    <row r="2441" spans="1:15" x14ac:dyDescent="0.2">
      <c r="A2441" s="13"/>
      <c r="B2441" s="14"/>
      <c r="C2441" s="15"/>
      <c r="D2441" s="14"/>
      <c r="E2441" s="16"/>
      <c r="F2441" s="17"/>
      <c r="G2441" s="14"/>
      <c r="H2441" s="7"/>
      <c r="J2441" s="20"/>
      <c r="K2441" s="15"/>
      <c r="L2441" s="7"/>
      <c r="N2441" s="5"/>
      <c r="O2441" s="4"/>
    </row>
    <row r="2442" spans="1:15" x14ac:dyDescent="0.2">
      <c r="A2442" s="13"/>
      <c r="B2442" s="14"/>
      <c r="C2442" s="15"/>
      <c r="D2442" s="14"/>
      <c r="E2442" s="16"/>
      <c r="F2442" s="17"/>
      <c r="G2442" s="14"/>
      <c r="H2442" s="7"/>
      <c r="J2442" s="20"/>
      <c r="K2442" s="15"/>
      <c r="L2442" s="7"/>
      <c r="N2442" s="5"/>
      <c r="O2442" s="4"/>
    </row>
    <row r="2443" spans="1:15" x14ac:dyDescent="0.2">
      <c r="A2443" s="13"/>
      <c r="B2443" s="14"/>
      <c r="C2443" s="15"/>
      <c r="D2443" s="14"/>
      <c r="E2443" s="16"/>
      <c r="F2443" s="17"/>
      <c r="G2443" s="14"/>
      <c r="H2443" s="7"/>
      <c r="J2443" s="20"/>
      <c r="K2443" s="15"/>
      <c r="L2443" s="7"/>
      <c r="N2443" s="5"/>
      <c r="O2443" s="4"/>
    </row>
    <row r="2444" spans="1:15" x14ac:dyDescent="0.2">
      <c r="A2444" s="13"/>
      <c r="B2444" s="14"/>
      <c r="C2444" s="15"/>
      <c r="D2444" s="14"/>
      <c r="E2444" s="16"/>
      <c r="F2444" s="17"/>
      <c r="G2444" s="14"/>
      <c r="H2444" s="7"/>
      <c r="J2444" s="20"/>
      <c r="K2444" s="15"/>
      <c r="L2444" s="7"/>
      <c r="N2444" s="5"/>
      <c r="O2444" s="4"/>
    </row>
    <row r="2445" spans="1:15" x14ac:dyDescent="0.2">
      <c r="A2445" s="13"/>
      <c r="B2445" s="14"/>
      <c r="C2445" s="15"/>
      <c r="D2445" s="14"/>
      <c r="E2445" s="16"/>
      <c r="F2445" s="17"/>
      <c r="G2445" s="14"/>
      <c r="H2445" s="7"/>
      <c r="J2445" s="20"/>
      <c r="K2445" s="15"/>
      <c r="L2445" s="7"/>
      <c r="N2445" s="5"/>
      <c r="O2445" s="4"/>
    </row>
    <row r="2446" spans="1:15" x14ac:dyDescent="0.2">
      <c r="A2446" s="13"/>
      <c r="B2446" s="14"/>
      <c r="C2446" s="15"/>
      <c r="D2446" s="14"/>
      <c r="E2446" s="16"/>
      <c r="F2446" s="17"/>
      <c r="G2446" s="14"/>
      <c r="H2446" s="7"/>
      <c r="J2446" s="20"/>
      <c r="K2446" s="15"/>
      <c r="L2446" s="7"/>
      <c r="N2446" s="5"/>
      <c r="O2446" s="4"/>
    </row>
    <row r="2447" spans="1:15" x14ac:dyDescent="0.2">
      <c r="A2447" s="13"/>
      <c r="B2447" s="14"/>
      <c r="C2447" s="15"/>
      <c r="D2447" s="14"/>
      <c r="E2447" s="16"/>
      <c r="F2447" s="17"/>
      <c r="G2447" s="14"/>
      <c r="H2447" s="7"/>
      <c r="J2447" s="20"/>
      <c r="K2447" s="15"/>
      <c r="L2447" s="7"/>
      <c r="N2447" s="5"/>
      <c r="O2447" s="4"/>
    </row>
    <row r="2448" spans="1:15" x14ac:dyDescent="0.2">
      <c r="A2448" s="13"/>
      <c r="B2448" s="14"/>
      <c r="C2448" s="15"/>
      <c r="D2448" s="14"/>
      <c r="E2448" s="16"/>
      <c r="F2448" s="17"/>
      <c r="G2448" s="14"/>
      <c r="H2448" s="7"/>
      <c r="J2448" s="20"/>
      <c r="K2448" s="15"/>
      <c r="L2448" s="7"/>
      <c r="N2448" s="5"/>
      <c r="O2448" s="4"/>
    </row>
    <row r="2449" spans="1:15" x14ac:dyDescent="0.2">
      <c r="A2449" s="13"/>
      <c r="B2449" s="14"/>
      <c r="C2449" s="15"/>
      <c r="D2449" s="14"/>
      <c r="E2449" s="16"/>
      <c r="F2449" s="17"/>
      <c r="G2449" s="14"/>
      <c r="H2449" s="7"/>
      <c r="J2449" s="20"/>
      <c r="K2449" s="15"/>
      <c r="L2449" s="7"/>
      <c r="N2449" s="5"/>
      <c r="O2449" s="4"/>
    </row>
    <row r="2450" spans="1:15" x14ac:dyDescent="0.2">
      <c r="A2450" s="13"/>
      <c r="B2450" s="14"/>
      <c r="C2450" s="15"/>
      <c r="D2450" s="14"/>
      <c r="E2450" s="16"/>
      <c r="F2450" s="17"/>
      <c r="G2450" s="14"/>
      <c r="H2450" s="7"/>
      <c r="J2450" s="20"/>
      <c r="K2450" s="15"/>
      <c r="L2450" s="7"/>
      <c r="N2450" s="5"/>
      <c r="O2450" s="4"/>
    </row>
    <row r="2451" spans="1:15" x14ac:dyDescent="0.2">
      <c r="A2451" s="13"/>
      <c r="B2451" s="14"/>
      <c r="C2451" s="15"/>
      <c r="D2451" s="14"/>
      <c r="E2451" s="16"/>
      <c r="F2451" s="17"/>
      <c r="G2451" s="14"/>
      <c r="H2451" s="7"/>
      <c r="J2451" s="20"/>
      <c r="K2451" s="15"/>
      <c r="L2451" s="7"/>
      <c r="N2451" s="5"/>
      <c r="O2451" s="4"/>
    </row>
    <row r="2452" spans="1:15" x14ac:dyDescent="0.2">
      <c r="A2452" s="13"/>
      <c r="B2452" s="14"/>
      <c r="C2452" s="15"/>
      <c r="D2452" s="14"/>
      <c r="E2452" s="16"/>
      <c r="F2452" s="17"/>
      <c r="G2452" s="14"/>
      <c r="H2452" s="7"/>
      <c r="J2452" s="20"/>
      <c r="K2452" s="15"/>
      <c r="L2452" s="7"/>
      <c r="N2452" s="5"/>
      <c r="O2452" s="4"/>
    </row>
    <row r="2453" spans="1:15" x14ac:dyDescent="0.2">
      <c r="A2453" s="13"/>
      <c r="B2453" s="14"/>
      <c r="C2453" s="15"/>
      <c r="D2453" s="14"/>
      <c r="E2453" s="16"/>
      <c r="F2453" s="17"/>
      <c r="G2453" s="14"/>
      <c r="H2453" s="7"/>
      <c r="J2453" s="20"/>
      <c r="K2453" s="15"/>
      <c r="L2453" s="7"/>
      <c r="N2453" s="5"/>
      <c r="O2453" s="4"/>
    </row>
    <row r="2454" spans="1:15" x14ac:dyDescent="0.2">
      <c r="A2454" s="13"/>
      <c r="B2454" s="14"/>
      <c r="C2454" s="15"/>
      <c r="D2454" s="14"/>
      <c r="E2454" s="16"/>
      <c r="F2454" s="17"/>
      <c r="G2454" s="14"/>
      <c r="H2454" s="7"/>
      <c r="J2454" s="20"/>
      <c r="K2454" s="15"/>
      <c r="L2454" s="7"/>
      <c r="N2454" s="5"/>
      <c r="O2454" s="4"/>
    </row>
    <row r="2455" spans="1:15" x14ac:dyDescent="0.2">
      <c r="A2455" s="13"/>
      <c r="B2455" s="14"/>
      <c r="C2455" s="15"/>
      <c r="D2455" s="14"/>
      <c r="E2455" s="16"/>
      <c r="F2455" s="17"/>
      <c r="G2455" s="14"/>
      <c r="H2455" s="7"/>
      <c r="J2455" s="20"/>
      <c r="K2455" s="15"/>
      <c r="L2455" s="7"/>
      <c r="N2455" s="5"/>
      <c r="O2455" s="4"/>
    </row>
    <row r="2456" spans="1:15" x14ac:dyDescent="0.2">
      <c r="A2456" s="13"/>
      <c r="B2456" s="14"/>
      <c r="C2456" s="15"/>
      <c r="D2456" s="14"/>
      <c r="E2456" s="16"/>
      <c r="F2456" s="17"/>
      <c r="G2456" s="14"/>
      <c r="H2456" s="7"/>
      <c r="J2456" s="20"/>
      <c r="K2456" s="15"/>
      <c r="L2456" s="7"/>
      <c r="N2456" s="5"/>
      <c r="O2456" s="4"/>
    </row>
    <row r="2457" spans="1:15" x14ac:dyDescent="0.2">
      <c r="A2457" s="13"/>
      <c r="B2457" s="14"/>
      <c r="C2457" s="15"/>
      <c r="D2457" s="14"/>
      <c r="E2457" s="16"/>
      <c r="F2457" s="17"/>
      <c r="G2457" s="14"/>
      <c r="H2457" s="7"/>
      <c r="J2457" s="20"/>
      <c r="K2457" s="15"/>
      <c r="L2457" s="7"/>
      <c r="N2457" s="5"/>
      <c r="O2457" s="4"/>
    </row>
    <row r="2458" spans="1:15" x14ac:dyDescent="0.2">
      <c r="A2458" s="13"/>
      <c r="B2458" s="14"/>
      <c r="C2458" s="15"/>
      <c r="D2458" s="14"/>
      <c r="E2458" s="16"/>
      <c r="F2458" s="17"/>
      <c r="G2458" s="14"/>
      <c r="H2458" s="7"/>
      <c r="J2458" s="20"/>
      <c r="K2458" s="15"/>
      <c r="L2458" s="7"/>
      <c r="N2458" s="5"/>
      <c r="O2458" s="4"/>
    </row>
    <row r="2459" spans="1:15" x14ac:dyDescent="0.2">
      <c r="A2459" s="13"/>
      <c r="B2459" s="14"/>
      <c r="C2459" s="15"/>
      <c r="D2459" s="14"/>
      <c r="E2459" s="16"/>
      <c r="F2459" s="17"/>
      <c r="G2459" s="14"/>
      <c r="H2459" s="7"/>
      <c r="J2459" s="20"/>
      <c r="K2459" s="15"/>
      <c r="L2459" s="7"/>
      <c r="N2459" s="5"/>
      <c r="O2459" s="4"/>
    </row>
    <row r="2460" spans="1:15" x14ac:dyDescent="0.2">
      <c r="A2460" s="13"/>
      <c r="B2460" s="14"/>
      <c r="C2460" s="15"/>
      <c r="D2460" s="14"/>
      <c r="E2460" s="16"/>
      <c r="F2460" s="17"/>
      <c r="G2460" s="14"/>
      <c r="H2460" s="7"/>
      <c r="J2460" s="20"/>
      <c r="K2460" s="15"/>
      <c r="L2460" s="7"/>
      <c r="N2460" s="5"/>
      <c r="O2460" s="4"/>
    </row>
    <row r="2461" spans="1:15" x14ac:dyDescent="0.2">
      <c r="A2461" s="13"/>
      <c r="B2461" s="14"/>
      <c r="C2461" s="15"/>
      <c r="D2461" s="14"/>
      <c r="E2461" s="16"/>
      <c r="F2461" s="17"/>
      <c r="G2461" s="14"/>
      <c r="H2461" s="7"/>
      <c r="J2461" s="20"/>
      <c r="K2461" s="15"/>
      <c r="L2461" s="7"/>
      <c r="N2461" s="5"/>
      <c r="O2461" s="4"/>
    </row>
    <row r="2462" spans="1:15" x14ac:dyDescent="0.2">
      <c r="A2462" s="13"/>
      <c r="B2462" s="14"/>
      <c r="C2462" s="15"/>
      <c r="D2462" s="14"/>
      <c r="E2462" s="16"/>
      <c r="F2462" s="17"/>
      <c r="G2462" s="14"/>
      <c r="H2462" s="7"/>
      <c r="J2462" s="20"/>
      <c r="K2462" s="15"/>
      <c r="L2462" s="7"/>
      <c r="N2462" s="5"/>
      <c r="O2462" s="4"/>
    </row>
    <row r="2463" spans="1:15" x14ac:dyDescent="0.2">
      <c r="A2463" s="13"/>
      <c r="B2463" s="14"/>
      <c r="C2463" s="15"/>
      <c r="D2463" s="14"/>
      <c r="E2463" s="16"/>
      <c r="F2463" s="17"/>
      <c r="G2463" s="14"/>
      <c r="H2463" s="7"/>
      <c r="J2463" s="20"/>
      <c r="K2463" s="15"/>
      <c r="L2463" s="7"/>
      <c r="N2463" s="5"/>
      <c r="O2463" s="4"/>
    </row>
    <row r="2464" spans="1:15" x14ac:dyDescent="0.2">
      <c r="A2464" s="13"/>
      <c r="B2464" s="14"/>
      <c r="C2464" s="15"/>
      <c r="D2464" s="14"/>
      <c r="E2464" s="16"/>
      <c r="F2464" s="17"/>
      <c r="G2464" s="14"/>
      <c r="H2464" s="7"/>
      <c r="J2464" s="20"/>
      <c r="K2464" s="15"/>
      <c r="L2464" s="7"/>
      <c r="N2464" s="5"/>
      <c r="O2464" s="4"/>
    </row>
    <row r="2465" spans="1:15" x14ac:dyDescent="0.2">
      <c r="A2465" s="13"/>
      <c r="B2465" s="14"/>
      <c r="C2465" s="15"/>
      <c r="D2465" s="14"/>
      <c r="E2465" s="16"/>
      <c r="F2465" s="17"/>
      <c r="G2465" s="14"/>
      <c r="H2465" s="7"/>
      <c r="J2465" s="20"/>
      <c r="K2465" s="15"/>
      <c r="L2465" s="7"/>
      <c r="N2465" s="5"/>
      <c r="O2465" s="4"/>
    </row>
    <row r="2466" spans="1:15" x14ac:dyDescent="0.2">
      <c r="A2466" s="13"/>
      <c r="B2466" s="14"/>
      <c r="C2466" s="15"/>
      <c r="D2466" s="14"/>
      <c r="E2466" s="16"/>
      <c r="F2466" s="17"/>
      <c r="G2466" s="14"/>
      <c r="H2466" s="7"/>
      <c r="J2466" s="20"/>
      <c r="K2466" s="15"/>
      <c r="L2466" s="7"/>
      <c r="N2466" s="5"/>
      <c r="O2466" s="4"/>
    </row>
    <row r="2467" spans="1:15" x14ac:dyDescent="0.2">
      <c r="A2467" s="13"/>
      <c r="B2467" s="14"/>
      <c r="C2467" s="15"/>
      <c r="D2467" s="14"/>
      <c r="E2467" s="16"/>
      <c r="F2467" s="17"/>
      <c r="G2467" s="14"/>
      <c r="H2467" s="7"/>
      <c r="J2467" s="20"/>
      <c r="K2467" s="15"/>
      <c r="L2467" s="7"/>
      <c r="N2467" s="5"/>
      <c r="O2467" s="4"/>
    </row>
    <row r="2468" spans="1:15" x14ac:dyDescent="0.2">
      <c r="A2468" s="13"/>
      <c r="B2468" s="14"/>
      <c r="C2468" s="15"/>
      <c r="D2468" s="14"/>
      <c r="E2468" s="16"/>
      <c r="F2468" s="17"/>
      <c r="G2468" s="14"/>
      <c r="H2468" s="7"/>
      <c r="J2468" s="20"/>
      <c r="K2468" s="15"/>
      <c r="L2468" s="7"/>
      <c r="N2468" s="5"/>
      <c r="O2468" s="4"/>
    </row>
    <row r="2469" spans="1:15" x14ac:dyDescent="0.2">
      <c r="A2469" s="13"/>
      <c r="B2469" s="14"/>
      <c r="C2469" s="15"/>
      <c r="D2469" s="14"/>
      <c r="E2469" s="16"/>
      <c r="F2469" s="17"/>
      <c r="G2469" s="14"/>
      <c r="H2469" s="7"/>
      <c r="J2469" s="20"/>
      <c r="K2469" s="15"/>
      <c r="L2469" s="7"/>
      <c r="N2469" s="5"/>
      <c r="O2469" s="4"/>
    </row>
    <row r="2470" spans="1:15" x14ac:dyDescent="0.2">
      <c r="A2470" s="13"/>
      <c r="B2470" s="14"/>
      <c r="C2470" s="15"/>
      <c r="D2470" s="14"/>
      <c r="E2470" s="16"/>
      <c r="F2470" s="17"/>
      <c r="G2470" s="14"/>
      <c r="H2470" s="7"/>
      <c r="J2470" s="20"/>
      <c r="K2470" s="15"/>
      <c r="L2470" s="7"/>
      <c r="N2470" s="5"/>
      <c r="O2470" s="4"/>
    </row>
    <row r="2471" spans="1:15" x14ac:dyDescent="0.2">
      <c r="A2471" s="13"/>
      <c r="B2471" s="14"/>
      <c r="C2471" s="15"/>
      <c r="D2471" s="14"/>
      <c r="E2471" s="16"/>
      <c r="F2471" s="17"/>
      <c r="G2471" s="14"/>
      <c r="H2471" s="7"/>
      <c r="J2471" s="20"/>
      <c r="K2471" s="15"/>
      <c r="L2471" s="7"/>
      <c r="N2471" s="5"/>
      <c r="O2471" s="4"/>
    </row>
    <row r="2472" spans="1:15" x14ac:dyDescent="0.2">
      <c r="A2472" s="13"/>
      <c r="B2472" s="14"/>
      <c r="C2472" s="15"/>
      <c r="D2472" s="14"/>
      <c r="E2472" s="16"/>
      <c r="F2472" s="17"/>
      <c r="G2472" s="14"/>
      <c r="H2472" s="7"/>
      <c r="J2472" s="20"/>
      <c r="K2472" s="15"/>
      <c r="L2472" s="7"/>
      <c r="N2472" s="5"/>
      <c r="O2472" s="4"/>
    </row>
    <row r="2473" spans="1:15" x14ac:dyDescent="0.2">
      <c r="A2473" s="13"/>
      <c r="B2473" s="14"/>
      <c r="C2473" s="15"/>
      <c r="D2473" s="14"/>
      <c r="E2473" s="16"/>
      <c r="F2473" s="17"/>
      <c r="G2473" s="14"/>
      <c r="H2473" s="7"/>
      <c r="J2473" s="20"/>
      <c r="K2473" s="15"/>
      <c r="L2473" s="7"/>
      <c r="N2473" s="5"/>
      <c r="O2473" s="4"/>
    </row>
    <row r="2474" spans="1:15" x14ac:dyDescent="0.2">
      <c r="A2474" s="13"/>
      <c r="B2474" s="14"/>
      <c r="C2474" s="15"/>
      <c r="D2474" s="14"/>
      <c r="E2474" s="16"/>
      <c r="F2474" s="17"/>
      <c r="G2474" s="14"/>
      <c r="H2474" s="7"/>
      <c r="J2474" s="20"/>
      <c r="K2474" s="15"/>
      <c r="L2474" s="7"/>
      <c r="N2474" s="5"/>
      <c r="O2474" s="4"/>
    </row>
    <row r="2475" spans="1:15" x14ac:dyDescent="0.2">
      <c r="A2475" s="13"/>
      <c r="B2475" s="14"/>
      <c r="C2475" s="15"/>
      <c r="D2475" s="14"/>
      <c r="E2475" s="16"/>
      <c r="F2475" s="17"/>
      <c r="G2475" s="14"/>
      <c r="H2475" s="7"/>
      <c r="J2475" s="20"/>
      <c r="K2475" s="15"/>
      <c r="L2475" s="7"/>
      <c r="N2475" s="5"/>
      <c r="O2475" s="4"/>
    </row>
    <row r="2476" spans="1:15" x14ac:dyDescent="0.2">
      <c r="A2476" s="13"/>
      <c r="B2476" s="14"/>
      <c r="C2476" s="15"/>
      <c r="D2476" s="14"/>
      <c r="E2476" s="16"/>
      <c r="F2476" s="17"/>
      <c r="G2476" s="14"/>
      <c r="H2476" s="7"/>
      <c r="J2476" s="20"/>
      <c r="K2476" s="15"/>
      <c r="L2476" s="7"/>
      <c r="N2476" s="5"/>
      <c r="O2476" s="4"/>
    </row>
    <row r="2477" spans="1:15" x14ac:dyDescent="0.2">
      <c r="A2477" s="13"/>
      <c r="B2477" s="14"/>
      <c r="C2477" s="15"/>
      <c r="D2477" s="14"/>
      <c r="E2477" s="16"/>
      <c r="F2477" s="17"/>
      <c r="G2477" s="14"/>
      <c r="H2477" s="7"/>
      <c r="J2477" s="20"/>
      <c r="K2477" s="15"/>
      <c r="L2477" s="7"/>
      <c r="N2477" s="5"/>
      <c r="O2477" s="4"/>
    </row>
    <row r="2478" spans="1:15" x14ac:dyDescent="0.2">
      <c r="A2478" s="13"/>
      <c r="B2478" s="14"/>
      <c r="C2478" s="15"/>
      <c r="D2478" s="14"/>
      <c r="E2478" s="16"/>
      <c r="F2478" s="17"/>
      <c r="G2478" s="14"/>
      <c r="H2478" s="7"/>
      <c r="J2478" s="20"/>
      <c r="K2478" s="15"/>
      <c r="L2478" s="7"/>
      <c r="N2478" s="5"/>
      <c r="O2478" s="4"/>
    </row>
    <row r="2479" spans="1:15" x14ac:dyDescent="0.2">
      <c r="A2479" s="13"/>
      <c r="B2479" s="14"/>
      <c r="C2479" s="15"/>
      <c r="D2479" s="14"/>
      <c r="E2479" s="16"/>
      <c r="F2479" s="17"/>
      <c r="G2479" s="14"/>
      <c r="H2479" s="7"/>
      <c r="J2479" s="20"/>
      <c r="K2479" s="15"/>
      <c r="L2479" s="7"/>
      <c r="N2479" s="5"/>
      <c r="O2479" s="4"/>
    </row>
    <row r="2480" spans="1:15" x14ac:dyDescent="0.2">
      <c r="A2480" s="13"/>
      <c r="B2480" s="14"/>
      <c r="C2480" s="15"/>
      <c r="D2480" s="14"/>
      <c r="E2480" s="16"/>
      <c r="F2480" s="17"/>
      <c r="G2480" s="14"/>
      <c r="H2480" s="7"/>
      <c r="J2480" s="20"/>
      <c r="K2480" s="15"/>
      <c r="L2480" s="7"/>
      <c r="N2480" s="5"/>
      <c r="O2480" s="4"/>
    </row>
    <row r="2481" spans="1:15" x14ac:dyDescent="0.2">
      <c r="A2481" s="13"/>
      <c r="B2481" s="14"/>
      <c r="C2481" s="15"/>
      <c r="D2481" s="14"/>
      <c r="E2481" s="16"/>
      <c r="F2481" s="17"/>
      <c r="G2481" s="14"/>
      <c r="H2481" s="7"/>
      <c r="J2481" s="20"/>
      <c r="K2481" s="15"/>
      <c r="L2481" s="7"/>
      <c r="N2481" s="5"/>
      <c r="O2481" s="4"/>
    </row>
    <row r="2482" spans="1:15" x14ac:dyDescent="0.2">
      <c r="A2482" s="13"/>
      <c r="B2482" s="14"/>
      <c r="C2482" s="15"/>
      <c r="D2482" s="14"/>
      <c r="E2482" s="16"/>
      <c r="F2482" s="17"/>
      <c r="G2482" s="14"/>
      <c r="H2482" s="7"/>
      <c r="J2482" s="20"/>
      <c r="K2482" s="15"/>
      <c r="L2482" s="7"/>
      <c r="N2482" s="5"/>
      <c r="O2482" s="4"/>
    </row>
    <row r="2483" spans="1:15" x14ac:dyDescent="0.2">
      <c r="A2483" s="13"/>
      <c r="B2483" s="14"/>
      <c r="C2483" s="15"/>
      <c r="D2483" s="14"/>
      <c r="E2483" s="16"/>
      <c r="F2483" s="17"/>
      <c r="G2483" s="14"/>
      <c r="H2483" s="7"/>
      <c r="J2483" s="20"/>
      <c r="K2483" s="15"/>
      <c r="L2483" s="7"/>
      <c r="N2483" s="5"/>
      <c r="O2483" s="4"/>
    </row>
    <row r="2484" spans="1:15" x14ac:dyDescent="0.2">
      <c r="A2484" s="13"/>
      <c r="B2484" s="14"/>
      <c r="C2484" s="15"/>
      <c r="D2484" s="14"/>
      <c r="E2484" s="16"/>
      <c r="F2484" s="17"/>
      <c r="G2484" s="14"/>
      <c r="H2484" s="7"/>
      <c r="J2484" s="20"/>
      <c r="K2484" s="15"/>
      <c r="L2484" s="7"/>
      <c r="N2484" s="5"/>
      <c r="O2484" s="4"/>
    </row>
    <row r="2485" spans="1:15" x14ac:dyDescent="0.2">
      <c r="A2485" s="13"/>
      <c r="B2485" s="14"/>
      <c r="C2485" s="15"/>
      <c r="D2485" s="14"/>
      <c r="E2485" s="16"/>
      <c r="F2485" s="17"/>
      <c r="G2485" s="14"/>
      <c r="H2485" s="7"/>
      <c r="J2485" s="20"/>
      <c r="K2485" s="15"/>
      <c r="L2485" s="7"/>
      <c r="N2485" s="5"/>
      <c r="O2485" s="4"/>
    </row>
    <row r="2486" spans="1:15" x14ac:dyDescent="0.2">
      <c r="A2486" s="13"/>
      <c r="B2486" s="14"/>
      <c r="C2486" s="15"/>
      <c r="D2486" s="14"/>
      <c r="E2486" s="16"/>
      <c r="F2486" s="17"/>
      <c r="G2486" s="14"/>
      <c r="H2486" s="7"/>
      <c r="J2486" s="20"/>
      <c r="K2486" s="15"/>
      <c r="L2486" s="7"/>
      <c r="N2486" s="5"/>
      <c r="O2486" s="4"/>
    </row>
    <row r="2487" spans="1:15" x14ac:dyDescent="0.2">
      <c r="A2487" s="13"/>
      <c r="B2487" s="14"/>
      <c r="C2487" s="15"/>
      <c r="D2487" s="14"/>
      <c r="E2487" s="16"/>
      <c r="F2487" s="17"/>
      <c r="G2487" s="14"/>
      <c r="H2487" s="7"/>
      <c r="J2487" s="20"/>
      <c r="K2487" s="15"/>
      <c r="L2487" s="7"/>
      <c r="N2487" s="5"/>
      <c r="O2487" s="4"/>
    </row>
    <row r="2488" spans="1:15" x14ac:dyDescent="0.2">
      <c r="A2488" s="13"/>
      <c r="B2488" s="14"/>
      <c r="C2488" s="15"/>
      <c r="D2488" s="14"/>
      <c r="E2488" s="16"/>
      <c r="F2488" s="17"/>
      <c r="G2488" s="14"/>
      <c r="H2488" s="7"/>
      <c r="J2488" s="20"/>
      <c r="K2488" s="15"/>
      <c r="L2488" s="7"/>
      <c r="N2488" s="5"/>
      <c r="O2488" s="4"/>
    </row>
    <row r="2489" spans="1:15" x14ac:dyDescent="0.2">
      <c r="A2489" s="13"/>
      <c r="B2489" s="14"/>
      <c r="C2489" s="15"/>
      <c r="D2489" s="14"/>
      <c r="E2489" s="16"/>
      <c r="F2489" s="17"/>
      <c r="G2489" s="14"/>
      <c r="H2489" s="7"/>
      <c r="J2489" s="20"/>
      <c r="K2489" s="15"/>
      <c r="L2489" s="7"/>
      <c r="N2489" s="5"/>
      <c r="O2489" s="4"/>
    </row>
    <row r="2490" spans="1:15" x14ac:dyDescent="0.2">
      <c r="A2490" s="13"/>
      <c r="B2490" s="14"/>
      <c r="C2490" s="15"/>
      <c r="D2490" s="14"/>
      <c r="E2490" s="16"/>
      <c r="F2490" s="17"/>
      <c r="G2490" s="14"/>
      <c r="H2490" s="7"/>
      <c r="J2490" s="20"/>
      <c r="K2490" s="15"/>
      <c r="L2490" s="7"/>
      <c r="N2490" s="5"/>
      <c r="O2490" s="4"/>
    </row>
    <row r="2491" spans="1:15" x14ac:dyDescent="0.2">
      <c r="A2491" s="13"/>
      <c r="B2491" s="14"/>
      <c r="C2491" s="15"/>
      <c r="D2491" s="14"/>
      <c r="E2491" s="16"/>
      <c r="F2491" s="17"/>
      <c r="G2491" s="14"/>
      <c r="H2491" s="7"/>
      <c r="J2491" s="20"/>
      <c r="K2491" s="15"/>
      <c r="L2491" s="7"/>
      <c r="N2491" s="5"/>
      <c r="O2491" s="4"/>
    </row>
    <row r="2492" spans="1:15" x14ac:dyDescent="0.2">
      <c r="A2492" s="13"/>
      <c r="B2492" s="14"/>
      <c r="C2492" s="15"/>
      <c r="D2492" s="14"/>
      <c r="E2492" s="16"/>
      <c r="F2492" s="17"/>
      <c r="G2492" s="14"/>
      <c r="H2492" s="7"/>
      <c r="J2492" s="20"/>
      <c r="K2492" s="15"/>
      <c r="L2492" s="7"/>
      <c r="N2492" s="5"/>
      <c r="O2492" s="4"/>
    </row>
    <row r="2493" spans="1:15" x14ac:dyDescent="0.2">
      <c r="A2493" s="13"/>
      <c r="B2493" s="14"/>
      <c r="C2493" s="15"/>
      <c r="D2493" s="14"/>
      <c r="E2493" s="16"/>
      <c r="F2493" s="17"/>
      <c r="G2493" s="14"/>
      <c r="H2493" s="7"/>
      <c r="J2493" s="20"/>
      <c r="K2493" s="15"/>
      <c r="L2493" s="7"/>
      <c r="N2493" s="5"/>
      <c r="O2493" s="4"/>
    </row>
    <row r="2494" spans="1:15" x14ac:dyDescent="0.2">
      <c r="A2494" s="13"/>
      <c r="B2494" s="14"/>
      <c r="C2494" s="15"/>
      <c r="D2494" s="14"/>
      <c r="E2494" s="16"/>
      <c r="F2494" s="17"/>
      <c r="G2494" s="14"/>
      <c r="H2494" s="7"/>
      <c r="J2494" s="20"/>
      <c r="K2494" s="15"/>
      <c r="L2494" s="7"/>
      <c r="N2494" s="5"/>
      <c r="O2494" s="4"/>
    </row>
    <row r="2495" spans="1:15" x14ac:dyDescent="0.2">
      <c r="A2495" s="13"/>
      <c r="B2495" s="14"/>
      <c r="C2495" s="15"/>
      <c r="D2495" s="14"/>
      <c r="E2495" s="16"/>
      <c r="F2495" s="17"/>
      <c r="G2495" s="14"/>
      <c r="H2495" s="7"/>
      <c r="J2495" s="20"/>
      <c r="K2495" s="15"/>
      <c r="L2495" s="7"/>
      <c r="N2495" s="5"/>
      <c r="O2495" s="4"/>
    </row>
    <row r="2496" spans="1:15" x14ac:dyDescent="0.2">
      <c r="A2496" s="13"/>
      <c r="B2496" s="14"/>
      <c r="C2496" s="15"/>
      <c r="D2496" s="14"/>
      <c r="E2496" s="16"/>
      <c r="F2496" s="17"/>
      <c r="G2496" s="14"/>
      <c r="H2496" s="7"/>
      <c r="J2496" s="20"/>
      <c r="K2496" s="15"/>
      <c r="L2496" s="7"/>
      <c r="N2496" s="5"/>
      <c r="O2496" s="4"/>
    </row>
    <row r="2497" spans="1:15" x14ac:dyDescent="0.2">
      <c r="A2497" s="13"/>
      <c r="B2497" s="14"/>
      <c r="C2497" s="15"/>
      <c r="D2497" s="14"/>
      <c r="E2497" s="16"/>
      <c r="F2497" s="17"/>
      <c r="G2497" s="14"/>
      <c r="H2497" s="7"/>
      <c r="J2497" s="20"/>
      <c r="K2497" s="15"/>
      <c r="L2497" s="7"/>
      <c r="N2497" s="5"/>
      <c r="O2497" s="4"/>
    </row>
    <row r="2498" spans="1:15" x14ac:dyDescent="0.2">
      <c r="A2498" s="13"/>
      <c r="B2498" s="14"/>
      <c r="C2498" s="15"/>
      <c r="D2498" s="14"/>
      <c r="E2498" s="16"/>
      <c r="F2498" s="17"/>
      <c r="G2498" s="14"/>
      <c r="H2498" s="7"/>
      <c r="J2498" s="20"/>
      <c r="K2498" s="15"/>
      <c r="L2498" s="7"/>
      <c r="N2498" s="5"/>
      <c r="O2498" s="4"/>
    </row>
    <row r="2499" spans="1:15" x14ac:dyDescent="0.2">
      <c r="A2499" s="13"/>
      <c r="B2499" s="14"/>
      <c r="C2499" s="15"/>
      <c r="D2499" s="14"/>
      <c r="E2499" s="16"/>
      <c r="F2499" s="17"/>
      <c r="G2499" s="14"/>
      <c r="H2499" s="7"/>
      <c r="J2499" s="20"/>
      <c r="K2499" s="15"/>
      <c r="L2499" s="7"/>
      <c r="N2499" s="5"/>
      <c r="O2499" s="4"/>
    </row>
    <row r="2500" spans="1:15" x14ac:dyDescent="0.2">
      <c r="A2500" s="13"/>
      <c r="B2500" s="14"/>
      <c r="C2500" s="15"/>
      <c r="D2500" s="14"/>
      <c r="E2500" s="16"/>
      <c r="F2500" s="17"/>
      <c r="G2500" s="14"/>
      <c r="H2500" s="7"/>
      <c r="J2500" s="20"/>
      <c r="K2500" s="15"/>
      <c r="L2500" s="7"/>
      <c r="N2500" s="5"/>
      <c r="O2500" s="4"/>
    </row>
    <row r="2501" spans="1:15" x14ac:dyDescent="0.2">
      <c r="A2501" s="13"/>
      <c r="B2501" s="14"/>
      <c r="C2501" s="15"/>
      <c r="D2501" s="14"/>
      <c r="E2501" s="16"/>
      <c r="F2501" s="17"/>
      <c r="G2501" s="14"/>
      <c r="H2501" s="7"/>
      <c r="J2501" s="20"/>
      <c r="K2501" s="15"/>
      <c r="L2501" s="7"/>
      <c r="N2501" s="5"/>
      <c r="O2501" s="4"/>
    </row>
    <row r="2502" spans="1:15" x14ac:dyDescent="0.2">
      <c r="A2502" s="13"/>
      <c r="B2502" s="14"/>
      <c r="C2502" s="15"/>
      <c r="D2502" s="14"/>
      <c r="E2502" s="16"/>
      <c r="F2502" s="17"/>
      <c r="G2502" s="14"/>
      <c r="H2502" s="7"/>
      <c r="J2502" s="20"/>
      <c r="K2502" s="15"/>
      <c r="L2502" s="7"/>
      <c r="N2502" s="5"/>
      <c r="O2502" s="4"/>
    </row>
    <row r="2503" spans="1:15" x14ac:dyDescent="0.2">
      <c r="A2503" s="13"/>
      <c r="B2503" s="14"/>
      <c r="C2503" s="15"/>
      <c r="D2503" s="14"/>
      <c r="E2503" s="16"/>
      <c r="F2503" s="17"/>
      <c r="G2503" s="14"/>
      <c r="H2503" s="7"/>
      <c r="J2503" s="20"/>
      <c r="K2503" s="15"/>
      <c r="L2503" s="7"/>
      <c r="N2503" s="5"/>
      <c r="O2503" s="4"/>
    </row>
    <row r="2504" spans="1:15" x14ac:dyDescent="0.2">
      <c r="A2504" s="13"/>
      <c r="B2504" s="14"/>
      <c r="C2504" s="15"/>
      <c r="D2504" s="14"/>
      <c r="E2504" s="16"/>
      <c r="F2504" s="17"/>
      <c r="G2504" s="14"/>
      <c r="H2504" s="7"/>
      <c r="J2504" s="20"/>
      <c r="K2504" s="15"/>
      <c r="L2504" s="7"/>
      <c r="N2504" s="5"/>
      <c r="O2504" s="4"/>
    </row>
    <row r="2505" spans="1:15" x14ac:dyDescent="0.2">
      <c r="A2505" s="13"/>
      <c r="B2505" s="14"/>
      <c r="C2505" s="15"/>
      <c r="D2505" s="14"/>
      <c r="E2505" s="16"/>
      <c r="F2505" s="17"/>
      <c r="G2505" s="14"/>
      <c r="H2505" s="7"/>
      <c r="J2505" s="20"/>
      <c r="K2505" s="15"/>
      <c r="L2505" s="7"/>
      <c r="N2505" s="5"/>
      <c r="O2505" s="4"/>
    </row>
    <row r="2506" spans="1:15" x14ac:dyDescent="0.2">
      <c r="A2506" s="13"/>
      <c r="B2506" s="14"/>
      <c r="C2506" s="15"/>
      <c r="D2506" s="14"/>
      <c r="E2506" s="16"/>
      <c r="F2506" s="17"/>
      <c r="G2506" s="14"/>
      <c r="H2506" s="7"/>
      <c r="J2506" s="20"/>
      <c r="K2506" s="15"/>
      <c r="L2506" s="7"/>
      <c r="N2506" s="5"/>
      <c r="O2506" s="4"/>
    </row>
    <row r="2507" spans="1:15" x14ac:dyDescent="0.2">
      <c r="A2507" s="13"/>
      <c r="B2507" s="14"/>
      <c r="C2507" s="15"/>
      <c r="D2507" s="14"/>
      <c r="E2507" s="16"/>
      <c r="F2507" s="17"/>
      <c r="G2507" s="14"/>
      <c r="H2507" s="7"/>
      <c r="J2507" s="20"/>
      <c r="K2507" s="15"/>
      <c r="L2507" s="7"/>
      <c r="N2507" s="5"/>
      <c r="O2507" s="4"/>
    </row>
    <row r="2508" spans="1:15" x14ac:dyDescent="0.2">
      <c r="A2508" s="13"/>
      <c r="B2508" s="14"/>
      <c r="C2508" s="15"/>
      <c r="D2508" s="14"/>
      <c r="E2508" s="16"/>
      <c r="F2508" s="17"/>
      <c r="G2508" s="14"/>
      <c r="H2508" s="7"/>
      <c r="J2508" s="20"/>
      <c r="K2508" s="15"/>
      <c r="L2508" s="7"/>
      <c r="N2508" s="5"/>
      <c r="O2508" s="4"/>
    </row>
    <row r="2509" spans="1:15" x14ac:dyDescent="0.2">
      <c r="A2509" s="13"/>
      <c r="B2509" s="14"/>
      <c r="C2509" s="15"/>
      <c r="D2509" s="14"/>
      <c r="E2509" s="16"/>
      <c r="F2509" s="17"/>
      <c r="G2509" s="14"/>
      <c r="H2509" s="7"/>
      <c r="J2509" s="20"/>
      <c r="K2509" s="15"/>
      <c r="L2509" s="7"/>
      <c r="N2509" s="5"/>
      <c r="O2509" s="4"/>
    </row>
    <row r="2510" spans="1:15" x14ac:dyDescent="0.2">
      <c r="A2510" s="13"/>
      <c r="B2510" s="14"/>
      <c r="C2510" s="15"/>
      <c r="D2510" s="14"/>
      <c r="E2510" s="16"/>
      <c r="F2510" s="17"/>
      <c r="G2510" s="14"/>
      <c r="H2510" s="7"/>
      <c r="J2510" s="20"/>
      <c r="K2510" s="15"/>
      <c r="L2510" s="7"/>
      <c r="N2510" s="5"/>
      <c r="O2510" s="4"/>
    </row>
    <row r="2511" spans="1:15" x14ac:dyDescent="0.2">
      <c r="A2511" s="13"/>
      <c r="B2511" s="14"/>
      <c r="C2511" s="15"/>
      <c r="D2511" s="14"/>
      <c r="E2511" s="16"/>
      <c r="F2511" s="17"/>
      <c r="G2511" s="14"/>
      <c r="H2511" s="7"/>
      <c r="J2511" s="20"/>
      <c r="K2511" s="15"/>
      <c r="L2511" s="7"/>
      <c r="N2511" s="5"/>
      <c r="O2511" s="4"/>
    </row>
    <row r="2512" spans="1:15" x14ac:dyDescent="0.2">
      <c r="A2512" s="13"/>
      <c r="B2512" s="14"/>
      <c r="C2512" s="15"/>
      <c r="D2512" s="14"/>
      <c r="E2512" s="16"/>
      <c r="F2512" s="17"/>
      <c r="G2512" s="14"/>
      <c r="H2512" s="7"/>
      <c r="J2512" s="20"/>
      <c r="K2512" s="15"/>
      <c r="L2512" s="7"/>
      <c r="N2512" s="5"/>
      <c r="O2512" s="4"/>
    </row>
    <row r="2513" spans="1:15" x14ac:dyDescent="0.2">
      <c r="A2513" s="13"/>
      <c r="B2513" s="14"/>
      <c r="C2513" s="15"/>
      <c r="D2513" s="14"/>
      <c r="E2513" s="16"/>
      <c r="F2513" s="17"/>
      <c r="G2513" s="14"/>
      <c r="H2513" s="7"/>
      <c r="J2513" s="20"/>
      <c r="K2513" s="15"/>
      <c r="L2513" s="7"/>
      <c r="N2513" s="5"/>
      <c r="O2513" s="4"/>
    </row>
    <row r="2514" spans="1:15" x14ac:dyDescent="0.2">
      <c r="A2514" s="13"/>
      <c r="B2514" s="14"/>
      <c r="C2514" s="15"/>
      <c r="D2514" s="14"/>
      <c r="E2514" s="16"/>
      <c r="F2514" s="17"/>
      <c r="G2514" s="14"/>
      <c r="H2514" s="7"/>
      <c r="J2514" s="20"/>
      <c r="K2514" s="15"/>
      <c r="L2514" s="7"/>
      <c r="N2514" s="5"/>
      <c r="O2514" s="4"/>
    </row>
    <row r="2515" spans="1:15" x14ac:dyDescent="0.2">
      <c r="A2515" s="13"/>
      <c r="B2515" s="14"/>
      <c r="C2515" s="15"/>
      <c r="D2515" s="14"/>
      <c r="E2515" s="16"/>
      <c r="F2515" s="17"/>
      <c r="G2515" s="14"/>
      <c r="H2515" s="7"/>
      <c r="J2515" s="20"/>
      <c r="K2515" s="15"/>
      <c r="L2515" s="7"/>
      <c r="N2515" s="5"/>
      <c r="O2515" s="4"/>
    </row>
    <row r="2516" spans="1:15" x14ac:dyDescent="0.2">
      <c r="A2516" s="13"/>
      <c r="B2516" s="14"/>
      <c r="C2516" s="15"/>
      <c r="D2516" s="14"/>
      <c r="E2516" s="16"/>
      <c r="F2516" s="17"/>
      <c r="G2516" s="14"/>
      <c r="H2516" s="7"/>
      <c r="J2516" s="20"/>
      <c r="K2516" s="15"/>
      <c r="L2516" s="7"/>
      <c r="N2516" s="5"/>
      <c r="O2516" s="4"/>
    </row>
    <row r="2517" spans="1:15" x14ac:dyDescent="0.2">
      <c r="A2517" s="13"/>
      <c r="B2517" s="14"/>
      <c r="C2517" s="15"/>
      <c r="D2517" s="14"/>
      <c r="E2517" s="16"/>
      <c r="F2517" s="17"/>
      <c r="G2517" s="14"/>
      <c r="H2517" s="7"/>
      <c r="J2517" s="20"/>
      <c r="K2517" s="15"/>
      <c r="L2517" s="7"/>
      <c r="N2517" s="5"/>
      <c r="O2517" s="4"/>
    </row>
    <row r="2518" spans="1:15" x14ac:dyDescent="0.2">
      <c r="A2518" s="13"/>
      <c r="B2518" s="14"/>
      <c r="C2518" s="15"/>
      <c r="D2518" s="14"/>
      <c r="E2518" s="16"/>
      <c r="F2518" s="17"/>
      <c r="G2518" s="14"/>
      <c r="H2518" s="7"/>
      <c r="J2518" s="20"/>
      <c r="K2518" s="15"/>
      <c r="L2518" s="7"/>
      <c r="N2518" s="5"/>
      <c r="O2518" s="4"/>
    </row>
    <row r="2519" spans="1:15" x14ac:dyDescent="0.2">
      <c r="A2519" s="13"/>
      <c r="B2519" s="14"/>
      <c r="C2519" s="15"/>
      <c r="D2519" s="14"/>
      <c r="E2519" s="16"/>
      <c r="F2519" s="17"/>
      <c r="G2519" s="14"/>
      <c r="H2519" s="7"/>
      <c r="J2519" s="20"/>
      <c r="K2519" s="15"/>
      <c r="L2519" s="7"/>
      <c r="N2519" s="5"/>
      <c r="O2519" s="4"/>
    </row>
    <row r="2520" spans="1:15" x14ac:dyDescent="0.2">
      <c r="A2520" s="13"/>
      <c r="B2520" s="14"/>
      <c r="C2520" s="15"/>
      <c r="D2520" s="14"/>
      <c r="E2520" s="16"/>
      <c r="F2520" s="17"/>
      <c r="G2520" s="14"/>
      <c r="H2520" s="7"/>
      <c r="J2520" s="20"/>
      <c r="K2520" s="15"/>
      <c r="L2520" s="7"/>
      <c r="N2520" s="5"/>
      <c r="O2520" s="4"/>
    </row>
    <row r="2521" spans="1:15" x14ac:dyDescent="0.2">
      <c r="A2521" s="13"/>
      <c r="B2521" s="14"/>
      <c r="C2521" s="15"/>
      <c r="D2521" s="14"/>
      <c r="E2521" s="16"/>
      <c r="F2521" s="17"/>
      <c r="G2521" s="14"/>
      <c r="H2521" s="7"/>
      <c r="J2521" s="20"/>
      <c r="K2521" s="15"/>
      <c r="L2521" s="7"/>
      <c r="N2521" s="5"/>
      <c r="O2521" s="4"/>
    </row>
    <row r="2522" spans="1:15" x14ac:dyDescent="0.2">
      <c r="A2522" s="13"/>
      <c r="B2522" s="14"/>
      <c r="C2522" s="15"/>
      <c r="D2522" s="14"/>
      <c r="E2522" s="16"/>
      <c r="F2522" s="17"/>
      <c r="G2522" s="14"/>
      <c r="H2522" s="7"/>
      <c r="J2522" s="20"/>
      <c r="K2522" s="15"/>
      <c r="L2522" s="7"/>
      <c r="N2522" s="5"/>
      <c r="O2522" s="4"/>
    </row>
    <row r="2523" spans="1:15" x14ac:dyDescent="0.2">
      <c r="A2523" s="13"/>
      <c r="B2523" s="14"/>
      <c r="C2523" s="15"/>
      <c r="D2523" s="14"/>
      <c r="E2523" s="16"/>
      <c r="F2523" s="17"/>
      <c r="G2523" s="14"/>
      <c r="H2523" s="7"/>
      <c r="J2523" s="20"/>
      <c r="K2523" s="15"/>
      <c r="L2523" s="7"/>
      <c r="N2523" s="5"/>
      <c r="O2523" s="4"/>
    </row>
    <row r="2524" spans="1:15" x14ac:dyDescent="0.2">
      <c r="A2524" s="13"/>
      <c r="B2524" s="14"/>
      <c r="C2524" s="15"/>
      <c r="D2524" s="14"/>
      <c r="E2524" s="16"/>
      <c r="F2524" s="17"/>
      <c r="G2524" s="14"/>
      <c r="H2524" s="7"/>
      <c r="J2524" s="20"/>
      <c r="K2524" s="15"/>
      <c r="L2524" s="7"/>
      <c r="N2524" s="5"/>
      <c r="O2524" s="4"/>
    </row>
    <row r="2525" spans="1:15" x14ac:dyDescent="0.2">
      <c r="A2525" s="13"/>
      <c r="B2525" s="14"/>
      <c r="C2525" s="15"/>
      <c r="D2525" s="14"/>
      <c r="E2525" s="16"/>
      <c r="F2525" s="17"/>
      <c r="G2525" s="14"/>
      <c r="H2525" s="7"/>
      <c r="J2525" s="20"/>
      <c r="K2525" s="15"/>
      <c r="L2525" s="7"/>
      <c r="N2525" s="5"/>
      <c r="O2525" s="4"/>
    </row>
    <row r="2526" spans="1:15" x14ac:dyDescent="0.2">
      <c r="A2526" s="13"/>
      <c r="B2526" s="14"/>
      <c r="C2526" s="15"/>
      <c r="D2526" s="14"/>
      <c r="E2526" s="16"/>
      <c r="F2526" s="17"/>
      <c r="G2526" s="14"/>
      <c r="H2526" s="7"/>
      <c r="J2526" s="20"/>
      <c r="K2526" s="15"/>
      <c r="L2526" s="7"/>
      <c r="N2526" s="5"/>
      <c r="O2526" s="4"/>
    </row>
    <row r="2527" spans="1:15" x14ac:dyDescent="0.2">
      <c r="A2527" s="13"/>
      <c r="B2527" s="14"/>
      <c r="C2527" s="15"/>
      <c r="D2527" s="14"/>
      <c r="E2527" s="16"/>
      <c r="F2527" s="17"/>
      <c r="G2527" s="14"/>
      <c r="H2527" s="7"/>
      <c r="J2527" s="20"/>
      <c r="K2527" s="15"/>
      <c r="L2527" s="7"/>
      <c r="N2527" s="5"/>
      <c r="O2527" s="4"/>
    </row>
    <row r="2528" spans="1:15" x14ac:dyDescent="0.2">
      <c r="A2528" s="13"/>
      <c r="B2528" s="14"/>
      <c r="C2528" s="15"/>
      <c r="D2528" s="14"/>
      <c r="E2528" s="16"/>
      <c r="F2528" s="17"/>
      <c r="G2528" s="14"/>
      <c r="H2528" s="7"/>
      <c r="J2528" s="20"/>
      <c r="K2528" s="15"/>
      <c r="L2528" s="7"/>
      <c r="N2528" s="5"/>
      <c r="O2528" s="4"/>
    </row>
    <row r="2529" spans="1:15" x14ac:dyDescent="0.2">
      <c r="A2529" s="13"/>
      <c r="B2529" s="14"/>
      <c r="C2529" s="15"/>
      <c r="D2529" s="14"/>
      <c r="E2529" s="16"/>
      <c r="F2529" s="17"/>
      <c r="G2529" s="14"/>
      <c r="H2529" s="7"/>
      <c r="J2529" s="20"/>
      <c r="K2529" s="15"/>
      <c r="L2529" s="7"/>
      <c r="N2529" s="5"/>
      <c r="O2529" s="4"/>
    </row>
    <row r="2530" spans="1:15" x14ac:dyDescent="0.2">
      <c r="A2530" s="13"/>
      <c r="B2530" s="14"/>
      <c r="C2530" s="15"/>
      <c r="D2530" s="14"/>
      <c r="E2530" s="16"/>
      <c r="F2530" s="17"/>
      <c r="G2530" s="14"/>
      <c r="H2530" s="7"/>
      <c r="J2530" s="20"/>
      <c r="K2530" s="15"/>
      <c r="L2530" s="7"/>
      <c r="N2530" s="5"/>
      <c r="O2530" s="4"/>
    </row>
    <row r="2531" spans="1:15" x14ac:dyDescent="0.2">
      <c r="A2531" s="13"/>
      <c r="B2531" s="14"/>
      <c r="C2531" s="15"/>
      <c r="D2531" s="14"/>
      <c r="E2531" s="16"/>
      <c r="F2531" s="17"/>
      <c r="G2531" s="14"/>
      <c r="H2531" s="7"/>
      <c r="J2531" s="20"/>
      <c r="K2531" s="15"/>
      <c r="L2531" s="7"/>
      <c r="N2531" s="5"/>
      <c r="O2531" s="4"/>
    </row>
    <row r="2532" spans="1:15" x14ac:dyDescent="0.2">
      <c r="A2532" s="13"/>
      <c r="B2532" s="14"/>
      <c r="C2532" s="15"/>
      <c r="D2532" s="14"/>
      <c r="E2532" s="16"/>
      <c r="F2532" s="17"/>
      <c r="G2532" s="14"/>
      <c r="H2532" s="7"/>
      <c r="J2532" s="20"/>
      <c r="K2532" s="15"/>
      <c r="L2532" s="7"/>
      <c r="N2532" s="5"/>
      <c r="O2532" s="4"/>
    </row>
    <row r="2533" spans="1:15" x14ac:dyDescent="0.2">
      <c r="A2533" s="13"/>
      <c r="B2533" s="14"/>
      <c r="C2533" s="15"/>
      <c r="D2533" s="14"/>
      <c r="E2533" s="16"/>
      <c r="F2533" s="17"/>
      <c r="G2533" s="14"/>
      <c r="H2533" s="7"/>
      <c r="J2533" s="20"/>
      <c r="K2533" s="15"/>
      <c r="L2533" s="7"/>
      <c r="N2533" s="5"/>
      <c r="O2533" s="4"/>
    </row>
    <row r="2534" spans="1:15" x14ac:dyDescent="0.2">
      <c r="A2534" s="13"/>
      <c r="B2534" s="14"/>
      <c r="C2534" s="15"/>
      <c r="D2534" s="14"/>
      <c r="E2534" s="16"/>
      <c r="F2534" s="17"/>
      <c r="G2534" s="14"/>
      <c r="H2534" s="7"/>
      <c r="J2534" s="20"/>
      <c r="K2534" s="15"/>
      <c r="L2534" s="7"/>
      <c r="N2534" s="5"/>
      <c r="O2534" s="4"/>
    </row>
    <row r="2535" spans="1:15" x14ac:dyDescent="0.2">
      <c r="A2535" s="13"/>
      <c r="B2535" s="14"/>
      <c r="C2535" s="15"/>
      <c r="D2535" s="14"/>
      <c r="E2535" s="16"/>
      <c r="F2535" s="17"/>
      <c r="G2535" s="14"/>
      <c r="H2535" s="7"/>
      <c r="J2535" s="20"/>
      <c r="K2535" s="15"/>
      <c r="L2535" s="7"/>
      <c r="N2535" s="5"/>
      <c r="O2535" s="4"/>
    </row>
    <row r="2536" spans="1:15" x14ac:dyDescent="0.2">
      <c r="A2536" s="13"/>
      <c r="B2536" s="14"/>
      <c r="C2536" s="15"/>
      <c r="D2536" s="14"/>
      <c r="E2536" s="16"/>
      <c r="F2536" s="17"/>
      <c r="G2536" s="14"/>
      <c r="H2536" s="7"/>
      <c r="J2536" s="20"/>
      <c r="K2536" s="15"/>
      <c r="L2536" s="7"/>
      <c r="N2536" s="5"/>
      <c r="O2536" s="4"/>
    </row>
    <row r="2537" spans="1:15" x14ac:dyDescent="0.2">
      <c r="A2537" s="13"/>
      <c r="B2537" s="14"/>
      <c r="C2537" s="15"/>
      <c r="D2537" s="14"/>
      <c r="E2537" s="16"/>
      <c r="F2537" s="17"/>
      <c r="G2537" s="14"/>
      <c r="H2537" s="7"/>
      <c r="J2537" s="20"/>
      <c r="K2537" s="15"/>
      <c r="L2537" s="7"/>
      <c r="N2537" s="5"/>
      <c r="O2537" s="4"/>
    </row>
    <row r="2538" spans="1:15" x14ac:dyDescent="0.2">
      <c r="A2538" s="13"/>
      <c r="B2538" s="14"/>
      <c r="C2538" s="15"/>
      <c r="D2538" s="14"/>
      <c r="E2538" s="16"/>
      <c r="F2538" s="17"/>
      <c r="G2538" s="14"/>
      <c r="H2538" s="7"/>
      <c r="J2538" s="20"/>
      <c r="K2538" s="15"/>
      <c r="L2538" s="7"/>
      <c r="N2538" s="5"/>
      <c r="O2538" s="4"/>
    </row>
    <row r="2539" spans="1:15" x14ac:dyDescent="0.2">
      <c r="A2539" s="13"/>
      <c r="B2539" s="14"/>
      <c r="C2539" s="15"/>
      <c r="D2539" s="14"/>
      <c r="E2539" s="16"/>
      <c r="F2539" s="17"/>
      <c r="G2539" s="14"/>
      <c r="H2539" s="7"/>
      <c r="J2539" s="20"/>
      <c r="K2539" s="15"/>
      <c r="L2539" s="7"/>
      <c r="N2539" s="5"/>
      <c r="O2539" s="4"/>
    </row>
    <row r="2540" spans="1:15" x14ac:dyDescent="0.2">
      <c r="A2540" s="13"/>
      <c r="B2540" s="14"/>
      <c r="C2540" s="15"/>
      <c r="D2540" s="14"/>
      <c r="E2540" s="16"/>
      <c r="F2540" s="17"/>
      <c r="G2540" s="14"/>
      <c r="H2540" s="7"/>
      <c r="J2540" s="20"/>
      <c r="K2540" s="15"/>
      <c r="L2540" s="7"/>
      <c r="N2540" s="5"/>
      <c r="O2540" s="4"/>
    </row>
    <row r="2541" spans="1:15" x14ac:dyDescent="0.2">
      <c r="A2541" s="13"/>
      <c r="B2541" s="14"/>
      <c r="C2541" s="15"/>
      <c r="D2541" s="14"/>
      <c r="E2541" s="16"/>
      <c r="F2541" s="17"/>
      <c r="G2541" s="14"/>
      <c r="H2541" s="7"/>
      <c r="J2541" s="20"/>
      <c r="K2541" s="15"/>
      <c r="L2541" s="7"/>
      <c r="N2541" s="5"/>
      <c r="O2541" s="4"/>
    </row>
    <row r="2542" spans="1:15" x14ac:dyDescent="0.2">
      <c r="A2542" s="13"/>
      <c r="B2542" s="14"/>
      <c r="C2542" s="15"/>
      <c r="D2542" s="14"/>
      <c r="E2542" s="16"/>
      <c r="F2542" s="17"/>
      <c r="G2542" s="14"/>
      <c r="H2542" s="7"/>
      <c r="J2542" s="20"/>
      <c r="K2542" s="15"/>
      <c r="L2542" s="7"/>
      <c r="N2542" s="5"/>
      <c r="O2542" s="4"/>
    </row>
    <row r="2543" spans="1:15" x14ac:dyDescent="0.2">
      <c r="A2543" s="13"/>
      <c r="B2543" s="14"/>
      <c r="C2543" s="15"/>
      <c r="D2543" s="14"/>
      <c r="E2543" s="16"/>
      <c r="F2543" s="17"/>
      <c r="G2543" s="14"/>
      <c r="H2543" s="7"/>
      <c r="J2543" s="20"/>
      <c r="K2543" s="15"/>
      <c r="L2543" s="7"/>
      <c r="N2543" s="5"/>
      <c r="O2543" s="4"/>
    </row>
    <row r="2544" spans="1:15" x14ac:dyDescent="0.2">
      <c r="A2544" s="13"/>
      <c r="B2544" s="14"/>
      <c r="C2544" s="15"/>
      <c r="D2544" s="14"/>
      <c r="E2544" s="16"/>
      <c r="F2544" s="17"/>
      <c r="G2544" s="14"/>
      <c r="H2544" s="7"/>
      <c r="J2544" s="20"/>
      <c r="K2544" s="15"/>
      <c r="L2544" s="7"/>
      <c r="N2544" s="5"/>
      <c r="O2544" s="4"/>
    </row>
    <row r="2545" spans="1:15" x14ac:dyDescent="0.2">
      <c r="A2545" s="13"/>
      <c r="B2545" s="14"/>
      <c r="C2545" s="15"/>
      <c r="D2545" s="14"/>
      <c r="E2545" s="16"/>
      <c r="F2545" s="17"/>
      <c r="G2545" s="14"/>
      <c r="H2545" s="7"/>
      <c r="J2545" s="20"/>
      <c r="K2545" s="15"/>
      <c r="L2545" s="7"/>
      <c r="N2545" s="5"/>
      <c r="O2545" s="4"/>
    </row>
    <row r="2546" spans="1:15" x14ac:dyDescent="0.2">
      <c r="A2546" s="13"/>
      <c r="B2546" s="14"/>
      <c r="C2546" s="15"/>
      <c r="D2546" s="14"/>
      <c r="E2546" s="16"/>
      <c r="F2546" s="17"/>
      <c r="G2546" s="14"/>
      <c r="H2546" s="7"/>
      <c r="J2546" s="20"/>
      <c r="K2546" s="15"/>
      <c r="L2546" s="7"/>
      <c r="N2546" s="5"/>
      <c r="O2546" s="4"/>
    </row>
    <row r="2547" spans="1:15" x14ac:dyDescent="0.2">
      <c r="A2547" s="13"/>
      <c r="B2547" s="14"/>
      <c r="C2547" s="15"/>
      <c r="D2547" s="14"/>
      <c r="E2547" s="16"/>
      <c r="F2547" s="17"/>
      <c r="G2547" s="14"/>
      <c r="H2547" s="7"/>
      <c r="J2547" s="20"/>
      <c r="K2547" s="15"/>
      <c r="L2547" s="7"/>
      <c r="N2547" s="5"/>
      <c r="O2547" s="4"/>
    </row>
    <row r="2548" spans="1:15" x14ac:dyDescent="0.2">
      <c r="A2548" s="13"/>
      <c r="B2548" s="14"/>
      <c r="C2548" s="15"/>
      <c r="D2548" s="14"/>
      <c r="E2548" s="16"/>
      <c r="F2548" s="17"/>
      <c r="G2548" s="14"/>
      <c r="H2548" s="7"/>
      <c r="J2548" s="20"/>
      <c r="K2548" s="15"/>
      <c r="L2548" s="7"/>
      <c r="N2548" s="5"/>
      <c r="O2548" s="4"/>
    </row>
    <row r="2549" spans="1:15" x14ac:dyDescent="0.2">
      <c r="A2549" s="13"/>
      <c r="B2549" s="14"/>
      <c r="C2549" s="15"/>
      <c r="D2549" s="14"/>
      <c r="E2549" s="16"/>
      <c r="F2549" s="17"/>
      <c r="G2549" s="14"/>
      <c r="H2549" s="7"/>
      <c r="J2549" s="20"/>
      <c r="K2549" s="15"/>
      <c r="L2549" s="7"/>
      <c r="N2549" s="5"/>
      <c r="O2549" s="4"/>
    </row>
    <row r="2550" spans="1:15" x14ac:dyDescent="0.2">
      <c r="A2550" s="13"/>
      <c r="B2550" s="14"/>
      <c r="C2550" s="15"/>
      <c r="D2550" s="14"/>
      <c r="E2550" s="16"/>
      <c r="F2550" s="17"/>
      <c r="G2550" s="14"/>
      <c r="H2550" s="7"/>
      <c r="J2550" s="20"/>
      <c r="K2550" s="15"/>
      <c r="L2550" s="7"/>
      <c r="N2550" s="5"/>
      <c r="O2550" s="4"/>
    </row>
    <row r="2551" spans="1:15" x14ac:dyDescent="0.2">
      <c r="A2551" s="13"/>
      <c r="B2551" s="14"/>
      <c r="C2551" s="15"/>
      <c r="D2551" s="14"/>
      <c r="E2551" s="16"/>
      <c r="F2551" s="17"/>
      <c r="G2551" s="14"/>
      <c r="H2551" s="7"/>
      <c r="J2551" s="20"/>
      <c r="K2551" s="15"/>
      <c r="L2551" s="7"/>
      <c r="N2551" s="5"/>
      <c r="O2551" s="4"/>
    </row>
    <row r="2552" spans="1:15" x14ac:dyDescent="0.2">
      <c r="A2552" s="13"/>
      <c r="B2552" s="14"/>
      <c r="C2552" s="15"/>
      <c r="D2552" s="14"/>
      <c r="E2552" s="16"/>
      <c r="F2552" s="17"/>
      <c r="G2552" s="14"/>
      <c r="H2552" s="7"/>
      <c r="J2552" s="20"/>
      <c r="K2552" s="15"/>
      <c r="L2552" s="7"/>
      <c r="N2552" s="5"/>
      <c r="O2552" s="4"/>
    </row>
    <row r="2553" spans="1:15" x14ac:dyDescent="0.2">
      <c r="A2553" s="13"/>
      <c r="B2553" s="14"/>
      <c r="C2553" s="15"/>
      <c r="D2553" s="14"/>
      <c r="E2553" s="16"/>
      <c r="F2553" s="17"/>
      <c r="G2553" s="14"/>
      <c r="H2553" s="7"/>
      <c r="J2553" s="20"/>
      <c r="K2553" s="15"/>
      <c r="L2553" s="7"/>
      <c r="N2553" s="5"/>
      <c r="O2553" s="4"/>
    </row>
    <row r="2554" spans="1:15" x14ac:dyDescent="0.2">
      <c r="A2554" s="13"/>
      <c r="B2554" s="14"/>
      <c r="C2554" s="15"/>
      <c r="D2554" s="14"/>
      <c r="E2554" s="16"/>
      <c r="F2554" s="17"/>
      <c r="G2554" s="14"/>
      <c r="H2554" s="7"/>
      <c r="J2554" s="20"/>
      <c r="K2554" s="15"/>
      <c r="L2554" s="7"/>
      <c r="N2554" s="5"/>
      <c r="O2554" s="4"/>
    </row>
    <row r="2555" spans="1:15" x14ac:dyDescent="0.2">
      <c r="A2555" s="13"/>
      <c r="B2555" s="14"/>
      <c r="C2555" s="15"/>
      <c r="D2555" s="14"/>
      <c r="E2555" s="16"/>
      <c r="F2555" s="17"/>
      <c r="G2555" s="14"/>
      <c r="H2555" s="7"/>
      <c r="J2555" s="20"/>
      <c r="K2555" s="15"/>
      <c r="L2555" s="7"/>
      <c r="N2555" s="5"/>
      <c r="O2555" s="4"/>
    </row>
    <row r="2556" spans="1:15" x14ac:dyDescent="0.2">
      <c r="A2556" s="13"/>
      <c r="B2556" s="14"/>
      <c r="C2556" s="15"/>
      <c r="D2556" s="14"/>
      <c r="E2556" s="16"/>
      <c r="F2556" s="17"/>
      <c r="G2556" s="14"/>
      <c r="H2556" s="7"/>
      <c r="J2556" s="20"/>
      <c r="K2556" s="15"/>
      <c r="L2556" s="7"/>
      <c r="N2556" s="5"/>
      <c r="O2556" s="4"/>
    </row>
    <row r="2557" spans="1:15" x14ac:dyDescent="0.2">
      <c r="A2557" s="13"/>
      <c r="B2557" s="14"/>
      <c r="C2557" s="15"/>
      <c r="D2557" s="14"/>
      <c r="E2557" s="16"/>
      <c r="F2557" s="17"/>
      <c r="G2557" s="14"/>
      <c r="H2557" s="7"/>
      <c r="J2557" s="20"/>
      <c r="K2557" s="15"/>
      <c r="L2557" s="7"/>
      <c r="N2557" s="5"/>
      <c r="O2557" s="4"/>
    </row>
    <row r="2558" spans="1:15" x14ac:dyDescent="0.2">
      <c r="A2558" s="13"/>
      <c r="B2558" s="14"/>
      <c r="C2558" s="15"/>
      <c r="D2558" s="14"/>
      <c r="E2558" s="16"/>
      <c r="F2558" s="17"/>
      <c r="G2558" s="14"/>
      <c r="H2558" s="7"/>
      <c r="J2558" s="20"/>
      <c r="K2558" s="15"/>
      <c r="L2558" s="7"/>
      <c r="N2558" s="5"/>
      <c r="O2558" s="4"/>
    </row>
    <row r="2559" spans="1:15" x14ac:dyDescent="0.2">
      <c r="A2559" s="13"/>
      <c r="B2559" s="14"/>
      <c r="C2559" s="15"/>
      <c r="D2559" s="14"/>
      <c r="E2559" s="16"/>
      <c r="F2559" s="17"/>
      <c r="G2559" s="14"/>
      <c r="H2559" s="7"/>
      <c r="J2559" s="20"/>
      <c r="K2559" s="15"/>
      <c r="L2559" s="7"/>
      <c r="N2559" s="5"/>
      <c r="O2559" s="4"/>
    </row>
    <row r="2560" spans="1:15" x14ac:dyDescent="0.2">
      <c r="A2560" s="13"/>
      <c r="B2560" s="14"/>
      <c r="C2560" s="15"/>
      <c r="D2560" s="14"/>
      <c r="E2560" s="16"/>
      <c r="F2560" s="17"/>
      <c r="G2560" s="14"/>
      <c r="H2560" s="7"/>
      <c r="J2560" s="20"/>
      <c r="K2560" s="15"/>
      <c r="L2560" s="7"/>
      <c r="N2560" s="5"/>
      <c r="O2560" s="4"/>
    </row>
    <row r="2561" spans="1:15" x14ac:dyDescent="0.2">
      <c r="A2561" s="13"/>
      <c r="B2561" s="14"/>
      <c r="C2561" s="15"/>
      <c r="D2561" s="14"/>
      <c r="E2561" s="16"/>
      <c r="F2561" s="17"/>
      <c r="G2561" s="14"/>
      <c r="H2561" s="7"/>
      <c r="J2561" s="20"/>
      <c r="K2561" s="15"/>
      <c r="L2561" s="7"/>
      <c r="N2561" s="5"/>
      <c r="O2561" s="4"/>
    </row>
    <row r="2562" spans="1:15" x14ac:dyDescent="0.2">
      <c r="A2562" s="13"/>
      <c r="B2562" s="14"/>
      <c r="C2562" s="15"/>
      <c r="D2562" s="14"/>
      <c r="E2562" s="16"/>
      <c r="F2562" s="17"/>
      <c r="G2562" s="14"/>
      <c r="H2562" s="7"/>
      <c r="J2562" s="20"/>
      <c r="K2562" s="15"/>
      <c r="L2562" s="7"/>
      <c r="N2562" s="5"/>
      <c r="O2562" s="4"/>
    </row>
    <row r="2563" spans="1:15" x14ac:dyDescent="0.2">
      <c r="A2563" s="13"/>
      <c r="B2563" s="14"/>
      <c r="C2563" s="15"/>
      <c r="D2563" s="14"/>
      <c r="E2563" s="16"/>
      <c r="F2563" s="17"/>
      <c r="G2563" s="14"/>
      <c r="H2563" s="7"/>
      <c r="J2563" s="20"/>
      <c r="K2563" s="15"/>
      <c r="L2563" s="7"/>
      <c r="N2563" s="5"/>
      <c r="O2563" s="4"/>
    </row>
    <row r="2564" spans="1:15" x14ac:dyDescent="0.2">
      <c r="A2564" s="13"/>
      <c r="B2564" s="14"/>
      <c r="C2564" s="15"/>
      <c r="D2564" s="14"/>
      <c r="E2564" s="16"/>
      <c r="F2564" s="17"/>
      <c r="G2564" s="14"/>
      <c r="H2564" s="7"/>
      <c r="J2564" s="20"/>
      <c r="K2564" s="15"/>
      <c r="L2564" s="7"/>
      <c r="N2564" s="5"/>
      <c r="O2564" s="4"/>
    </row>
    <row r="2565" spans="1:15" x14ac:dyDescent="0.2">
      <c r="A2565" s="13"/>
      <c r="B2565" s="14"/>
      <c r="C2565" s="15"/>
      <c r="D2565" s="14"/>
      <c r="E2565" s="16"/>
      <c r="F2565" s="17"/>
      <c r="G2565" s="14"/>
      <c r="H2565" s="7"/>
      <c r="J2565" s="20"/>
      <c r="K2565" s="15"/>
      <c r="L2565" s="7"/>
      <c r="N2565" s="5"/>
      <c r="O2565" s="4"/>
    </row>
    <row r="2566" spans="1:15" x14ac:dyDescent="0.2">
      <c r="A2566" s="13"/>
      <c r="B2566" s="14"/>
      <c r="C2566" s="15"/>
      <c r="D2566" s="14"/>
      <c r="E2566" s="16"/>
      <c r="F2566" s="17"/>
      <c r="G2566" s="14"/>
      <c r="H2566" s="7"/>
      <c r="J2566" s="20"/>
      <c r="K2566" s="15"/>
      <c r="L2566" s="7"/>
      <c r="N2566" s="5"/>
      <c r="O2566" s="4"/>
    </row>
    <row r="2567" spans="1:15" x14ac:dyDescent="0.2">
      <c r="A2567" s="13"/>
      <c r="B2567" s="14"/>
      <c r="C2567" s="15"/>
      <c r="D2567" s="14"/>
      <c r="E2567" s="16"/>
      <c r="F2567" s="17"/>
      <c r="G2567" s="14"/>
      <c r="H2567" s="7"/>
      <c r="J2567" s="20"/>
      <c r="K2567" s="15"/>
      <c r="L2567" s="7"/>
      <c r="N2567" s="5"/>
      <c r="O2567" s="4"/>
    </row>
    <row r="2568" spans="1:15" x14ac:dyDescent="0.2">
      <c r="A2568" s="13"/>
      <c r="B2568" s="14"/>
      <c r="C2568" s="15"/>
      <c r="D2568" s="14"/>
      <c r="E2568" s="16"/>
      <c r="F2568" s="17"/>
      <c r="G2568" s="14"/>
      <c r="H2568" s="7"/>
      <c r="J2568" s="20"/>
      <c r="K2568" s="15"/>
      <c r="L2568" s="7"/>
      <c r="N2568" s="5"/>
      <c r="O2568" s="4"/>
    </row>
    <row r="2569" spans="1:15" x14ac:dyDescent="0.2">
      <c r="A2569" s="13"/>
      <c r="B2569" s="14"/>
      <c r="C2569" s="15"/>
      <c r="D2569" s="14"/>
      <c r="E2569" s="16"/>
      <c r="F2569" s="17"/>
      <c r="G2569" s="14"/>
      <c r="H2569" s="7"/>
      <c r="J2569" s="20"/>
      <c r="K2569" s="15"/>
      <c r="L2569" s="7"/>
      <c r="N2569" s="5"/>
      <c r="O2569" s="4"/>
    </row>
    <row r="2570" spans="1:15" x14ac:dyDescent="0.2">
      <c r="A2570" s="13"/>
      <c r="B2570" s="14"/>
      <c r="C2570" s="15"/>
      <c r="D2570" s="14"/>
      <c r="E2570" s="16"/>
      <c r="F2570" s="17"/>
      <c r="G2570" s="14"/>
      <c r="H2570" s="7"/>
      <c r="J2570" s="20"/>
      <c r="K2570" s="15"/>
      <c r="L2570" s="7"/>
      <c r="N2570" s="5"/>
      <c r="O2570" s="4"/>
    </row>
    <row r="2571" spans="1:15" x14ac:dyDescent="0.2">
      <c r="A2571" s="13"/>
      <c r="B2571" s="14"/>
      <c r="C2571" s="15"/>
      <c r="D2571" s="14"/>
      <c r="E2571" s="16"/>
      <c r="F2571" s="17"/>
      <c r="G2571" s="14"/>
      <c r="H2571" s="7"/>
      <c r="J2571" s="20"/>
      <c r="K2571" s="15"/>
      <c r="L2571" s="7"/>
      <c r="N2571" s="5"/>
      <c r="O2571" s="4"/>
    </row>
    <row r="2572" spans="1:15" x14ac:dyDescent="0.2">
      <c r="A2572" s="13"/>
      <c r="B2572" s="14"/>
      <c r="C2572" s="15"/>
      <c r="D2572" s="14"/>
      <c r="E2572" s="16"/>
      <c r="F2572" s="17"/>
      <c r="G2572" s="14"/>
      <c r="H2572" s="7"/>
      <c r="J2572" s="20"/>
      <c r="K2572" s="15"/>
      <c r="L2572" s="7"/>
      <c r="N2572" s="5"/>
      <c r="O2572" s="4"/>
    </row>
    <row r="2573" spans="1:15" x14ac:dyDescent="0.2">
      <c r="A2573" s="13"/>
      <c r="B2573" s="14"/>
      <c r="C2573" s="15"/>
      <c r="D2573" s="14"/>
      <c r="E2573" s="16"/>
      <c r="F2573" s="17"/>
      <c r="G2573" s="14"/>
      <c r="H2573" s="7"/>
      <c r="J2573" s="20"/>
      <c r="K2573" s="15"/>
      <c r="L2573" s="7"/>
      <c r="N2573" s="5"/>
      <c r="O2573" s="4"/>
    </row>
    <row r="2574" spans="1:15" x14ac:dyDescent="0.2">
      <c r="A2574" s="13"/>
      <c r="B2574" s="14"/>
      <c r="C2574" s="15"/>
      <c r="D2574" s="14"/>
      <c r="E2574" s="16"/>
      <c r="F2574" s="17"/>
      <c r="G2574" s="14"/>
      <c r="H2574" s="7"/>
      <c r="J2574" s="20"/>
      <c r="K2574" s="15"/>
      <c r="L2574" s="7"/>
      <c r="N2574" s="5"/>
      <c r="O2574" s="4"/>
    </row>
    <row r="2575" spans="1:15" x14ac:dyDescent="0.2">
      <c r="A2575" s="13"/>
      <c r="B2575" s="14"/>
      <c r="C2575" s="15"/>
      <c r="D2575" s="14"/>
      <c r="E2575" s="16"/>
      <c r="F2575" s="17"/>
      <c r="G2575" s="14"/>
      <c r="H2575" s="7"/>
      <c r="J2575" s="20"/>
      <c r="K2575" s="15"/>
      <c r="L2575" s="7"/>
      <c r="N2575" s="5"/>
      <c r="O2575" s="4"/>
    </row>
    <row r="2576" spans="1:15" x14ac:dyDescent="0.2">
      <c r="A2576" s="13"/>
      <c r="B2576" s="14"/>
      <c r="C2576" s="15"/>
      <c r="D2576" s="14"/>
      <c r="E2576" s="16"/>
      <c r="F2576" s="17"/>
      <c r="G2576" s="14"/>
      <c r="H2576" s="7"/>
      <c r="J2576" s="20"/>
      <c r="K2576" s="15"/>
      <c r="L2576" s="7"/>
      <c r="N2576" s="5"/>
      <c r="O2576" s="4"/>
    </row>
    <row r="2577" spans="1:15" x14ac:dyDescent="0.2">
      <c r="A2577" s="13"/>
      <c r="B2577" s="14"/>
      <c r="C2577" s="15"/>
      <c r="D2577" s="14"/>
      <c r="E2577" s="16"/>
      <c r="F2577" s="17"/>
      <c r="G2577" s="14"/>
      <c r="H2577" s="7"/>
      <c r="J2577" s="20"/>
      <c r="K2577" s="15"/>
      <c r="L2577" s="7"/>
      <c r="N2577" s="5"/>
      <c r="O2577" s="4"/>
    </row>
    <row r="2578" spans="1:15" x14ac:dyDescent="0.2">
      <c r="A2578" s="13"/>
      <c r="B2578" s="14"/>
      <c r="C2578" s="15"/>
      <c r="D2578" s="14"/>
      <c r="E2578" s="16"/>
      <c r="F2578" s="17"/>
      <c r="G2578" s="14"/>
      <c r="H2578" s="7"/>
      <c r="J2578" s="20"/>
      <c r="K2578" s="15"/>
      <c r="L2578" s="7"/>
      <c r="N2578" s="5"/>
      <c r="O2578" s="4"/>
    </row>
    <row r="2579" spans="1:15" x14ac:dyDescent="0.2">
      <c r="A2579" s="13"/>
      <c r="B2579" s="14"/>
      <c r="C2579" s="15"/>
      <c r="D2579" s="14"/>
      <c r="E2579" s="16"/>
      <c r="F2579" s="17"/>
      <c r="G2579" s="14"/>
      <c r="H2579" s="7"/>
      <c r="J2579" s="20"/>
      <c r="K2579" s="15"/>
      <c r="L2579" s="7"/>
      <c r="N2579" s="5"/>
      <c r="O2579" s="4"/>
    </row>
    <row r="2580" spans="1:15" x14ac:dyDescent="0.2">
      <c r="A2580" s="13"/>
      <c r="B2580" s="14"/>
      <c r="C2580" s="15"/>
      <c r="D2580" s="14"/>
      <c r="E2580" s="16"/>
      <c r="F2580" s="17"/>
      <c r="G2580" s="14"/>
      <c r="H2580" s="7"/>
      <c r="J2580" s="20"/>
      <c r="K2580" s="15"/>
      <c r="L2580" s="7"/>
      <c r="N2580" s="5"/>
      <c r="O2580" s="4"/>
    </row>
    <row r="2581" spans="1:15" x14ac:dyDescent="0.2">
      <c r="A2581" s="13"/>
      <c r="B2581" s="14"/>
      <c r="C2581" s="15"/>
      <c r="D2581" s="14"/>
      <c r="E2581" s="16"/>
      <c r="F2581" s="17"/>
      <c r="G2581" s="14"/>
      <c r="H2581" s="7"/>
      <c r="J2581" s="20"/>
      <c r="K2581" s="15"/>
      <c r="L2581" s="7"/>
      <c r="N2581" s="5"/>
      <c r="O2581" s="4"/>
    </row>
    <row r="2582" spans="1:15" x14ac:dyDescent="0.2">
      <c r="A2582" s="13"/>
      <c r="B2582" s="14"/>
      <c r="C2582" s="15"/>
      <c r="D2582" s="14"/>
      <c r="E2582" s="16"/>
      <c r="F2582" s="17"/>
      <c r="G2582" s="14"/>
      <c r="H2582" s="7"/>
      <c r="J2582" s="20"/>
      <c r="K2582" s="15"/>
      <c r="L2582" s="7"/>
      <c r="N2582" s="5"/>
      <c r="O2582" s="4"/>
    </row>
    <row r="2583" spans="1:15" x14ac:dyDescent="0.2">
      <c r="A2583" s="13"/>
      <c r="B2583" s="14"/>
      <c r="C2583" s="15"/>
      <c r="D2583" s="14"/>
      <c r="E2583" s="16"/>
      <c r="F2583" s="17"/>
      <c r="G2583" s="14"/>
      <c r="H2583" s="7"/>
      <c r="J2583" s="20"/>
      <c r="K2583" s="15"/>
      <c r="L2583" s="7"/>
      <c r="N2583" s="5"/>
      <c r="O2583" s="4"/>
    </row>
    <row r="2584" spans="1:15" x14ac:dyDescent="0.2">
      <c r="A2584" s="13"/>
      <c r="B2584" s="14"/>
      <c r="C2584" s="15"/>
      <c r="D2584" s="14"/>
      <c r="E2584" s="16"/>
      <c r="F2584" s="17"/>
      <c r="G2584" s="14"/>
      <c r="H2584" s="7"/>
      <c r="J2584" s="20"/>
      <c r="K2584" s="15"/>
      <c r="L2584" s="7"/>
      <c r="N2584" s="5"/>
      <c r="O2584" s="4"/>
    </row>
    <row r="2585" spans="1:15" x14ac:dyDescent="0.2">
      <c r="A2585" s="13"/>
      <c r="B2585" s="14"/>
      <c r="C2585" s="15"/>
      <c r="D2585" s="14"/>
      <c r="E2585" s="16"/>
      <c r="F2585" s="17"/>
      <c r="G2585" s="14"/>
      <c r="H2585" s="7"/>
      <c r="J2585" s="20"/>
      <c r="K2585" s="15"/>
      <c r="L2585" s="7"/>
      <c r="N2585" s="5"/>
      <c r="O2585" s="4"/>
    </row>
    <row r="2586" spans="1:15" x14ac:dyDescent="0.2">
      <c r="A2586" s="13"/>
      <c r="B2586" s="14"/>
      <c r="C2586" s="15"/>
      <c r="D2586" s="14"/>
      <c r="E2586" s="16"/>
      <c r="F2586" s="17"/>
      <c r="G2586" s="14"/>
      <c r="H2586" s="7"/>
      <c r="J2586" s="20"/>
      <c r="K2586" s="15"/>
      <c r="L2586" s="7"/>
      <c r="N2586" s="5"/>
      <c r="O2586" s="4"/>
    </row>
    <row r="2587" spans="1:15" x14ac:dyDescent="0.2">
      <c r="A2587" s="13"/>
      <c r="B2587" s="14"/>
      <c r="C2587" s="15"/>
      <c r="D2587" s="14"/>
      <c r="E2587" s="16"/>
      <c r="F2587" s="17"/>
      <c r="G2587" s="14"/>
      <c r="H2587" s="7"/>
      <c r="J2587" s="20"/>
      <c r="K2587" s="15"/>
      <c r="L2587" s="7"/>
      <c r="N2587" s="5"/>
      <c r="O2587" s="4"/>
    </row>
    <row r="2588" spans="1:15" x14ac:dyDescent="0.2">
      <c r="A2588" s="13"/>
      <c r="B2588" s="14"/>
      <c r="C2588" s="15"/>
      <c r="D2588" s="14"/>
      <c r="E2588" s="16"/>
      <c r="F2588" s="17"/>
      <c r="G2588" s="14"/>
      <c r="H2588" s="7"/>
      <c r="J2588" s="20"/>
      <c r="K2588" s="15"/>
      <c r="L2588" s="7"/>
      <c r="N2588" s="5"/>
      <c r="O2588" s="4"/>
    </row>
    <row r="2589" spans="1:15" x14ac:dyDescent="0.2">
      <c r="A2589" s="13"/>
      <c r="B2589" s="14"/>
      <c r="C2589" s="15"/>
      <c r="D2589" s="14"/>
      <c r="E2589" s="16"/>
      <c r="F2589" s="17"/>
      <c r="G2589" s="14"/>
      <c r="H2589" s="7"/>
      <c r="J2589" s="20"/>
      <c r="K2589" s="15"/>
      <c r="L2589" s="7"/>
      <c r="N2589" s="5"/>
      <c r="O2589" s="4"/>
    </row>
    <row r="2590" spans="1:15" x14ac:dyDescent="0.2">
      <c r="A2590" s="13"/>
      <c r="B2590" s="14"/>
      <c r="C2590" s="15"/>
      <c r="D2590" s="14"/>
      <c r="E2590" s="16"/>
      <c r="F2590" s="17"/>
      <c r="G2590" s="14"/>
      <c r="H2590" s="7"/>
      <c r="J2590" s="20"/>
      <c r="K2590" s="15"/>
      <c r="L2590" s="7"/>
      <c r="N2590" s="5"/>
      <c r="O2590" s="4"/>
    </row>
    <row r="2591" spans="1:15" x14ac:dyDescent="0.2">
      <c r="A2591" s="13"/>
      <c r="B2591" s="14"/>
      <c r="C2591" s="15"/>
      <c r="D2591" s="14"/>
      <c r="E2591" s="16"/>
      <c r="F2591" s="17"/>
      <c r="G2591" s="14"/>
      <c r="H2591" s="7"/>
      <c r="J2591" s="20"/>
      <c r="K2591" s="15"/>
      <c r="L2591" s="7"/>
      <c r="N2591" s="5"/>
      <c r="O2591" s="4"/>
    </row>
    <row r="2592" spans="1:15" x14ac:dyDescent="0.2">
      <c r="A2592" s="13"/>
      <c r="B2592" s="14"/>
      <c r="C2592" s="15"/>
      <c r="D2592" s="14"/>
      <c r="E2592" s="16"/>
      <c r="F2592" s="17"/>
      <c r="G2592" s="14"/>
      <c r="H2592" s="7"/>
      <c r="J2592" s="20"/>
      <c r="K2592" s="15"/>
      <c r="L2592" s="7"/>
      <c r="N2592" s="5"/>
      <c r="O2592" s="4"/>
    </row>
    <row r="2593" spans="1:15" x14ac:dyDescent="0.2">
      <c r="A2593" s="13"/>
      <c r="B2593" s="14"/>
      <c r="C2593" s="15"/>
      <c r="D2593" s="14"/>
      <c r="E2593" s="16"/>
      <c r="F2593" s="17"/>
      <c r="G2593" s="14"/>
      <c r="H2593" s="7"/>
      <c r="J2593" s="20"/>
      <c r="K2593" s="15"/>
      <c r="L2593" s="7"/>
      <c r="N2593" s="5"/>
      <c r="O2593" s="4"/>
    </row>
    <row r="2594" spans="1:15" x14ac:dyDescent="0.2">
      <c r="A2594" s="13"/>
      <c r="B2594" s="14"/>
      <c r="C2594" s="15"/>
      <c r="D2594" s="14"/>
      <c r="E2594" s="16"/>
      <c r="F2594" s="17"/>
      <c r="G2594" s="14"/>
      <c r="H2594" s="7"/>
      <c r="J2594" s="20"/>
      <c r="K2594" s="15"/>
      <c r="L2594" s="7"/>
      <c r="N2594" s="5"/>
      <c r="O2594" s="4"/>
    </row>
    <row r="2595" spans="1:15" x14ac:dyDescent="0.2">
      <c r="A2595" s="13"/>
      <c r="B2595" s="14"/>
      <c r="C2595" s="15"/>
      <c r="D2595" s="14"/>
      <c r="E2595" s="16"/>
      <c r="F2595" s="17"/>
      <c r="G2595" s="14"/>
      <c r="H2595" s="7"/>
      <c r="J2595" s="20"/>
      <c r="K2595" s="15"/>
      <c r="L2595" s="7"/>
      <c r="N2595" s="5"/>
      <c r="O2595" s="4"/>
    </row>
    <row r="2596" spans="1:15" x14ac:dyDescent="0.2">
      <c r="A2596" s="13"/>
      <c r="B2596" s="14"/>
      <c r="C2596" s="15"/>
      <c r="D2596" s="14"/>
      <c r="E2596" s="16"/>
      <c r="F2596" s="17"/>
      <c r="G2596" s="14"/>
      <c r="H2596" s="7"/>
      <c r="J2596" s="20"/>
      <c r="K2596" s="15"/>
      <c r="L2596" s="7"/>
      <c r="N2596" s="5"/>
      <c r="O2596" s="4"/>
    </row>
    <row r="2597" spans="1:15" x14ac:dyDescent="0.2">
      <c r="A2597" s="13"/>
      <c r="B2597" s="14"/>
      <c r="C2597" s="15"/>
      <c r="D2597" s="14"/>
      <c r="E2597" s="16"/>
      <c r="F2597" s="17"/>
      <c r="G2597" s="14"/>
      <c r="H2597" s="7"/>
      <c r="J2597" s="20"/>
      <c r="K2597" s="15"/>
      <c r="L2597" s="7"/>
      <c r="N2597" s="5"/>
      <c r="O2597" s="4"/>
    </row>
    <row r="2598" spans="1:15" x14ac:dyDescent="0.2">
      <c r="A2598" s="13"/>
      <c r="B2598" s="14"/>
      <c r="C2598" s="15"/>
      <c r="D2598" s="14"/>
      <c r="E2598" s="16"/>
      <c r="F2598" s="17"/>
      <c r="G2598" s="14"/>
      <c r="H2598" s="7"/>
      <c r="J2598" s="20"/>
      <c r="K2598" s="15"/>
      <c r="L2598" s="7"/>
      <c r="N2598" s="5"/>
      <c r="O2598" s="4"/>
    </row>
    <row r="2599" spans="1:15" x14ac:dyDescent="0.2">
      <c r="A2599" s="13"/>
      <c r="B2599" s="14"/>
      <c r="C2599" s="15"/>
      <c r="D2599" s="14"/>
      <c r="E2599" s="16"/>
      <c r="F2599" s="17"/>
      <c r="G2599" s="14"/>
      <c r="H2599" s="7"/>
      <c r="J2599" s="20"/>
      <c r="K2599" s="15"/>
      <c r="L2599" s="7"/>
      <c r="N2599" s="5"/>
      <c r="O2599" s="4"/>
    </row>
    <row r="2600" spans="1:15" x14ac:dyDescent="0.2">
      <c r="A2600" s="13"/>
      <c r="B2600" s="14"/>
      <c r="C2600" s="15"/>
      <c r="D2600" s="14"/>
      <c r="E2600" s="16"/>
      <c r="F2600" s="17"/>
      <c r="G2600" s="14"/>
      <c r="H2600" s="7"/>
      <c r="J2600" s="20"/>
      <c r="K2600" s="15"/>
      <c r="L2600" s="7"/>
      <c r="N2600" s="5"/>
      <c r="O2600" s="4"/>
    </row>
    <row r="2601" spans="1:15" x14ac:dyDescent="0.2">
      <c r="A2601" s="13"/>
      <c r="B2601" s="14"/>
      <c r="C2601" s="15"/>
      <c r="D2601" s="14"/>
      <c r="E2601" s="16"/>
      <c r="F2601" s="17"/>
      <c r="G2601" s="14"/>
      <c r="H2601" s="7"/>
      <c r="J2601" s="20"/>
      <c r="K2601" s="15"/>
      <c r="L2601" s="7"/>
      <c r="N2601" s="5"/>
      <c r="O2601" s="4"/>
    </row>
    <row r="2602" spans="1:15" x14ac:dyDescent="0.2">
      <c r="A2602" s="13"/>
      <c r="B2602" s="14"/>
      <c r="C2602" s="15"/>
      <c r="D2602" s="14"/>
      <c r="E2602" s="16"/>
      <c r="F2602" s="17"/>
      <c r="G2602" s="14"/>
      <c r="H2602" s="7"/>
      <c r="J2602" s="20"/>
      <c r="K2602" s="15"/>
      <c r="L2602" s="7"/>
      <c r="N2602" s="5"/>
      <c r="O2602" s="4"/>
    </row>
    <row r="2603" spans="1:15" x14ac:dyDescent="0.2">
      <c r="A2603" s="13"/>
      <c r="B2603" s="14"/>
      <c r="C2603" s="15"/>
      <c r="D2603" s="14"/>
      <c r="E2603" s="16"/>
      <c r="F2603" s="17"/>
      <c r="G2603" s="14"/>
      <c r="H2603" s="7"/>
      <c r="J2603" s="20"/>
      <c r="K2603" s="15"/>
      <c r="L2603" s="7"/>
      <c r="N2603" s="5"/>
      <c r="O2603" s="4"/>
    </row>
    <row r="2604" spans="1:15" x14ac:dyDescent="0.2">
      <c r="A2604" s="13"/>
      <c r="B2604" s="14"/>
      <c r="C2604" s="15"/>
      <c r="D2604" s="14"/>
      <c r="E2604" s="16"/>
      <c r="F2604" s="17"/>
      <c r="G2604" s="14"/>
      <c r="H2604" s="7"/>
      <c r="J2604" s="20"/>
      <c r="K2604" s="15"/>
      <c r="L2604" s="7"/>
      <c r="N2604" s="5"/>
      <c r="O2604" s="4"/>
    </row>
    <row r="2605" spans="1:15" x14ac:dyDescent="0.2">
      <c r="A2605" s="13"/>
      <c r="B2605" s="14"/>
      <c r="C2605" s="15"/>
      <c r="D2605" s="14"/>
      <c r="E2605" s="16"/>
      <c r="F2605" s="17"/>
      <c r="G2605" s="14"/>
      <c r="H2605" s="7"/>
      <c r="J2605" s="20"/>
      <c r="K2605" s="15"/>
      <c r="L2605" s="7"/>
      <c r="N2605" s="5"/>
      <c r="O2605" s="4"/>
    </row>
    <row r="2606" spans="1:15" x14ac:dyDescent="0.2">
      <c r="A2606" s="13"/>
      <c r="B2606" s="14"/>
      <c r="C2606" s="15"/>
      <c r="D2606" s="14"/>
      <c r="E2606" s="16"/>
      <c r="F2606" s="17"/>
      <c r="G2606" s="14"/>
      <c r="H2606" s="7"/>
      <c r="J2606" s="20"/>
      <c r="K2606" s="15"/>
      <c r="L2606" s="7"/>
      <c r="N2606" s="5"/>
      <c r="O2606" s="4"/>
    </row>
    <row r="2607" spans="1:15" x14ac:dyDescent="0.2">
      <c r="A2607" s="13"/>
      <c r="B2607" s="14"/>
      <c r="C2607" s="15"/>
      <c r="D2607" s="14"/>
      <c r="E2607" s="16"/>
      <c r="F2607" s="17"/>
      <c r="G2607" s="14"/>
      <c r="H2607" s="7"/>
      <c r="J2607" s="20"/>
      <c r="K2607" s="15"/>
      <c r="L2607" s="7"/>
      <c r="N2607" s="5"/>
      <c r="O2607" s="4"/>
    </row>
    <row r="2608" spans="1:15" x14ac:dyDescent="0.2">
      <c r="A2608" s="13"/>
      <c r="B2608" s="14"/>
      <c r="C2608" s="15"/>
      <c r="D2608" s="14"/>
      <c r="E2608" s="16"/>
      <c r="F2608" s="17"/>
      <c r="G2608" s="14"/>
      <c r="H2608" s="7"/>
      <c r="J2608" s="20"/>
      <c r="K2608" s="15"/>
      <c r="L2608" s="7"/>
      <c r="N2608" s="5"/>
      <c r="O2608" s="4"/>
    </row>
    <row r="2609" spans="1:15" x14ac:dyDescent="0.2">
      <c r="A2609" s="13"/>
      <c r="B2609" s="14"/>
      <c r="C2609" s="15"/>
      <c r="D2609" s="14"/>
      <c r="E2609" s="16"/>
      <c r="F2609" s="17"/>
      <c r="G2609" s="14"/>
      <c r="H2609" s="7"/>
      <c r="J2609" s="20"/>
      <c r="K2609" s="15"/>
      <c r="L2609" s="7"/>
      <c r="N2609" s="5"/>
      <c r="O2609" s="4"/>
    </row>
    <row r="2610" spans="1:15" x14ac:dyDescent="0.2">
      <c r="A2610" s="13"/>
      <c r="B2610" s="14"/>
      <c r="C2610" s="15"/>
      <c r="D2610" s="14"/>
      <c r="E2610" s="16"/>
      <c r="F2610" s="17"/>
      <c r="G2610" s="14"/>
      <c r="H2610" s="7"/>
      <c r="J2610" s="20"/>
      <c r="K2610" s="15"/>
      <c r="L2610" s="7"/>
      <c r="N2610" s="5"/>
      <c r="O2610" s="4"/>
    </row>
    <row r="2611" spans="1:15" x14ac:dyDescent="0.2">
      <c r="A2611" s="13"/>
      <c r="B2611" s="14"/>
      <c r="C2611" s="15"/>
      <c r="D2611" s="14"/>
      <c r="E2611" s="16"/>
      <c r="F2611" s="17"/>
      <c r="G2611" s="14"/>
      <c r="H2611" s="7"/>
      <c r="J2611" s="20"/>
      <c r="K2611" s="15"/>
      <c r="L2611" s="7"/>
      <c r="N2611" s="5"/>
      <c r="O2611" s="4"/>
    </row>
    <row r="2612" spans="1:15" x14ac:dyDescent="0.2">
      <c r="A2612" s="13"/>
      <c r="B2612" s="14"/>
      <c r="C2612" s="15"/>
      <c r="D2612" s="14"/>
      <c r="E2612" s="16"/>
      <c r="F2612" s="17"/>
      <c r="G2612" s="14"/>
      <c r="H2612" s="7"/>
      <c r="J2612" s="20"/>
      <c r="K2612" s="15"/>
      <c r="L2612" s="7"/>
      <c r="N2612" s="5"/>
      <c r="O2612" s="4"/>
    </row>
    <row r="2613" spans="1:15" x14ac:dyDescent="0.2">
      <c r="A2613" s="13"/>
      <c r="B2613" s="14"/>
      <c r="C2613" s="15"/>
      <c r="D2613" s="14"/>
      <c r="E2613" s="16"/>
      <c r="F2613" s="17"/>
      <c r="G2613" s="14"/>
      <c r="H2613" s="7"/>
      <c r="J2613" s="20"/>
      <c r="K2613" s="15"/>
      <c r="L2613" s="7"/>
      <c r="N2613" s="5"/>
      <c r="O2613" s="4"/>
    </row>
    <row r="2614" spans="1:15" x14ac:dyDescent="0.2">
      <c r="A2614" s="13"/>
      <c r="B2614" s="14"/>
      <c r="C2614" s="15"/>
      <c r="D2614" s="14"/>
      <c r="E2614" s="16"/>
      <c r="F2614" s="17"/>
      <c r="G2614" s="14"/>
      <c r="H2614" s="7"/>
      <c r="J2614" s="20"/>
      <c r="K2614" s="15"/>
      <c r="L2614" s="7"/>
      <c r="N2614" s="5"/>
      <c r="O2614" s="4"/>
    </row>
    <row r="2615" spans="1:15" x14ac:dyDescent="0.2">
      <c r="A2615" s="13"/>
      <c r="B2615" s="14"/>
      <c r="C2615" s="15"/>
      <c r="D2615" s="14"/>
      <c r="E2615" s="16"/>
      <c r="F2615" s="17"/>
      <c r="G2615" s="14"/>
      <c r="H2615" s="7"/>
      <c r="J2615" s="20"/>
      <c r="K2615" s="15"/>
      <c r="L2615" s="7"/>
      <c r="N2615" s="5"/>
      <c r="O2615" s="4"/>
    </row>
    <row r="2616" spans="1:15" x14ac:dyDescent="0.2">
      <c r="A2616" s="13"/>
      <c r="B2616" s="14"/>
      <c r="C2616" s="15"/>
      <c r="D2616" s="14"/>
      <c r="E2616" s="16"/>
      <c r="F2616" s="17"/>
      <c r="G2616" s="14"/>
      <c r="H2616" s="7"/>
      <c r="J2616" s="20"/>
      <c r="K2616" s="15"/>
      <c r="L2616" s="7"/>
      <c r="N2616" s="5"/>
      <c r="O2616" s="4"/>
    </row>
    <row r="2617" spans="1:15" x14ac:dyDescent="0.2">
      <c r="A2617" s="13"/>
      <c r="B2617" s="14"/>
      <c r="C2617" s="15"/>
      <c r="D2617" s="14"/>
      <c r="E2617" s="16"/>
      <c r="F2617" s="17"/>
      <c r="G2617" s="14"/>
      <c r="H2617" s="7"/>
      <c r="J2617" s="20"/>
      <c r="K2617" s="15"/>
      <c r="L2617" s="7"/>
      <c r="N2617" s="5"/>
      <c r="O2617" s="4"/>
    </row>
    <row r="2618" spans="1:15" x14ac:dyDescent="0.2">
      <c r="A2618" s="13"/>
      <c r="B2618" s="14"/>
      <c r="C2618" s="15"/>
      <c r="D2618" s="14"/>
      <c r="E2618" s="16"/>
      <c r="F2618" s="17"/>
      <c r="G2618" s="14"/>
      <c r="H2618" s="7"/>
      <c r="J2618" s="20"/>
      <c r="K2618" s="15"/>
      <c r="L2618" s="7"/>
      <c r="N2618" s="5"/>
      <c r="O2618" s="4"/>
    </row>
    <row r="2619" spans="1:15" x14ac:dyDescent="0.2">
      <c r="A2619" s="13"/>
      <c r="B2619" s="14"/>
      <c r="C2619" s="15"/>
      <c r="D2619" s="14"/>
      <c r="E2619" s="16"/>
      <c r="F2619" s="17"/>
      <c r="G2619" s="14"/>
      <c r="H2619" s="7"/>
      <c r="J2619" s="20"/>
      <c r="K2619" s="15"/>
      <c r="L2619" s="7"/>
      <c r="N2619" s="5"/>
      <c r="O2619" s="4"/>
    </row>
    <row r="2620" spans="1:15" x14ac:dyDescent="0.2">
      <c r="A2620" s="13"/>
      <c r="B2620" s="14"/>
      <c r="C2620" s="15"/>
      <c r="D2620" s="14"/>
      <c r="E2620" s="16"/>
      <c r="F2620" s="17"/>
      <c r="G2620" s="14"/>
      <c r="H2620" s="7"/>
      <c r="J2620" s="20"/>
      <c r="K2620" s="15"/>
      <c r="L2620" s="7"/>
      <c r="N2620" s="5"/>
      <c r="O2620" s="4"/>
    </row>
    <row r="2621" spans="1:15" x14ac:dyDescent="0.2">
      <c r="A2621" s="13"/>
      <c r="B2621" s="14"/>
      <c r="C2621" s="15"/>
      <c r="D2621" s="14"/>
      <c r="E2621" s="16"/>
      <c r="F2621" s="17"/>
      <c r="G2621" s="14"/>
      <c r="H2621" s="7"/>
      <c r="J2621" s="20"/>
      <c r="K2621" s="15"/>
      <c r="L2621" s="7"/>
      <c r="N2621" s="5"/>
      <c r="O2621" s="4"/>
    </row>
    <row r="2622" spans="1:15" x14ac:dyDescent="0.2">
      <c r="A2622" s="13"/>
      <c r="B2622" s="14"/>
      <c r="C2622" s="15"/>
      <c r="D2622" s="14"/>
      <c r="E2622" s="16"/>
      <c r="F2622" s="17"/>
      <c r="G2622" s="14"/>
      <c r="H2622" s="7"/>
      <c r="J2622" s="20"/>
      <c r="K2622" s="15"/>
      <c r="L2622" s="7"/>
      <c r="N2622" s="5"/>
      <c r="O2622" s="4"/>
    </row>
    <row r="2623" spans="1:15" x14ac:dyDescent="0.2">
      <c r="A2623" s="13"/>
      <c r="B2623" s="14"/>
      <c r="C2623" s="15"/>
      <c r="D2623" s="14"/>
      <c r="E2623" s="16"/>
      <c r="F2623" s="17"/>
      <c r="G2623" s="14"/>
      <c r="H2623" s="7"/>
      <c r="J2623" s="20"/>
      <c r="K2623" s="15"/>
      <c r="L2623" s="7"/>
      <c r="N2623" s="5"/>
      <c r="O2623" s="4"/>
    </row>
    <row r="2624" spans="1:15" x14ac:dyDescent="0.2">
      <c r="A2624" s="13"/>
      <c r="B2624" s="14"/>
      <c r="C2624" s="15"/>
      <c r="D2624" s="14"/>
      <c r="E2624" s="16"/>
      <c r="F2624" s="17"/>
      <c r="G2624" s="14"/>
      <c r="H2624" s="7"/>
      <c r="J2624" s="20"/>
      <c r="K2624" s="15"/>
      <c r="L2624" s="7"/>
      <c r="N2624" s="5"/>
      <c r="O2624" s="4"/>
    </row>
    <row r="2625" spans="1:15" x14ac:dyDescent="0.2">
      <c r="A2625" s="13"/>
      <c r="B2625" s="14"/>
      <c r="C2625" s="15"/>
      <c r="D2625" s="14"/>
      <c r="E2625" s="16"/>
      <c r="F2625" s="17"/>
      <c r="G2625" s="14"/>
      <c r="H2625" s="7"/>
      <c r="J2625" s="20"/>
      <c r="K2625" s="15"/>
      <c r="L2625" s="7"/>
      <c r="N2625" s="5"/>
      <c r="O2625" s="4"/>
    </row>
    <row r="2626" spans="1:15" x14ac:dyDescent="0.2">
      <c r="A2626" s="13"/>
      <c r="B2626" s="14"/>
      <c r="C2626" s="15"/>
      <c r="D2626" s="14"/>
      <c r="E2626" s="16"/>
      <c r="F2626" s="17"/>
      <c r="G2626" s="14"/>
      <c r="H2626" s="7"/>
      <c r="J2626" s="20"/>
      <c r="K2626" s="15"/>
      <c r="L2626" s="7"/>
      <c r="N2626" s="5"/>
      <c r="O2626" s="4"/>
    </row>
    <row r="2627" spans="1:15" x14ac:dyDescent="0.2">
      <c r="A2627" s="13"/>
      <c r="B2627" s="14"/>
      <c r="C2627" s="15"/>
      <c r="D2627" s="14"/>
      <c r="E2627" s="16"/>
      <c r="F2627" s="17"/>
      <c r="G2627" s="14"/>
      <c r="H2627" s="7"/>
      <c r="J2627" s="20"/>
      <c r="K2627" s="15"/>
      <c r="L2627" s="7"/>
      <c r="N2627" s="5"/>
      <c r="O2627" s="4"/>
    </row>
    <row r="2628" spans="1:15" x14ac:dyDescent="0.2">
      <c r="A2628" s="13"/>
      <c r="B2628" s="14"/>
      <c r="C2628" s="15"/>
      <c r="D2628" s="14"/>
      <c r="E2628" s="16"/>
      <c r="F2628" s="17"/>
      <c r="G2628" s="14"/>
      <c r="H2628" s="7"/>
      <c r="J2628" s="20"/>
      <c r="K2628" s="15"/>
      <c r="L2628" s="7"/>
      <c r="N2628" s="5"/>
      <c r="O2628" s="4"/>
    </row>
    <row r="2629" spans="1:15" x14ac:dyDescent="0.2">
      <c r="A2629" s="13"/>
      <c r="B2629" s="14"/>
      <c r="C2629" s="15"/>
      <c r="D2629" s="14"/>
      <c r="E2629" s="16"/>
      <c r="F2629" s="17"/>
      <c r="G2629" s="14"/>
      <c r="H2629" s="7"/>
      <c r="J2629" s="20"/>
      <c r="K2629" s="15"/>
      <c r="L2629" s="7"/>
      <c r="N2629" s="5"/>
      <c r="O2629" s="4"/>
    </row>
    <row r="2630" spans="1:15" x14ac:dyDescent="0.2">
      <c r="A2630" s="13"/>
      <c r="B2630" s="14"/>
      <c r="C2630" s="15"/>
      <c r="D2630" s="14"/>
      <c r="E2630" s="16"/>
      <c r="F2630" s="17"/>
      <c r="G2630" s="14"/>
      <c r="H2630" s="7"/>
      <c r="J2630" s="20"/>
      <c r="K2630" s="15"/>
      <c r="L2630" s="7"/>
      <c r="N2630" s="5"/>
      <c r="O2630" s="4"/>
    </row>
    <row r="2631" spans="1:15" x14ac:dyDescent="0.2">
      <c r="A2631" s="13"/>
      <c r="B2631" s="14"/>
      <c r="C2631" s="15"/>
      <c r="D2631" s="14"/>
      <c r="E2631" s="16"/>
      <c r="F2631" s="17"/>
      <c r="G2631" s="14"/>
      <c r="H2631" s="7"/>
      <c r="J2631" s="20"/>
      <c r="K2631" s="15"/>
      <c r="L2631" s="7"/>
      <c r="N2631" s="5"/>
      <c r="O2631" s="4"/>
    </row>
    <row r="2632" spans="1:15" x14ac:dyDescent="0.2">
      <c r="A2632" s="13"/>
      <c r="B2632" s="14"/>
      <c r="C2632" s="15"/>
      <c r="D2632" s="14"/>
      <c r="E2632" s="16"/>
      <c r="F2632" s="17"/>
      <c r="G2632" s="14"/>
      <c r="H2632" s="7"/>
      <c r="J2632" s="20"/>
      <c r="K2632" s="15"/>
      <c r="L2632" s="7"/>
      <c r="N2632" s="5"/>
      <c r="O2632" s="4"/>
    </row>
    <row r="2633" spans="1:15" x14ac:dyDescent="0.2">
      <c r="A2633" s="13"/>
      <c r="B2633" s="14"/>
      <c r="C2633" s="15"/>
      <c r="D2633" s="14"/>
      <c r="E2633" s="16"/>
      <c r="F2633" s="17"/>
      <c r="G2633" s="14"/>
      <c r="H2633" s="7"/>
      <c r="J2633" s="20"/>
      <c r="K2633" s="15"/>
      <c r="L2633" s="7"/>
      <c r="N2633" s="5"/>
      <c r="O2633" s="4"/>
    </row>
    <row r="2634" spans="1:15" x14ac:dyDescent="0.2">
      <c r="A2634" s="13"/>
      <c r="B2634" s="14"/>
      <c r="C2634" s="15"/>
      <c r="D2634" s="14"/>
      <c r="E2634" s="16"/>
      <c r="F2634" s="17"/>
      <c r="G2634" s="14"/>
      <c r="H2634" s="7"/>
      <c r="J2634" s="20"/>
      <c r="K2634" s="15"/>
      <c r="L2634" s="7"/>
      <c r="N2634" s="5"/>
      <c r="O2634" s="4"/>
    </row>
    <row r="2635" spans="1:15" x14ac:dyDescent="0.2">
      <c r="A2635" s="13"/>
      <c r="B2635" s="14"/>
      <c r="C2635" s="15"/>
      <c r="D2635" s="14"/>
      <c r="E2635" s="16"/>
      <c r="F2635" s="17"/>
      <c r="G2635" s="14"/>
      <c r="H2635" s="7"/>
      <c r="J2635" s="20"/>
      <c r="K2635" s="15"/>
      <c r="L2635" s="7"/>
      <c r="N2635" s="5"/>
      <c r="O2635" s="4"/>
    </row>
    <row r="2636" spans="1:15" x14ac:dyDescent="0.2">
      <c r="A2636" s="13"/>
      <c r="B2636" s="14"/>
      <c r="C2636" s="15"/>
      <c r="D2636" s="14"/>
      <c r="E2636" s="16"/>
      <c r="F2636" s="17"/>
      <c r="G2636" s="14"/>
      <c r="H2636" s="7"/>
      <c r="J2636" s="20"/>
      <c r="K2636" s="15"/>
      <c r="L2636" s="7"/>
      <c r="N2636" s="5"/>
      <c r="O2636" s="4"/>
    </row>
    <row r="2637" spans="1:15" x14ac:dyDescent="0.2">
      <c r="A2637" s="13"/>
      <c r="B2637" s="14"/>
      <c r="C2637" s="15"/>
      <c r="D2637" s="14"/>
      <c r="E2637" s="16"/>
      <c r="F2637" s="17"/>
      <c r="G2637" s="14"/>
      <c r="H2637" s="7"/>
      <c r="J2637" s="20"/>
      <c r="K2637" s="15"/>
      <c r="L2637" s="7"/>
      <c r="N2637" s="5"/>
      <c r="O2637" s="4"/>
    </row>
    <row r="2638" spans="1:15" x14ac:dyDescent="0.2">
      <c r="A2638" s="13"/>
      <c r="B2638" s="14"/>
      <c r="C2638" s="15"/>
      <c r="D2638" s="14"/>
      <c r="E2638" s="16"/>
      <c r="F2638" s="17"/>
      <c r="G2638" s="14"/>
      <c r="H2638" s="7"/>
      <c r="J2638" s="20"/>
      <c r="K2638" s="15"/>
      <c r="L2638" s="7"/>
      <c r="N2638" s="5"/>
      <c r="O2638" s="4"/>
    </row>
    <row r="2639" spans="1:15" x14ac:dyDescent="0.2">
      <c r="A2639" s="13"/>
      <c r="B2639" s="14"/>
      <c r="C2639" s="15"/>
      <c r="D2639" s="14"/>
      <c r="E2639" s="16"/>
      <c r="F2639" s="17"/>
      <c r="G2639" s="14"/>
      <c r="H2639" s="7"/>
      <c r="J2639" s="20"/>
      <c r="K2639" s="15"/>
      <c r="L2639" s="7"/>
      <c r="N2639" s="5"/>
      <c r="O2639" s="4"/>
    </row>
    <row r="2640" spans="1:15" x14ac:dyDescent="0.2">
      <c r="A2640" s="13"/>
      <c r="B2640" s="14"/>
      <c r="C2640" s="15"/>
      <c r="D2640" s="14"/>
      <c r="E2640" s="16"/>
      <c r="F2640" s="17"/>
      <c r="G2640" s="14"/>
      <c r="H2640" s="7"/>
      <c r="J2640" s="20"/>
      <c r="K2640" s="15"/>
      <c r="L2640" s="7"/>
      <c r="N2640" s="5"/>
      <c r="O2640" s="4"/>
    </row>
    <row r="2641" spans="1:15" x14ac:dyDescent="0.2">
      <c r="A2641" s="13"/>
      <c r="B2641" s="14"/>
      <c r="C2641" s="15"/>
      <c r="D2641" s="14"/>
      <c r="E2641" s="16"/>
      <c r="F2641" s="17"/>
      <c r="G2641" s="14"/>
      <c r="H2641" s="7"/>
      <c r="J2641" s="20"/>
      <c r="K2641" s="15"/>
      <c r="L2641" s="7"/>
      <c r="N2641" s="5"/>
      <c r="O2641" s="4"/>
    </row>
    <row r="2642" spans="1:15" x14ac:dyDescent="0.2">
      <c r="A2642" s="13"/>
      <c r="B2642" s="14"/>
      <c r="C2642" s="15"/>
      <c r="D2642" s="14"/>
      <c r="E2642" s="16"/>
      <c r="F2642" s="17"/>
      <c r="G2642" s="14"/>
      <c r="H2642" s="7"/>
      <c r="J2642" s="20"/>
      <c r="K2642" s="15"/>
      <c r="L2642" s="7"/>
      <c r="N2642" s="5"/>
      <c r="O2642" s="4"/>
    </row>
    <row r="2643" spans="1:15" x14ac:dyDescent="0.2">
      <c r="A2643" s="13"/>
      <c r="B2643" s="14"/>
      <c r="C2643" s="15"/>
      <c r="D2643" s="14"/>
      <c r="E2643" s="16"/>
      <c r="F2643" s="17"/>
      <c r="G2643" s="14"/>
      <c r="H2643" s="7"/>
      <c r="J2643" s="20"/>
      <c r="K2643" s="15"/>
      <c r="L2643" s="7"/>
      <c r="N2643" s="5"/>
      <c r="O2643" s="4"/>
    </row>
    <row r="2644" spans="1:15" x14ac:dyDescent="0.2">
      <c r="A2644" s="13"/>
      <c r="B2644" s="14"/>
      <c r="C2644" s="15"/>
      <c r="D2644" s="14"/>
      <c r="E2644" s="16"/>
      <c r="F2644" s="17"/>
      <c r="G2644" s="14"/>
      <c r="H2644" s="7"/>
      <c r="J2644" s="20"/>
      <c r="K2644" s="15"/>
      <c r="L2644" s="7"/>
      <c r="N2644" s="5"/>
      <c r="O2644" s="4"/>
    </row>
    <row r="2645" spans="1:15" x14ac:dyDescent="0.2">
      <c r="A2645" s="13"/>
      <c r="B2645" s="14"/>
      <c r="C2645" s="15"/>
      <c r="D2645" s="14"/>
      <c r="E2645" s="16"/>
      <c r="F2645" s="17"/>
      <c r="G2645" s="14"/>
      <c r="H2645" s="7"/>
      <c r="J2645" s="20"/>
      <c r="K2645" s="15"/>
      <c r="L2645" s="7"/>
      <c r="N2645" s="5"/>
      <c r="O2645" s="4"/>
    </row>
    <row r="2646" spans="1:15" x14ac:dyDescent="0.2">
      <c r="A2646" s="13"/>
      <c r="B2646" s="14"/>
      <c r="C2646" s="15"/>
      <c r="D2646" s="14"/>
      <c r="E2646" s="16"/>
      <c r="F2646" s="17"/>
      <c r="G2646" s="14"/>
      <c r="H2646" s="7"/>
      <c r="J2646" s="20"/>
      <c r="K2646" s="15"/>
      <c r="L2646" s="7"/>
      <c r="N2646" s="5"/>
      <c r="O2646" s="4"/>
    </row>
    <row r="2647" spans="1:15" x14ac:dyDescent="0.2">
      <c r="A2647" s="13"/>
      <c r="B2647" s="14"/>
      <c r="C2647" s="15"/>
      <c r="D2647" s="14"/>
      <c r="E2647" s="16"/>
      <c r="F2647" s="17"/>
      <c r="G2647" s="14"/>
      <c r="H2647" s="7"/>
      <c r="J2647" s="20"/>
      <c r="K2647" s="15"/>
      <c r="L2647" s="7"/>
      <c r="N2647" s="5"/>
      <c r="O2647" s="4"/>
    </row>
    <row r="2648" spans="1:15" x14ac:dyDescent="0.2">
      <c r="A2648" s="13"/>
      <c r="B2648" s="14"/>
      <c r="C2648" s="15"/>
      <c r="D2648" s="14"/>
      <c r="E2648" s="16"/>
      <c r="F2648" s="17"/>
      <c r="G2648" s="14"/>
      <c r="H2648" s="7"/>
      <c r="J2648" s="20"/>
      <c r="K2648" s="15"/>
      <c r="L2648" s="7"/>
      <c r="N2648" s="5"/>
      <c r="O2648" s="4"/>
    </row>
    <row r="2649" spans="1:15" x14ac:dyDescent="0.2">
      <c r="A2649" s="13"/>
      <c r="B2649" s="14"/>
      <c r="C2649" s="15"/>
      <c r="D2649" s="14"/>
      <c r="E2649" s="16"/>
      <c r="F2649" s="17"/>
      <c r="G2649" s="14"/>
      <c r="H2649" s="7"/>
      <c r="J2649" s="20"/>
      <c r="K2649" s="15"/>
      <c r="L2649" s="7"/>
      <c r="N2649" s="5"/>
      <c r="O2649" s="4"/>
    </row>
    <row r="2650" spans="1:15" x14ac:dyDescent="0.2">
      <c r="A2650" s="13"/>
      <c r="B2650" s="14"/>
      <c r="C2650" s="15"/>
      <c r="D2650" s="14"/>
      <c r="E2650" s="16"/>
      <c r="F2650" s="17"/>
      <c r="G2650" s="14"/>
      <c r="H2650" s="7"/>
      <c r="J2650" s="20"/>
      <c r="K2650" s="15"/>
      <c r="L2650" s="7"/>
      <c r="N2650" s="5"/>
      <c r="O2650" s="4"/>
    </row>
    <row r="2651" spans="1:15" x14ac:dyDescent="0.2">
      <c r="A2651" s="13"/>
      <c r="B2651" s="14"/>
      <c r="C2651" s="15"/>
      <c r="D2651" s="14"/>
      <c r="E2651" s="16"/>
      <c r="F2651" s="17"/>
      <c r="G2651" s="14"/>
      <c r="H2651" s="7"/>
      <c r="J2651" s="20"/>
      <c r="K2651" s="15"/>
      <c r="L2651" s="7"/>
      <c r="N2651" s="5"/>
      <c r="O2651" s="4"/>
    </row>
    <row r="2652" spans="1:15" x14ac:dyDescent="0.2">
      <c r="A2652" s="13"/>
      <c r="B2652" s="14"/>
      <c r="C2652" s="15"/>
      <c r="D2652" s="14"/>
      <c r="E2652" s="16"/>
      <c r="F2652" s="17"/>
      <c r="G2652" s="14"/>
      <c r="H2652" s="7"/>
      <c r="J2652" s="20"/>
      <c r="K2652" s="15"/>
      <c r="L2652" s="7"/>
      <c r="N2652" s="5"/>
      <c r="O2652" s="4"/>
    </row>
    <row r="2653" spans="1:15" x14ac:dyDescent="0.2">
      <c r="A2653" s="13"/>
      <c r="B2653" s="14"/>
      <c r="C2653" s="15"/>
      <c r="D2653" s="14"/>
      <c r="E2653" s="16"/>
      <c r="F2653" s="17"/>
      <c r="G2653" s="14"/>
      <c r="H2653" s="7"/>
      <c r="J2653" s="20"/>
      <c r="K2653" s="15"/>
      <c r="L2653" s="7"/>
      <c r="N2653" s="5"/>
      <c r="O2653" s="4"/>
    </row>
    <row r="2654" spans="1:15" x14ac:dyDescent="0.2">
      <c r="A2654" s="13"/>
      <c r="B2654" s="14"/>
      <c r="C2654" s="15"/>
      <c r="D2654" s="14"/>
      <c r="E2654" s="16"/>
      <c r="F2654" s="17"/>
      <c r="G2654" s="14"/>
      <c r="H2654" s="7"/>
      <c r="J2654" s="20"/>
      <c r="K2654" s="15"/>
      <c r="L2654" s="7"/>
      <c r="N2654" s="5"/>
      <c r="O2654" s="4"/>
    </row>
    <row r="2655" spans="1:15" x14ac:dyDescent="0.2">
      <c r="A2655" s="13"/>
      <c r="B2655" s="14"/>
      <c r="C2655" s="15"/>
      <c r="D2655" s="14"/>
      <c r="E2655" s="16"/>
      <c r="F2655" s="17"/>
      <c r="G2655" s="14"/>
      <c r="H2655" s="7"/>
      <c r="J2655" s="20"/>
      <c r="K2655" s="15"/>
      <c r="L2655" s="7"/>
      <c r="N2655" s="5"/>
      <c r="O2655" s="4"/>
    </row>
    <row r="2656" spans="1:15" x14ac:dyDescent="0.2">
      <c r="A2656" s="13"/>
      <c r="B2656" s="14"/>
      <c r="C2656" s="15"/>
      <c r="D2656" s="14"/>
      <c r="E2656" s="16"/>
      <c r="F2656" s="17"/>
      <c r="G2656" s="14"/>
      <c r="H2656" s="7"/>
      <c r="J2656" s="20"/>
      <c r="K2656" s="15"/>
      <c r="L2656" s="7"/>
      <c r="N2656" s="5"/>
      <c r="O2656" s="4"/>
    </row>
    <row r="2657" spans="1:15" x14ac:dyDescent="0.2">
      <c r="A2657" s="13"/>
      <c r="B2657" s="14"/>
      <c r="C2657" s="15"/>
      <c r="D2657" s="14"/>
      <c r="E2657" s="16"/>
      <c r="F2657" s="17"/>
      <c r="G2657" s="14"/>
      <c r="H2657" s="7"/>
      <c r="J2657" s="20"/>
      <c r="K2657" s="15"/>
      <c r="L2657" s="7"/>
      <c r="N2657" s="5"/>
      <c r="O2657" s="4"/>
    </row>
    <row r="2658" spans="1:15" x14ac:dyDescent="0.2">
      <c r="A2658" s="13"/>
      <c r="B2658" s="14"/>
      <c r="C2658" s="15"/>
      <c r="D2658" s="14"/>
      <c r="E2658" s="16"/>
      <c r="F2658" s="17"/>
      <c r="G2658" s="14"/>
      <c r="H2658" s="7"/>
      <c r="J2658" s="20"/>
      <c r="K2658" s="15"/>
      <c r="L2658" s="7"/>
      <c r="N2658" s="5"/>
      <c r="O2658" s="4"/>
    </row>
    <row r="2659" spans="1:15" x14ac:dyDescent="0.2">
      <c r="A2659" s="13"/>
      <c r="B2659" s="14"/>
      <c r="C2659" s="15"/>
      <c r="D2659" s="14"/>
      <c r="E2659" s="16"/>
      <c r="F2659" s="17"/>
      <c r="G2659" s="14"/>
      <c r="H2659" s="7"/>
      <c r="J2659" s="20"/>
      <c r="K2659" s="15"/>
      <c r="L2659" s="7"/>
      <c r="N2659" s="5"/>
      <c r="O2659" s="4"/>
    </row>
    <row r="2660" spans="1:15" x14ac:dyDescent="0.2">
      <c r="A2660" s="13"/>
      <c r="B2660" s="14"/>
      <c r="C2660" s="15"/>
      <c r="D2660" s="14"/>
      <c r="E2660" s="16"/>
      <c r="F2660" s="17"/>
      <c r="G2660" s="14"/>
      <c r="H2660" s="7"/>
      <c r="J2660" s="20"/>
      <c r="K2660" s="15"/>
      <c r="L2660" s="7"/>
      <c r="N2660" s="5"/>
      <c r="O2660" s="4"/>
    </row>
    <row r="2661" spans="1:15" x14ac:dyDescent="0.2">
      <c r="A2661" s="13"/>
      <c r="B2661" s="14"/>
      <c r="C2661" s="15"/>
      <c r="D2661" s="14"/>
      <c r="E2661" s="16"/>
      <c r="F2661" s="17"/>
      <c r="G2661" s="14"/>
      <c r="H2661" s="7"/>
      <c r="J2661" s="20"/>
      <c r="K2661" s="15"/>
      <c r="L2661" s="7"/>
      <c r="N2661" s="5"/>
      <c r="O2661" s="4"/>
    </row>
    <row r="2662" spans="1:15" x14ac:dyDescent="0.2">
      <c r="A2662" s="13"/>
      <c r="B2662" s="14"/>
      <c r="C2662" s="15"/>
      <c r="D2662" s="14"/>
      <c r="E2662" s="16"/>
      <c r="F2662" s="17"/>
      <c r="G2662" s="14"/>
      <c r="H2662" s="7"/>
      <c r="J2662" s="20"/>
      <c r="K2662" s="15"/>
      <c r="L2662" s="7"/>
      <c r="N2662" s="5"/>
      <c r="O2662" s="4"/>
    </row>
    <row r="2663" spans="1:15" x14ac:dyDescent="0.2">
      <c r="A2663" s="13"/>
      <c r="B2663" s="14"/>
      <c r="C2663" s="15"/>
      <c r="D2663" s="14"/>
      <c r="E2663" s="16"/>
      <c r="F2663" s="17"/>
      <c r="G2663" s="14"/>
      <c r="H2663" s="7"/>
      <c r="J2663" s="20"/>
      <c r="K2663" s="15"/>
      <c r="L2663" s="7"/>
      <c r="N2663" s="5"/>
      <c r="O2663" s="4"/>
    </row>
    <row r="2664" spans="1:15" x14ac:dyDescent="0.2">
      <c r="A2664" s="13"/>
      <c r="B2664" s="14"/>
      <c r="C2664" s="15"/>
      <c r="D2664" s="14"/>
      <c r="E2664" s="16"/>
      <c r="F2664" s="17"/>
      <c r="G2664" s="14"/>
      <c r="H2664" s="7"/>
      <c r="J2664" s="20"/>
      <c r="K2664" s="15"/>
      <c r="L2664" s="7"/>
      <c r="N2664" s="5"/>
      <c r="O2664" s="4"/>
    </row>
    <row r="2665" spans="1:15" x14ac:dyDescent="0.2">
      <c r="A2665" s="13"/>
      <c r="B2665" s="14"/>
      <c r="C2665" s="15"/>
      <c r="D2665" s="14"/>
      <c r="E2665" s="16"/>
      <c r="F2665" s="17"/>
      <c r="G2665" s="14"/>
      <c r="H2665" s="7"/>
      <c r="J2665" s="20"/>
      <c r="K2665" s="15"/>
      <c r="L2665" s="7"/>
      <c r="N2665" s="5"/>
      <c r="O2665" s="4"/>
    </row>
    <row r="2666" spans="1:15" x14ac:dyDescent="0.2">
      <c r="N2666" s="5"/>
      <c r="O2666" s="4"/>
    </row>
  </sheetData>
  <sheetProtection formatColumns="0" selectLockedCells="1" sort="0"/>
  <sortState ref="A23:L867">
    <sortCondition descending="1" ref="E22"/>
  </sortState>
  <mergeCells count="2">
    <mergeCell ref="C21:E21"/>
    <mergeCell ref="F21:H21"/>
  </mergeCells>
  <phoneticPr fontId="6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4"/>
  <sheetViews>
    <sheetView showGridLines="0" showRowColHeaders="0" workbookViewId="0">
      <selection activeCell="B6" sqref="B6"/>
    </sheetView>
  </sheetViews>
  <sheetFormatPr defaultRowHeight="12.75" x14ac:dyDescent="0.2"/>
  <cols>
    <col min="1" max="1" width="2.7109375" style="160" customWidth="1"/>
    <col min="2" max="2" width="56.85546875" style="160" customWidth="1"/>
    <col min="3" max="5" width="10.7109375" style="160" customWidth="1"/>
    <col min="6" max="7" width="15.28515625" style="160" customWidth="1"/>
    <col min="8" max="8" width="16.5703125" style="160" customWidth="1"/>
    <col min="9" max="9" width="15.85546875" style="160" bestFit="1" customWidth="1"/>
    <col min="10" max="10" width="2.7109375" style="160" customWidth="1"/>
    <col min="11" max="16384" width="9.140625" style="160"/>
  </cols>
  <sheetData>
    <row r="2" spans="1:10" x14ac:dyDescent="0.2">
      <c r="B2" s="166"/>
      <c r="C2" s="166"/>
      <c r="D2" s="166"/>
      <c r="E2" s="166"/>
      <c r="F2" s="166"/>
      <c r="G2" s="166"/>
      <c r="H2" s="166"/>
      <c r="I2" s="166"/>
      <c r="J2" s="166"/>
    </row>
    <row r="3" spans="1:10" x14ac:dyDescent="0.2">
      <c r="B3" s="166"/>
      <c r="C3" s="166"/>
      <c r="D3" s="166"/>
      <c r="E3" s="166"/>
      <c r="F3" s="166"/>
      <c r="G3" s="166"/>
      <c r="H3" s="166"/>
      <c r="I3" s="166"/>
      <c r="J3" s="166"/>
    </row>
    <row r="4" spans="1:10" x14ac:dyDescent="0.2">
      <c r="B4" s="166"/>
      <c r="C4" s="166"/>
      <c r="D4" s="166"/>
      <c r="E4" s="166"/>
      <c r="F4" s="166"/>
      <c r="G4" s="166"/>
      <c r="H4" s="166"/>
      <c r="I4" s="166"/>
      <c r="J4" s="166"/>
    </row>
    <row r="5" spans="1:10" ht="18" x14ac:dyDescent="0.25">
      <c r="B5" s="100" t="s">
        <v>1132</v>
      </c>
      <c r="C5" s="24" t="s">
        <v>1133</v>
      </c>
      <c r="D5" s="166"/>
      <c r="E5" s="166"/>
      <c r="F5" s="166"/>
      <c r="G5" s="166"/>
      <c r="H5" s="166"/>
      <c r="I5" s="166"/>
      <c r="J5" s="166"/>
    </row>
    <row r="6" spans="1:10" x14ac:dyDescent="0.2">
      <c r="B6" s="166"/>
      <c r="C6" s="166"/>
      <c r="D6" s="177"/>
      <c r="E6" s="166"/>
      <c r="F6" s="166"/>
      <c r="G6" s="166"/>
      <c r="H6" s="166"/>
      <c r="I6" s="166"/>
      <c r="J6" s="166"/>
    </row>
    <row r="7" spans="1:10" x14ac:dyDescent="0.2">
      <c r="B7" s="166"/>
      <c r="C7" s="166"/>
      <c r="D7" s="166"/>
      <c r="E7" s="166"/>
      <c r="F7" s="166"/>
      <c r="G7" s="166"/>
      <c r="H7" s="166"/>
      <c r="I7" s="166"/>
      <c r="J7" s="166"/>
    </row>
    <row r="8" spans="1:10" x14ac:dyDescent="0.2">
      <c r="B8" s="178"/>
      <c r="C8" s="166"/>
      <c r="D8" s="166"/>
      <c r="E8" s="166"/>
      <c r="F8" s="166"/>
      <c r="G8" s="166"/>
      <c r="H8" s="166"/>
      <c r="I8" s="166"/>
      <c r="J8" s="166"/>
    </row>
    <row r="9" spans="1:10" ht="15.75" x14ac:dyDescent="0.25">
      <c r="B9" s="179" t="s">
        <v>215</v>
      </c>
      <c r="C9" s="166"/>
      <c r="D9" s="166"/>
      <c r="E9" s="166"/>
      <c r="F9" s="166"/>
      <c r="G9" s="166"/>
      <c r="H9" s="166"/>
      <c r="I9" s="169"/>
      <c r="J9" s="166"/>
    </row>
    <row r="10" spans="1:10" x14ac:dyDescent="0.2">
      <c r="B10" s="194" t="s">
        <v>488</v>
      </c>
      <c r="C10" s="347" t="s">
        <v>654</v>
      </c>
      <c r="D10" s="348"/>
      <c r="E10" s="348"/>
      <c r="F10" s="348" t="s">
        <v>491</v>
      </c>
      <c r="G10" s="348"/>
      <c r="H10" s="348"/>
      <c r="I10" s="195" t="s">
        <v>504</v>
      </c>
      <c r="J10" s="169"/>
    </row>
    <row r="11" spans="1:10" ht="15" customHeight="1" x14ac:dyDescent="0.2">
      <c r="A11" s="172"/>
      <c r="B11" s="194"/>
      <c r="C11" s="196" t="s">
        <v>494</v>
      </c>
      <c r="D11" s="197" t="s">
        <v>495</v>
      </c>
      <c r="E11" s="197" t="s">
        <v>496</v>
      </c>
      <c r="F11" s="197" t="s">
        <v>494</v>
      </c>
      <c r="G11" s="197" t="s">
        <v>495</v>
      </c>
      <c r="H11" s="197" t="s">
        <v>496</v>
      </c>
      <c r="I11" s="198">
        <v>2014</v>
      </c>
      <c r="J11" s="166"/>
    </row>
    <row r="12" spans="1:10" ht="12.75" customHeight="1" x14ac:dyDescent="0.2">
      <c r="A12" s="172"/>
      <c r="B12" s="91" t="s">
        <v>85</v>
      </c>
      <c r="C12" s="180">
        <v>1527110</v>
      </c>
      <c r="D12" s="180">
        <v>1643779</v>
      </c>
      <c r="E12" s="180">
        <v>3170889</v>
      </c>
      <c r="F12" s="180">
        <v>94952138277</v>
      </c>
      <c r="G12" s="180">
        <v>120222806601</v>
      </c>
      <c r="H12" s="180">
        <v>215174944878</v>
      </c>
      <c r="I12" s="181"/>
      <c r="J12" s="166"/>
    </row>
    <row r="13" spans="1:10" ht="12.75" customHeight="1" x14ac:dyDescent="0.2">
      <c r="A13" s="172"/>
      <c r="B13" s="91" t="s">
        <v>639</v>
      </c>
      <c r="C13" s="180">
        <v>123350</v>
      </c>
      <c r="D13" s="180">
        <v>131374</v>
      </c>
      <c r="E13" s="180">
        <v>254724</v>
      </c>
      <c r="F13" s="180">
        <v>6687546396</v>
      </c>
      <c r="G13" s="180">
        <v>8934872225</v>
      </c>
      <c r="H13" s="180">
        <v>15622418621</v>
      </c>
      <c r="I13" s="181">
        <f>VLOOKUP($B$12:$B$21,Fondstatistik!$A$22:$R$720,2,FALSE)</f>
        <v>10</v>
      </c>
      <c r="J13" s="166"/>
    </row>
    <row r="14" spans="1:10" ht="12.75" customHeight="1" x14ac:dyDescent="0.2">
      <c r="A14" s="172"/>
      <c r="B14" s="91" t="s">
        <v>757</v>
      </c>
      <c r="C14" s="180">
        <v>124997</v>
      </c>
      <c r="D14" s="180">
        <v>129685</v>
      </c>
      <c r="E14" s="180">
        <v>254682</v>
      </c>
      <c r="F14" s="180">
        <v>3758274829</v>
      </c>
      <c r="G14" s="180">
        <v>4988929073</v>
      </c>
      <c r="H14" s="180">
        <v>8747203903</v>
      </c>
      <c r="I14" s="181">
        <f>VLOOKUP($B$12:$B$21,Fondstatistik!$A$22:$R$720,2,FALSE)</f>
        <v>24</v>
      </c>
      <c r="J14" s="166"/>
    </row>
    <row r="15" spans="1:10" ht="12.75" customHeight="1" x14ac:dyDescent="0.2">
      <c r="A15" s="172"/>
      <c r="B15" s="91" t="s">
        <v>527</v>
      </c>
      <c r="C15" s="180">
        <v>115765</v>
      </c>
      <c r="D15" s="180">
        <v>126867</v>
      </c>
      <c r="E15" s="180">
        <v>242632</v>
      </c>
      <c r="F15" s="180">
        <v>7259240721</v>
      </c>
      <c r="G15" s="180">
        <v>9633526293</v>
      </c>
      <c r="H15" s="180">
        <v>16892767014</v>
      </c>
      <c r="I15" s="181">
        <f>VLOOKUP($B$12:$B$21,Fondstatistik!$A$22:$R$720,2,FALSE)</f>
        <v>13</v>
      </c>
      <c r="J15" s="166"/>
    </row>
    <row r="16" spans="1:10" ht="12.75" customHeight="1" x14ac:dyDescent="0.2">
      <c r="A16" s="172"/>
      <c r="B16" s="91" t="s">
        <v>638</v>
      </c>
      <c r="C16" s="180">
        <v>111294</v>
      </c>
      <c r="D16" s="180">
        <v>114546</v>
      </c>
      <c r="E16" s="180">
        <v>225840</v>
      </c>
      <c r="F16" s="180">
        <v>5313245868</v>
      </c>
      <c r="G16" s="180">
        <v>6961500968</v>
      </c>
      <c r="H16" s="180">
        <v>12274746836</v>
      </c>
      <c r="I16" s="181">
        <f>VLOOKUP($B$12:$B$21,Fondstatistik!$A$22:$R$720,2,FALSE)</f>
        <v>13</v>
      </c>
      <c r="J16" s="166"/>
    </row>
    <row r="17" spans="1:10" ht="12.75" customHeight="1" x14ac:dyDescent="0.2">
      <c r="A17" s="172"/>
      <c r="B17" s="91" t="s">
        <v>391</v>
      </c>
      <c r="C17" s="180">
        <v>83838</v>
      </c>
      <c r="D17" s="180">
        <v>70954</v>
      </c>
      <c r="E17" s="180">
        <v>154792</v>
      </c>
      <c r="F17" s="180">
        <v>4651612365</v>
      </c>
      <c r="G17" s="180">
        <v>4803627369</v>
      </c>
      <c r="H17" s="180">
        <v>9455239734</v>
      </c>
      <c r="I17" s="181">
        <f>VLOOKUP($B$12:$B$21,Fondstatistik!$A$22:$R$720,2,FALSE)</f>
        <v>13</v>
      </c>
      <c r="J17" s="166"/>
    </row>
    <row r="18" spans="1:10" ht="12.75" customHeight="1" x14ac:dyDescent="0.2">
      <c r="A18" s="172"/>
      <c r="B18" s="91" t="s">
        <v>386</v>
      </c>
      <c r="C18" s="180">
        <v>66198</v>
      </c>
      <c r="D18" s="180">
        <v>68224</v>
      </c>
      <c r="E18" s="180">
        <v>134422</v>
      </c>
      <c r="F18" s="180">
        <v>6319134977</v>
      </c>
      <c r="G18" s="180">
        <v>8098337265</v>
      </c>
      <c r="H18" s="180">
        <v>14417472242</v>
      </c>
      <c r="I18" s="181">
        <f>VLOOKUP($B$12:$B$21,Fondstatistik!$A$22:$R$720,2,FALSE)</f>
        <v>10</v>
      </c>
      <c r="J18" s="166"/>
    </row>
    <row r="19" spans="1:10" ht="12.75" customHeight="1" x14ac:dyDescent="0.2">
      <c r="A19" s="172"/>
      <c r="B19" s="91" t="s">
        <v>407</v>
      </c>
      <c r="C19" s="180">
        <v>66567</v>
      </c>
      <c r="D19" s="180">
        <v>62625</v>
      </c>
      <c r="E19" s="180">
        <v>129192</v>
      </c>
      <c r="F19" s="180">
        <v>2004534684</v>
      </c>
      <c r="G19" s="180">
        <v>2438028604</v>
      </c>
      <c r="H19" s="180">
        <v>4442563287</v>
      </c>
      <c r="I19" s="181">
        <f>VLOOKUP($B$12:$B$21,Fondstatistik!$A$22:$R$720,2,FALSE)</f>
        <v>24</v>
      </c>
      <c r="J19" s="166"/>
    </row>
    <row r="20" spans="1:10" ht="12.75" customHeight="1" x14ac:dyDescent="0.2">
      <c r="A20" s="172"/>
      <c r="B20" s="91" t="s">
        <v>637</v>
      </c>
      <c r="C20" s="180">
        <v>66326</v>
      </c>
      <c r="D20" s="180">
        <v>60267</v>
      </c>
      <c r="E20" s="180">
        <v>126593</v>
      </c>
      <c r="F20" s="180">
        <v>3207788514</v>
      </c>
      <c r="G20" s="180">
        <v>3626019382</v>
      </c>
      <c r="H20" s="180">
        <v>6833807895</v>
      </c>
      <c r="I20" s="181">
        <f>VLOOKUP($B$12:$B$21,Fondstatistik!$A$22:$R$720,2,FALSE)</f>
        <v>10</v>
      </c>
      <c r="J20" s="166"/>
    </row>
    <row r="21" spans="1:10" ht="12.75" customHeight="1" x14ac:dyDescent="0.2">
      <c r="A21" s="172"/>
      <c r="B21" s="333" t="s">
        <v>390</v>
      </c>
      <c r="C21" s="334">
        <v>69500</v>
      </c>
      <c r="D21" s="334">
        <v>54101</v>
      </c>
      <c r="E21" s="334">
        <v>123601</v>
      </c>
      <c r="F21" s="334">
        <v>7331315949</v>
      </c>
      <c r="G21" s="334">
        <v>6785986375</v>
      </c>
      <c r="H21" s="334">
        <v>14117302325</v>
      </c>
      <c r="I21" s="335">
        <f>VLOOKUP($B$12:$B$21,Fondstatistik!$A$22:$R$720,2,FALSE)</f>
        <v>9</v>
      </c>
      <c r="J21" s="182"/>
    </row>
    <row r="22" spans="1:10" x14ac:dyDescent="0.2">
      <c r="A22" s="172"/>
      <c r="B22" s="183"/>
      <c r="C22" s="184"/>
      <c r="D22" s="177"/>
      <c r="E22" s="185"/>
      <c r="F22" s="177"/>
      <c r="G22" s="184"/>
      <c r="H22" s="177"/>
      <c r="I22" s="181"/>
      <c r="J22" s="186"/>
    </row>
    <row r="23" spans="1:10" ht="15.75" x14ac:dyDescent="0.25">
      <c r="A23" s="172"/>
      <c r="B23" s="179" t="s">
        <v>216</v>
      </c>
      <c r="C23" s="166"/>
      <c r="D23" s="166"/>
      <c r="E23" s="166"/>
      <c r="F23" s="166"/>
      <c r="G23" s="166"/>
      <c r="H23" s="166"/>
      <c r="I23" s="181"/>
      <c r="J23" s="166"/>
    </row>
    <row r="24" spans="1:10" x14ac:dyDescent="0.2">
      <c r="A24" s="172"/>
      <c r="B24" s="194" t="s">
        <v>488</v>
      </c>
      <c r="C24" s="347" t="s">
        <v>654</v>
      </c>
      <c r="D24" s="348"/>
      <c r="E24" s="348"/>
      <c r="F24" s="348" t="s">
        <v>491</v>
      </c>
      <c r="G24" s="348"/>
      <c r="H24" s="348"/>
      <c r="I24" s="195" t="s">
        <v>504</v>
      </c>
      <c r="J24" s="166"/>
    </row>
    <row r="25" spans="1:10" x14ac:dyDescent="0.2">
      <c r="A25" s="172"/>
      <c r="B25" s="194"/>
      <c r="C25" s="196" t="s">
        <v>494</v>
      </c>
      <c r="D25" s="197" t="s">
        <v>495</v>
      </c>
      <c r="E25" s="197" t="s">
        <v>496</v>
      </c>
      <c r="F25" s="197" t="s">
        <v>494</v>
      </c>
      <c r="G25" s="197" t="s">
        <v>495</v>
      </c>
      <c r="H25" s="197" t="s">
        <v>496</v>
      </c>
      <c r="I25" s="198">
        <v>2014</v>
      </c>
      <c r="J25" s="166"/>
    </row>
    <row r="26" spans="1:10" ht="12.75" customHeight="1" x14ac:dyDescent="0.2">
      <c r="A26" s="172"/>
      <c r="B26" s="91" t="s">
        <v>85</v>
      </c>
      <c r="C26" s="180">
        <v>1527110</v>
      </c>
      <c r="D26" s="180">
        <v>1643779</v>
      </c>
      <c r="E26" s="180">
        <v>3170889</v>
      </c>
      <c r="F26" s="180">
        <v>94952138277</v>
      </c>
      <c r="G26" s="180">
        <v>120222806601</v>
      </c>
      <c r="H26" s="180">
        <v>215174944878</v>
      </c>
      <c r="I26" s="181"/>
      <c r="J26" s="166"/>
    </row>
    <row r="27" spans="1:10" ht="12.75" customHeight="1" x14ac:dyDescent="0.2">
      <c r="A27" s="172"/>
      <c r="B27" s="91" t="s">
        <v>527</v>
      </c>
      <c r="C27" s="180">
        <v>115765</v>
      </c>
      <c r="D27" s="180">
        <v>126867</v>
      </c>
      <c r="E27" s="180">
        <v>242632</v>
      </c>
      <c r="F27" s="180">
        <v>7259240721</v>
      </c>
      <c r="G27" s="180">
        <v>9633526293</v>
      </c>
      <c r="H27" s="180">
        <v>16892767014</v>
      </c>
      <c r="I27" s="181">
        <f>VLOOKUP($B$26:$B$35,Fondstatistik!$A$22:$R$720,2,FALSE)</f>
        <v>13</v>
      </c>
      <c r="J27" s="166"/>
    </row>
    <row r="28" spans="1:10" ht="12.75" customHeight="1" x14ac:dyDescent="0.2">
      <c r="A28" s="172"/>
      <c r="B28" s="91" t="s">
        <v>639</v>
      </c>
      <c r="C28" s="180">
        <v>123350</v>
      </c>
      <c r="D28" s="180">
        <v>131374</v>
      </c>
      <c r="E28" s="180">
        <v>254724</v>
      </c>
      <c r="F28" s="180">
        <v>6687546396</v>
      </c>
      <c r="G28" s="180">
        <v>8934872225</v>
      </c>
      <c r="H28" s="180">
        <v>15622418621</v>
      </c>
      <c r="I28" s="181">
        <f>VLOOKUP($B$26:$B$35,Fondstatistik!$A$22:$R$720,2,FALSE)</f>
        <v>10</v>
      </c>
      <c r="J28" s="166"/>
    </row>
    <row r="29" spans="1:10" ht="12.75" customHeight="1" x14ac:dyDescent="0.2">
      <c r="A29" s="172"/>
      <c r="B29" s="91" t="s">
        <v>386</v>
      </c>
      <c r="C29" s="180">
        <v>66198</v>
      </c>
      <c r="D29" s="180">
        <v>68224</v>
      </c>
      <c r="E29" s="180">
        <v>134422</v>
      </c>
      <c r="F29" s="180">
        <v>6319134977</v>
      </c>
      <c r="G29" s="180">
        <v>8098337265</v>
      </c>
      <c r="H29" s="180">
        <v>14417472242</v>
      </c>
      <c r="I29" s="181">
        <f>VLOOKUP($B$26:$B$35,Fondstatistik!$A$22:$R$720,2,FALSE)</f>
        <v>10</v>
      </c>
      <c r="J29" s="166"/>
    </row>
    <row r="30" spans="1:10" ht="12.75" customHeight="1" x14ac:dyDescent="0.2">
      <c r="A30" s="172"/>
      <c r="B30" s="91" t="s">
        <v>390</v>
      </c>
      <c r="C30" s="180">
        <v>69500</v>
      </c>
      <c r="D30" s="180">
        <v>54101</v>
      </c>
      <c r="E30" s="180">
        <v>123601</v>
      </c>
      <c r="F30" s="180">
        <v>7331315949</v>
      </c>
      <c r="G30" s="180">
        <v>6785986375</v>
      </c>
      <c r="H30" s="180">
        <v>14117302325</v>
      </c>
      <c r="I30" s="181">
        <f>VLOOKUP($B$26:$B$35,Fondstatistik!$A$22:$R$720,2,FALSE)</f>
        <v>9</v>
      </c>
      <c r="J30" s="166"/>
    </row>
    <row r="31" spans="1:10" ht="12.75" customHeight="1" x14ac:dyDescent="0.2">
      <c r="A31" s="172"/>
      <c r="B31" s="91" t="s">
        <v>638</v>
      </c>
      <c r="C31" s="180">
        <v>111294</v>
      </c>
      <c r="D31" s="180">
        <v>114546</v>
      </c>
      <c r="E31" s="180">
        <v>225840</v>
      </c>
      <c r="F31" s="180">
        <v>5313245868</v>
      </c>
      <c r="G31" s="180">
        <v>6961500968</v>
      </c>
      <c r="H31" s="180">
        <v>12274746836</v>
      </c>
      <c r="I31" s="181">
        <f>VLOOKUP($B$26:$B$35,Fondstatistik!$A$22:$R$720,2,FALSE)</f>
        <v>13</v>
      </c>
      <c r="J31" s="166"/>
    </row>
    <row r="32" spans="1:10" ht="12.75" customHeight="1" x14ac:dyDescent="0.2">
      <c r="A32" s="172"/>
      <c r="B32" s="91" t="s">
        <v>391</v>
      </c>
      <c r="C32" s="180">
        <v>83838</v>
      </c>
      <c r="D32" s="180">
        <v>70954</v>
      </c>
      <c r="E32" s="180">
        <v>154792</v>
      </c>
      <c r="F32" s="180">
        <v>4651612365</v>
      </c>
      <c r="G32" s="180">
        <v>4803627369</v>
      </c>
      <c r="H32" s="180">
        <v>9455239734</v>
      </c>
      <c r="I32" s="181">
        <f>VLOOKUP($B$26:$B$35,Fondstatistik!$A$22:$R$720,2,FALSE)</f>
        <v>13</v>
      </c>
      <c r="J32" s="166"/>
    </row>
    <row r="33" spans="1:13" ht="12.75" customHeight="1" x14ac:dyDescent="0.2">
      <c r="A33" s="172"/>
      <c r="B33" s="91" t="s">
        <v>776</v>
      </c>
      <c r="C33" s="180">
        <v>27574</v>
      </c>
      <c r="D33" s="180">
        <v>29546</v>
      </c>
      <c r="E33" s="180">
        <v>57120</v>
      </c>
      <c r="F33" s="180">
        <v>3986456098</v>
      </c>
      <c r="G33" s="180">
        <v>5235555568</v>
      </c>
      <c r="H33" s="180">
        <v>9222011666</v>
      </c>
      <c r="I33" s="181">
        <f>VLOOKUP($B$26:$B$35,Fondstatistik!$A$22:$R$720,2,FALSE)</f>
        <v>11</v>
      </c>
      <c r="J33" s="166"/>
    </row>
    <row r="34" spans="1:13" ht="12.75" customHeight="1" x14ac:dyDescent="0.2">
      <c r="A34" s="172"/>
      <c r="B34" s="91" t="s">
        <v>757</v>
      </c>
      <c r="C34" s="180">
        <v>124997</v>
      </c>
      <c r="D34" s="180">
        <v>129685</v>
      </c>
      <c r="E34" s="180">
        <v>254682</v>
      </c>
      <c r="F34" s="180">
        <v>3758274829</v>
      </c>
      <c r="G34" s="180">
        <v>4988929073</v>
      </c>
      <c r="H34" s="180">
        <v>8747203903</v>
      </c>
      <c r="I34" s="181">
        <f>VLOOKUP($B$26:$B$35,Fondstatistik!$A$22:$R$720,2,FALSE)</f>
        <v>24</v>
      </c>
      <c r="J34" s="166"/>
    </row>
    <row r="35" spans="1:13" ht="12.75" customHeight="1" x14ac:dyDescent="0.2">
      <c r="A35" s="172"/>
      <c r="B35" s="333" t="s">
        <v>993</v>
      </c>
      <c r="C35" s="334">
        <v>32572</v>
      </c>
      <c r="D35" s="334">
        <v>32755</v>
      </c>
      <c r="E35" s="334">
        <v>65327</v>
      </c>
      <c r="F35" s="334">
        <v>3591590921</v>
      </c>
      <c r="G35" s="334">
        <v>4043461038</v>
      </c>
      <c r="H35" s="334">
        <v>7635051959</v>
      </c>
      <c r="I35" s="335">
        <f>VLOOKUP($B$26:$B$35,Fondstatistik!$A$22:$R$720,2,FALSE)</f>
        <v>10</v>
      </c>
      <c r="J35" s="166"/>
    </row>
    <row r="36" spans="1:13" x14ac:dyDescent="0.2">
      <c r="A36" s="172"/>
      <c r="B36" s="187"/>
      <c r="C36" s="3"/>
      <c r="D36" s="3"/>
      <c r="E36" s="3"/>
      <c r="F36" s="3"/>
      <c r="G36" s="3"/>
      <c r="H36" s="3"/>
      <c r="I36" s="188"/>
      <c r="J36" s="189"/>
    </row>
    <row r="37" spans="1:13" x14ac:dyDescent="0.2">
      <c r="A37" s="172"/>
      <c r="B37" s="190"/>
      <c r="C37" s="166"/>
      <c r="D37" s="166"/>
      <c r="E37" s="166"/>
      <c r="F37" s="166"/>
      <c r="G37" s="166"/>
      <c r="H37" s="166"/>
      <c r="I37" s="166"/>
      <c r="J37" s="182"/>
    </row>
    <row r="38" spans="1:13" ht="15.75" x14ac:dyDescent="0.25">
      <c r="A38" s="172"/>
      <c r="B38" s="338" t="s">
        <v>217</v>
      </c>
      <c r="C38" s="166"/>
      <c r="D38" s="166"/>
      <c r="E38" s="166"/>
      <c r="F38" s="166"/>
      <c r="G38" s="166"/>
      <c r="H38" s="166"/>
      <c r="I38" s="166"/>
      <c r="J38" s="166"/>
    </row>
    <row r="39" spans="1:13" ht="12.75" customHeight="1" x14ac:dyDescent="0.2">
      <c r="A39" s="172"/>
      <c r="B39" s="199" t="s">
        <v>488</v>
      </c>
      <c r="C39" s="200">
        <v>2014</v>
      </c>
      <c r="D39" s="201" t="s">
        <v>326</v>
      </c>
      <c r="E39" s="201" t="s">
        <v>327</v>
      </c>
      <c r="F39" s="201" t="s">
        <v>328</v>
      </c>
      <c r="G39" s="201" t="s">
        <v>329</v>
      </c>
      <c r="H39" s="201" t="s">
        <v>330</v>
      </c>
      <c r="I39" s="198" t="s">
        <v>614</v>
      </c>
      <c r="J39" s="191"/>
    </row>
    <row r="40" spans="1:13" ht="12.75" customHeight="1" x14ac:dyDescent="0.2">
      <c r="A40" s="172"/>
      <c r="B40" s="92" t="s">
        <v>929</v>
      </c>
      <c r="C40" s="69">
        <v>36</v>
      </c>
      <c r="D40" s="69">
        <v>16</v>
      </c>
      <c r="E40" s="69">
        <v>31</v>
      </c>
      <c r="F40" s="69">
        <v>32</v>
      </c>
      <c r="G40" s="69">
        <v>74</v>
      </c>
      <c r="H40" s="69">
        <v>435</v>
      </c>
      <c r="I40" s="69">
        <v>39.9</v>
      </c>
      <c r="J40" s="166"/>
    </row>
    <row r="41" spans="1:13" ht="12.75" customHeight="1" x14ac:dyDescent="0.2">
      <c r="A41" s="172"/>
      <c r="B41" s="92" t="s">
        <v>952</v>
      </c>
      <c r="C41" s="69">
        <v>40</v>
      </c>
      <c r="D41" s="69">
        <v>26</v>
      </c>
      <c r="E41" s="69">
        <v>16</v>
      </c>
      <c r="F41" s="69">
        <v>45</v>
      </c>
      <c r="G41" s="69">
        <v>216</v>
      </c>
      <c r="H41" s="69">
        <v>211</v>
      </c>
      <c r="I41" s="69">
        <v>25.4</v>
      </c>
      <c r="J41" s="166"/>
    </row>
    <row r="42" spans="1:13" ht="12.75" customHeight="1" x14ac:dyDescent="0.2">
      <c r="A42" s="172"/>
      <c r="B42" s="92" t="s">
        <v>533</v>
      </c>
      <c r="C42" s="69">
        <v>14</v>
      </c>
      <c r="D42" s="69">
        <v>1</v>
      </c>
      <c r="E42" s="69">
        <v>10</v>
      </c>
      <c r="F42" s="69">
        <v>24</v>
      </c>
      <c r="G42" s="69">
        <v>99</v>
      </c>
      <c r="H42" s="69">
        <v>168</v>
      </c>
      <c r="I42" s="69">
        <v>21.8</v>
      </c>
      <c r="J42" s="192"/>
    </row>
    <row r="43" spans="1:13" ht="12.75" customHeight="1" x14ac:dyDescent="0.2">
      <c r="A43" s="172"/>
      <c r="B43" s="92" t="s">
        <v>1038</v>
      </c>
      <c r="C43" s="69">
        <v>25</v>
      </c>
      <c r="D43" s="69">
        <v>7</v>
      </c>
      <c r="E43" s="69">
        <v>16</v>
      </c>
      <c r="F43" s="69">
        <v>31</v>
      </c>
      <c r="G43" s="69">
        <v>88</v>
      </c>
      <c r="H43" s="69">
        <v>157</v>
      </c>
      <c r="I43" s="69">
        <v>20.8</v>
      </c>
      <c r="J43" s="184"/>
      <c r="K43" s="175"/>
    </row>
    <row r="44" spans="1:13" ht="12.75" customHeight="1" x14ac:dyDescent="0.2">
      <c r="A44" s="172"/>
      <c r="B44" s="92" t="s">
        <v>208</v>
      </c>
      <c r="C44" s="69">
        <v>24</v>
      </c>
      <c r="D44" s="69">
        <v>-1</v>
      </c>
      <c r="E44" s="69">
        <v>8</v>
      </c>
      <c r="F44" s="69">
        <v>31</v>
      </c>
      <c r="G44" s="69">
        <v>68</v>
      </c>
      <c r="H44" s="69">
        <v>146</v>
      </c>
      <c r="I44" s="69">
        <v>19.7</v>
      </c>
      <c r="J44" s="169"/>
      <c r="K44" s="173"/>
      <c r="M44" s="173"/>
    </row>
    <row r="45" spans="1:13" ht="12.75" customHeight="1" x14ac:dyDescent="0.2">
      <c r="A45" s="172"/>
      <c r="B45" s="92" t="s">
        <v>809</v>
      </c>
      <c r="C45" s="69">
        <v>17</v>
      </c>
      <c r="D45" s="69">
        <v>-3</v>
      </c>
      <c r="E45" s="69">
        <v>8</v>
      </c>
      <c r="F45" s="69">
        <v>29</v>
      </c>
      <c r="G45" s="69">
        <v>92</v>
      </c>
      <c r="H45" s="69">
        <v>145</v>
      </c>
      <c r="I45" s="69">
        <v>19.7</v>
      </c>
      <c r="J45" s="169"/>
      <c r="K45" s="176"/>
      <c r="L45" s="173"/>
      <c r="M45" s="173"/>
    </row>
    <row r="46" spans="1:13" ht="12.75" customHeight="1" x14ac:dyDescent="0.2">
      <c r="A46" s="172"/>
      <c r="B46" s="92" t="s">
        <v>537</v>
      </c>
      <c r="C46" s="69">
        <v>15</v>
      </c>
      <c r="D46" s="69">
        <v>-2</v>
      </c>
      <c r="E46" s="69">
        <v>8</v>
      </c>
      <c r="F46" s="69">
        <v>27</v>
      </c>
      <c r="G46" s="69">
        <v>95</v>
      </c>
      <c r="H46" s="69">
        <v>143</v>
      </c>
      <c r="I46" s="69">
        <v>19.399999999999999</v>
      </c>
      <c r="J46" s="169"/>
      <c r="K46" s="176"/>
      <c r="L46" s="173"/>
      <c r="M46" s="173"/>
    </row>
    <row r="47" spans="1:13" ht="12.75" customHeight="1" x14ac:dyDescent="0.2">
      <c r="A47" s="172"/>
      <c r="B47" s="92" t="s">
        <v>705</v>
      </c>
      <c r="C47" s="69">
        <v>15</v>
      </c>
      <c r="D47" s="69">
        <v>-2</v>
      </c>
      <c r="E47" s="69">
        <v>7</v>
      </c>
      <c r="F47" s="69">
        <v>34</v>
      </c>
      <c r="G47" s="69">
        <v>90</v>
      </c>
      <c r="H47" s="69">
        <v>142</v>
      </c>
      <c r="I47" s="69">
        <v>19.3</v>
      </c>
      <c r="J47" s="169"/>
      <c r="K47" s="176"/>
      <c r="L47" s="173"/>
      <c r="M47" s="173"/>
    </row>
    <row r="48" spans="1:13" ht="12.75" customHeight="1" x14ac:dyDescent="0.2">
      <c r="A48" s="172"/>
      <c r="B48" s="92" t="s">
        <v>650</v>
      </c>
      <c r="C48" s="69">
        <v>16</v>
      </c>
      <c r="D48" s="69">
        <v>4</v>
      </c>
      <c r="E48" s="69">
        <v>9</v>
      </c>
      <c r="F48" s="69">
        <v>33</v>
      </c>
      <c r="G48" s="69">
        <v>81</v>
      </c>
      <c r="H48" s="69">
        <v>136</v>
      </c>
      <c r="I48" s="69">
        <v>18.7</v>
      </c>
      <c r="J48" s="169"/>
      <c r="K48" s="176"/>
      <c r="L48" s="173"/>
      <c r="M48" s="173"/>
    </row>
    <row r="49" spans="1:14" x14ac:dyDescent="0.2">
      <c r="A49" s="172"/>
      <c r="B49" s="336" t="s">
        <v>527</v>
      </c>
      <c r="C49" s="337">
        <v>13</v>
      </c>
      <c r="D49" s="337">
        <v>-2</v>
      </c>
      <c r="E49" s="337">
        <v>6</v>
      </c>
      <c r="F49" s="337">
        <v>17</v>
      </c>
      <c r="G49" s="337">
        <v>94</v>
      </c>
      <c r="H49" s="337">
        <v>134</v>
      </c>
      <c r="I49" s="337">
        <v>18.5</v>
      </c>
      <c r="J49" s="169"/>
      <c r="K49" s="176"/>
      <c r="L49" s="173"/>
      <c r="M49" s="173"/>
    </row>
    <row r="50" spans="1:14" x14ac:dyDescent="0.2">
      <c r="B50" s="193"/>
      <c r="C50" s="166"/>
      <c r="D50" s="166"/>
      <c r="E50" s="166"/>
      <c r="F50" s="166"/>
      <c r="G50" s="166"/>
      <c r="H50" s="166"/>
      <c r="I50" s="166"/>
      <c r="J50" s="169"/>
      <c r="K50" s="161"/>
      <c r="L50" s="176"/>
      <c r="M50" s="173"/>
      <c r="N50" s="173"/>
    </row>
    <row r="51" spans="1:14" x14ac:dyDescent="0.2">
      <c r="K51" s="161"/>
      <c r="L51" s="176"/>
      <c r="M51" s="173"/>
      <c r="N51" s="173"/>
    </row>
    <row r="52" spans="1:14" x14ac:dyDescent="0.2">
      <c r="K52" s="161"/>
      <c r="L52" s="176"/>
      <c r="M52" s="173"/>
      <c r="N52" s="173"/>
    </row>
    <row r="53" spans="1:14" x14ac:dyDescent="0.2">
      <c r="K53" s="161"/>
      <c r="L53" s="176"/>
      <c r="M53" s="173"/>
    </row>
    <row r="54" spans="1:14" x14ac:dyDescent="0.2">
      <c r="L54" s="176"/>
    </row>
  </sheetData>
  <mergeCells count="4">
    <mergeCell ref="C10:E10"/>
    <mergeCell ref="F10:H10"/>
    <mergeCell ref="F24:H24"/>
    <mergeCell ref="C24:E24"/>
  </mergeCells>
  <phoneticPr fontId="6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Normal="100" workbookViewId="0">
      <pane ySplit="21" topLeftCell="A22" activePane="bottomLeft" state="frozen"/>
      <selection pane="bottomLeft" activeCell="A6" sqref="A6"/>
    </sheetView>
  </sheetViews>
  <sheetFormatPr defaultRowHeight="12.75" x14ac:dyDescent="0.2"/>
  <cols>
    <col min="1" max="1" width="61" style="49" customWidth="1"/>
    <col min="2" max="7" width="8" style="50" customWidth="1"/>
    <col min="8" max="8" width="9.28515625" style="51" customWidth="1"/>
    <col min="9" max="9" width="9.140625" style="51"/>
    <col min="10" max="10" width="11.7109375" style="51" bestFit="1" customWidth="1"/>
    <col min="11" max="11" width="6" style="52" bestFit="1" customWidth="1"/>
    <col min="12" max="12" width="8.140625" style="53" bestFit="1" customWidth="1"/>
    <col min="13" max="13" width="10.140625" style="53" bestFit="1" customWidth="1"/>
    <col min="14" max="14" width="11" style="53" bestFit="1" customWidth="1"/>
    <col min="15" max="15" width="13.28515625" style="55" bestFit="1" customWidth="1"/>
    <col min="16" max="16" width="13.28515625" style="51" bestFit="1" customWidth="1"/>
    <col min="17" max="17" width="43.7109375" style="51" bestFit="1" customWidth="1"/>
    <col min="18" max="18" width="45.42578125" style="56" bestFit="1" customWidth="1"/>
    <col min="19" max="19" width="33.85546875" style="54" bestFit="1" customWidth="1"/>
    <col min="20" max="16384" width="9.140625" style="54"/>
  </cols>
  <sheetData>
    <row r="1" spans="1:19" x14ac:dyDescent="0.2">
      <c r="N1" s="54"/>
      <c r="O1" s="53"/>
      <c r="P1" s="55"/>
      <c r="R1" s="51"/>
      <c r="S1" s="56"/>
    </row>
    <row r="2" spans="1:19" x14ac:dyDescent="0.2">
      <c r="N2" s="54"/>
      <c r="O2" s="53"/>
      <c r="P2" s="55"/>
      <c r="R2" s="51"/>
      <c r="S2" s="56"/>
    </row>
    <row r="3" spans="1:19" x14ac:dyDescent="0.2">
      <c r="N3" s="54"/>
      <c r="O3" s="53"/>
      <c r="P3" s="55"/>
      <c r="R3" s="51"/>
      <c r="S3" s="56"/>
    </row>
    <row r="4" spans="1:19" x14ac:dyDescent="0.2">
      <c r="N4" s="54"/>
      <c r="O4" s="53"/>
      <c r="P4" s="55"/>
      <c r="R4" s="51"/>
      <c r="S4" s="56"/>
    </row>
    <row r="5" spans="1:19" ht="18" x14ac:dyDescent="0.25">
      <c r="A5" s="100" t="s">
        <v>1132</v>
      </c>
      <c r="B5" s="24" t="s">
        <v>1133</v>
      </c>
      <c r="C5" s="57"/>
      <c r="D5" s="57"/>
      <c r="E5" s="57"/>
      <c r="F5" s="57"/>
      <c r="G5" s="58"/>
      <c r="N5" s="54"/>
      <c r="O5" s="53"/>
      <c r="P5" s="55"/>
      <c r="R5" s="51"/>
      <c r="S5" s="56"/>
    </row>
    <row r="6" spans="1:19" x14ac:dyDescent="0.2">
      <c r="A6" s="84"/>
      <c r="N6" s="54"/>
      <c r="O6" s="53"/>
      <c r="P6" s="55"/>
      <c r="R6" s="51"/>
      <c r="S6" s="56"/>
    </row>
    <row r="7" spans="1:19" x14ac:dyDescent="0.2">
      <c r="A7" s="83" t="s">
        <v>754</v>
      </c>
      <c r="B7" s="56"/>
      <c r="C7" s="56"/>
      <c r="D7" s="56"/>
      <c r="E7" s="56"/>
      <c r="F7" s="56"/>
      <c r="N7" s="54"/>
      <c r="O7" s="53"/>
      <c r="P7" s="55"/>
      <c r="R7" s="51"/>
      <c r="S7" s="56"/>
    </row>
    <row r="8" spans="1:19" s="4" customFormat="1" x14ac:dyDescent="0.2">
      <c r="A8" s="83" t="s">
        <v>350</v>
      </c>
      <c r="B8" s="13"/>
      <c r="C8" s="14"/>
      <c r="D8" s="15"/>
      <c r="E8" s="19"/>
      <c r="F8" s="19"/>
      <c r="G8" s="19"/>
      <c r="H8" s="19"/>
      <c r="I8" s="32"/>
      <c r="J8" s="32"/>
      <c r="K8" s="20"/>
      <c r="L8" s="15"/>
      <c r="M8" s="7"/>
      <c r="O8" s="5"/>
      <c r="P8" s="6"/>
    </row>
    <row r="9" spans="1:19" s="4" customFormat="1" x14ac:dyDescent="0.2">
      <c r="A9" s="83"/>
      <c r="B9" s="13"/>
      <c r="C9" s="14"/>
      <c r="D9" s="15"/>
      <c r="E9" s="19"/>
      <c r="F9" s="19"/>
      <c r="G9" s="19"/>
      <c r="H9" s="19"/>
      <c r="I9" s="32"/>
      <c r="J9" s="32"/>
      <c r="K9" s="20"/>
      <c r="L9" s="15"/>
      <c r="M9" s="7"/>
      <c r="O9" s="5"/>
      <c r="P9" s="6"/>
    </row>
    <row r="10" spans="1:19" s="4" customFormat="1" hidden="1" x14ac:dyDescent="0.2">
      <c r="A10" s="61" t="s">
        <v>349</v>
      </c>
      <c r="B10" s="13"/>
      <c r="C10" s="14"/>
      <c r="D10" s="33"/>
      <c r="E10" s="19"/>
      <c r="F10" s="19"/>
      <c r="G10" s="19"/>
      <c r="H10" s="19"/>
      <c r="I10" s="19"/>
      <c r="J10" s="19"/>
      <c r="K10" s="7"/>
      <c r="L10" s="7"/>
      <c r="M10" s="7"/>
      <c r="O10" s="5"/>
      <c r="P10" s="6"/>
    </row>
    <row r="11" spans="1:19" s="4" customFormat="1" hidden="1" x14ac:dyDescent="0.2">
      <c r="A11" s="61"/>
      <c r="B11" s="13"/>
      <c r="C11" s="14"/>
      <c r="D11" s="33"/>
      <c r="E11" s="19"/>
      <c r="F11" s="19"/>
      <c r="G11" s="19"/>
      <c r="H11" s="19"/>
      <c r="I11" s="19"/>
      <c r="J11" s="19"/>
      <c r="K11" s="20"/>
      <c r="L11" s="15"/>
      <c r="M11" s="7"/>
      <c r="O11" s="5"/>
      <c r="P11" s="6"/>
    </row>
    <row r="12" spans="1:19" s="4" customFormat="1" hidden="1" x14ac:dyDescent="0.2">
      <c r="A12" s="61"/>
      <c r="B12" s="13"/>
      <c r="C12" s="34"/>
      <c r="D12" s="34"/>
      <c r="E12" s="19"/>
      <c r="F12" s="19"/>
      <c r="G12" s="19"/>
      <c r="H12" s="19"/>
      <c r="I12" s="19"/>
      <c r="J12" s="19"/>
      <c r="K12" s="20"/>
      <c r="L12" s="15"/>
      <c r="M12" s="7"/>
      <c r="O12" s="5"/>
      <c r="P12" s="6"/>
    </row>
    <row r="13" spans="1:19" s="4" customFormat="1" hidden="1" x14ac:dyDescent="0.2">
      <c r="A13" s="61"/>
      <c r="B13" s="13"/>
      <c r="C13" s="34"/>
      <c r="D13" s="34"/>
      <c r="E13" s="19"/>
      <c r="F13" s="19"/>
      <c r="G13" s="19"/>
      <c r="H13" s="19"/>
      <c r="I13" s="19"/>
      <c r="J13" s="19"/>
      <c r="K13" s="20"/>
      <c r="L13" s="15"/>
      <c r="M13" s="7"/>
      <c r="O13" s="5"/>
      <c r="P13" s="6"/>
    </row>
    <row r="14" spans="1:19" s="4" customFormat="1" ht="15" customHeight="1" x14ac:dyDescent="0.2">
      <c r="A14" s="59"/>
      <c r="B14" s="13"/>
      <c r="C14" s="60"/>
      <c r="D14" s="33"/>
      <c r="E14" s="19"/>
      <c r="F14" s="19"/>
      <c r="G14" s="19"/>
      <c r="H14" s="19"/>
      <c r="I14" s="19"/>
      <c r="J14" s="19"/>
      <c r="K14" s="20"/>
      <c r="L14" s="15"/>
      <c r="M14" s="7"/>
      <c r="O14" s="5"/>
      <c r="P14" s="6"/>
    </row>
    <row r="15" spans="1:19" s="4" customFormat="1" ht="15" customHeight="1" x14ac:dyDescent="0.2">
      <c r="B15" s="36"/>
      <c r="C15" s="34"/>
      <c r="D15" s="33"/>
      <c r="E15" s="19"/>
      <c r="F15" s="19"/>
      <c r="G15" s="19"/>
      <c r="H15" s="19"/>
      <c r="I15" s="19"/>
      <c r="J15" s="19"/>
      <c r="K15" s="20"/>
      <c r="L15" s="15"/>
      <c r="M15" s="7"/>
      <c r="O15" s="5"/>
      <c r="P15" s="6"/>
    </row>
    <row r="16" spans="1:19" s="4" customFormat="1" ht="15" customHeight="1" x14ac:dyDescent="0.2">
      <c r="B16" s="36"/>
      <c r="C16" s="34"/>
      <c r="D16" s="33"/>
      <c r="E16" s="19"/>
      <c r="F16" s="18"/>
      <c r="G16" s="18"/>
      <c r="H16" s="37"/>
      <c r="I16" s="38"/>
      <c r="J16" s="38"/>
      <c r="K16" s="20"/>
      <c r="L16" s="15"/>
      <c r="M16" s="7"/>
      <c r="O16" s="5"/>
      <c r="P16" s="6"/>
    </row>
    <row r="17" spans="1:19" s="4" customFormat="1" ht="15" customHeight="1" x14ac:dyDescent="0.2">
      <c r="B17" s="36"/>
      <c r="C17" s="34"/>
      <c r="D17" s="33"/>
      <c r="E17" s="14"/>
      <c r="F17" s="16"/>
      <c r="G17" s="17"/>
      <c r="H17" s="14"/>
      <c r="I17" s="7"/>
      <c r="J17" s="7"/>
      <c r="K17" s="20"/>
      <c r="L17" s="15"/>
      <c r="M17" s="7"/>
      <c r="O17" s="5"/>
      <c r="P17" s="6"/>
    </row>
    <row r="18" spans="1:19" s="4" customFormat="1" ht="15" customHeight="1" x14ac:dyDescent="0.2">
      <c r="B18" s="36"/>
      <c r="C18" s="14"/>
      <c r="D18" s="15"/>
      <c r="E18" s="14"/>
      <c r="F18" s="16"/>
      <c r="G18" s="17"/>
      <c r="H18" s="14"/>
      <c r="I18" s="7"/>
      <c r="J18" s="7"/>
      <c r="K18" s="20"/>
      <c r="L18" s="15"/>
      <c r="M18" s="7"/>
      <c r="O18" s="5"/>
      <c r="P18" s="6"/>
    </row>
    <row r="19" spans="1:19" ht="15" customHeight="1" x14ac:dyDescent="0.2">
      <c r="A19" s="62"/>
      <c r="B19" s="63"/>
      <c r="C19" s="63"/>
      <c r="D19" s="63"/>
      <c r="E19" s="63"/>
      <c r="F19" s="63"/>
      <c r="G19" s="63"/>
      <c r="H19" s="63"/>
      <c r="I19" s="64"/>
      <c r="J19" s="64"/>
      <c r="K19" s="65"/>
      <c r="L19" s="66"/>
      <c r="M19" s="67"/>
      <c r="N19" s="54"/>
      <c r="O19" s="67"/>
      <c r="P19" s="68"/>
      <c r="Q19" s="63"/>
      <c r="R19" s="63"/>
    </row>
    <row r="20" spans="1:19" ht="12.75" customHeight="1" x14ac:dyDescent="0.2">
      <c r="A20" s="124"/>
      <c r="B20" s="349" t="s">
        <v>498</v>
      </c>
      <c r="C20" s="350"/>
      <c r="D20" s="350"/>
      <c r="E20" s="350"/>
      <c r="F20" s="350"/>
      <c r="G20" s="350"/>
      <c r="H20" s="351"/>
      <c r="I20" s="349" t="s">
        <v>514</v>
      </c>
      <c r="J20" s="350"/>
      <c r="K20" s="125"/>
      <c r="L20" s="126" t="s">
        <v>499</v>
      </c>
      <c r="M20" s="127" t="s">
        <v>502</v>
      </c>
      <c r="N20" s="127"/>
      <c r="O20" s="127" t="s">
        <v>513</v>
      </c>
      <c r="P20" s="128"/>
      <c r="Q20" s="129"/>
      <c r="R20" s="129"/>
      <c r="S20" s="129"/>
    </row>
    <row r="21" spans="1:19" s="1" customFormat="1" x14ac:dyDescent="0.2">
      <c r="A21" s="130" t="s">
        <v>488</v>
      </c>
      <c r="B21" s="131" t="s">
        <v>325</v>
      </c>
      <c r="C21" s="132" t="s">
        <v>326</v>
      </c>
      <c r="D21" s="132" t="s">
        <v>327</v>
      </c>
      <c r="E21" s="132" t="s">
        <v>328</v>
      </c>
      <c r="F21" s="132" t="s">
        <v>329</v>
      </c>
      <c r="G21" s="132" t="s">
        <v>330</v>
      </c>
      <c r="H21" s="133" t="s">
        <v>614</v>
      </c>
      <c r="I21" s="132" t="s">
        <v>344</v>
      </c>
      <c r="J21" s="132" t="s">
        <v>345</v>
      </c>
      <c r="K21" s="134" t="s">
        <v>490</v>
      </c>
      <c r="L21" s="135" t="s">
        <v>500</v>
      </c>
      <c r="M21" s="132" t="s">
        <v>501</v>
      </c>
      <c r="N21" s="132" t="s">
        <v>693</v>
      </c>
      <c r="O21" s="132" t="s">
        <v>485</v>
      </c>
      <c r="P21" s="136" t="s">
        <v>503</v>
      </c>
      <c r="Q21" s="136" t="s">
        <v>492</v>
      </c>
      <c r="R21" s="133" t="s">
        <v>489</v>
      </c>
      <c r="S21" s="133" t="s">
        <v>126</v>
      </c>
    </row>
    <row r="22" spans="1:19" x14ac:dyDescent="0.2">
      <c r="A22" s="92" t="s">
        <v>587</v>
      </c>
      <c r="B22" s="90">
        <v>9</v>
      </c>
      <c r="C22" s="90">
        <v>0</v>
      </c>
      <c r="D22" s="90">
        <v>6</v>
      </c>
      <c r="E22" s="90">
        <v>17</v>
      </c>
      <c r="F22" s="69">
        <v>68</v>
      </c>
      <c r="G22" s="69">
        <v>87</v>
      </c>
      <c r="H22" s="69">
        <v>13.3</v>
      </c>
      <c r="I22" s="70">
        <v>0</v>
      </c>
      <c r="J22" s="70">
        <v>0</v>
      </c>
      <c r="K22" s="69">
        <v>11.8</v>
      </c>
      <c r="L22" s="69">
        <v>1.3</v>
      </c>
      <c r="M22" s="69" t="s">
        <v>958</v>
      </c>
      <c r="N22" s="69">
        <v>2006</v>
      </c>
      <c r="O22" s="69" t="s">
        <v>585</v>
      </c>
      <c r="P22" s="69">
        <v>734491</v>
      </c>
      <c r="Q22" s="92" t="s">
        <v>165</v>
      </c>
      <c r="R22" s="92" t="s">
        <v>562</v>
      </c>
      <c r="S22" s="87"/>
    </row>
    <row r="23" spans="1:19" x14ac:dyDescent="0.2">
      <c r="A23" s="91" t="s">
        <v>1047</v>
      </c>
      <c r="B23" s="90">
        <v>23</v>
      </c>
      <c r="C23" s="90">
        <v>5</v>
      </c>
      <c r="D23" s="90">
        <v>17</v>
      </c>
      <c r="E23" s="90"/>
      <c r="F23" s="69"/>
      <c r="G23" s="69"/>
      <c r="H23" s="69"/>
      <c r="I23" s="70">
        <v>0</v>
      </c>
      <c r="J23" s="70">
        <v>0</v>
      </c>
      <c r="K23" s="69"/>
      <c r="L23" s="69"/>
      <c r="M23" s="69" t="s">
        <v>958</v>
      </c>
      <c r="N23" s="69">
        <v>2014</v>
      </c>
      <c r="O23" s="69" t="s">
        <v>585</v>
      </c>
      <c r="P23" s="69">
        <v>946228</v>
      </c>
      <c r="Q23" s="92" t="s">
        <v>569</v>
      </c>
      <c r="R23" s="92" t="s">
        <v>227</v>
      </c>
      <c r="S23" s="92"/>
    </row>
    <row r="24" spans="1:19" x14ac:dyDescent="0.2">
      <c r="A24" s="92" t="s">
        <v>825</v>
      </c>
      <c r="B24" s="90">
        <v>7</v>
      </c>
      <c r="C24" s="90">
        <v>3</v>
      </c>
      <c r="D24" s="90">
        <v>6</v>
      </c>
      <c r="E24" s="90">
        <v>11</v>
      </c>
      <c r="F24" s="69"/>
      <c r="G24" s="69"/>
      <c r="H24" s="69"/>
      <c r="I24" s="70">
        <v>0.01</v>
      </c>
      <c r="J24" s="70">
        <v>0.01</v>
      </c>
      <c r="K24" s="69"/>
      <c r="L24" s="69"/>
      <c r="M24" s="69" t="s">
        <v>958</v>
      </c>
      <c r="N24" s="69">
        <v>2012</v>
      </c>
      <c r="O24" s="69" t="s">
        <v>485</v>
      </c>
      <c r="P24" s="69">
        <v>167114</v>
      </c>
      <c r="Q24" s="92" t="s">
        <v>826</v>
      </c>
      <c r="R24" s="92" t="s">
        <v>254</v>
      </c>
      <c r="S24" s="87"/>
    </row>
    <row r="25" spans="1:19" x14ac:dyDescent="0.2">
      <c r="A25" s="92" t="s">
        <v>827</v>
      </c>
      <c r="B25" s="69">
        <v>11</v>
      </c>
      <c r="C25" s="69">
        <v>4</v>
      </c>
      <c r="D25" s="69">
        <v>9</v>
      </c>
      <c r="E25" s="69">
        <v>19</v>
      </c>
      <c r="F25" s="69"/>
      <c r="G25" s="69"/>
      <c r="H25" s="69"/>
      <c r="I25" s="70">
        <v>0.01</v>
      </c>
      <c r="J25" s="70">
        <v>0.01</v>
      </c>
      <c r="K25" s="69"/>
      <c r="L25" s="69"/>
      <c r="M25" s="69" t="s">
        <v>958</v>
      </c>
      <c r="N25" s="69">
        <v>2012</v>
      </c>
      <c r="O25" s="69" t="s">
        <v>485</v>
      </c>
      <c r="P25" s="69">
        <v>314682</v>
      </c>
      <c r="Q25" s="92" t="s">
        <v>826</v>
      </c>
      <c r="R25" s="92" t="s">
        <v>254</v>
      </c>
      <c r="S25" s="92"/>
    </row>
    <row r="26" spans="1:19" x14ac:dyDescent="0.2">
      <c r="A26" s="92" t="s">
        <v>830</v>
      </c>
      <c r="B26" s="69">
        <v>14</v>
      </c>
      <c r="C26" s="69">
        <v>5</v>
      </c>
      <c r="D26" s="69">
        <v>12</v>
      </c>
      <c r="E26" s="69">
        <v>25</v>
      </c>
      <c r="F26" s="69"/>
      <c r="G26" s="69"/>
      <c r="H26" s="69"/>
      <c r="I26" s="70">
        <v>0.01</v>
      </c>
      <c r="J26" s="70">
        <v>0.01</v>
      </c>
      <c r="K26" s="69"/>
      <c r="L26" s="69"/>
      <c r="M26" s="69" t="s">
        <v>958</v>
      </c>
      <c r="N26" s="69">
        <v>2012</v>
      </c>
      <c r="O26" s="69" t="s">
        <v>485</v>
      </c>
      <c r="P26" s="69">
        <v>243022</v>
      </c>
      <c r="Q26" s="92" t="s">
        <v>826</v>
      </c>
      <c r="R26" s="92" t="s">
        <v>353</v>
      </c>
      <c r="S26" s="92"/>
    </row>
    <row r="27" spans="1:19" x14ac:dyDescent="0.2">
      <c r="A27" s="92" t="s">
        <v>829</v>
      </c>
      <c r="B27" s="69">
        <v>14</v>
      </c>
      <c r="C27" s="69">
        <v>5</v>
      </c>
      <c r="D27" s="69">
        <v>12</v>
      </c>
      <c r="E27" s="69">
        <v>25</v>
      </c>
      <c r="F27" s="69"/>
      <c r="G27" s="69"/>
      <c r="H27" s="69"/>
      <c r="I27" s="70">
        <v>0.01</v>
      </c>
      <c r="J27" s="70">
        <v>0.01</v>
      </c>
      <c r="K27" s="69"/>
      <c r="L27" s="69"/>
      <c r="M27" s="69" t="s">
        <v>958</v>
      </c>
      <c r="N27" s="69">
        <v>2012</v>
      </c>
      <c r="O27" s="69" t="s">
        <v>485</v>
      </c>
      <c r="P27" s="69">
        <v>278853</v>
      </c>
      <c r="Q27" s="92" t="s">
        <v>826</v>
      </c>
      <c r="R27" s="92" t="s">
        <v>353</v>
      </c>
      <c r="S27" s="92"/>
    </row>
    <row r="28" spans="1:19" x14ac:dyDescent="0.2">
      <c r="A28" s="92" t="s">
        <v>828</v>
      </c>
      <c r="B28" s="69">
        <v>14</v>
      </c>
      <c r="C28" s="69">
        <v>4</v>
      </c>
      <c r="D28" s="69">
        <v>12</v>
      </c>
      <c r="E28" s="69">
        <v>25</v>
      </c>
      <c r="F28" s="69"/>
      <c r="G28" s="69"/>
      <c r="H28" s="69"/>
      <c r="I28" s="70">
        <v>0.01</v>
      </c>
      <c r="J28" s="70">
        <v>0.01</v>
      </c>
      <c r="K28" s="69"/>
      <c r="L28" s="69"/>
      <c r="M28" s="69" t="s">
        <v>958</v>
      </c>
      <c r="N28" s="69">
        <v>2012</v>
      </c>
      <c r="O28" s="69" t="s">
        <v>485</v>
      </c>
      <c r="P28" s="69">
        <v>350512</v>
      </c>
      <c r="Q28" s="92" t="s">
        <v>826</v>
      </c>
      <c r="R28" s="92" t="s">
        <v>258</v>
      </c>
      <c r="S28" s="92"/>
    </row>
    <row r="29" spans="1:19" x14ac:dyDescent="0.2">
      <c r="A29" s="92" t="s">
        <v>566</v>
      </c>
      <c r="B29" s="69">
        <v>2</v>
      </c>
      <c r="C29" s="69">
        <v>1</v>
      </c>
      <c r="D29" s="69">
        <v>2</v>
      </c>
      <c r="E29" s="69">
        <v>4</v>
      </c>
      <c r="F29" s="69">
        <v>8</v>
      </c>
      <c r="G29" s="69"/>
      <c r="H29" s="69"/>
      <c r="I29" s="70">
        <v>0.05</v>
      </c>
      <c r="J29" s="70">
        <v>0.05</v>
      </c>
      <c r="K29" s="69">
        <v>0.8</v>
      </c>
      <c r="L29" s="69">
        <v>1.4</v>
      </c>
      <c r="M29" s="69" t="s">
        <v>958</v>
      </c>
      <c r="N29" s="69">
        <v>2010</v>
      </c>
      <c r="O29" s="69" t="s">
        <v>585</v>
      </c>
      <c r="P29" s="69">
        <v>545541</v>
      </c>
      <c r="Q29" s="92" t="s">
        <v>615</v>
      </c>
      <c r="R29" s="92" t="s">
        <v>412</v>
      </c>
      <c r="S29" s="87" t="s">
        <v>959</v>
      </c>
    </row>
    <row r="30" spans="1:19" x14ac:dyDescent="0.2">
      <c r="A30" s="91" t="s">
        <v>446</v>
      </c>
      <c r="B30" s="90">
        <v>2</v>
      </c>
      <c r="C30" s="90">
        <v>1</v>
      </c>
      <c r="D30" s="90">
        <v>1</v>
      </c>
      <c r="E30" s="90">
        <v>3</v>
      </c>
      <c r="F30" s="69">
        <v>9</v>
      </c>
      <c r="G30" s="69">
        <v>14</v>
      </c>
      <c r="H30" s="69">
        <v>2.6</v>
      </c>
      <c r="I30" s="70">
        <v>0.1</v>
      </c>
      <c r="J30" s="70">
        <v>0.11</v>
      </c>
      <c r="K30" s="69">
        <v>0.3</v>
      </c>
      <c r="L30" s="69">
        <v>5.3</v>
      </c>
      <c r="M30" s="69" t="s">
        <v>958</v>
      </c>
      <c r="N30" s="69">
        <v>2008</v>
      </c>
      <c r="O30" s="69" t="s">
        <v>585</v>
      </c>
      <c r="P30" s="69">
        <v>972497</v>
      </c>
      <c r="Q30" s="92" t="s">
        <v>472</v>
      </c>
      <c r="R30" s="92" t="s">
        <v>368</v>
      </c>
      <c r="S30" s="92"/>
    </row>
    <row r="31" spans="1:19" x14ac:dyDescent="0.2">
      <c r="A31" s="91" t="s">
        <v>370</v>
      </c>
      <c r="B31" s="90">
        <v>0</v>
      </c>
      <c r="C31" s="90">
        <v>0</v>
      </c>
      <c r="D31" s="90">
        <v>0</v>
      </c>
      <c r="E31" s="90">
        <v>1</v>
      </c>
      <c r="F31" s="69">
        <v>3</v>
      </c>
      <c r="G31" s="69">
        <v>4</v>
      </c>
      <c r="H31" s="69">
        <v>0.9</v>
      </c>
      <c r="I31" s="70">
        <v>0.1</v>
      </c>
      <c r="J31" s="70">
        <v>0.11</v>
      </c>
      <c r="K31" s="69">
        <v>0.1</v>
      </c>
      <c r="L31" s="69">
        <v>-3.8</v>
      </c>
      <c r="M31" s="69" t="s">
        <v>958</v>
      </c>
      <c r="N31" s="69">
        <v>2001</v>
      </c>
      <c r="O31" s="69" t="s">
        <v>585</v>
      </c>
      <c r="P31" s="69">
        <v>294918</v>
      </c>
      <c r="Q31" s="92" t="s">
        <v>528</v>
      </c>
      <c r="R31" s="92" t="s">
        <v>368</v>
      </c>
      <c r="S31" s="92"/>
    </row>
    <row r="32" spans="1:19" x14ac:dyDescent="0.2">
      <c r="A32" s="92" t="s">
        <v>632</v>
      </c>
      <c r="B32" s="90">
        <v>1</v>
      </c>
      <c r="C32" s="90">
        <v>0</v>
      </c>
      <c r="D32" s="90">
        <v>1</v>
      </c>
      <c r="E32" s="90">
        <v>2</v>
      </c>
      <c r="F32" s="69">
        <v>8</v>
      </c>
      <c r="G32" s="69">
        <v>11</v>
      </c>
      <c r="H32" s="69">
        <v>2.2000000000000002</v>
      </c>
      <c r="I32" s="70">
        <v>0.11</v>
      </c>
      <c r="J32" s="70">
        <v>0.15</v>
      </c>
      <c r="K32" s="69">
        <v>0.3</v>
      </c>
      <c r="L32" s="69">
        <v>5</v>
      </c>
      <c r="M32" s="69" t="s">
        <v>958</v>
      </c>
      <c r="N32" s="69">
        <v>2004</v>
      </c>
      <c r="O32" s="69" t="s">
        <v>585</v>
      </c>
      <c r="P32" s="69">
        <v>305185</v>
      </c>
      <c r="Q32" s="92" t="s">
        <v>633</v>
      </c>
      <c r="R32" s="92" t="s">
        <v>368</v>
      </c>
      <c r="S32" s="92"/>
    </row>
    <row r="33" spans="1:19" x14ac:dyDescent="0.2">
      <c r="A33" s="91" t="s">
        <v>413</v>
      </c>
      <c r="B33" s="90">
        <v>5</v>
      </c>
      <c r="C33" s="90">
        <v>2</v>
      </c>
      <c r="D33" s="90">
        <v>4</v>
      </c>
      <c r="E33" s="90">
        <v>7</v>
      </c>
      <c r="F33" s="69">
        <v>11</v>
      </c>
      <c r="G33" s="69">
        <v>21</v>
      </c>
      <c r="H33" s="69">
        <v>3.8</v>
      </c>
      <c r="I33" s="70">
        <v>0.11</v>
      </c>
      <c r="J33" s="70">
        <v>0.13</v>
      </c>
      <c r="K33" s="69">
        <v>2.1</v>
      </c>
      <c r="L33" s="69">
        <v>1</v>
      </c>
      <c r="M33" s="69" t="s">
        <v>958</v>
      </c>
      <c r="N33" s="69">
        <v>2001</v>
      </c>
      <c r="O33" s="69" t="s">
        <v>585</v>
      </c>
      <c r="P33" s="69">
        <v>330746</v>
      </c>
      <c r="Q33" s="92" t="s">
        <v>528</v>
      </c>
      <c r="R33" s="92" t="s">
        <v>412</v>
      </c>
      <c r="S33" s="92"/>
    </row>
    <row r="34" spans="1:19" x14ac:dyDescent="0.2">
      <c r="A34" s="91" t="s">
        <v>634</v>
      </c>
      <c r="B34" s="90">
        <v>6</v>
      </c>
      <c r="C34" s="90">
        <v>3</v>
      </c>
      <c r="D34" s="90">
        <v>4</v>
      </c>
      <c r="E34" s="90">
        <v>8</v>
      </c>
      <c r="F34" s="69">
        <v>15</v>
      </c>
      <c r="G34" s="69">
        <v>31</v>
      </c>
      <c r="H34" s="69">
        <v>5.5</v>
      </c>
      <c r="I34" s="70">
        <v>0.11</v>
      </c>
      <c r="J34" s="70">
        <v>0.15</v>
      </c>
      <c r="K34" s="69">
        <v>3.3</v>
      </c>
      <c r="L34" s="69">
        <v>1</v>
      </c>
      <c r="M34" s="69" t="s">
        <v>958</v>
      </c>
      <c r="N34" s="69">
        <v>2000</v>
      </c>
      <c r="O34" s="69" t="s">
        <v>585</v>
      </c>
      <c r="P34" s="69">
        <v>574293</v>
      </c>
      <c r="Q34" s="92" t="s">
        <v>633</v>
      </c>
      <c r="R34" s="92" t="s">
        <v>412</v>
      </c>
      <c r="S34" s="92"/>
    </row>
    <row r="35" spans="1:19" x14ac:dyDescent="0.2">
      <c r="A35" s="91" t="s">
        <v>897</v>
      </c>
      <c r="B35" s="90">
        <v>1</v>
      </c>
      <c r="C35" s="90">
        <v>0</v>
      </c>
      <c r="D35" s="90">
        <v>0</v>
      </c>
      <c r="E35" s="90">
        <v>1</v>
      </c>
      <c r="F35" s="69">
        <v>4</v>
      </c>
      <c r="G35" s="69">
        <v>6</v>
      </c>
      <c r="H35" s="69">
        <v>1.2</v>
      </c>
      <c r="I35" s="70">
        <v>0.12</v>
      </c>
      <c r="J35" s="70">
        <v>0.2</v>
      </c>
      <c r="K35" s="69">
        <v>0.2</v>
      </c>
      <c r="L35" s="69">
        <v>-0.3</v>
      </c>
      <c r="M35" s="69" t="s">
        <v>958</v>
      </c>
      <c r="N35" s="69">
        <v>2000</v>
      </c>
      <c r="O35" s="69" t="s">
        <v>585</v>
      </c>
      <c r="P35" s="69">
        <v>420646</v>
      </c>
      <c r="Q35" s="92" t="s">
        <v>1035</v>
      </c>
      <c r="R35" s="92" t="s">
        <v>368</v>
      </c>
      <c r="S35" s="92"/>
    </row>
    <row r="36" spans="1:19" x14ac:dyDescent="0.2">
      <c r="A36" s="91" t="s">
        <v>635</v>
      </c>
      <c r="B36" s="90">
        <v>5</v>
      </c>
      <c r="C36" s="90">
        <v>2</v>
      </c>
      <c r="D36" s="90">
        <v>4</v>
      </c>
      <c r="E36" s="90">
        <v>7</v>
      </c>
      <c r="F36" s="69">
        <v>10</v>
      </c>
      <c r="G36" s="69">
        <v>19</v>
      </c>
      <c r="H36" s="69">
        <v>3.6</v>
      </c>
      <c r="I36" s="70">
        <v>0.12</v>
      </c>
      <c r="J36" s="70">
        <v>0.16</v>
      </c>
      <c r="K36" s="69">
        <v>2.1</v>
      </c>
      <c r="L36" s="69">
        <v>0.9</v>
      </c>
      <c r="M36" s="69" t="s">
        <v>958</v>
      </c>
      <c r="N36" s="69">
        <v>2009</v>
      </c>
      <c r="O36" s="69" t="s">
        <v>585</v>
      </c>
      <c r="P36" s="69">
        <v>617209</v>
      </c>
      <c r="Q36" s="92" t="s">
        <v>528</v>
      </c>
      <c r="R36" s="92" t="s">
        <v>412</v>
      </c>
      <c r="S36" s="92"/>
    </row>
    <row r="37" spans="1:19" x14ac:dyDescent="0.2">
      <c r="A37" s="92" t="s">
        <v>418</v>
      </c>
      <c r="B37" s="90">
        <v>7</v>
      </c>
      <c r="C37" s="90">
        <v>3</v>
      </c>
      <c r="D37" s="90">
        <v>5</v>
      </c>
      <c r="E37" s="90">
        <v>9</v>
      </c>
      <c r="F37" s="69">
        <v>15</v>
      </c>
      <c r="G37" s="69">
        <v>28</v>
      </c>
      <c r="H37" s="69">
        <v>5</v>
      </c>
      <c r="I37" s="70">
        <v>0.12</v>
      </c>
      <c r="J37" s="70">
        <v>0.21</v>
      </c>
      <c r="K37" s="69">
        <v>2.9</v>
      </c>
      <c r="L37" s="69">
        <v>1.2</v>
      </c>
      <c r="M37" s="69" t="s">
        <v>958</v>
      </c>
      <c r="N37" s="69">
        <v>2000</v>
      </c>
      <c r="O37" s="69" t="s">
        <v>585</v>
      </c>
      <c r="P37" s="69">
        <v>534800</v>
      </c>
      <c r="Q37" s="92" t="s">
        <v>622</v>
      </c>
      <c r="R37" s="92" t="s">
        <v>412</v>
      </c>
      <c r="S37" s="92" t="s">
        <v>959</v>
      </c>
    </row>
    <row r="38" spans="1:19" x14ac:dyDescent="0.2">
      <c r="A38" s="92" t="s">
        <v>1048</v>
      </c>
      <c r="B38" s="90">
        <v>1</v>
      </c>
      <c r="C38" s="90">
        <v>0</v>
      </c>
      <c r="D38" s="90">
        <v>0</v>
      </c>
      <c r="E38" s="90">
        <v>1</v>
      </c>
      <c r="F38" s="69">
        <v>6</v>
      </c>
      <c r="G38" s="69">
        <v>10</v>
      </c>
      <c r="H38" s="69">
        <v>1.9</v>
      </c>
      <c r="I38" s="70">
        <v>0.12</v>
      </c>
      <c r="J38" s="70">
        <v>0.21</v>
      </c>
      <c r="K38" s="69">
        <v>0.3</v>
      </c>
      <c r="L38" s="69">
        <v>4.2</v>
      </c>
      <c r="M38" s="69" t="s">
        <v>958</v>
      </c>
      <c r="N38" s="69">
        <v>2010</v>
      </c>
      <c r="O38" s="69" t="s">
        <v>585</v>
      </c>
      <c r="P38" s="69">
        <v>442897</v>
      </c>
      <c r="Q38" s="92" t="s">
        <v>622</v>
      </c>
      <c r="R38" s="92" t="s">
        <v>368</v>
      </c>
      <c r="S38" s="92" t="s">
        <v>959</v>
      </c>
    </row>
    <row r="39" spans="1:19" x14ac:dyDescent="0.2">
      <c r="A39" s="92" t="s">
        <v>567</v>
      </c>
      <c r="B39" s="90">
        <v>23</v>
      </c>
      <c r="C39" s="90">
        <v>11</v>
      </c>
      <c r="D39" s="90">
        <v>22</v>
      </c>
      <c r="E39" s="90">
        <v>40</v>
      </c>
      <c r="F39" s="69">
        <v>107</v>
      </c>
      <c r="G39" s="69"/>
      <c r="H39" s="69"/>
      <c r="I39" s="70">
        <v>0.12</v>
      </c>
      <c r="J39" s="70">
        <v>0.12</v>
      </c>
      <c r="K39" s="69">
        <v>13</v>
      </c>
      <c r="L39" s="69">
        <v>1.7</v>
      </c>
      <c r="M39" s="69" t="s">
        <v>958</v>
      </c>
      <c r="N39" s="69">
        <v>2010</v>
      </c>
      <c r="O39" s="69" t="s">
        <v>585</v>
      </c>
      <c r="P39" s="69">
        <v>581371</v>
      </c>
      <c r="Q39" s="92" t="s">
        <v>615</v>
      </c>
      <c r="R39" s="92" t="s">
        <v>109</v>
      </c>
      <c r="S39" s="92" t="s">
        <v>959</v>
      </c>
    </row>
    <row r="40" spans="1:19" x14ac:dyDescent="0.2">
      <c r="A40" s="92" t="s">
        <v>321</v>
      </c>
      <c r="B40" s="90">
        <v>1</v>
      </c>
      <c r="C40" s="90">
        <v>0</v>
      </c>
      <c r="D40" s="90">
        <v>1</v>
      </c>
      <c r="E40" s="90">
        <v>4</v>
      </c>
      <c r="F40" s="69">
        <v>11</v>
      </c>
      <c r="G40" s="69">
        <v>14</v>
      </c>
      <c r="H40" s="69">
        <v>2.6</v>
      </c>
      <c r="I40" s="70">
        <v>0.12</v>
      </c>
      <c r="J40" s="70">
        <v>0.2</v>
      </c>
      <c r="K40" s="69">
        <v>1.3</v>
      </c>
      <c r="L40" s="69">
        <v>1.5</v>
      </c>
      <c r="M40" s="69" t="s">
        <v>958</v>
      </c>
      <c r="N40" s="69">
        <v>2007</v>
      </c>
      <c r="O40" s="69" t="s">
        <v>485</v>
      </c>
      <c r="P40" s="69">
        <v>870493</v>
      </c>
      <c r="Q40" s="92" t="s">
        <v>621</v>
      </c>
      <c r="R40" s="92" t="s">
        <v>368</v>
      </c>
      <c r="S40" s="92"/>
    </row>
    <row r="41" spans="1:19" x14ac:dyDescent="0.2">
      <c r="A41" s="92" t="s">
        <v>463</v>
      </c>
      <c r="B41" s="69">
        <v>6</v>
      </c>
      <c r="C41" s="69">
        <v>2</v>
      </c>
      <c r="D41" s="69">
        <v>4</v>
      </c>
      <c r="E41" s="69">
        <v>8</v>
      </c>
      <c r="F41" s="69">
        <v>11</v>
      </c>
      <c r="G41" s="69">
        <v>23</v>
      </c>
      <c r="H41" s="69">
        <v>4.2</v>
      </c>
      <c r="I41" s="70">
        <v>0.12</v>
      </c>
      <c r="J41" s="70">
        <v>0.3</v>
      </c>
      <c r="K41" s="69">
        <v>3.1</v>
      </c>
      <c r="L41" s="69">
        <v>0.7</v>
      </c>
      <c r="M41" s="69" t="s">
        <v>958</v>
      </c>
      <c r="N41" s="69">
        <v>2000</v>
      </c>
      <c r="O41" s="69" t="s">
        <v>585</v>
      </c>
      <c r="P41" s="69">
        <v>578542</v>
      </c>
      <c r="Q41" s="92" t="s">
        <v>133</v>
      </c>
      <c r="R41" s="92" t="s">
        <v>412</v>
      </c>
      <c r="S41" s="92" t="s">
        <v>959</v>
      </c>
    </row>
    <row r="42" spans="1:19" x14ac:dyDescent="0.2">
      <c r="A42" s="92" t="s">
        <v>373</v>
      </c>
      <c r="B42" s="90">
        <v>0</v>
      </c>
      <c r="C42" s="90">
        <v>0</v>
      </c>
      <c r="D42" s="90">
        <v>0</v>
      </c>
      <c r="E42" s="90">
        <v>1</v>
      </c>
      <c r="F42" s="69">
        <v>5</v>
      </c>
      <c r="G42" s="69">
        <v>7</v>
      </c>
      <c r="H42" s="69">
        <v>1.4</v>
      </c>
      <c r="I42" s="70">
        <v>0.12</v>
      </c>
      <c r="J42" s="70">
        <v>0.3</v>
      </c>
      <c r="K42" s="69">
        <v>0.2</v>
      </c>
      <c r="L42" s="69">
        <v>0.1</v>
      </c>
      <c r="M42" s="69" t="s">
        <v>958</v>
      </c>
      <c r="N42" s="69">
        <v>2000</v>
      </c>
      <c r="O42" s="69" t="s">
        <v>585</v>
      </c>
      <c r="P42" s="69">
        <v>614370</v>
      </c>
      <c r="Q42" s="92" t="s">
        <v>133</v>
      </c>
      <c r="R42" s="92" t="s">
        <v>368</v>
      </c>
      <c r="S42" s="92" t="s">
        <v>959</v>
      </c>
    </row>
    <row r="43" spans="1:19" x14ac:dyDescent="0.2">
      <c r="A43" s="92" t="s">
        <v>450</v>
      </c>
      <c r="B43" s="90">
        <v>6</v>
      </c>
      <c r="C43" s="90">
        <v>2</v>
      </c>
      <c r="D43" s="90">
        <v>4</v>
      </c>
      <c r="E43" s="90">
        <v>8</v>
      </c>
      <c r="F43" s="69">
        <v>11</v>
      </c>
      <c r="G43" s="69">
        <v>23</v>
      </c>
      <c r="H43" s="69">
        <v>4.2</v>
      </c>
      <c r="I43" s="70">
        <v>0.12</v>
      </c>
      <c r="J43" s="70">
        <v>0.3</v>
      </c>
      <c r="K43" s="69">
        <v>3.1</v>
      </c>
      <c r="L43" s="69">
        <v>0.7</v>
      </c>
      <c r="M43" s="69" t="s">
        <v>958</v>
      </c>
      <c r="N43" s="69">
        <v>2000</v>
      </c>
      <c r="O43" s="69" t="s">
        <v>585</v>
      </c>
      <c r="P43" s="69">
        <v>869438</v>
      </c>
      <c r="Q43" s="92" t="s">
        <v>133</v>
      </c>
      <c r="R43" s="92" t="s">
        <v>412</v>
      </c>
      <c r="S43" s="92" t="s">
        <v>959</v>
      </c>
    </row>
    <row r="44" spans="1:19" x14ac:dyDescent="0.2">
      <c r="A44" s="91" t="s">
        <v>746</v>
      </c>
      <c r="B44" s="90">
        <v>7</v>
      </c>
      <c r="C44" s="90">
        <v>3</v>
      </c>
      <c r="D44" s="90">
        <v>5</v>
      </c>
      <c r="E44" s="90">
        <v>9</v>
      </c>
      <c r="F44" s="69"/>
      <c r="G44" s="69"/>
      <c r="H44" s="69"/>
      <c r="I44" s="70">
        <v>0.13</v>
      </c>
      <c r="J44" s="70">
        <v>0.3</v>
      </c>
      <c r="K44" s="69"/>
      <c r="L44" s="69"/>
      <c r="M44" s="69" t="s">
        <v>958</v>
      </c>
      <c r="N44" s="69">
        <v>2012</v>
      </c>
      <c r="O44" s="69" t="s">
        <v>585</v>
      </c>
      <c r="P44" s="69">
        <v>265512</v>
      </c>
      <c r="Q44" s="92" t="s">
        <v>633</v>
      </c>
      <c r="R44" s="92" t="s">
        <v>412</v>
      </c>
      <c r="S44" s="92"/>
    </row>
    <row r="45" spans="1:19" x14ac:dyDescent="0.2">
      <c r="A45" s="92" t="s">
        <v>1049</v>
      </c>
      <c r="B45" s="90"/>
      <c r="C45" s="90">
        <v>0</v>
      </c>
      <c r="D45" s="90"/>
      <c r="E45" s="90"/>
      <c r="F45" s="69"/>
      <c r="G45" s="69"/>
      <c r="H45" s="69"/>
      <c r="I45" s="70">
        <v>0.13</v>
      </c>
      <c r="J45" s="70">
        <v>0.3</v>
      </c>
      <c r="K45" s="69"/>
      <c r="L45" s="69"/>
      <c r="M45" s="69" t="s">
        <v>958</v>
      </c>
      <c r="N45" s="69">
        <v>2014</v>
      </c>
      <c r="O45" s="69" t="s">
        <v>585</v>
      </c>
      <c r="P45" s="69">
        <v>838730</v>
      </c>
      <c r="Q45" s="92" t="s">
        <v>1035</v>
      </c>
      <c r="R45" s="92" t="s">
        <v>368</v>
      </c>
      <c r="S45" s="92"/>
    </row>
    <row r="46" spans="1:19" x14ac:dyDescent="0.2">
      <c r="A46" s="91" t="s">
        <v>311</v>
      </c>
      <c r="B46" s="90">
        <v>1</v>
      </c>
      <c r="C46" s="90">
        <v>0</v>
      </c>
      <c r="D46" s="90">
        <v>1</v>
      </c>
      <c r="E46" s="90">
        <v>1</v>
      </c>
      <c r="F46" s="69">
        <v>6</v>
      </c>
      <c r="G46" s="69">
        <v>9</v>
      </c>
      <c r="H46" s="69">
        <v>1.7</v>
      </c>
      <c r="I46" s="70">
        <v>0.13</v>
      </c>
      <c r="J46" s="70">
        <v>0.18</v>
      </c>
      <c r="K46" s="69">
        <v>0.2</v>
      </c>
      <c r="L46" s="69">
        <v>5</v>
      </c>
      <c r="M46" s="69" t="s">
        <v>958</v>
      </c>
      <c r="N46" s="69">
        <v>2006</v>
      </c>
      <c r="O46" s="69" t="s">
        <v>585</v>
      </c>
      <c r="P46" s="69">
        <v>418699</v>
      </c>
      <c r="Q46" s="92" t="s">
        <v>27</v>
      </c>
      <c r="R46" s="92" t="s">
        <v>368</v>
      </c>
      <c r="S46" s="92"/>
    </row>
    <row r="47" spans="1:19" x14ac:dyDescent="0.2">
      <c r="A47" s="92" t="s">
        <v>372</v>
      </c>
      <c r="B47" s="69">
        <v>0</v>
      </c>
      <c r="C47" s="69">
        <v>0</v>
      </c>
      <c r="D47" s="69">
        <v>0</v>
      </c>
      <c r="E47" s="69">
        <v>1</v>
      </c>
      <c r="F47" s="69">
        <v>4</v>
      </c>
      <c r="G47" s="69">
        <v>6</v>
      </c>
      <c r="H47" s="69">
        <v>1.2</v>
      </c>
      <c r="I47" s="70">
        <v>0.13</v>
      </c>
      <c r="J47" s="70">
        <v>0.4</v>
      </c>
      <c r="K47" s="69">
        <v>0.2</v>
      </c>
      <c r="L47" s="69">
        <v>-1.2</v>
      </c>
      <c r="M47" s="69" t="s">
        <v>958</v>
      </c>
      <c r="N47" s="69">
        <v>2000</v>
      </c>
      <c r="O47" s="69" t="s">
        <v>585</v>
      </c>
      <c r="P47" s="69">
        <v>188664</v>
      </c>
      <c r="Q47" s="92" t="s">
        <v>133</v>
      </c>
      <c r="R47" s="92" t="s">
        <v>368</v>
      </c>
      <c r="S47" s="92" t="s">
        <v>959</v>
      </c>
    </row>
    <row r="48" spans="1:19" x14ac:dyDescent="0.2">
      <c r="A48" s="91" t="s">
        <v>462</v>
      </c>
      <c r="B48" s="90">
        <v>6</v>
      </c>
      <c r="C48" s="90">
        <v>2</v>
      </c>
      <c r="D48" s="90">
        <v>4</v>
      </c>
      <c r="E48" s="90">
        <v>8</v>
      </c>
      <c r="F48" s="69">
        <v>11</v>
      </c>
      <c r="G48" s="69">
        <v>22</v>
      </c>
      <c r="H48" s="69">
        <v>4.0999999999999996</v>
      </c>
      <c r="I48" s="70">
        <v>0.13</v>
      </c>
      <c r="J48" s="70">
        <v>0.4</v>
      </c>
      <c r="K48" s="69">
        <v>3.1</v>
      </c>
      <c r="L48" s="69">
        <v>0.7</v>
      </c>
      <c r="M48" s="69" t="s">
        <v>958</v>
      </c>
      <c r="N48" s="69">
        <v>2000</v>
      </c>
      <c r="O48" s="69" t="s">
        <v>585</v>
      </c>
      <c r="P48" s="69">
        <v>761940</v>
      </c>
      <c r="Q48" s="92" t="s">
        <v>133</v>
      </c>
      <c r="R48" s="92" t="s">
        <v>412</v>
      </c>
      <c r="S48" s="92" t="s">
        <v>959</v>
      </c>
    </row>
    <row r="49" spans="1:19" x14ac:dyDescent="0.2">
      <c r="A49" s="92" t="s">
        <v>283</v>
      </c>
      <c r="B49" s="90">
        <v>1</v>
      </c>
      <c r="C49" s="90">
        <v>0</v>
      </c>
      <c r="D49" s="90">
        <v>1</v>
      </c>
      <c r="E49" s="90">
        <v>2</v>
      </c>
      <c r="F49" s="69">
        <v>8</v>
      </c>
      <c r="G49" s="69">
        <v>12</v>
      </c>
      <c r="H49" s="69">
        <v>2.4</v>
      </c>
      <c r="I49" s="70">
        <v>0.14000000000000001</v>
      </c>
      <c r="J49" s="70">
        <v>0.3</v>
      </c>
      <c r="K49" s="69">
        <v>0.3</v>
      </c>
      <c r="L49" s="69">
        <v>6.1</v>
      </c>
      <c r="M49" s="69" t="s">
        <v>958</v>
      </c>
      <c r="N49" s="69">
        <v>2000</v>
      </c>
      <c r="O49" s="69" t="s">
        <v>585</v>
      </c>
      <c r="P49" s="69">
        <v>214163</v>
      </c>
      <c r="Q49" s="92" t="s">
        <v>657</v>
      </c>
      <c r="R49" s="92" t="s">
        <v>368</v>
      </c>
      <c r="S49" s="92"/>
    </row>
    <row r="50" spans="1:19" x14ac:dyDescent="0.2">
      <c r="A50" s="92" t="s">
        <v>384</v>
      </c>
      <c r="B50" s="90">
        <v>5</v>
      </c>
      <c r="C50" s="90">
        <v>2</v>
      </c>
      <c r="D50" s="90">
        <v>4</v>
      </c>
      <c r="E50" s="90">
        <v>7</v>
      </c>
      <c r="F50" s="69">
        <v>12</v>
      </c>
      <c r="G50" s="69">
        <v>21</v>
      </c>
      <c r="H50" s="69">
        <v>3.8</v>
      </c>
      <c r="I50" s="70">
        <v>0.14000000000000001</v>
      </c>
      <c r="J50" s="70">
        <v>0.42</v>
      </c>
      <c r="K50" s="69">
        <v>2.2000000000000002</v>
      </c>
      <c r="L50" s="69">
        <v>1</v>
      </c>
      <c r="M50" s="69" t="s">
        <v>958</v>
      </c>
      <c r="N50" s="69">
        <v>2000</v>
      </c>
      <c r="O50" s="69" t="s">
        <v>585</v>
      </c>
      <c r="P50" s="69">
        <v>677534</v>
      </c>
      <c r="Q50" s="92" t="s">
        <v>133</v>
      </c>
      <c r="R50" s="92" t="s">
        <v>412</v>
      </c>
      <c r="S50" s="92"/>
    </row>
    <row r="51" spans="1:19" x14ac:dyDescent="0.2">
      <c r="A51" s="92" t="s">
        <v>836</v>
      </c>
      <c r="B51" s="90">
        <v>2</v>
      </c>
      <c r="C51" s="90">
        <v>1</v>
      </c>
      <c r="D51" s="90">
        <v>1</v>
      </c>
      <c r="E51" s="90">
        <v>3</v>
      </c>
      <c r="F51" s="69"/>
      <c r="G51" s="69"/>
      <c r="H51" s="69"/>
      <c r="I51" s="70">
        <v>0.14000000000000001</v>
      </c>
      <c r="J51" s="70">
        <v>0.41</v>
      </c>
      <c r="K51" s="69"/>
      <c r="L51" s="69"/>
      <c r="M51" s="69" t="s">
        <v>958</v>
      </c>
      <c r="N51" s="69">
        <v>2012</v>
      </c>
      <c r="O51" s="69" t="s">
        <v>585</v>
      </c>
      <c r="P51" s="69">
        <v>331686</v>
      </c>
      <c r="Q51" s="92" t="s">
        <v>622</v>
      </c>
      <c r="R51" s="92" t="s">
        <v>478</v>
      </c>
      <c r="S51" s="92" t="s">
        <v>959</v>
      </c>
    </row>
    <row r="52" spans="1:19" x14ac:dyDescent="0.2">
      <c r="A52" s="92" t="s">
        <v>81</v>
      </c>
      <c r="B52" s="90">
        <v>1</v>
      </c>
      <c r="C52" s="90">
        <v>0</v>
      </c>
      <c r="D52" s="90">
        <v>1</v>
      </c>
      <c r="E52" s="90">
        <v>1</v>
      </c>
      <c r="F52" s="69">
        <v>6</v>
      </c>
      <c r="G52" s="69">
        <v>8</v>
      </c>
      <c r="H52" s="69">
        <v>1.5</v>
      </c>
      <c r="I52" s="70">
        <v>0.15</v>
      </c>
      <c r="J52" s="70">
        <v>0.41</v>
      </c>
      <c r="K52" s="69">
        <v>0.2</v>
      </c>
      <c r="L52" s="69">
        <v>2.8</v>
      </c>
      <c r="M52" s="69" t="s">
        <v>958</v>
      </c>
      <c r="N52" s="69">
        <v>2000</v>
      </c>
      <c r="O52" s="69" t="s">
        <v>485</v>
      </c>
      <c r="P52" s="69">
        <v>718205</v>
      </c>
      <c r="Q52" s="92" t="s">
        <v>521</v>
      </c>
      <c r="R52" s="92" t="s">
        <v>368</v>
      </c>
      <c r="S52" s="92"/>
    </row>
    <row r="53" spans="1:19" x14ac:dyDescent="0.2">
      <c r="A53" s="91" t="s">
        <v>385</v>
      </c>
      <c r="B53" s="90">
        <v>0</v>
      </c>
      <c r="C53" s="90">
        <v>0</v>
      </c>
      <c r="D53" s="90">
        <v>0</v>
      </c>
      <c r="E53" s="90">
        <v>1</v>
      </c>
      <c r="F53" s="69">
        <v>4</v>
      </c>
      <c r="G53" s="69">
        <v>6</v>
      </c>
      <c r="H53" s="69">
        <v>1.2</v>
      </c>
      <c r="I53" s="70">
        <v>0.15</v>
      </c>
      <c r="J53" s="70">
        <v>0.52</v>
      </c>
      <c r="K53" s="69">
        <v>0.2</v>
      </c>
      <c r="L53" s="69">
        <v>-2</v>
      </c>
      <c r="M53" s="69" t="s">
        <v>958</v>
      </c>
      <c r="N53" s="69">
        <v>2000</v>
      </c>
      <c r="O53" s="69" t="s">
        <v>585</v>
      </c>
      <c r="P53" s="69">
        <v>717611</v>
      </c>
      <c r="Q53" s="92" t="s">
        <v>133</v>
      </c>
      <c r="R53" s="92" t="s">
        <v>368</v>
      </c>
      <c r="S53" s="92"/>
    </row>
    <row r="54" spans="1:19" x14ac:dyDescent="0.2">
      <c r="A54" s="91" t="s">
        <v>467</v>
      </c>
      <c r="B54" s="90">
        <v>8</v>
      </c>
      <c r="C54" s="90">
        <v>4</v>
      </c>
      <c r="D54" s="90">
        <v>7</v>
      </c>
      <c r="E54" s="90">
        <v>7</v>
      </c>
      <c r="F54" s="69">
        <v>6</v>
      </c>
      <c r="G54" s="69">
        <v>20</v>
      </c>
      <c r="H54" s="69">
        <v>3.7</v>
      </c>
      <c r="I54" s="70">
        <v>0.15</v>
      </c>
      <c r="J54" s="70">
        <v>0.26</v>
      </c>
      <c r="K54" s="69">
        <v>3.9</v>
      </c>
      <c r="L54" s="69">
        <v>0.2</v>
      </c>
      <c r="M54" s="69" t="s">
        <v>958</v>
      </c>
      <c r="N54" s="69">
        <v>2003</v>
      </c>
      <c r="O54" s="69" t="s">
        <v>585</v>
      </c>
      <c r="P54" s="69">
        <v>787382</v>
      </c>
      <c r="Q54" s="92" t="s">
        <v>528</v>
      </c>
      <c r="R54" s="92" t="s">
        <v>465</v>
      </c>
      <c r="S54" s="92"/>
    </row>
    <row r="55" spans="1:19" x14ac:dyDescent="0.2">
      <c r="A55" s="91" t="s">
        <v>411</v>
      </c>
      <c r="B55" s="90">
        <v>1</v>
      </c>
      <c r="C55" s="90">
        <v>0</v>
      </c>
      <c r="D55" s="90">
        <v>1</v>
      </c>
      <c r="E55" s="90">
        <v>2</v>
      </c>
      <c r="F55" s="69">
        <v>9</v>
      </c>
      <c r="G55" s="69">
        <v>12</v>
      </c>
      <c r="H55" s="69">
        <v>2.2999999999999998</v>
      </c>
      <c r="I55" s="70">
        <v>0.15</v>
      </c>
      <c r="J55" s="70">
        <v>0.3</v>
      </c>
      <c r="K55" s="69">
        <v>0.3</v>
      </c>
      <c r="L55" s="69">
        <v>5.0999999999999996</v>
      </c>
      <c r="M55" s="69" t="s">
        <v>958</v>
      </c>
      <c r="N55" s="69">
        <v>2001</v>
      </c>
      <c r="O55" s="69" t="s">
        <v>585</v>
      </c>
      <c r="P55" s="69">
        <v>478313</v>
      </c>
      <c r="Q55" s="92" t="s">
        <v>542</v>
      </c>
      <c r="R55" s="92" t="s">
        <v>368</v>
      </c>
      <c r="S55" s="92"/>
    </row>
    <row r="56" spans="1:19" x14ac:dyDescent="0.2">
      <c r="A56" s="92" t="s">
        <v>371</v>
      </c>
      <c r="B56" s="90">
        <v>1</v>
      </c>
      <c r="C56" s="90">
        <v>0</v>
      </c>
      <c r="D56" s="90">
        <v>1</v>
      </c>
      <c r="E56" s="90">
        <v>1</v>
      </c>
      <c r="F56" s="69">
        <v>5</v>
      </c>
      <c r="G56" s="69">
        <v>8</v>
      </c>
      <c r="H56" s="69">
        <v>1.6</v>
      </c>
      <c r="I56" s="70">
        <v>0.16</v>
      </c>
      <c r="J56" s="70">
        <v>0.5</v>
      </c>
      <c r="K56" s="69">
        <v>0.2</v>
      </c>
      <c r="L56" s="69">
        <v>2.2999999999999998</v>
      </c>
      <c r="M56" s="69" t="s">
        <v>958</v>
      </c>
      <c r="N56" s="69">
        <v>2001</v>
      </c>
      <c r="O56" s="69" t="s">
        <v>585</v>
      </c>
      <c r="P56" s="69">
        <v>613133</v>
      </c>
      <c r="Q56" s="92" t="s">
        <v>1084</v>
      </c>
      <c r="R56" s="92" t="s">
        <v>368</v>
      </c>
      <c r="S56" s="92"/>
    </row>
    <row r="57" spans="1:19" x14ac:dyDescent="0.2">
      <c r="A57" s="92" t="s">
        <v>284</v>
      </c>
      <c r="B57" s="69">
        <v>7</v>
      </c>
      <c r="C57" s="69">
        <v>3</v>
      </c>
      <c r="D57" s="69">
        <v>5</v>
      </c>
      <c r="E57" s="69">
        <v>8</v>
      </c>
      <c r="F57" s="69">
        <v>12</v>
      </c>
      <c r="G57" s="69">
        <v>26</v>
      </c>
      <c r="H57" s="69">
        <v>4.7</v>
      </c>
      <c r="I57" s="70">
        <v>0.16</v>
      </c>
      <c r="J57" s="70">
        <v>0.4</v>
      </c>
      <c r="K57" s="69">
        <v>3.6</v>
      </c>
      <c r="L57" s="69">
        <v>0.7</v>
      </c>
      <c r="M57" s="69" t="s">
        <v>958</v>
      </c>
      <c r="N57" s="69">
        <v>2000</v>
      </c>
      <c r="O57" s="69" t="s">
        <v>585</v>
      </c>
      <c r="P57" s="69">
        <v>178335</v>
      </c>
      <c r="Q57" s="92" t="s">
        <v>657</v>
      </c>
      <c r="R57" s="92" t="s">
        <v>412</v>
      </c>
      <c r="S57" s="92"/>
    </row>
    <row r="58" spans="1:19" x14ac:dyDescent="0.2">
      <c r="A58" s="92" t="s">
        <v>933</v>
      </c>
      <c r="B58" s="69">
        <v>1</v>
      </c>
      <c r="C58" s="69">
        <v>0</v>
      </c>
      <c r="D58" s="69">
        <v>1</v>
      </c>
      <c r="E58" s="69">
        <v>2</v>
      </c>
      <c r="F58" s="69"/>
      <c r="G58" s="69"/>
      <c r="H58" s="69"/>
      <c r="I58" s="70">
        <v>0.16</v>
      </c>
      <c r="J58" s="70">
        <v>0.3</v>
      </c>
      <c r="K58" s="69"/>
      <c r="L58" s="69"/>
      <c r="M58" s="69" t="s">
        <v>958</v>
      </c>
      <c r="N58" s="69">
        <v>2013</v>
      </c>
      <c r="O58" s="69" t="s">
        <v>485</v>
      </c>
      <c r="P58" s="69">
        <v>574582</v>
      </c>
      <c r="Q58" s="92" t="s">
        <v>596</v>
      </c>
      <c r="R58" s="92" t="s">
        <v>478</v>
      </c>
      <c r="S58" s="92"/>
    </row>
    <row r="59" spans="1:19" x14ac:dyDescent="0.2">
      <c r="A59" s="92" t="s">
        <v>1104</v>
      </c>
      <c r="B59" s="90">
        <v>1</v>
      </c>
      <c r="C59" s="90">
        <v>0</v>
      </c>
      <c r="D59" s="90">
        <v>1</v>
      </c>
      <c r="E59" s="90">
        <v>2</v>
      </c>
      <c r="F59" s="69">
        <v>8</v>
      </c>
      <c r="G59" s="69">
        <v>11</v>
      </c>
      <c r="H59" s="69">
        <v>2.2000000000000002</v>
      </c>
      <c r="I59" s="70">
        <v>0.16</v>
      </c>
      <c r="J59" s="70">
        <v>0.3</v>
      </c>
      <c r="K59" s="69">
        <v>0.3</v>
      </c>
      <c r="L59" s="69">
        <v>4.0999999999999996</v>
      </c>
      <c r="M59" s="69" t="s">
        <v>958</v>
      </c>
      <c r="N59" s="69">
        <v>2000</v>
      </c>
      <c r="O59" s="69" t="s">
        <v>585</v>
      </c>
      <c r="P59" s="69">
        <v>865774</v>
      </c>
      <c r="Q59" s="92" t="s">
        <v>323</v>
      </c>
      <c r="R59" s="92" t="s">
        <v>368</v>
      </c>
      <c r="S59" s="92"/>
    </row>
    <row r="60" spans="1:19" x14ac:dyDescent="0.2">
      <c r="A60" s="92" t="s">
        <v>643</v>
      </c>
      <c r="B60" s="69">
        <v>14</v>
      </c>
      <c r="C60" s="69">
        <v>5</v>
      </c>
      <c r="D60" s="69">
        <v>10</v>
      </c>
      <c r="E60" s="69">
        <v>19</v>
      </c>
      <c r="F60" s="69">
        <v>25</v>
      </c>
      <c r="G60" s="69">
        <v>20</v>
      </c>
      <c r="H60" s="69">
        <v>3.7</v>
      </c>
      <c r="I60" s="70">
        <v>0.16</v>
      </c>
      <c r="J60" s="70">
        <v>0.28000000000000003</v>
      </c>
      <c r="K60" s="69">
        <v>6.5</v>
      </c>
      <c r="L60" s="69">
        <v>0.9</v>
      </c>
      <c r="M60" s="69" t="s">
        <v>960</v>
      </c>
      <c r="N60" s="69">
        <v>2000</v>
      </c>
      <c r="O60" s="69" t="s">
        <v>485</v>
      </c>
      <c r="P60" s="69">
        <v>443721</v>
      </c>
      <c r="Q60" s="92" t="s">
        <v>71</v>
      </c>
      <c r="R60" s="92" t="s">
        <v>469</v>
      </c>
      <c r="S60" s="92"/>
    </row>
    <row r="61" spans="1:19" x14ac:dyDescent="0.2">
      <c r="A61" s="92" t="s">
        <v>732</v>
      </c>
      <c r="B61" s="69">
        <v>9</v>
      </c>
      <c r="C61" s="69">
        <v>8</v>
      </c>
      <c r="D61" s="69">
        <v>14</v>
      </c>
      <c r="E61" s="69">
        <v>13</v>
      </c>
      <c r="F61" s="69">
        <v>35</v>
      </c>
      <c r="G61" s="69">
        <v>13</v>
      </c>
      <c r="H61" s="69">
        <v>2.5</v>
      </c>
      <c r="I61" s="70">
        <v>0.16</v>
      </c>
      <c r="J61" s="70">
        <v>0.21</v>
      </c>
      <c r="K61" s="69">
        <v>11.4</v>
      </c>
      <c r="L61" s="69">
        <v>0.8</v>
      </c>
      <c r="M61" s="69" t="s">
        <v>958</v>
      </c>
      <c r="N61" s="69">
        <v>2000</v>
      </c>
      <c r="O61" s="69" t="s">
        <v>585</v>
      </c>
      <c r="P61" s="69">
        <v>176503</v>
      </c>
      <c r="Q61" s="92" t="s">
        <v>622</v>
      </c>
      <c r="R61" s="92" t="s">
        <v>170</v>
      </c>
      <c r="S61" s="92" t="s">
        <v>959</v>
      </c>
    </row>
    <row r="62" spans="1:19" x14ac:dyDescent="0.2">
      <c r="A62" s="92" t="s">
        <v>558</v>
      </c>
      <c r="B62" s="69">
        <v>10</v>
      </c>
      <c r="C62" s="69">
        <v>0</v>
      </c>
      <c r="D62" s="69">
        <v>6</v>
      </c>
      <c r="E62" s="69">
        <v>18</v>
      </c>
      <c r="F62" s="69">
        <v>71</v>
      </c>
      <c r="G62" s="69">
        <v>91</v>
      </c>
      <c r="H62" s="69">
        <v>13.8</v>
      </c>
      <c r="I62" s="70">
        <v>0.16</v>
      </c>
      <c r="J62" s="70">
        <v>0.21</v>
      </c>
      <c r="K62" s="69">
        <v>13.1</v>
      </c>
      <c r="L62" s="69">
        <v>1.2</v>
      </c>
      <c r="M62" s="69" t="s">
        <v>958</v>
      </c>
      <c r="N62" s="69">
        <v>2000</v>
      </c>
      <c r="O62" s="69" t="s">
        <v>585</v>
      </c>
      <c r="P62" s="69">
        <v>212332</v>
      </c>
      <c r="Q62" s="92" t="s">
        <v>622</v>
      </c>
      <c r="R62" s="92" t="s">
        <v>562</v>
      </c>
      <c r="S62" s="92" t="s">
        <v>959</v>
      </c>
    </row>
    <row r="63" spans="1:19" x14ac:dyDescent="0.2">
      <c r="A63" s="92" t="s">
        <v>733</v>
      </c>
      <c r="B63" s="69">
        <v>20</v>
      </c>
      <c r="C63" s="69">
        <v>10</v>
      </c>
      <c r="D63" s="69">
        <v>18</v>
      </c>
      <c r="E63" s="69">
        <v>31</v>
      </c>
      <c r="F63" s="69">
        <v>94</v>
      </c>
      <c r="G63" s="69">
        <v>109</v>
      </c>
      <c r="H63" s="69">
        <v>15.9</v>
      </c>
      <c r="I63" s="70">
        <v>0.16</v>
      </c>
      <c r="J63" s="70">
        <v>0.21</v>
      </c>
      <c r="K63" s="69">
        <v>7.7</v>
      </c>
      <c r="L63" s="69">
        <v>2.6</v>
      </c>
      <c r="M63" s="69" t="s">
        <v>958</v>
      </c>
      <c r="N63" s="69">
        <v>2000</v>
      </c>
      <c r="O63" s="69" t="s">
        <v>585</v>
      </c>
      <c r="P63" s="69">
        <v>248161</v>
      </c>
      <c r="Q63" s="92" t="s">
        <v>622</v>
      </c>
      <c r="R63" s="92" t="s">
        <v>72</v>
      </c>
      <c r="S63" s="92" t="s">
        <v>959</v>
      </c>
    </row>
    <row r="64" spans="1:19" x14ac:dyDescent="0.2">
      <c r="A64" s="92" t="s">
        <v>731</v>
      </c>
      <c r="B64" s="90">
        <v>12</v>
      </c>
      <c r="C64" s="90">
        <v>3</v>
      </c>
      <c r="D64" s="90">
        <v>9</v>
      </c>
      <c r="E64" s="90">
        <v>24</v>
      </c>
      <c r="F64" s="69">
        <v>60</v>
      </c>
      <c r="G64" s="69">
        <v>45</v>
      </c>
      <c r="H64" s="69">
        <v>7.7</v>
      </c>
      <c r="I64" s="70">
        <v>0.16</v>
      </c>
      <c r="J64" s="70">
        <v>0.21</v>
      </c>
      <c r="K64" s="69">
        <v>9.4</v>
      </c>
      <c r="L64" s="69">
        <v>1.4</v>
      </c>
      <c r="M64" s="69" t="s">
        <v>958</v>
      </c>
      <c r="N64" s="69">
        <v>2000</v>
      </c>
      <c r="O64" s="69" t="s">
        <v>585</v>
      </c>
      <c r="P64" s="69">
        <v>140673</v>
      </c>
      <c r="Q64" s="92" t="s">
        <v>622</v>
      </c>
      <c r="R64" s="92" t="s">
        <v>67</v>
      </c>
      <c r="S64" s="92" t="s">
        <v>959</v>
      </c>
    </row>
    <row r="65" spans="1:19" x14ac:dyDescent="0.2">
      <c r="A65" s="92" t="s">
        <v>893</v>
      </c>
      <c r="B65" s="69">
        <v>5</v>
      </c>
      <c r="C65" s="69">
        <v>2</v>
      </c>
      <c r="D65" s="69">
        <v>4</v>
      </c>
      <c r="E65" s="69">
        <v>7</v>
      </c>
      <c r="F65" s="69">
        <v>11</v>
      </c>
      <c r="G65" s="69">
        <v>19</v>
      </c>
      <c r="H65" s="69">
        <v>3.6</v>
      </c>
      <c r="I65" s="70">
        <v>0.17</v>
      </c>
      <c r="J65" s="70">
        <v>0.51</v>
      </c>
      <c r="K65" s="69">
        <v>2.5</v>
      </c>
      <c r="L65" s="69">
        <v>0.8</v>
      </c>
      <c r="M65" s="69" t="s">
        <v>958</v>
      </c>
      <c r="N65" s="69">
        <v>2001</v>
      </c>
      <c r="O65" s="69" t="s">
        <v>585</v>
      </c>
      <c r="P65" s="69">
        <v>242081</v>
      </c>
      <c r="Q65" s="92" t="s">
        <v>1035</v>
      </c>
      <c r="R65" s="92" t="s">
        <v>412</v>
      </c>
      <c r="S65" s="92"/>
    </row>
    <row r="66" spans="1:19" x14ac:dyDescent="0.2">
      <c r="A66" s="92" t="s">
        <v>831</v>
      </c>
      <c r="B66" s="90">
        <v>18</v>
      </c>
      <c r="C66" s="90">
        <v>9</v>
      </c>
      <c r="D66" s="90">
        <v>17</v>
      </c>
      <c r="E66" s="90">
        <v>27</v>
      </c>
      <c r="F66" s="69">
        <v>65</v>
      </c>
      <c r="G66" s="69">
        <v>59</v>
      </c>
      <c r="H66" s="69">
        <v>9.6999999999999993</v>
      </c>
      <c r="I66" s="70">
        <v>0.17</v>
      </c>
      <c r="J66" s="70">
        <v>0.31</v>
      </c>
      <c r="K66" s="69">
        <v>7.2</v>
      </c>
      <c r="L66" s="69">
        <v>2</v>
      </c>
      <c r="M66" s="69" t="s">
        <v>958</v>
      </c>
      <c r="N66" s="69">
        <v>2010</v>
      </c>
      <c r="O66" s="69" t="s">
        <v>585</v>
      </c>
      <c r="P66" s="69">
        <v>407064</v>
      </c>
      <c r="Q66" s="92" t="s">
        <v>622</v>
      </c>
      <c r="R66" s="92" t="s">
        <v>109</v>
      </c>
      <c r="S66" s="92" t="s">
        <v>959</v>
      </c>
    </row>
    <row r="67" spans="1:19" x14ac:dyDescent="0.2">
      <c r="A67" s="92" t="s">
        <v>383</v>
      </c>
      <c r="B67" s="69">
        <v>7</v>
      </c>
      <c r="C67" s="69">
        <v>4</v>
      </c>
      <c r="D67" s="69">
        <v>6</v>
      </c>
      <c r="E67" s="69">
        <v>7</v>
      </c>
      <c r="F67" s="69">
        <v>5</v>
      </c>
      <c r="G67" s="69">
        <v>19</v>
      </c>
      <c r="H67" s="69">
        <v>3.6</v>
      </c>
      <c r="I67" s="70">
        <v>0.17</v>
      </c>
      <c r="J67" s="70">
        <v>0.72</v>
      </c>
      <c r="K67" s="69">
        <v>3.9</v>
      </c>
      <c r="L67" s="69">
        <v>0.1</v>
      </c>
      <c r="M67" s="69" t="s">
        <v>958</v>
      </c>
      <c r="N67" s="69">
        <v>2003</v>
      </c>
      <c r="O67" s="69" t="s">
        <v>585</v>
      </c>
      <c r="P67" s="69">
        <v>666552</v>
      </c>
      <c r="Q67" s="92" t="s">
        <v>133</v>
      </c>
      <c r="R67" s="92" t="s">
        <v>465</v>
      </c>
      <c r="S67" s="92"/>
    </row>
    <row r="68" spans="1:19" x14ac:dyDescent="0.2">
      <c r="A68" s="92" t="s">
        <v>961</v>
      </c>
      <c r="B68" s="69">
        <v>5</v>
      </c>
      <c r="C68" s="69">
        <v>2</v>
      </c>
      <c r="D68" s="69">
        <v>3</v>
      </c>
      <c r="E68" s="69">
        <v>6</v>
      </c>
      <c r="F68" s="69">
        <v>7</v>
      </c>
      <c r="G68" s="69">
        <v>15</v>
      </c>
      <c r="H68" s="69">
        <v>2.9</v>
      </c>
      <c r="I68" s="70">
        <v>0.17</v>
      </c>
      <c r="J68" s="70">
        <v>0.51</v>
      </c>
      <c r="K68" s="69">
        <v>2.6</v>
      </c>
      <c r="L68" s="69">
        <v>0.3</v>
      </c>
      <c r="M68" s="69" t="s">
        <v>958</v>
      </c>
      <c r="N68" s="69">
        <v>2013</v>
      </c>
      <c r="O68" s="69" t="s">
        <v>585</v>
      </c>
      <c r="P68" s="69">
        <v>623165</v>
      </c>
      <c r="Q68" s="92" t="s">
        <v>1035</v>
      </c>
      <c r="R68" s="92" t="s">
        <v>412</v>
      </c>
      <c r="S68" s="92"/>
    </row>
    <row r="69" spans="1:19" x14ac:dyDescent="0.2">
      <c r="A69" s="92" t="s">
        <v>860</v>
      </c>
      <c r="B69" s="69">
        <v>13</v>
      </c>
      <c r="C69" s="69">
        <v>4</v>
      </c>
      <c r="D69" s="69">
        <v>10</v>
      </c>
      <c r="E69" s="69">
        <v>25</v>
      </c>
      <c r="F69" s="69">
        <v>73</v>
      </c>
      <c r="G69" s="69">
        <v>51</v>
      </c>
      <c r="H69" s="69">
        <v>8.5</v>
      </c>
      <c r="I69" s="70">
        <v>0.18</v>
      </c>
      <c r="J69" s="70">
        <v>0.4</v>
      </c>
      <c r="K69" s="69">
        <v>11.5</v>
      </c>
      <c r="L69" s="69">
        <v>1.4</v>
      </c>
      <c r="M69" s="69" t="s">
        <v>958</v>
      </c>
      <c r="N69" s="69">
        <v>2000</v>
      </c>
      <c r="O69" s="69" t="s">
        <v>585</v>
      </c>
      <c r="P69" s="69">
        <v>538462</v>
      </c>
      <c r="Q69" s="92" t="s">
        <v>633</v>
      </c>
      <c r="R69" s="92" t="s">
        <v>38</v>
      </c>
      <c r="S69" s="92"/>
    </row>
    <row r="70" spans="1:19" x14ac:dyDescent="0.2">
      <c r="A70" s="92" t="s">
        <v>1008</v>
      </c>
      <c r="B70" s="69">
        <v>1</v>
      </c>
      <c r="C70" s="69">
        <v>0</v>
      </c>
      <c r="D70" s="69">
        <v>0</v>
      </c>
      <c r="E70" s="69">
        <v>1</v>
      </c>
      <c r="F70" s="69">
        <v>4</v>
      </c>
      <c r="G70" s="69">
        <v>6</v>
      </c>
      <c r="H70" s="69">
        <v>1.2</v>
      </c>
      <c r="I70" s="70">
        <v>0.18</v>
      </c>
      <c r="J70" s="70">
        <v>0.4</v>
      </c>
      <c r="K70" s="69">
        <v>0.2</v>
      </c>
      <c r="L70" s="69">
        <v>-1.1000000000000001</v>
      </c>
      <c r="M70" s="69" t="s">
        <v>958</v>
      </c>
      <c r="N70" s="69">
        <v>2002</v>
      </c>
      <c r="O70" s="69" t="s">
        <v>585</v>
      </c>
      <c r="P70" s="69">
        <v>843284</v>
      </c>
      <c r="Q70" s="92" t="s">
        <v>616</v>
      </c>
      <c r="R70" s="92" t="s">
        <v>368</v>
      </c>
      <c r="S70" s="92"/>
    </row>
    <row r="71" spans="1:19" x14ac:dyDescent="0.2">
      <c r="A71" s="92" t="s">
        <v>747</v>
      </c>
      <c r="B71" s="90">
        <v>13</v>
      </c>
      <c r="C71" s="90">
        <v>5</v>
      </c>
      <c r="D71" s="90">
        <v>12</v>
      </c>
      <c r="E71" s="90">
        <v>23</v>
      </c>
      <c r="F71" s="69"/>
      <c r="G71" s="69"/>
      <c r="H71" s="69"/>
      <c r="I71" s="70">
        <v>0.18</v>
      </c>
      <c r="J71" s="70">
        <v>0.4</v>
      </c>
      <c r="K71" s="69"/>
      <c r="L71" s="69"/>
      <c r="M71" s="69" t="s">
        <v>958</v>
      </c>
      <c r="N71" s="69">
        <v>2012</v>
      </c>
      <c r="O71" s="69" t="s">
        <v>585</v>
      </c>
      <c r="P71" s="69">
        <v>229682</v>
      </c>
      <c r="Q71" s="92" t="s">
        <v>633</v>
      </c>
      <c r="R71" s="92" t="s">
        <v>109</v>
      </c>
      <c r="S71" s="92"/>
    </row>
    <row r="72" spans="1:19" x14ac:dyDescent="0.2">
      <c r="A72" s="92" t="s">
        <v>641</v>
      </c>
      <c r="B72" s="69">
        <v>19</v>
      </c>
      <c r="C72" s="69">
        <v>10</v>
      </c>
      <c r="D72" s="69">
        <v>18</v>
      </c>
      <c r="E72" s="69">
        <v>30</v>
      </c>
      <c r="F72" s="69">
        <v>91</v>
      </c>
      <c r="G72" s="69">
        <v>86</v>
      </c>
      <c r="H72" s="69">
        <v>13.2</v>
      </c>
      <c r="I72" s="70">
        <v>0.18</v>
      </c>
      <c r="J72" s="70">
        <v>0.4</v>
      </c>
      <c r="K72" s="69">
        <v>8</v>
      </c>
      <c r="L72" s="69">
        <v>2.4</v>
      </c>
      <c r="M72" s="69" t="s">
        <v>958</v>
      </c>
      <c r="N72" s="69">
        <v>2007</v>
      </c>
      <c r="O72" s="69" t="s">
        <v>585</v>
      </c>
      <c r="P72" s="69">
        <v>520692</v>
      </c>
      <c r="Q72" s="92" t="s">
        <v>633</v>
      </c>
      <c r="R72" s="92" t="s">
        <v>72</v>
      </c>
      <c r="S72" s="92"/>
    </row>
    <row r="73" spans="1:19" x14ac:dyDescent="0.2">
      <c r="A73" s="92" t="s">
        <v>639</v>
      </c>
      <c r="B73" s="90">
        <v>10</v>
      </c>
      <c r="C73" s="90">
        <v>0</v>
      </c>
      <c r="D73" s="90">
        <v>7</v>
      </c>
      <c r="E73" s="90">
        <v>19</v>
      </c>
      <c r="F73" s="69">
        <v>72</v>
      </c>
      <c r="G73" s="69">
        <v>96</v>
      </c>
      <c r="H73" s="69">
        <v>14.4</v>
      </c>
      <c r="I73" s="70">
        <v>0.18</v>
      </c>
      <c r="J73" s="70">
        <v>0.4</v>
      </c>
      <c r="K73" s="69">
        <v>13</v>
      </c>
      <c r="L73" s="69">
        <v>1.2</v>
      </c>
      <c r="M73" s="69" t="s">
        <v>958</v>
      </c>
      <c r="N73" s="69">
        <v>2000</v>
      </c>
      <c r="O73" s="69" t="s">
        <v>585</v>
      </c>
      <c r="P73" s="69">
        <v>681783</v>
      </c>
      <c r="Q73" s="92" t="s">
        <v>633</v>
      </c>
      <c r="R73" s="92" t="s">
        <v>515</v>
      </c>
      <c r="S73" s="92"/>
    </row>
    <row r="74" spans="1:19" x14ac:dyDescent="0.2">
      <c r="A74" s="92" t="s">
        <v>638</v>
      </c>
      <c r="B74" s="69">
        <v>13</v>
      </c>
      <c r="C74" s="69">
        <v>4</v>
      </c>
      <c r="D74" s="69">
        <v>11</v>
      </c>
      <c r="E74" s="69">
        <v>22</v>
      </c>
      <c r="F74" s="69">
        <v>70</v>
      </c>
      <c r="G74" s="69">
        <v>79</v>
      </c>
      <c r="H74" s="69">
        <v>12.3</v>
      </c>
      <c r="I74" s="70">
        <v>0.18</v>
      </c>
      <c r="J74" s="70">
        <v>0.4</v>
      </c>
      <c r="K74" s="69">
        <v>10.1</v>
      </c>
      <c r="L74" s="69">
        <v>1.5</v>
      </c>
      <c r="M74" s="69" t="s">
        <v>958</v>
      </c>
      <c r="N74" s="69">
        <v>2000</v>
      </c>
      <c r="O74" s="69" t="s">
        <v>585</v>
      </c>
      <c r="P74" s="69">
        <v>645952</v>
      </c>
      <c r="Q74" s="92" t="s">
        <v>633</v>
      </c>
      <c r="R74" s="92" t="s">
        <v>565</v>
      </c>
      <c r="S74" s="92"/>
    </row>
    <row r="75" spans="1:19" x14ac:dyDescent="0.2">
      <c r="A75" s="92" t="s">
        <v>637</v>
      </c>
      <c r="B75" s="69">
        <v>10</v>
      </c>
      <c r="C75" s="69">
        <v>3</v>
      </c>
      <c r="D75" s="69">
        <v>8</v>
      </c>
      <c r="E75" s="69">
        <v>16</v>
      </c>
      <c r="F75" s="69">
        <v>47</v>
      </c>
      <c r="G75" s="69">
        <v>65</v>
      </c>
      <c r="H75" s="69">
        <v>10.5</v>
      </c>
      <c r="I75" s="70">
        <v>0.18</v>
      </c>
      <c r="J75" s="70">
        <v>0.4</v>
      </c>
      <c r="K75" s="69">
        <v>5.9</v>
      </c>
      <c r="L75" s="69">
        <v>1.8</v>
      </c>
      <c r="M75" s="69" t="s">
        <v>958</v>
      </c>
      <c r="N75" s="69">
        <v>2000</v>
      </c>
      <c r="O75" s="69" t="s">
        <v>585</v>
      </c>
      <c r="P75" s="69">
        <v>610121</v>
      </c>
      <c r="Q75" s="92" t="s">
        <v>633</v>
      </c>
      <c r="R75" s="92" t="s">
        <v>219</v>
      </c>
      <c r="S75" s="92"/>
    </row>
    <row r="76" spans="1:19" x14ac:dyDescent="0.2">
      <c r="A76" s="92" t="s">
        <v>22</v>
      </c>
      <c r="B76" s="69">
        <v>1</v>
      </c>
      <c r="C76" s="69">
        <v>0</v>
      </c>
      <c r="D76" s="69">
        <v>0</v>
      </c>
      <c r="E76" s="69">
        <v>1</v>
      </c>
      <c r="F76" s="69">
        <v>4</v>
      </c>
      <c r="G76" s="69">
        <v>5</v>
      </c>
      <c r="H76" s="69">
        <v>1</v>
      </c>
      <c r="I76" s="70">
        <v>0.18</v>
      </c>
      <c r="J76" s="70">
        <v>0.35</v>
      </c>
      <c r="K76" s="69">
        <v>0.2</v>
      </c>
      <c r="L76" s="69">
        <v>-1.5</v>
      </c>
      <c r="M76" s="69" t="s">
        <v>958</v>
      </c>
      <c r="N76" s="69">
        <v>2000</v>
      </c>
      <c r="O76" s="69" t="s">
        <v>585</v>
      </c>
      <c r="P76" s="69">
        <v>361733</v>
      </c>
      <c r="Q76" s="92" t="s">
        <v>649</v>
      </c>
      <c r="R76" s="92" t="s">
        <v>368</v>
      </c>
      <c r="S76" s="92"/>
    </row>
    <row r="77" spans="1:19" x14ac:dyDescent="0.2">
      <c r="A77" s="92" t="s">
        <v>1051</v>
      </c>
      <c r="B77" s="90">
        <v>1</v>
      </c>
      <c r="C77" s="90">
        <v>0</v>
      </c>
      <c r="D77" s="90">
        <v>0</v>
      </c>
      <c r="E77" s="90">
        <v>1</v>
      </c>
      <c r="F77" s="69">
        <v>6</v>
      </c>
      <c r="G77" s="69">
        <v>9</v>
      </c>
      <c r="H77" s="69">
        <v>1.7</v>
      </c>
      <c r="I77" s="70">
        <v>0.18</v>
      </c>
      <c r="J77" s="70">
        <v>0.5</v>
      </c>
      <c r="K77" s="69">
        <v>0.3</v>
      </c>
      <c r="L77" s="69">
        <v>1.8</v>
      </c>
      <c r="M77" s="69" t="s">
        <v>958</v>
      </c>
      <c r="N77" s="69">
        <v>2005</v>
      </c>
      <c r="O77" s="69" t="s">
        <v>485</v>
      </c>
      <c r="P77" s="69">
        <v>815894</v>
      </c>
      <c r="Q77" s="92" t="s">
        <v>594</v>
      </c>
      <c r="R77" s="92" t="s">
        <v>368</v>
      </c>
      <c r="S77" s="92"/>
    </row>
    <row r="78" spans="1:19" x14ac:dyDescent="0.2">
      <c r="A78" s="92" t="s">
        <v>1052</v>
      </c>
      <c r="B78" s="69">
        <v>3</v>
      </c>
      <c r="C78" s="69">
        <v>1</v>
      </c>
      <c r="D78" s="69">
        <v>2</v>
      </c>
      <c r="E78" s="69">
        <v>5</v>
      </c>
      <c r="F78" s="69">
        <v>11</v>
      </c>
      <c r="G78" s="69">
        <v>19</v>
      </c>
      <c r="H78" s="69">
        <v>3.5</v>
      </c>
      <c r="I78" s="70">
        <v>0.18</v>
      </c>
      <c r="J78" s="70">
        <v>0.5</v>
      </c>
      <c r="K78" s="69">
        <v>1.3</v>
      </c>
      <c r="L78" s="69">
        <v>1.5</v>
      </c>
      <c r="M78" s="69" t="s">
        <v>958</v>
      </c>
      <c r="N78" s="69">
        <v>2010</v>
      </c>
      <c r="O78" s="69" t="s">
        <v>485</v>
      </c>
      <c r="P78" s="69">
        <v>756866</v>
      </c>
      <c r="Q78" s="92" t="s">
        <v>594</v>
      </c>
      <c r="R78" s="92" t="s">
        <v>412</v>
      </c>
      <c r="S78" s="92"/>
    </row>
    <row r="79" spans="1:19" x14ac:dyDescent="0.2">
      <c r="A79" s="92" t="s">
        <v>696</v>
      </c>
      <c r="B79" s="90">
        <v>1</v>
      </c>
      <c r="C79" s="90">
        <v>0</v>
      </c>
      <c r="D79" s="90">
        <v>1</v>
      </c>
      <c r="E79" s="90">
        <v>1</v>
      </c>
      <c r="F79" s="69">
        <v>4</v>
      </c>
      <c r="G79" s="69">
        <v>6</v>
      </c>
      <c r="H79" s="69">
        <v>1.1000000000000001</v>
      </c>
      <c r="I79" s="70">
        <v>0.18</v>
      </c>
      <c r="J79" s="70">
        <v>0.38</v>
      </c>
      <c r="K79" s="69">
        <v>0.2</v>
      </c>
      <c r="L79" s="69">
        <v>-1.2</v>
      </c>
      <c r="M79" s="69" t="s">
        <v>958</v>
      </c>
      <c r="N79" s="69">
        <v>2003</v>
      </c>
      <c r="O79" s="69" t="s">
        <v>485</v>
      </c>
      <c r="P79" s="69">
        <v>770388</v>
      </c>
      <c r="Q79" s="92" t="s">
        <v>697</v>
      </c>
      <c r="R79" s="92" t="s">
        <v>368</v>
      </c>
      <c r="S79" s="92"/>
    </row>
    <row r="80" spans="1:19" x14ac:dyDescent="0.2">
      <c r="A80" s="92" t="s">
        <v>546</v>
      </c>
      <c r="B80" s="69">
        <v>10</v>
      </c>
      <c r="C80" s="69">
        <v>0</v>
      </c>
      <c r="D80" s="69">
        <v>7</v>
      </c>
      <c r="E80" s="69">
        <v>18</v>
      </c>
      <c r="F80" s="69">
        <v>69</v>
      </c>
      <c r="G80" s="69">
        <v>89</v>
      </c>
      <c r="H80" s="69">
        <v>13.6</v>
      </c>
      <c r="I80" s="70">
        <v>0.18</v>
      </c>
      <c r="J80" s="70">
        <v>0.4</v>
      </c>
      <c r="K80" s="69">
        <v>13.7</v>
      </c>
      <c r="L80" s="69">
        <v>1.1000000000000001</v>
      </c>
      <c r="M80" s="69" t="s">
        <v>958</v>
      </c>
      <c r="N80" s="69">
        <v>2000</v>
      </c>
      <c r="O80" s="69" t="s">
        <v>585</v>
      </c>
      <c r="P80" s="69">
        <v>976928</v>
      </c>
      <c r="Q80" s="92" t="s">
        <v>133</v>
      </c>
      <c r="R80" s="92" t="s">
        <v>515</v>
      </c>
      <c r="S80" s="92" t="s">
        <v>959</v>
      </c>
    </row>
    <row r="81" spans="1:19" x14ac:dyDescent="0.2">
      <c r="A81" s="92" t="s">
        <v>116</v>
      </c>
      <c r="B81" s="69">
        <v>16</v>
      </c>
      <c r="C81" s="69">
        <v>8</v>
      </c>
      <c r="D81" s="69">
        <v>16</v>
      </c>
      <c r="E81" s="69">
        <v>25</v>
      </c>
      <c r="F81" s="69">
        <v>67</v>
      </c>
      <c r="G81" s="69">
        <v>69</v>
      </c>
      <c r="H81" s="69">
        <v>11.1</v>
      </c>
      <c r="I81" s="70">
        <v>0.18</v>
      </c>
      <c r="J81" s="70">
        <v>0.4</v>
      </c>
      <c r="K81" s="69">
        <v>6.4</v>
      </c>
      <c r="L81" s="69">
        <v>2.2999999999999998</v>
      </c>
      <c r="M81" s="69" t="s">
        <v>958</v>
      </c>
      <c r="N81" s="69">
        <v>2000</v>
      </c>
      <c r="O81" s="69" t="s">
        <v>585</v>
      </c>
      <c r="P81" s="69">
        <v>941096</v>
      </c>
      <c r="Q81" s="92" t="s">
        <v>133</v>
      </c>
      <c r="R81" s="92" t="s">
        <v>109</v>
      </c>
      <c r="S81" s="92" t="s">
        <v>959</v>
      </c>
    </row>
    <row r="82" spans="1:19" x14ac:dyDescent="0.2">
      <c r="A82" s="92" t="s">
        <v>547</v>
      </c>
      <c r="B82" s="69">
        <v>9</v>
      </c>
      <c r="C82" s="69">
        <v>0</v>
      </c>
      <c r="D82" s="69">
        <v>6</v>
      </c>
      <c r="E82" s="69">
        <v>17</v>
      </c>
      <c r="F82" s="69">
        <v>67</v>
      </c>
      <c r="G82" s="69">
        <v>88</v>
      </c>
      <c r="H82" s="69">
        <v>13.4</v>
      </c>
      <c r="I82" s="70">
        <v>0.18</v>
      </c>
      <c r="J82" s="70">
        <v>0.4</v>
      </c>
      <c r="K82" s="69">
        <v>13.6</v>
      </c>
      <c r="L82" s="69">
        <v>1.1000000000000001</v>
      </c>
      <c r="M82" s="69" t="s">
        <v>958</v>
      </c>
      <c r="N82" s="69">
        <v>2000</v>
      </c>
      <c r="O82" s="69" t="s">
        <v>585</v>
      </c>
      <c r="P82" s="69">
        <v>905265</v>
      </c>
      <c r="Q82" s="92" t="s">
        <v>133</v>
      </c>
      <c r="R82" s="92" t="s">
        <v>515</v>
      </c>
      <c r="S82" s="92" t="s">
        <v>959</v>
      </c>
    </row>
    <row r="83" spans="1:19" x14ac:dyDescent="0.2">
      <c r="A83" s="92" t="s">
        <v>376</v>
      </c>
      <c r="B83" s="69">
        <v>1</v>
      </c>
      <c r="C83" s="69">
        <v>0</v>
      </c>
      <c r="D83" s="69">
        <v>1</v>
      </c>
      <c r="E83" s="69">
        <v>1</v>
      </c>
      <c r="F83" s="69">
        <v>4</v>
      </c>
      <c r="G83" s="69">
        <v>5</v>
      </c>
      <c r="H83" s="69">
        <v>1.1000000000000001</v>
      </c>
      <c r="I83" s="70">
        <v>0.18</v>
      </c>
      <c r="J83" s="70">
        <v>0.4</v>
      </c>
      <c r="K83" s="69">
        <v>0.2</v>
      </c>
      <c r="L83" s="69">
        <v>-1</v>
      </c>
      <c r="M83" s="69" t="s">
        <v>958</v>
      </c>
      <c r="N83" s="69">
        <v>2000</v>
      </c>
      <c r="O83" s="69" t="s">
        <v>585</v>
      </c>
      <c r="P83" s="69">
        <v>331983</v>
      </c>
      <c r="Q83" s="92" t="s">
        <v>524</v>
      </c>
      <c r="R83" s="92" t="s">
        <v>368</v>
      </c>
      <c r="S83" s="92" t="s">
        <v>959</v>
      </c>
    </row>
    <row r="84" spans="1:19" x14ac:dyDescent="0.2">
      <c r="A84" s="92" t="s">
        <v>387</v>
      </c>
      <c r="B84" s="69">
        <v>11</v>
      </c>
      <c r="C84" s="69">
        <v>4</v>
      </c>
      <c r="D84" s="69">
        <v>10</v>
      </c>
      <c r="E84" s="69">
        <v>16</v>
      </c>
      <c r="F84" s="69">
        <v>37</v>
      </c>
      <c r="G84" s="69">
        <v>44</v>
      </c>
      <c r="H84" s="69">
        <v>7.6</v>
      </c>
      <c r="I84" s="70">
        <v>0.18</v>
      </c>
      <c r="J84" s="70">
        <v>0.42</v>
      </c>
      <c r="K84" s="69">
        <v>3.8</v>
      </c>
      <c r="L84" s="69">
        <v>2.2999999999999998</v>
      </c>
      <c r="M84" s="69" t="s">
        <v>958</v>
      </c>
      <c r="N84" s="69">
        <v>2000</v>
      </c>
      <c r="O84" s="69" t="s">
        <v>585</v>
      </c>
      <c r="P84" s="69">
        <v>749192</v>
      </c>
      <c r="Q84" s="92" t="s">
        <v>133</v>
      </c>
      <c r="R84" s="92" t="s">
        <v>227</v>
      </c>
      <c r="S84" s="92"/>
    </row>
    <row r="85" spans="1:19" x14ac:dyDescent="0.2">
      <c r="A85" s="92" t="s">
        <v>556</v>
      </c>
      <c r="B85" s="69">
        <v>10</v>
      </c>
      <c r="C85" s="69">
        <v>0</v>
      </c>
      <c r="D85" s="69">
        <v>7</v>
      </c>
      <c r="E85" s="69">
        <v>18</v>
      </c>
      <c r="F85" s="69">
        <v>69</v>
      </c>
      <c r="G85" s="69">
        <v>90</v>
      </c>
      <c r="H85" s="69">
        <v>13.6</v>
      </c>
      <c r="I85" s="70">
        <v>0.18</v>
      </c>
      <c r="J85" s="70">
        <v>0.4</v>
      </c>
      <c r="K85" s="69">
        <v>13.7</v>
      </c>
      <c r="L85" s="69">
        <v>1.1000000000000001</v>
      </c>
      <c r="M85" s="69" t="s">
        <v>958</v>
      </c>
      <c r="N85" s="69">
        <v>2000</v>
      </c>
      <c r="O85" s="69" t="s">
        <v>585</v>
      </c>
      <c r="P85" s="69">
        <v>833608</v>
      </c>
      <c r="Q85" s="92" t="s">
        <v>133</v>
      </c>
      <c r="R85" s="92" t="s">
        <v>515</v>
      </c>
      <c r="S85" s="92" t="s">
        <v>959</v>
      </c>
    </row>
    <row r="86" spans="1:19" x14ac:dyDescent="0.2">
      <c r="A86" s="92" t="s">
        <v>117</v>
      </c>
      <c r="B86" s="90">
        <v>16</v>
      </c>
      <c r="C86" s="90">
        <v>8</v>
      </c>
      <c r="D86" s="90">
        <v>16</v>
      </c>
      <c r="E86" s="90">
        <v>24</v>
      </c>
      <c r="F86" s="69">
        <v>68</v>
      </c>
      <c r="G86" s="69">
        <v>71</v>
      </c>
      <c r="H86" s="69">
        <v>11.3</v>
      </c>
      <c r="I86" s="70">
        <v>0.18</v>
      </c>
      <c r="J86" s="70">
        <v>0.4</v>
      </c>
      <c r="K86" s="69">
        <v>6.5</v>
      </c>
      <c r="L86" s="69">
        <v>2.2999999999999998</v>
      </c>
      <c r="M86" s="69" t="s">
        <v>958</v>
      </c>
      <c r="N86" s="69">
        <v>2000</v>
      </c>
      <c r="O86" s="69" t="s">
        <v>585</v>
      </c>
      <c r="P86" s="69">
        <v>797779</v>
      </c>
      <c r="Q86" s="92" t="s">
        <v>133</v>
      </c>
      <c r="R86" s="92" t="s">
        <v>109</v>
      </c>
      <c r="S86" s="92" t="s">
        <v>959</v>
      </c>
    </row>
    <row r="87" spans="1:19" x14ac:dyDescent="0.2">
      <c r="A87" s="92" t="s">
        <v>578</v>
      </c>
      <c r="B87" s="69">
        <v>14</v>
      </c>
      <c r="C87" s="69">
        <v>5</v>
      </c>
      <c r="D87" s="69">
        <v>12</v>
      </c>
      <c r="E87" s="69">
        <v>23</v>
      </c>
      <c r="F87" s="69">
        <v>73</v>
      </c>
      <c r="G87" s="69">
        <v>80</v>
      </c>
      <c r="H87" s="69">
        <v>12.4</v>
      </c>
      <c r="I87" s="70">
        <v>0.18</v>
      </c>
      <c r="J87" s="70">
        <v>0.4</v>
      </c>
      <c r="K87" s="69">
        <v>8.6</v>
      </c>
      <c r="L87" s="69">
        <v>1.9</v>
      </c>
      <c r="M87" s="69" t="s">
        <v>958</v>
      </c>
      <c r="N87" s="69">
        <v>2000</v>
      </c>
      <c r="O87" s="69" t="s">
        <v>585</v>
      </c>
      <c r="P87" s="69">
        <v>296152</v>
      </c>
      <c r="Q87" s="92" t="s">
        <v>133</v>
      </c>
      <c r="R87" s="92" t="s">
        <v>565</v>
      </c>
      <c r="S87" s="92" t="s">
        <v>959</v>
      </c>
    </row>
    <row r="88" spans="1:19" x14ac:dyDescent="0.2">
      <c r="A88" s="92" t="s">
        <v>226</v>
      </c>
      <c r="B88" s="90">
        <v>9</v>
      </c>
      <c r="C88" s="90">
        <v>3</v>
      </c>
      <c r="D88" s="90">
        <v>7</v>
      </c>
      <c r="E88" s="90">
        <v>14</v>
      </c>
      <c r="F88" s="69">
        <v>37</v>
      </c>
      <c r="G88" s="69">
        <v>50</v>
      </c>
      <c r="H88" s="69">
        <v>8.5</v>
      </c>
      <c r="I88" s="70">
        <v>0.18</v>
      </c>
      <c r="J88" s="70">
        <v>0.4</v>
      </c>
      <c r="K88" s="69">
        <v>4.5</v>
      </c>
      <c r="L88" s="69">
        <v>1.9</v>
      </c>
      <c r="M88" s="69" t="s">
        <v>958</v>
      </c>
      <c r="N88" s="69">
        <v>2000</v>
      </c>
      <c r="O88" s="69" t="s">
        <v>585</v>
      </c>
      <c r="P88" s="69">
        <v>260323</v>
      </c>
      <c r="Q88" s="92" t="s">
        <v>133</v>
      </c>
      <c r="R88" s="92" t="s">
        <v>219</v>
      </c>
      <c r="S88" s="92" t="s">
        <v>959</v>
      </c>
    </row>
    <row r="89" spans="1:19" x14ac:dyDescent="0.2">
      <c r="A89" s="92" t="s">
        <v>225</v>
      </c>
      <c r="B89" s="69">
        <v>11</v>
      </c>
      <c r="C89" s="69">
        <v>4</v>
      </c>
      <c r="D89" s="69">
        <v>9</v>
      </c>
      <c r="E89" s="69">
        <v>18</v>
      </c>
      <c r="F89" s="69">
        <v>51</v>
      </c>
      <c r="G89" s="69">
        <v>62</v>
      </c>
      <c r="H89" s="69">
        <v>10.1</v>
      </c>
      <c r="I89" s="70">
        <v>0.18</v>
      </c>
      <c r="J89" s="70">
        <v>0.4</v>
      </c>
      <c r="K89" s="69">
        <v>5.4</v>
      </c>
      <c r="L89" s="69">
        <v>2.1</v>
      </c>
      <c r="M89" s="69" t="s">
        <v>958</v>
      </c>
      <c r="N89" s="69">
        <v>2000</v>
      </c>
      <c r="O89" s="69" t="s">
        <v>585</v>
      </c>
      <c r="P89" s="69">
        <v>224493</v>
      </c>
      <c r="Q89" s="92" t="s">
        <v>133</v>
      </c>
      <c r="R89" s="92" t="s">
        <v>219</v>
      </c>
      <c r="S89" s="92" t="s">
        <v>959</v>
      </c>
    </row>
    <row r="90" spans="1:19" x14ac:dyDescent="0.2">
      <c r="A90" s="92" t="s">
        <v>391</v>
      </c>
      <c r="B90" s="69">
        <v>13</v>
      </c>
      <c r="C90" s="69">
        <v>6</v>
      </c>
      <c r="D90" s="69">
        <v>13</v>
      </c>
      <c r="E90" s="69">
        <v>22</v>
      </c>
      <c r="F90" s="69">
        <v>61</v>
      </c>
      <c r="G90" s="69">
        <v>73</v>
      </c>
      <c r="H90" s="69">
        <v>11.6</v>
      </c>
      <c r="I90" s="70">
        <v>0.18</v>
      </c>
      <c r="J90" s="70">
        <v>0.42</v>
      </c>
      <c r="K90" s="69">
        <v>9.1</v>
      </c>
      <c r="L90" s="69">
        <v>1.5</v>
      </c>
      <c r="M90" s="69" t="s">
        <v>958</v>
      </c>
      <c r="N90" s="69">
        <v>2000</v>
      </c>
      <c r="O90" s="69" t="s">
        <v>585</v>
      </c>
      <c r="P90" s="69">
        <v>785022</v>
      </c>
      <c r="Q90" s="92" t="s">
        <v>133</v>
      </c>
      <c r="R90" s="92" t="s">
        <v>565</v>
      </c>
      <c r="S90" s="92"/>
    </row>
    <row r="91" spans="1:19" x14ac:dyDescent="0.2">
      <c r="A91" s="92" t="s">
        <v>640</v>
      </c>
      <c r="B91" s="69">
        <v>17</v>
      </c>
      <c r="C91" s="69">
        <v>9</v>
      </c>
      <c r="D91" s="69">
        <v>16</v>
      </c>
      <c r="E91" s="69">
        <v>26</v>
      </c>
      <c r="F91" s="69">
        <v>73</v>
      </c>
      <c r="G91" s="69">
        <v>70</v>
      </c>
      <c r="H91" s="69">
        <v>11.2</v>
      </c>
      <c r="I91" s="70">
        <v>0.18</v>
      </c>
      <c r="J91" s="70">
        <v>0.4</v>
      </c>
      <c r="K91" s="69">
        <v>6.9</v>
      </c>
      <c r="L91" s="69">
        <v>2.2999999999999998</v>
      </c>
      <c r="M91" s="69" t="s">
        <v>958</v>
      </c>
      <c r="N91" s="69">
        <v>2001</v>
      </c>
      <c r="O91" s="69" t="s">
        <v>585</v>
      </c>
      <c r="P91" s="69">
        <v>908277</v>
      </c>
      <c r="Q91" s="92" t="s">
        <v>633</v>
      </c>
      <c r="R91" s="92" t="s">
        <v>109</v>
      </c>
      <c r="S91" s="92"/>
    </row>
    <row r="92" spans="1:19" x14ac:dyDescent="0.2">
      <c r="A92" s="92" t="s">
        <v>1009</v>
      </c>
      <c r="B92" s="69">
        <v>20</v>
      </c>
      <c r="C92" s="69">
        <v>10</v>
      </c>
      <c r="D92" s="69">
        <v>17</v>
      </c>
      <c r="E92" s="69">
        <v>31</v>
      </c>
      <c r="F92" s="69">
        <v>93</v>
      </c>
      <c r="G92" s="69"/>
      <c r="H92" s="69"/>
      <c r="I92" s="70">
        <v>0.19</v>
      </c>
      <c r="J92" s="70">
        <v>0.4</v>
      </c>
      <c r="K92" s="69">
        <v>7.7</v>
      </c>
      <c r="L92" s="69">
        <v>2.5</v>
      </c>
      <c r="M92" s="69" t="s">
        <v>958</v>
      </c>
      <c r="N92" s="69">
        <v>2013</v>
      </c>
      <c r="O92" s="69" t="s">
        <v>585</v>
      </c>
      <c r="P92" s="69">
        <v>929224</v>
      </c>
      <c r="Q92" s="92" t="s">
        <v>521</v>
      </c>
      <c r="R92" s="92" t="s">
        <v>72</v>
      </c>
      <c r="S92" s="92"/>
    </row>
    <row r="93" spans="1:19" x14ac:dyDescent="0.2">
      <c r="A93" s="92" t="s">
        <v>392</v>
      </c>
      <c r="B93" s="69">
        <v>10</v>
      </c>
      <c r="C93" s="69">
        <v>-1</v>
      </c>
      <c r="D93" s="69">
        <v>6</v>
      </c>
      <c r="E93" s="69">
        <v>19</v>
      </c>
      <c r="F93" s="69">
        <v>69</v>
      </c>
      <c r="G93" s="69">
        <v>89</v>
      </c>
      <c r="H93" s="69">
        <v>13.5</v>
      </c>
      <c r="I93" s="70">
        <v>0.19</v>
      </c>
      <c r="J93" s="70">
        <v>0.52</v>
      </c>
      <c r="K93" s="69">
        <v>14.1</v>
      </c>
      <c r="L93" s="69">
        <v>1.1000000000000001</v>
      </c>
      <c r="M93" s="69" t="s">
        <v>958</v>
      </c>
      <c r="N93" s="69">
        <v>2000</v>
      </c>
      <c r="O93" s="69" t="s">
        <v>585</v>
      </c>
      <c r="P93" s="69">
        <v>789271</v>
      </c>
      <c r="Q93" s="92" t="s">
        <v>133</v>
      </c>
      <c r="R93" s="92" t="s">
        <v>515</v>
      </c>
      <c r="S93" s="92"/>
    </row>
    <row r="94" spans="1:19" x14ac:dyDescent="0.2">
      <c r="A94" s="92" t="s">
        <v>269</v>
      </c>
      <c r="B94" s="69">
        <v>12</v>
      </c>
      <c r="C94" s="69">
        <v>3</v>
      </c>
      <c r="D94" s="69">
        <v>10</v>
      </c>
      <c r="E94" s="69">
        <v>24</v>
      </c>
      <c r="F94" s="69">
        <v>62</v>
      </c>
      <c r="G94" s="69">
        <v>50</v>
      </c>
      <c r="H94" s="69">
        <v>8.5</v>
      </c>
      <c r="I94" s="70">
        <v>0.19</v>
      </c>
      <c r="J94" s="70">
        <v>0.4</v>
      </c>
      <c r="K94" s="69">
        <v>9.5</v>
      </c>
      <c r="L94" s="69">
        <v>1.4</v>
      </c>
      <c r="M94" s="69" t="s">
        <v>958</v>
      </c>
      <c r="N94" s="69">
        <v>2000</v>
      </c>
      <c r="O94" s="69" t="s">
        <v>585</v>
      </c>
      <c r="P94" s="69">
        <v>629543</v>
      </c>
      <c r="Q94" s="92" t="s">
        <v>521</v>
      </c>
      <c r="R94" s="92" t="s">
        <v>67</v>
      </c>
      <c r="S94" s="92"/>
    </row>
    <row r="95" spans="1:19" x14ac:dyDescent="0.2">
      <c r="A95" s="92" t="s">
        <v>464</v>
      </c>
      <c r="B95" s="69">
        <v>8</v>
      </c>
      <c r="C95" s="69">
        <v>4</v>
      </c>
      <c r="D95" s="69">
        <v>6</v>
      </c>
      <c r="E95" s="69">
        <v>9</v>
      </c>
      <c r="F95" s="69">
        <v>10</v>
      </c>
      <c r="G95" s="69">
        <v>24</v>
      </c>
      <c r="H95" s="69">
        <v>4.5</v>
      </c>
      <c r="I95" s="70">
        <v>0.19</v>
      </c>
      <c r="J95" s="70">
        <v>0.75</v>
      </c>
      <c r="K95" s="69">
        <v>4.3</v>
      </c>
      <c r="L95" s="69">
        <v>0.5</v>
      </c>
      <c r="M95" s="69" t="s">
        <v>958</v>
      </c>
      <c r="N95" s="69">
        <v>2001</v>
      </c>
      <c r="O95" s="69" t="s">
        <v>585</v>
      </c>
      <c r="P95" s="69">
        <v>648964</v>
      </c>
      <c r="Q95" s="92" t="s">
        <v>1084</v>
      </c>
      <c r="R95" s="92" t="s">
        <v>412</v>
      </c>
      <c r="S95" s="92"/>
    </row>
    <row r="96" spans="1:19" x14ac:dyDescent="0.2">
      <c r="A96" s="92" t="s">
        <v>613</v>
      </c>
      <c r="B96" s="90">
        <v>8</v>
      </c>
      <c r="C96" s="90">
        <v>5</v>
      </c>
      <c r="D96" s="90">
        <v>7</v>
      </c>
      <c r="E96" s="90">
        <v>8</v>
      </c>
      <c r="F96" s="69">
        <v>7</v>
      </c>
      <c r="G96" s="69">
        <v>20</v>
      </c>
      <c r="H96" s="69">
        <v>3.8</v>
      </c>
      <c r="I96" s="70">
        <v>0.19</v>
      </c>
      <c r="J96" s="70">
        <v>0.75</v>
      </c>
      <c r="K96" s="69">
        <v>4</v>
      </c>
      <c r="L96" s="69">
        <v>0.2</v>
      </c>
      <c r="M96" s="69" t="s">
        <v>958</v>
      </c>
      <c r="N96" s="69">
        <v>2008</v>
      </c>
      <c r="O96" s="69" t="s">
        <v>485</v>
      </c>
      <c r="P96" s="69">
        <v>131409</v>
      </c>
      <c r="Q96" s="92" t="s">
        <v>1084</v>
      </c>
      <c r="R96" s="92" t="s">
        <v>465</v>
      </c>
      <c r="S96" s="92"/>
    </row>
    <row r="97" spans="1:19" x14ac:dyDescent="0.2">
      <c r="A97" s="92" t="s">
        <v>1050</v>
      </c>
      <c r="B97" s="90">
        <v>6</v>
      </c>
      <c r="C97" s="90">
        <v>2</v>
      </c>
      <c r="D97" s="90">
        <v>4</v>
      </c>
      <c r="E97" s="90">
        <v>9</v>
      </c>
      <c r="F97" s="69">
        <v>19</v>
      </c>
      <c r="G97" s="69"/>
      <c r="H97" s="69"/>
      <c r="I97" s="70">
        <v>0.19</v>
      </c>
      <c r="J97" s="70">
        <v>0.75</v>
      </c>
      <c r="K97" s="69">
        <v>2.4</v>
      </c>
      <c r="L97" s="69">
        <v>1.9</v>
      </c>
      <c r="M97" s="69" t="s">
        <v>958</v>
      </c>
      <c r="N97" s="69">
        <v>2013</v>
      </c>
      <c r="O97" s="69" t="s">
        <v>485</v>
      </c>
      <c r="P97" s="69">
        <v>840090</v>
      </c>
      <c r="Q97" s="92" t="s">
        <v>1084</v>
      </c>
      <c r="R97" s="92" t="s">
        <v>478</v>
      </c>
      <c r="S97" s="92"/>
    </row>
    <row r="98" spans="1:19" x14ac:dyDescent="0.2">
      <c r="A98" s="92" t="s">
        <v>369</v>
      </c>
      <c r="B98" s="69">
        <v>1</v>
      </c>
      <c r="C98" s="69">
        <v>0</v>
      </c>
      <c r="D98" s="69">
        <v>1</v>
      </c>
      <c r="E98" s="69">
        <v>1</v>
      </c>
      <c r="F98" s="69">
        <v>5</v>
      </c>
      <c r="G98" s="69">
        <v>7</v>
      </c>
      <c r="H98" s="69">
        <v>1.4</v>
      </c>
      <c r="I98" s="70">
        <v>0.19</v>
      </c>
      <c r="J98" s="70">
        <v>0.35</v>
      </c>
      <c r="K98" s="69">
        <v>0.2</v>
      </c>
      <c r="L98" s="69">
        <v>0.9</v>
      </c>
      <c r="M98" s="69" t="s">
        <v>958</v>
      </c>
      <c r="N98" s="69">
        <v>2001</v>
      </c>
      <c r="O98" s="69" t="s">
        <v>585</v>
      </c>
      <c r="P98" s="69">
        <v>134593</v>
      </c>
      <c r="Q98" s="92" t="s">
        <v>544</v>
      </c>
      <c r="R98" s="92" t="s">
        <v>368</v>
      </c>
      <c r="S98" s="92"/>
    </row>
    <row r="99" spans="1:19" x14ac:dyDescent="0.2">
      <c r="A99" s="92" t="s">
        <v>255</v>
      </c>
      <c r="B99" s="69">
        <v>8</v>
      </c>
      <c r="C99" s="69">
        <v>3</v>
      </c>
      <c r="D99" s="69">
        <v>7</v>
      </c>
      <c r="E99" s="69">
        <v>12</v>
      </c>
      <c r="F99" s="69">
        <v>26</v>
      </c>
      <c r="G99" s="69">
        <v>34</v>
      </c>
      <c r="H99" s="69">
        <v>6</v>
      </c>
      <c r="I99" s="70">
        <v>0.19</v>
      </c>
      <c r="J99" s="70">
        <v>0.41</v>
      </c>
      <c r="K99" s="69">
        <v>2.2999999999999998</v>
      </c>
      <c r="L99" s="69">
        <v>2.4</v>
      </c>
      <c r="M99" s="69" t="s">
        <v>958</v>
      </c>
      <c r="N99" s="69">
        <v>2000</v>
      </c>
      <c r="O99" s="69" t="s">
        <v>585</v>
      </c>
      <c r="P99" s="69">
        <v>391482</v>
      </c>
      <c r="Q99" s="92" t="s">
        <v>622</v>
      </c>
      <c r="R99" s="92" t="s">
        <v>254</v>
      </c>
      <c r="S99" s="92" t="s">
        <v>959</v>
      </c>
    </row>
    <row r="100" spans="1:19" x14ac:dyDescent="0.2">
      <c r="A100" s="92" t="s">
        <v>351</v>
      </c>
      <c r="B100" s="69">
        <v>12</v>
      </c>
      <c r="C100" s="69">
        <v>5</v>
      </c>
      <c r="D100" s="69">
        <v>10</v>
      </c>
      <c r="E100" s="69">
        <v>18</v>
      </c>
      <c r="F100" s="69">
        <v>46</v>
      </c>
      <c r="G100" s="69">
        <v>52</v>
      </c>
      <c r="H100" s="69">
        <v>8.6999999999999993</v>
      </c>
      <c r="I100" s="70">
        <v>0.19</v>
      </c>
      <c r="J100" s="70">
        <v>0.41</v>
      </c>
      <c r="K100" s="69">
        <v>5.0999999999999996</v>
      </c>
      <c r="L100" s="69">
        <v>2</v>
      </c>
      <c r="M100" s="69" t="s">
        <v>958</v>
      </c>
      <c r="N100" s="69">
        <v>2000</v>
      </c>
      <c r="O100" s="69" t="s">
        <v>585</v>
      </c>
      <c r="P100" s="69">
        <v>427310</v>
      </c>
      <c r="Q100" s="92" t="s">
        <v>622</v>
      </c>
      <c r="R100" s="92" t="s">
        <v>258</v>
      </c>
      <c r="S100" s="92" t="s">
        <v>959</v>
      </c>
    </row>
    <row r="101" spans="1:19" x14ac:dyDescent="0.2">
      <c r="A101" s="92" t="s">
        <v>361</v>
      </c>
      <c r="B101" s="69">
        <v>15</v>
      </c>
      <c r="C101" s="69">
        <v>6</v>
      </c>
      <c r="D101" s="69">
        <v>13</v>
      </c>
      <c r="E101" s="69">
        <v>23</v>
      </c>
      <c r="F101" s="69">
        <v>59</v>
      </c>
      <c r="G101" s="69">
        <v>63</v>
      </c>
      <c r="H101" s="69">
        <v>10.3</v>
      </c>
      <c r="I101" s="70">
        <v>0.19</v>
      </c>
      <c r="J101" s="70">
        <v>0.41</v>
      </c>
      <c r="K101" s="69">
        <v>6.8</v>
      </c>
      <c r="L101" s="69">
        <v>1.9</v>
      </c>
      <c r="M101" s="69" t="s">
        <v>958</v>
      </c>
      <c r="N101" s="69">
        <v>2000</v>
      </c>
      <c r="O101" s="69" t="s">
        <v>585</v>
      </c>
      <c r="P101" s="69">
        <v>463141</v>
      </c>
      <c r="Q101" s="92" t="s">
        <v>622</v>
      </c>
      <c r="R101" s="92" t="s">
        <v>258</v>
      </c>
      <c r="S101" s="92" t="s">
        <v>959</v>
      </c>
    </row>
    <row r="102" spans="1:19" x14ac:dyDescent="0.2">
      <c r="A102" s="92" t="s">
        <v>357</v>
      </c>
      <c r="B102" s="69">
        <v>15</v>
      </c>
      <c r="C102" s="69">
        <v>6</v>
      </c>
      <c r="D102" s="69">
        <v>13</v>
      </c>
      <c r="E102" s="69">
        <v>23</v>
      </c>
      <c r="F102" s="69">
        <v>62</v>
      </c>
      <c r="G102" s="69">
        <v>63</v>
      </c>
      <c r="H102" s="69">
        <v>10.3</v>
      </c>
      <c r="I102" s="70">
        <v>0.19</v>
      </c>
      <c r="J102" s="70">
        <v>0.41</v>
      </c>
      <c r="K102" s="69">
        <v>7.4</v>
      </c>
      <c r="L102" s="69">
        <v>1.9</v>
      </c>
      <c r="M102" s="69" t="s">
        <v>958</v>
      </c>
      <c r="N102" s="69">
        <v>2000</v>
      </c>
      <c r="O102" s="69" t="s">
        <v>585</v>
      </c>
      <c r="P102" s="69">
        <v>498972</v>
      </c>
      <c r="Q102" s="92" t="s">
        <v>622</v>
      </c>
      <c r="R102" s="92" t="s">
        <v>353</v>
      </c>
      <c r="S102" s="92" t="s">
        <v>959</v>
      </c>
    </row>
    <row r="103" spans="1:19" x14ac:dyDescent="0.2">
      <c r="A103" s="92" t="s">
        <v>356</v>
      </c>
      <c r="B103" s="69">
        <v>15</v>
      </c>
      <c r="C103" s="69">
        <v>6</v>
      </c>
      <c r="D103" s="69">
        <v>13</v>
      </c>
      <c r="E103" s="69">
        <v>23</v>
      </c>
      <c r="F103" s="69">
        <v>61</v>
      </c>
      <c r="G103" s="69">
        <v>63</v>
      </c>
      <c r="H103" s="69">
        <v>10.3</v>
      </c>
      <c r="I103" s="70">
        <v>0.19</v>
      </c>
      <c r="J103" s="70">
        <v>0.41</v>
      </c>
      <c r="K103" s="69">
        <v>7.4</v>
      </c>
      <c r="L103" s="69">
        <v>1.8</v>
      </c>
      <c r="M103" s="69" t="s">
        <v>958</v>
      </c>
      <c r="N103" s="69">
        <v>2000</v>
      </c>
      <c r="O103" s="69" t="s">
        <v>585</v>
      </c>
      <c r="P103" s="69">
        <v>844522</v>
      </c>
      <c r="Q103" s="92" t="s">
        <v>622</v>
      </c>
      <c r="R103" s="92" t="s">
        <v>353</v>
      </c>
      <c r="S103" s="92" t="s">
        <v>959</v>
      </c>
    </row>
    <row r="104" spans="1:19" x14ac:dyDescent="0.2">
      <c r="A104" s="92" t="s">
        <v>409</v>
      </c>
      <c r="B104" s="69">
        <v>11</v>
      </c>
      <c r="C104" s="69">
        <v>5</v>
      </c>
      <c r="D104" s="69">
        <v>9</v>
      </c>
      <c r="E104" s="69">
        <v>22</v>
      </c>
      <c r="F104" s="69">
        <v>61</v>
      </c>
      <c r="G104" s="69">
        <v>43</v>
      </c>
      <c r="H104" s="69">
        <v>7.4</v>
      </c>
      <c r="I104" s="70">
        <v>0.19</v>
      </c>
      <c r="J104" s="70">
        <v>0.53</v>
      </c>
      <c r="K104" s="69">
        <v>9.5</v>
      </c>
      <c r="L104" s="69">
        <v>1.4</v>
      </c>
      <c r="M104" s="69" t="s">
        <v>958</v>
      </c>
      <c r="N104" s="69">
        <v>2000</v>
      </c>
      <c r="O104" s="69" t="s">
        <v>585</v>
      </c>
      <c r="P104" s="69">
        <v>964171</v>
      </c>
      <c r="Q104" s="92" t="s">
        <v>133</v>
      </c>
      <c r="R104" s="92" t="s">
        <v>38</v>
      </c>
      <c r="S104" s="92"/>
    </row>
    <row r="105" spans="1:19" x14ac:dyDescent="0.2">
      <c r="A105" s="92" t="s">
        <v>389</v>
      </c>
      <c r="B105" s="69">
        <v>17</v>
      </c>
      <c r="C105" s="69">
        <v>8</v>
      </c>
      <c r="D105" s="69">
        <v>16</v>
      </c>
      <c r="E105" s="69">
        <v>27</v>
      </c>
      <c r="F105" s="69">
        <v>70</v>
      </c>
      <c r="G105" s="69">
        <v>70</v>
      </c>
      <c r="H105" s="69">
        <v>11.1</v>
      </c>
      <c r="I105" s="70">
        <v>0.19</v>
      </c>
      <c r="J105" s="70">
        <v>0.52</v>
      </c>
      <c r="K105" s="69">
        <v>7</v>
      </c>
      <c r="L105" s="69">
        <v>2.2000000000000002</v>
      </c>
      <c r="M105" s="69" t="s">
        <v>958</v>
      </c>
      <c r="N105" s="69">
        <v>2000</v>
      </c>
      <c r="O105" s="69" t="s">
        <v>585</v>
      </c>
      <c r="P105" s="69">
        <v>753442</v>
      </c>
      <c r="Q105" s="92" t="s">
        <v>133</v>
      </c>
      <c r="R105" s="92" t="s">
        <v>109</v>
      </c>
      <c r="S105" s="92"/>
    </row>
    <row r="106" spans="1:19" x14ac:dyDescent="0.2">
      <c r="A106" s="92" t="s">
        <v>767</v>
      </c>
      <c r="B106" s="69">
        <v>10</v>
      </c>
      <c r="C106" s="69">
        <v>0</v>
      </c>
      <c r="D106" s="69">
        <v>7</v>
      </c>
      <c r="E106" s="69">
        <v>17</v>
      </c>
      <c r="F106" s="69">
        <v>66</v>
      </c>
      <c r="G106" s="69"/>
      <c r="H106" s="69"/>
      <c r="I106" s="70">
        <v>0.19</v>
      </c>
      <c r="J106" s="70">
        <v>0.4</v>
      </c>
      <c r="K106" s="69">
        <v>13.1</v>
      </c>
      <c r="L106" s="69">
        <v>1.1000000000000001</v>
      </c>
      <c r="M106" s="69" t="s">
        <v>958</v>
      </c>
      <c r="N106" s="69">
        <v>2012</v>
      </c>
      <c r="O106" s="69" t="s">
        <v>585</v>
      </c>
      <c r="P106" s="69">
        <v>465914</v>
      </c>
      <c r="Q106" s="92" t="s">
        <v>521</v>
      </c>
      <c r="R106" s="92" t="s">
        <v>562</v>
      </c>
      <c r="S106" s="92"/>
    </row>
    <row r="107" spans="1:19" x14ac:dyDescent="0.2">
      <c r="A107" s="92" t="s">
        <v>564</v>
      </c>
      <c r="B107" s="69">
        <v>9</v>
      </c>
      <c r="C107" s="69">
        <v>0</v>
      </c>
      <c r="D107" s="69">
        <v>6</v>
      </c>
      <c r="E107" s="69">
        <v>16</v>
      </c>
      <c r="F107" s="69">
        <v>67</v>
      </c>
      <c r="G107" s="69">
        <v>84</v>
      </c>
      <c r="H107" s="69">
        <v>13</v>
      </c>
      <c r="I107" s="70">
        <v>0.2</v>
      </c>
      <c r="J107" s="70">
        <v>0.31</v>
      </c>
      <c r="K107" s="69">
        <v>11.7</v>
      </c>
      <c r="L107" s="69">
        <v>1.3</v>
      </c>
      <c r="M107" s="69" t="s">
        <v>958</v>
      </c>
      <c r="N107" s="69">
        <v>2000</v>
      </c>
      <c r="O107" s="69" t="s">
        <v>585</v>
      </c>
      <c r="P107" s="69">
        <v>290072</v>
      </c>
      <c r="Q107" s="92" t="s">
        <v>1114</v>
      </c>
      <c r="R107" s="92" t="s">
        <v>562</v>
      </c>
      <c r="S107" s="87"/>
    </row>
    <row r="108" spans="1:19" x14ac:dyDescent="0.2">
      <c r="A108" s="92" t="s">
        <v>837</v>
      </c>
      <c r="B108" s="69">
        <v>7</v>
      </c>
      <c r="C108" s="69">
        <v>3</v>
      </c>
      <c r="D108" s="69">
        <v>6</v>
      </c>
      <c r="E108" s="69">
        <v>13</v>
      </c>
      <c r="F108" s="69">
        <v>35</v>
      </c>
      <c r="G108" s="69">
        <v>46</v>
      </c>
      <c r="H108" s="69">
        <v>7.9</v>
      </c>
      <c r="I108" s="70">
        <v>0.2</v>
      </c>
      <c r="J108" s="70">
        <v>0.5</v>
      </c>
      <c r="K108" s="69">
        <v>4.5999999999999996</v>
      </c>
      <c r="L108" s="69">
        <v>1.8</v>
      </c>
      <c r="M108" s="69" t="s">
        <v>958</v>
      </c>
      <c r="N108" s="69">
        <v>2000</v>
      </c>
      <c r="O108" s="69" t="s">
        <v>585</v>
      </c>
      <c r="P108" s="69">
        <v>466805</v>
      </c>
      <c r="Q108" s="92" t="s">
        <v>1084</v>
      </c>
      <c r="R108" s="92" t="s">
        <v>254</v>
      </c>
      <c r="S108" s="92"/>
    </row>
    <row r="109" spans="1:19" x14ac:dyDescent="0.2">
      <c r="A109" s="92" t="s">
        <v>838</v>
      </c>
      <c r="B109" s="90">
        <v>11</v>
      </c>
      <c r="C109" s="90">
        <v>4</v>
      </c>
      <c r="D109" s="90">
        <v>10</v>
      </c>
      <c r="E109" s="90">
        <v>20</v>
      </c>
      <c r="F109" s="69">
        <v>54</v>
      </c>
      <c r="G109" s="69">
        <v>64</v>
      </c>
      <c r="H109" s="69">
        <v>10.3</v>
      </c>
      <c r="I109" s="70">
        <v>0.2</v>
      </c>
      <c r="J109" s="70">
        <v>0.5</v>
      </c>
      <c r="K109" s="69">
        <v>8.5</v>
      </c>
      <c r="L109" s="69">
        <v>1.5</v>
      </c>
      <c r="M109" s="69" t="s">
        <v>958</v>
      </c>
      <c r="N109" s="69">
        <v>2000</v>
      </c>
      <c r="O109" s="69" t="s">
        <v>585</v>
      </c>
      <c r="P109" s="69">
        <v>430975</v>
      </c>
      <c r="Q109" s="92" t="s">
        <v>1084</v>
      </c>
      <c r="R109" s="92" t="s">
        <v>254</v>
      </c>
      <c r="S109" s="92"/>
    </row>
    <row r="110" spans="1:19" x14ac:dyDescent="0.2">
      <c r="A110" s="92" t="s">
        <v>1106</v>
      </c>
      <c r="B110" s="90"/>
      <c r="C110" s="90"/>
      <c r="D110" s="90"/>
      <c r="E110" s="90"/>
      <c r="F110" s="69"/>
      <c r="G110" s="69"/>
      <c r="H110" s="69"/>
      <c r="I110" s="70">
        <v>0.2</v>
      </c>
      <c r="J110" s="70">
        <v>0.5</v>
      </c>
      <c r="K110" s="69"/>
      <c r="L110" s="69"/>
      <c r="M110" s="69" t="s">
        <v>958</v>
      </c>
      <c r="N110" s="69">
        <v>2014</v>
      </c>
      <c r="O110" s="69" t="s">
        <v>585</v>
      </c>
      <c r="P110" s="69">
        <v>596429</v>
      </c>
      <c r="Q110" s="92" t="s">
        <v>1084</v>
      </c>
      <c r="R110" s="92" t="s">
        <v>353</v>
      </c>
      <c r="S110" s="92"/>
    </row>
    <row r="111" spans="1:19" x14ac:dyDescent="0.2">
      <c r="A111" s="92" t="s">
        <v>840</v>
      </c>
      <c r="B111" s="69">
        <v>14</v>
      </c>
      <c r="C111" s="69">
        <v>6</v>
      </c>
      <c r="D111" s="69">
        <v>14</v>
      </c>
      <c r="E111" s="69">
        <v>23</v>
      </c>
      <c r="F111" s="69">
        <v>59</v>
      </c>
      <c r="G111" s="69">
        <v>69</v>
      </c>
      <c r="H111" s="69">
        <v>11.1</v>
      </c>
      <c r="I111" s="70">
        <v>0.2</v>
      </c>
      <c r="J111" s="70">
        <v>0.5</v>
      </c>
      <c r="K111" s="69">
        <v>9</v>
      </c>
      <c r="L111" s="69">
        <v>1.5</v>
      </c>
      <c r="M111" s="69" t="s">
        <v>958</v>
      </c>
      <c r="N111" s="69">
        <v>2000</v>
      </c>
      <c r="O111" s="69" t="s">
        <v>585</v>
      </c>
      <c r="P111" s="69">
        <v>287656</v>
      </c>
      <c r="Q111" s="92" t="s">
        <v>1084</v>
      </c>
      <c r="R111" s="92" t="s">
        <v>353</v>
      </c>
      <c r="S111" s="92"/>
    </row>
    <row r="112" spans="1:19" x14ac:dyDescent="0.2">
      <c r="A112" s="92" t="s">
        <v>841</v>
      </c>
      <c r="B112" s="69">
        <v>14</v>
      </c>
      <c r="C112" s="69">
        <v>6</v>
      </c>
      <c r="D112" s="69">
        <v>14</v>
      </c>
      <c r="E112" s="69">
        <v>23</v>
      </c>
      <c r="F112" s="69">
        <v>58</v>
      </c>
      <c r="G112" s="69">
        <v>60</v>
      </c>
      <c r="H112" s="69">
        <v>9.8000000000000007</v>
      </c>
      <c r="I112" s="70">
        <v>0.2</v>
      </c>
      <c r="J112" s="70">
        <v>0.5</v>
      </c>
      <c r="K112" s="69">
        <v>9.6</v>
      </c>
      <c r="L112" s="69">
        <v>1.4</v>
      </c>
      <c r="M112" s="69" t="s">
        <v>958</v>
      </c>
      <c r="N112" s="69">
        <v>2000</v>
      </c>
      <c r="O112" s="69" t="s">
        <v>585</v>
      </c>
      <c r="P112" s="69">
        <v>215996</v>
      </c>
      <c r="Q112" s="92" t="s">
        <v>1084</v>
      </c>
      <c r="R112" s="92" t="s">
        <v>353</v>
      </c>
      <c r="S112" s="87"/>
    </row>
    <row r="113" spans="1:19" x14ac:dyDescent="0.2">
      <c r="A113" s="92" t="s">
        <v>839</v>
      </c>
      <c r="B113" s="69">
        <v>14</v>
      </c>
      <c r="C113" s="69">
        <v>6</v>
      </c>
      <c r="D113" s="69">
        <v>14</v>
      </c>
      <c r="E113" s="69">
        <v>23</v>
      </c>
      <c r="F113" s="69">
        <v>59</v>
      </c>
      <c r="G113" s="69">
        <v>69</v>
      </c>
      <c r="H113" s="69">
        <v>11</v>
      </c>
      <c r="I113" s="70">
        <v>0.2</v>
      </c>
      <c r="J113" s="70">
        <v>0.5</v>
      </c>
      <c r="K113" s="69">
        <v>9</v>
      </c>
      <c r="L113" s="69">
        <v>1.5</v>
      </c>
      <c r="M113" s="69" t="s">
        <v>958</v>
      </c>
      <c r="N113" s="69">
        <v>2000</v>
      </c>
      <c r="O113" s="69" t="s">
        <v>585</v>
      </c>
      <c r="P113" s="69">
        <v>359315</v>
      </c>
      <c r="Q113" s="92" t="s">
        <v>1084</v>
      </c>
      <c r="R113" s="92" t="s">
        <v>258</v>
      </c>
      <c r="S113" s="92"/>
    </row>
    <row r="114" spans="1:19" x14ac:dyDescent="0.2">
      <c r="A114" s="92" t="s">
        <v>642</v>
      </c>
      <c r="B114" s="69">
        <v>12</v>
      </c>
      <c r="C114" s="69">
        <v>9</v>
      </c>
      <c r="D114" s="69">
        <v>17</v>
      </c>
      <c r="E114" s="69">
        <v>17</v>
      </c>
      <c r="F114" s="69">
        <v>38</v>
      </c>
      <c r="G114" s="69">
        <v>42</v>
      </c>
      <c r="H114" s="69">
        <v>7.2</v>
      </c>
      <c r="I114" s="70">
        <v>0.21</v>
      </c>
      <c r="J114" s="70">
        <v>0.6</v>
      </c>
      <c r="K114" s="69">
        <v>8.4</v>
      </c>
      <c r="L114" s="69">
        <v>1.1000000000000001</v>
      </c>
      <c r="M114" s="69" t="s">
        <v>958</v>
      </c>
      <c r="N114" s="69">
        <v>2008</v>
      </c>
      <c r="O114" s="69" t="s">
        <v>585</v>
      </c>
      <c r="P114" s="69">
        <v>823096</v>
      </c>
      <c r="Q114" s="92" t="s">
        <v>633</v>
      </c>
      <c r="R114" s="92" t="s">
        <v>98</v>
      </c>
      <c r="S114" s="92"/>
    </row>
    <row r="115" spans="1:19" x14ac:dyDescent="0.2">
      <c r="A115" s="92" t="s">
        <v>119</v>
      </c>
      <c r="B115" s="69">
        <v>17</v>
      </c>
      <c r="C115" s="69">
        <v>7</v>
      </c>
      <c r="D115" s="69">
        <v>15</v>
      </c>
      <c r="E115" s="69">
        <v>25</v>
      </c>
      <c r="F115" s="69">
        <v>59</v>
      </c>
      <c r="G115" s="69">
        <v>64</v>
      </c>
      <c r="H115" s="69">
        <v>10.5</v>
      </c>
      <c r="I115" s="70">
        <v>0.21</v>
      </c>
      <c r="J115" s="70">
        <v>0.7</v>
      </c>
      <c r="K115" s="69">
        <v>7.7</v>
      </c>
      <c r="L115" s="69">
        <v>1.7</v>
      </c>
      <c r="M115" s="69" t="s">
        <v>958</v>
      </c>
      <c r="N115" s="69">
        <v>2000</v>
      </c>
      <c r="O115" s="69" t="s">
        <v>585</v>
      </c>
      <c r="P115" s="69">
        <v>399394</v>
      </c>
      <c r="Q115" s="92" t="s">
        <v>133</v>
      </c>
      <c r="R115" s="92" t="s">
        <v>109</v>
      </c>
      <c r="S115" s="92" t="s">
        <v>959</v>
      </c>
    </row>
    <row r="116" spans="1:19" x14ac:dyDescent="0.2">
      <c r="A116" s="92" t="s">
        <v>964</v>
      </c>
      <c r="B116" s="69">
        <v>18</v>
      </c>
      <c r="C116" s="69">
        <v>8</v>
      </c>
      <c r="D116" s="69">
        <v>16</v>
      </c>
      <c r="E116" s="69">
        <v>27</v>
      </c>
      <c r="F116" s="69"/>
      <c r="G116" s="69"/>
      <c r="H116" s="69"/>
      <c r="I116" s="70">
        <v>0.21</v>
      </c>
      <c r="J116" s="70">
        <v>0.5</v>
      </c>
      <c r="K116" s="69"/>
      <c r="L116" s="69"/>
      <c r="M116" s="69" t="s">
        <v>958</v>
      </c>
      <c r="N116" s="69">
        <v>2013</v>
      </c>
      <c r="O116" s="69" t="s">
        <v>585</v>
      </c>
      <c r="P116" s="69">
        <v>658997</v>
      </c>
      <c r="Q116" s="92" t="s">
        <v>1035</v>
      </c>
      <c r="R116" s="92" t="s">
        <v>109</v>
      </c>
      <c r="S116" s="92"/>
    </row>
    <row r="117" spans="1:19" x14ac:dyDescent="0.2">
      <c r="A117" s="92" t="s">
        <v>256</v>
      </c>
      <c r="B117" s="69">
        <v>10</v>
      </c>
      <c r="C117" s="69">
        <v>4</v>
      </c>
      <c r="D117" s="69">
        <v>8</v>
      </c>
      <c r="E117" s="69">
        <v>14</v>
      </c>
      <c r="F117" s="69">
        <v>35</v>
      </c>
      <c r="G117" s="69">
        <v>38</v>
      </c>
      <c r="H117" s="69">
        <v>6.7</v>
      </c>
      <c r="I117" s="70">
        <v>0.21</v>
      </c>
      <c r="J117" s="70">
        <v>0.51</v>
      </c>
      <c r="K117" s="69">
        <v>3.6</v>
      </c>
      <c r="L117" s="69">
        <v>2.2000000000000002</v>
      </c>
      <c r="M117" s="69" t="s">
        <v>958</v>
      </c>
      <c r="N117" s="69">
        <v>2000</v>
      </c>
      <c r="O117" s="69" t="s">
        <v>585</v>
      </c>
      <c r="P117" s="69">
        <v>850602</v>
      </c>
      <c r="Q117" s="92" t="s">
        <v>1035</v>
      </c>
      <c r="R117" s="92" t="s">
        <v>254</v>
      </c>
      <c r="S117" s="92"/>
    </row>
    <row r="118" spans="1:19" x14ac:dyDescent="0.2">
      <c r="A118" s="92" t="s">
        <v>965</v>
      </c>
      <c r="B118" s="69">
        <v>9</v>
      </c>
      <c r="C118" s="69">
        <v>0</v>
      </c>
      <c r="D118" s="69">
        <v>6</v>
      </c>
      <c r="E118" s="69">
        <v>17</v>
      </c>
      <c r="F118" s="69">
        <v>65</v>
      </c>
      <c r="G118" s="69">
        <v>83</v>
      </c>
      <c r="H118" s="69">
        <v>12.9</v>
      </c>
      <c r="I118" s="70">
        <v>0.21</v>
      </c>
      <c r="J118" s="70">
        <v>0.51</v>
      </c>
      <c r="K118" s="69">
        <v>13.1</v>
      </c>
      <c r="L118" s="69">
        <v>1.1000000000000001</v>
      </c>
      <c r="M118" s="69" t="s">
        <v>958</v>
      </c>
      <c r="N118" s="69">
        <v>2013</v>
      </c>
      <c r="O118" s="69" t="s">
        <v>585</v>
      </c>
      <c r="P118" s="69">
        <v>587337</v>
      </c>
      <c r="Q118" s="92" t="s">
        <v>1035</v>
      </c>
      <c r="R118" s="92" t="s">
        <v>562</v>
      </c>
      <c r="S118" s="92"/>
    </row>
    <row r="119" spans="1:19" x14ac:dyDescent="0.2">
      <c r="A119" s="92" t="s">
        <v>962</v>
      </c>
      <c r="B119" s="69">
        <v>20</v>
      </c>
      <c r="C119" s="69">
        <v>10</v>
      </c>
      <c r="D119" s="69">
        <v>17</v>
      </c>
      <c r="E119" s="69">
        <v>30</v>
      </c>
      <c r="F119" s="69">
        <v>93</v>
      </c>
      <c r="G119" s="69">
        <v>106</v>
      </c>
      <c r="H119" s="69">
        <v>15.5</v>
      </c>
      <c r="I119" s="70">
        <v>0.21</v>
      </c>
      <c r="J119" s="70">
        <v>0.51</v>
      </c>
      <c r="K119" s="69">
        <v>7.9</v>
      </c>
      <c r="L119" s="69">
        <v>2.5</v>
      </c>
      <c r="M119" s="69" t="s">
        <v>958</v>
      </c>
      <c r="N119" s="69">
        <v>2013</v>
      </c>
      <c r="O119" s="69" t="s">
        <v>585</v>
      </c>
      <c r="P119" s="69">
        <v>551507</v>
      </c>
      <c r="Q119" s="92" t="s">
        <v>1035</v>
      </c>
      <c r="R119" s="92" t="s">
        <v>72</v>
      </c>
      <c r="S119" s="92"/>
    </row>
    <row r="120" spans="1:19" x14ac:dyDescent="0.2">
      <c r="A120" s="92" t="s">
        <v>842</v>
      </c>
      <c r="B120" s="69">
        <v>6</v>
      </c>
      <c r="C120" s="69">
        <v>2</v>
      </c>
      <c r="D120" s="69">
        <v>5</v>
      </c>
      <c r="E120" s="69">
        <v>9</v>
      </c>
      <c r="F120" s="69">
        <v>21</v>
      </c>
      <c r="G120" s="69">
        <v>33</v>
      </c>
      <c r="H120" s="69">
        <v>5.8</v>
      </c>
      <c r="I120" s="70">
        <v>0.21</v>
      </c>
      <c r="J120" s="70">
        <v>0.56000000000000005</v>
      </c>
      <c r="K120" s="69">
        <v>2.2000000000000002</v>
      </c>
      <c r="L120" s="69">
        <v>2.2999999999999998</v>
      </c>
      <c r="M120" s="69" t="s">
        <v>958</v>
      </c>
      <c r="N120" s="69">
        <v>2000</v>
      </c>
      <c r="O120" s="69" t="s">
        <v>585</v>
      </c>
      <c r="P120" s="69">
        <v>502633</v>
      </c>
      <c r="Q120" s="92" t="s">
        <v>1084</v>
      </c>
      <c r="R120" s="92" t="s">
        <v>254</v>
      </c>
      <c r="S120" s="92"/>
    </row>
    <row r="121" spans="1:19" x14ac:dyDescent="0.2">
      <c r="A121" s="92" t="s">
        <v>1036</v>
      </c>
      <c r="B121" s="69">
        <v>0</v>
      </c>
      <c r="C121" s="69">
        <v>0</v>
      </c>
      <c r="D121" s="69">
        <v>0</v>
      </c>
      <c r="E121" s="69">
        <v>1</v>
      </c>
      <c r="F121" s="69">
        <v>2</v>
      </c>
      <c r="G121" s="69">
        <v>-5</v>
      </c>
      <c r="H121" s="69">
        <v>-1</v>
      </c>
      <c r="I121" s="70">
        <v>0.21</v>
      </c>
      <c r="J121" s="70">
        <v>0.76</v>
      </c>
      <c r="K121" s="69">
        <v>4.5999999999999996</v>
      </c>
      <c r="L121" s="69">
        <v>-0.2</v>
      </c>
      <c r="M121" s="69" t="s">
        <v>958</v>
      </c>
      <c r="N121" s="69">
        <v>2013</v>
      </c>
      <c r="O121" s="69" t="s">
        <v>585</v>
      </c>
      <c r="P121" s="69">
        <v>212621</v>
      </c>
      <c r="Q121" s="92" t="s">
        <v>1035</v>
      </c>
      <c r="R121" s="92" t="s">
        <v>478</v>
      </c>
      <c r="S121" s="92"/>
    </row>
    <row r="122" spans="1:19" x14ac:dyDescent="0.2">
      <c r="A122" s="92" t="s">
        <v>963</v>
      </c>
      <c r="B122" s="69">
        <v>12</v>
      </c>
      <c r="C122" s="69">
        <v>3</v>
      </c>
      <c r="D122" s="69">
        <v>9</v>
      </c>
      <c r="E122" s="69">
        <v>24</v>
      </c>
      <c r="F122" s="69">
        <v>61</v>
      </c>
      <c r="G122" s="69">
        <v>49</v>
      </c>
      <c r="H122" s="69">
        <v>8.1999999999999993</v>
      </c>
      <c r="I122" s="70">
        <v>0.21</v>
      </c>
      <c r="J122" s="70">
        <v>0.51</v>
      </c>
      <c r="K122" s="69">
        <v>9.6999999999999993</v>
      </c>
      <c r="L122" s="69">
        <v>1.4</v>
      </c>
      <c r="M122" s="69" t="s">
        <v>958</v>
      </c>
      <c r="N122" s="69">
        <v>2013</v>
      </c>
      <c r="O122" s="69" t="s">
        <v>585</v>
      </c>
      <c r="P122" s="69">
        <v>479840</v>
      </c>
      <c r="Q122" s="92" t="s">
        <v>1035</v>
      </c>
      <c r="R122" s="92" t="s">
        <v>67</v>
      </c>
      <c r="S122" s="92"/>
    </row>
    <row r="123" spans="1:19" x14ac:dyDescent="0.2">
      <c r="A123" s="92" t="s">
        <v>406</v>
      </c>
      <c r="B123" s="69">
        <v>9</v>
      </c>
      <c r="C123" s="69">
        <v>-1</v>
      </c>
      <c r="D123" s="69">
        <v>5</v>
      </c>
      <c r="E123" s="69">
        <v>16</v>
      </c>
      <c r="F123" s="69">
        <v>64</v>
      </c>
      <c r="G123" s="69">
        <v>79</v>
      </c>
      <c r="H123" s="69">
        <v>12.3</v>
      </c>
      <c r="I123" s="70">
        <v>0.21</v>
      </c>
      <c r="J123" s="70">
        <v>0.72</v>
      </c>
      <c r="K123" s="69">
        <v>13.6</v>
      </c>
      <c r="L123" s="69">
        <v>1.1000000000000001</v>
      </c>
      <c r="M123" s="69" t="s">
        <v>958</v>
      </c>
      <c r="N123" s="69">
        <v>2003</v>
      </c>
      <c r="O123" s="69" t="s">
        <v>585</v>
      </c>
      <c r="P123" s="69">
        <v>902783</v>
      </c>
      <c r="Q123" s="92" t="s">
        <v>133</v>
      </c>
      <c r="R123" s="92" t="s">
        <v>515</v>
      </c>
      <c r="S123" s="92" t="s">
        <v>959</v>
      </c>
    </row>
    <row r="124" spans="1:19" x14ac:dyDescent="0.2">
      <c r="A124" s="92" t="s">
        <v>105</v>
      </c>
      <c r="B124" s="90">
        <v>18</v>
      </c>
      <c r="C124" s="90">
        <v>12</v>
      </c>
      <c r="D124" s="90">
        <v>21</v>
      </c>
      <c r="E124" s="90">
        <v>23</v>
      </c>
      <c r="F124" s="69">
        <v>37</v>
      </c>
      <c r="G124" s="69">
        <v>45</v>
      </c>
      <c r="H124" s="69">
        <v>7.7</v>
      </c>
      <c r="I124" s="70">
        <v>0.21</v>
      </c>
      <c r="J124" s="70">
        <v>0.7</v>
      </c>
      <c r="K124" s="69">
        <v>12</v>
      </c>
      <c r="L124" s="69">
        <v>0.8</v>
      </c>
      <c r="M124" s="69" t="s">
        <v>958</v>
      </c>
      <c r="N124" s="69">
        <v>2000</v>
      </c>
      <c r="O124" s="69" t="s">
        <v>585</v>
      </c>
      <c r="P124" s="69">
        <v>471052</v>
      </c>
      <c r="Q124" s="92" t="s">
        <v>133</v>
      </c>
      <c r="R124" s="92" t="s">
        <v>98</v>
      </c>
      <c r="S124" s="92" t="s">
        <v>959</v>
      </c>
    </row>
    <row r="125" spans="1:19" x14ac:dyDescent="0.2">
      <c r="A125" s="92" t="s">
        <v>44</v>
      </c>
      <c r="B125" s="69">
        <v>10</v>
      </c>
      <c r="C125" s="69">
        <v>4</v>
      </c>
      <c r="D125" s="69">
        <v>8</v>
      </c>
      <c r="E125" s="69">
        <v>21</v>
      </c>
      <c r="F125" s="69">
        <v>60</v>
      </c>
      <c r="G125" s="69">
        <v>40</v>
      </c>
      <c r="H125" s="69">
        <v>7</v>
      </c>
      <c r="I125" s="70">
        <v>0.21</v>
      </c>
      <c r="J125" s="70">
        <v>0.7</v>
      </c>
      <c r="K125" s="69">
        <v>9.4</v>
      </c>
      <c r="L125" s="69">
        <v>1.4</v>
      </c>
      <c r="M125" s="69" t="s">
        <v>958</v>
      </c>
      <c r="N125" s="69">
        <v>2000</v>
      </c>
      <c r="O125" s="69" t="s">
        <v>585</v>
      </c>
      <c r="P125" s="69">
        <v>686030</v>
      </c>
      <c r="Q125" s="92" t="s">
        <v>133</v>
      </c>
      <c r="R125" s="92" t="s">
        <v>38</v>
      </c>
      <c r="S125" s="92" t="s">
        <v>959</v>
      </c>
    </row>
    <row r="126" spans="1:19" x14ac:dyDescent="0.2">
      <c r="A126" s="92" t="s">
        <v>176</v>
      </c>
      <c r="B126" s="90">
        <v>6</v>
      </c>
      <c r="C126" s="90">
        <v>8</v>
      </c>
      <c r="D126" s="90">
        <v>12</v>
      </c>
      <c r="E126" s="90">
        <v>10</v>
      </c>
      <c r="F126" s="69">
        <v>31</v>
      </c>
      <c r="G126" s="69">
        <v>6</v>
      </c>
      <c r="H126" s="69">
        <v>1.2</v>
      </c>
      <c r="I126" s="70">
        <v>0.21</v>
      </c>
      <c r="J126" s="70">
        <v>0.7</v>
      </c>
      <c r="K126" s="69">
        <v>12.2</v>
      </c>
      <c r="L126" s="69">
        <v>0.7</v>
      </c>
      <c r="M126" s="69" t="s">
        <v>958</v>
      </c>
      <c r="N126" s="69">
        <v>2000</v>
      </c>
      <c r="O126" s="69" t="s">
        <v>585</v>
      </c>
      <c r="P126" s="69">
        <v>506881</v>
      </c>
      <c r="Q126" s="92" t="s">
        <v>133</v>
      </c>
      <c r="R126" s="92" t="s">
        <v>170</v>
      </c>
      <c r="S126" s="92" t="s">
        <v>959</v>
      </c>
    </row>
    <row r="127" spans="1:19" x14ac:dyDescent="0.2">
      <c r="A127" s="92" t="s">
        <v>557</v>
      </c>
      <c r="B127" s="90">
        <v>10</v>
      </c>
      <c r="C127" s="90">
        <v>0</v>
      </c>
      <c r="D127" s="90">
        <v>7</v>
      </c>
      <c r="E127" s="90">
        <v>18</v>
      </c>
      <c r="F127" s="69">
        <v>68</v>
      </c>
      <c r="G127" s="69">
        <v>87</v>
      </c>
      <c r="H127" s="69">
        <v>13.4</v>
      </c>
      <c r="I127" s="70">
        <v>0.21</v>
      </c>
      <c r="J127" s="70">
        <v>0.7</v>
      </c>
      <c r="K127" s="69">
        <v>13.8</v>
      </c>
      <c r="L127" s="69">
        <v>1.1000000000000001</v>
      </c>
      <c r="M127" s="69" t="s">
        <v>958</v>
      </c>
      <c r="N127" s="69">
        <v>2000</v>
      </c>
      <c r="O127" s="69" t="s">
        <v>585</v>
      </c>
      <c r="P127" s="69">
        <v>721860</v>
      </c>
      <c r="Q127" s="92" t="s">
        <v>133</v>
      </c>
      <c r="R127" s="92" t="s">
        <v>515</v>
      </c>
      <c r="S127" s="92" t="s">
        <v>959</v>
      </c>
    </row>
    <row r="128" spans="1:19" x14ac:dyDescent="0.2">
      <c r="A128" s="92" t="s">
        <v>695</v>
      </c>
      <c r="B128" s="69">
        <v>10</v>
      </c>
      <c r="C128" s="69">
        <v>3</v>
      </c>
      <c r="D128" s="69">
        <v>9</v>
      </c>
      <c r="E128" s="69">
        <v>17</v>
      </c>
      <c r="F128" s="69"/>
      <c r="G128" s="69"/>
      <c r="H128" s="69"/>
      <c r="I128" s="70">
        <v>0.21</v>
      </c>
      <c r="J128" s="70">
        <v>0.44</v>
      </c>
      <c r="K128" s="69"/>
      <c r="L128" s="69"/>
      <c r="M128" s="69" t="s">
        <v>958</v>
      </c>
      <c r="N128" s="69">
        <v>2011</v>
      </c>
      <c r="O128" s="69" t="s">
        <v>585</v>
      </c>
      <c r="P128" s="69">
        <v>853374</v>
      </c>
      <c r="Q128" s="92" t="s">
        <v>685</v>
      </c>
      <c r="R128" s="92" t="s">
        <v>227</v>
      </c>
      <c r="S128" s="92"/>
    </row>
    <row r="129" spans="1:19" x14ac:dyDescent="0.2">
      <c r="A129" s="92" t="s">
        <v>97</v>
      </c>
      <c r="B129" s="69">
        <v>17</v>
      </c>
      <c r="C129" s="69">
        <v>8</v>
      </c>
      <c r="D129" s="69">
        <v>15</v>
      </c>
      <c r="E129" s="69">
        <v>26</v>
      </c>
      <c r="F129" s="69">
        <v>82</v>
      </c>
      <c r="G129" s="69">
        <v>91</v>
      </c>
      <c r="H129" s="69">
        <v>13.8</v>
      </c>
      <c r="I129" s="70">
        <v>0.21</v>
      </c>
      <c r="J129" s="70">
        <v>0.7</v>
      </c>
      <c r="K129" s="69">
        <v>7.7</v>
      </c>
      <c r="L129" s="69">
        <v>2.2000000000000002</v>
      </c>
      <c r="M129" s="69" t="s">
        <v>958</v>
      </c>
      <c r="N129" s="69">
        <v>2000</v>
      </c>
      <c r="O129" s="69" t="s">
        <v>585</v>
      </c>
      <c r="P129" s="69">
        <v>650200</v>
      </c>
      <c r="Q129" s="92" t="s">
        <v>133</v>
      </c>
      <c r="R129" s="92" t="s">
        <v>72</v>
      </c>
      <c r="S129" s="92" t="s">
        <v>959</v>
      </c>
    </row>
    <row r="130" spans="1:19" x14ac:dyDescent="0.2">
      <c r="A130" s="92" t="s">
        <v>200</v>
      </c>
      <c r="B130" s="69">
        <v>20</v>
      </c>
      <c r="C130" s="69">
        <v>11</v>
      </c>
      <c r="D130" s="69">
        <v>18</v>
      </c>
      <c r="E130" s="69">
        <v>34</v>
      </c>
      <c r="F130" s="69">
        <v>90</v>
      </c>
      <c r="G130" s="69">
        <v>102</v>
      </c>
      <c r="H130" s="69">
        <v>15.1</v>
      </c>
      <c r="I130" s="70">
        <v>0.21</v>
      </c>
      <c r="J130" s="70">
        <v>0.7</v>
      </c>
      <c r="K130" s="69">
        <v>8.4</v>
      </c>
      <c r="L130" s="69">
        <v>2.2999999999999998</v>
      </c>
      <c r="M130" s="69" t="s">
        <v>958</v>
      </c>
      <c r="N130" s="69">
        <v>2000</v>
      </c>
      <c r="O130" s="69" t="s">
        <v>585</v>
      </c>
      <c r="P130" s="69">
        <v>435222</v>
      </c>
      <c r="Q130" s="92" t="s">
        <v>133</v>
      </c>
      <c r="R130" s="92" t="s">
        <v>197</v>
      </c>
      <c r="S130" s="92" t="s">
        <v>959</v>
      </c>
    </row>
    <row r="131" spans="1:19" x14ac:dyDescent="0.2">
      <c r="A131" s="92" t="s">
        <v>224</v>
      </c>
      <c r="B131" s="69">
        <v>11</v>
      </c>
      <c r="C131" s="69">
        <v>4</v>
      </c>
      <c r="D131" s="69">
        <v>9</v>
      </c>
      <c r="E131" s="69">
        <v>17</v>
      </c>
      <c r="F131" s="69">
        <v>48</v>
      </c>
      <c r="G131" s="69">
        <v>58</v>
      </c>
      <c r="H131" s="69">
        <v>9.6</v>
      </c>
      <c r="I131" s="70">
        <v>0.21</v>
      </c>
      <c r="J131" s="70">
        <v>0.7</v>
      </c>
      <c r="K131" s="69">
        <v>5.8</v>
      </c>
      <c r="L131" s="69">
        <v>1.9</v>
      </c>
      <c r="M131" s="69" t="s">
        <v>958</v>
      </c>
      <c r="N131" s="69">
        <v>2000</v>
      </c>
      <c r="O131" s="69" t="s">
        <v>585</v>
      </c>
      <c r="P131" s="69">
        <v>542712</v>
      </c>
      <c r="Q131" s="92" t="s">
        <v>133</v>
      </c>
      <c r="R131" s="92" t="s">
        <v>219</v>
      </c>
      <c r="S131" s="92" t="s">
        <v>959</v>
      </c>
    </row>
    <row r="132" spans="1:19" x14ac:dyDescent="0.2">
      <c r="A132" s="92" t="s">
        <v>1053</v>
      </c>
      <c r="B132" s="69">
        <v>9</v>
      </c>
      <c r="C132" s="69">
        <v>-4</v>
      </c>
      <c r="D132" s="69">
        <v>4</v>
      </c>
      <c r="E132" s="69">
        <v>20</v>
      </c>
      <c r="F132" s="69">
        <v>78</v>
      </c>
      <c r="G132" s="69">
        <v>125</v>
      </c>
      <c r="H132" s="69">
        <v>17.600000000000001</v>
      </c>
      <c r="I132" s="70">
        <v>0.21</v>
      </c>
      <c r="J132" s="70">
        <v>0.6</v>
      </c>
      <c r="K132" s="69">
        <v>14.8</v>
      </c>
      <c r="L132" s="69">
        <v>1.2</v>
      </c>
      <c r="M132" s="69" t="s">
        <v>958</v>
      </c>
      <c r="N132" s="69">
        <v>2004</v>
      </c>
      <c r="O132" s="69" t="s">
        <v>585</v>
      </c>
      <c r="P132" s="69">
        <v>269357</v>
      </c>
      <c r="Q132" s="92" t="s">
        <v>633</v>
      </c>
      <c r="R132" s="92" t="s">
        <v>559</v>
      </c>
      <c r="S132" s="92"/>
    </row>
    <row r="133" spans="1:19" x14ac:dyDescent="0.2">
      <c r="A133" s="91" t="s">
        <v>1054</v>
      </c>
      <c r="B133" s="90"/>
      <c r="C133" s="90">
        <v>1</v>
      </c>
      <c r="D133" s="90"/>
      <c r="E133" s="90"/>
      <c r="F133" s="69"/>
      <c r="G133" s="69"/>
      <c r="H133" s="69"/>
      <c r="I133" s="70">
        <v>0.22</v>
      </c>
      <c r="J133" s="70">
        <v>0.84</v>
      </c>
      <c r="K133" s="69"/>
      <c r="L133" s="69"/>
      <c r="M133" s="69" t="s">
        <v>958</v>
      </c>
      <c r="N133" s="69">
        <v>2014</v>
      </c>
      <c r="O133" s="69" t="s">
        <v>585</v>
      </c>
      <c r="P133" s="69">
        <v>874560</v>
      </c>
      <c r="Q133" s="92" t="s">
        <v>1035</v>
      </c>
      <c r="R133" s="92" t="s">
        <v>478</v>
      </c>
      <c r="S133" s="92"/>
    </row>
    <row r="134" spans="1:19" x14ac:dyDescent="0.2">
      <c r="A134" s="92" t="s">
        <v>257</v>
      </c>
      <c r="B134" s="69">
        <v>10</v>
      </c>
      <c r="C134" s="69">
        <v>4</v>
      </c>
      <c r="D134" s="69">
        <v>9</v>
      </c>
      <c r="E134" s="69">
        <v>15</v>
      </c>
      <c r="F134" s="69">
        <v>41</v>
      </c>
      <c r="G134" s="69">
        <v>42</v>
      </c>
      <c r="H134" s="69">
        <v>7.3</v>
      </c>
      <c r="I134" s="70">
        <v>0.22</v>
      </c>
      <c r="J134" s="70">
        <v>0.54</v>
      </c>
      <c r="K134" s="69">
        <v>5</v>
      </c>
      <c r="L134" s="69">
        <v>1.9</v>
      </c>
      <c r="M134" s="69" t="s">
        <v>958</v>
      </c>
      <c r="N134" s="69">
        <v>2000</v>
      </c>
      <c r="O134" s="69" t="s">
        <v>585</v>
      </c>
      <c r="P134" s="69">
        <v>814772</v>
      </c>
      <c r="Q134" s="92" t="s">
        <v>1035</v>
      </c>
      <c r="R134" s="92" t="s">
        <v>254</v>
      </c>
      <c r="S134" s="92"/>
    </row>
    <row r="135" spans="1:19" x14ac:dyDescent="0.2">
      <c r="A135" s="92" t="s">
        <v>80</v>
      </c>
      <c r="B135" s="69">
        <v>5</v>
      </c>
      <c r="C135" s="69">
        <v>2</v>
      </c>
      <c r="D135" s="69">
        <v>3</v>
      </c>
      <c r="E135" s="69">
        <v>7</v>
      </c>
      <c r="F135" s="69">
        <v>13</v>
      </c>
      <c r="G135" s="69">
        <v>23</v>
      </c>
      <c r="H135" s="69">
        <v>4.2</v>
      </c>
      <c r="I135" s="70">
        <v>0.22</v>
      </c>
      <c r="J135" s="70">
        <v>0.8</v>
      </c>
      <c r="K135" s="69">
        <v>2.5</v>
      </c>
      <c r="L135" s="69">
        <v>1</v>
      </c>
      <c r="M135" s="69" t="s">
        <v>958</v>
      </c>
      <c r="N135" s="69">
        <v>2000</v>
      </c>
      <c r="O135" s="69" t="s">
        <v>485</v>
      </c>
      <c r="P135" s="69">
        <v>682377</v>
      </c>
      <c r="Q135" s="92" t="s">
        <v>521</v>
      </c>
      <c r="R135" s="92" t="s">
        <v>412</v>
      </c>
      <c r="S135" s="92"/>
    </row>
    <row r="136" spans="1:19" x14ac:dyDescent="0.2">
      <c r="A136" s="92" t="s">
        <v>934</v>
      </c>
      <c r="B136" s="69">
        <v>20</v>
      </c>
      <c r="C136" s="69">
        <v>11</v>
      </c>
      <c r="D136" s="69">
        <v>18</v>
      </c>
      <c r="E136" s="69">
        <v>31</v>
      </c>
      <c r="F136" s="69"/>
      <c r="G136" s="69"/>
      <c r="H136" s="69"/>
      <c r="I136" s="70">
        <v>0.22</v>
      </c>
      <c r="J136" s="70">
        <v>0.41</v>
      </c>
      <c r="K136" s="69"/>
      <c r="L136" s="69"/>
      <c r="M136" s="69" t="s">
        <v>958</v>
      </c>
      <c r="N136" s="69">
        <v>2013</v>
      </c>
      <c r="O136" s="69" t="s">
        <v>585</v>
      </c>
      <c r="P136" s="69">
        <v>256362</v>
      </c>
      <c r="Q136" s="92" t="s">
        <v>524</v>
      </c>
      <c r="R136" s="92" t="s">
        <v>72</v>
      </c>
      <c r="S136" s="92" t="s">
        <v>959</v>
      </c>
    </row>
    <row r="137" spans="1:19" x14ac:dyDescent="0.2">
      <c r="A137" s="92" t="s">
        <v>935</v>
      </c>
      <c r="B137" s="69">
        <v>9</v>
      </c>
      <c r="C137" s="69">
        <v>0</v>
      </c>
      <c r="D137" s="69">
        <v>6</v>
      </c>
      <c r="E137" s="69">
        <v>17</v>
      </c>
      <c r="F137" s="69"/>
      <c r="G137" s="69"/>
      <c r="H137" s="69"/>
      <c r="I137" s="70">
        <v>0.22</v>
      </c>
      <c r="J137" s="70">
        <v>0.4</v>
      </c>
      <c r="K137" s="69"/>
      <c r="L137" s="69"/>
      <c r="M137" s="69" t="s">
        <v>958</v>
      </c>
      <c r="N137" s="69">
        <v>2013</v>
      </c>
      <c r="O137" s="69" t="s">
        <v>585</v>
      </c>
      <c r="P137" s="69">
        <v>292193</v>
      </c>
      <c r="Q137" s="92" t="s">
        <v>524</v>
      </c>
      <c r="R137" s="92" t="s">
        <v>562</v>
      </c>
      <c r="S137" s="92" t="s">
        <v>959</v>
      </c>
    </row>
    <row r="138" spans="1:19" x14ac:dyDescent="0.2">
      <c r="A138" s="92" t="s">
        <v>415</v>
      </c>
      <c r="B138" s="69">
        <v>5</v>
      </c>
      <c r="C138" s="69">
        <v>2</v>
      </c>
      <c r="D138" s="69">
        <v>4</v>
      </c>
      <c r="E138" s="69">
        <v>7</v>
      </c>
      <c r="F138" s="69">
        <v>11</v>
      </c>
      <c r="G138" s="69">
        <v>19</v>
      </c>
      <c r="H138" s="69">
        <v>3.5</v>
      </c>
      <c r="I138" s="70">
        <v>0.22</v>
      </c>
      <c r="J138" s="70">
        <v>0.5</v>
      </c>
      <c r="K138" s="69">
        <v>2.2000000000000002</v>
      </c>
      <c r="L138" s="69">
        <v>0.9</v>
      </c>
      <c r="M138" s="69" t="s">
        <v>958</v>
      </c>
      <c r="N138" s="69">
        <v>2002</v>
      </c>
      <c r="O138" s="69" t="s">
        <v>585</v>
      </c>
      <c r="P138" s="69">
        <v>807453</v>
      </c>
      <c r="Q138" s="92" t="s">
        <v>616</v>
      </c>
      <c r="R138" s="92" t="s">
        <v>412</v>
      </c>
      <c r="S138" s="92"/>
    </row>
    <row r="139" spans="1:19" x14ac:dyDescent="0.2">
      <c r="A139" s="92" t="s">
        <v>779</v>
      </c>
      <c r="B139" s="69">
        <v>20</v>
      </c>
      <c r="C139" s="69">
        <v>10</v>
      </c>
      <c r="D139" s="69">
        <v>17</v>
      </c>
      <c r="E139" s="69">
        <v>30</v>
      </c>
      <c r="F139" s="69"/>
      <c r="G139" s="69"/>
      <c r="H139" s="69"/>
      <c r="I139" s="70">
        <v>0.22</v>
      </c>
      <c r="J139" s="70">
        <v>0.42</v>
      </c>
      <c r="K139" s="69"/>
      <c r="L139" s="69"/>
      <c r="M139" s="69" t="s">
        <v>958</v>
      </c>
      <c r="N139" s="69">
        <v>2012</v>
      </c>
      <c r="O139" s="69" t="s">
        <v>585</v>
      </c>
      <c r="P139" s="69">
        <v>316513</v>
      </c>
      <c r="Q139" s="92" t="s">
        <v>528</v>
      </c>
      <c r="R139" s="92" t="s">
        <v>72</v>
      </c>
      <c r="S139" s="92"/>
    </row>
    <row r="140" spans="1:19" x14ac:dyDescent="0.2">
      <c r="A140" s="92" t="s">
        <v>780</v>
      </c>
      <c r="B140" s="69">
        <v>9</v>
      </c>
      <c r="C140" s="69">
        <v>0</v>
      </c>
      <c r="D140" s="69">
        <v>6</v>
      </c>
      <c r="E140" s="69">
        <v>17</v>
      </c>
      <c r="F140" s="69"/>
      <c r="G140" s="69"/>
      <c r="H140" s="69"/>
      <c r="I140" s="70">
        <v>0.22</v>
      </c>
      <c r="J140" s="70">
        <v>0.41</v>
      </c>
      <c r="K140" s="69"/>
      <c r="L140" s="69"/>
      <c r="M140" s="69" t="s">
        <v>958</v>
      </c>
      <c r="N140" s="69">
        <v>2012</v>
      </c>
      <c r="O140" s="69" t="s">
        <v>585</v>
      </c>
      <c r="P140" s="69">
        <v>683318</v>
      </c>
      <c r="Q140" s="92" t="s">
        <v>528</v>
      </c>
      <c r="R140" s="92" t="s">
        <v>562</v>
      </c>
      <c r="S140" s="92"/>
    </row>
    <row r="141" spans="1:19" x14ac:dyDescent="0.2">
      <c r="A141" s="92" t="s">
        <v>354</v>
      </c>
      <c r="B141" s="69">
        <v>18</v>
      </c>
      <c r="C141" s="69">
        <v>8</v>
      </c>
      <c r="D141" s="69">
        <v>17</v>
      </c>
      <c r="E141" s="69">
        <v>27</v>
      </c>
      <c r="F141" s="69">
        <v>69</v>
      </c>
      <c r="G141" s="69">
        <v>80</v>
      </c>
      <c r="H141" s="69">
        <v>12.4</v>
      </c>
      <c r="I141" s="70">
        <v>0.22</v>
      </c>
      <c r="J141" s="70">
        <v>0.52</v>
      </c>
      <c r="K141" s="69">
        <v>6.8</v>
      </c>
      <c r="L141" s="69">
        <v>2.2000000000000002</v>
      </c>
      <c r="M141" s="69" t="s">
        <v>958</v>
      </c>
      <c r="N141" s="69">
        <v>2000</v>
      </c>
      <c r="O141" s="69" t="s">
        <v>585</v>
      </c>
      <c r="P141" s="69">
        <v>901017</v>
      </c>
      <c r="Q141" s="92" t="s">
        <v>616</v>
      </c>
      <c r="R141" s="92" t="s">
        <v>258</v>
      </c>
      <c r="S141" s="92"/>
    </row>
    <row r="142" spans="1:19" x14ac:dyDescent="0.2">
      <c r="A142" s="92" t="s">
        <v>355</v>
      </c>
      <c r="B142" s="69">
        <v>18</v>
      </c>
      <c r="C142" s="69">
        <v>8</v>
      </c>
      <c r="D142" s="69">
        <v>17</v>
      </c>
      <c r="E142" s="69">
        <v>27</v>
      </c>
      <c r="F142" s="69">
        <v>69</v>
      </c>
      <c r="G142" s="69">
        <v>79</v>
      </c>
      <c r="H142" s="69">
        <v>12.4</v>
      </c>
      <c r="I142" s="70">
        <v>0.22</v>
      </c>
      <c r="J142" s="70">
        <v>0.52</v>
      </c>
      <c r="K142" s="69">
        <v>6.8</v>
      </c>
      <c r="L142" s="69">
        <v>2.2000000000000002</v>
      </c>
      <c r="M142" s="69" t="s">
        <v>958</v>
      </c>
      <c r="N142" s="69">
        <v>2000</v>
      </c>
      <c r="O142" s="69" t="s">
        <v>585</v>
      </c>
      <c r="P142" s="69">
        <v>829358</v>
      </c>
      <c r="Q142" s="92" t="s">
        <v>616</v>
      </c>
      <c r="R142" s="92" t="s">
        <v>353</v>
      </c>
      <c r="S142" s="92"/>
    </row>
    <row r="143" spans="1:19" x14ac:dyDescent="0.2">
      <c r="A143" s="92" t="s">
        <v>416</v>
      </c>
      <c r="B143" s="69">
        <v>1</v>
      </c>
      <c r="C143" s="69">
        <v>0</v>
      </c>
      <c r="D143" s="69">
        <v>1</v>
      </c>
      <c r="E143" s="69">
        <v>2</v>
      </c>
      <c r="F143" s="69">
        <v>6</v>
      </c>
      <c r="G143" s="69">
        <v>7</v>
      </c>
      <c r="H143" s="69">
        <v>1.3</v>
      </c>
      <c r="I143" s="70">
        <v>0.22</v>
      </c>
      <c r="J143" s="70">
        <v>0.5</v>
      </c>
      <c r="K143" s="69">
        <v>0.5</v>
      </c>
      <c r="L143" s="69">
        <v>0.7</v>
      </c>
      <c r="M143" s="69" t="s">
        <v>958</v>
      </c>
      <c r="N143" s="69">
        <v>2005</v>
      </c>
      <c r="O143" s="69" t="s">
        <v>585</v>
      </c>
      <c r="P143" s="69">
        <v>413260</v>
      </c>
      <c r="Q143" s="92" t="s">
        <v>616</v>
      </c>
      <c r="R143" s="92" t="s">
        <v>412</v>
      </c>
      <c r="S143" s="92"/>
    </row>
    <row r="144" spans="1:19" x14ac:dyDescent="0.2">
      <c r="A144" s="92" t="s">
        <v>694</v>
      </c>
      <c r="B144" s="69">
        <v>12</v>
      </c>
      <c r="C144" s="69">
        <v>4</v>
      </c>
      <c r="D144" s="69">
        <v>12</v>
      </c>
      <c r="E144" s="69">
        <v>23</v>
      </c>
      <c r="F144" s="69"/>
      <c r="G144" s="69"/>
      <c r="H144" s="69"/>
      <c r="I144" s="70">
        <v>0.22</v>
      </c>
      <c r="J144" s="70">
        <v>0.49</v>
      </c>
      <c r="K144" s="69"/>
      <c r="L144" s="69"/>
      <c r="M144" s="69" t="s">
        <v>958</v>
      </c>
      <c r="N144" s="69">
        <v>2011</v>
      </c>
      <c r="O144" s="69" t="s">
        <v>585</v>
      </c>
      <c r="P144" s="69">
        <v>889204</v>
      </c>
      <c r="Q144" s="92" t="s">
        <v>685</v>
      </c>
      <c r="R144" s="92" t="s">
        <v>227</v>
      </c>
      <c r="S144" s="92"/>
    </row>
    <row r="145" spans="1:19" x14ac:dyDescent="0.2">
      <c r="A145" s="92" t="s">
        <v>23</v>
      </c>
      <c r="B145" s="69">
        <v>8</v>
      </c>
      <c r="C145" s="69">
        <v>4</v>
      </c>
      <c r="D145" s="69">
        <v>6</v>
      </c>
      <c r="E145" s="69">
        <v>10</v>
      </c>
      <c r="F145" s="69">
        <v>7</v>
      </c>
      <c r="G145" s="69">
        <v>6</v>
      </c>
      <c r="H145" s="69">
        <v>1.1000000000000001</v>
      </c>
      <c r="I145" s="70">
        <v>0.23</v>
      </c>
      <c r="J145" s="70">
        <v>0.5</v>
      </c>
      <c r="K145" s="69">
        <v>5.2</v>
      </c>
      <c r="L145" s="69">
        <v>0.2</v>
      </c>
      <c r="M145" s="69" t="s">
        <v>958</v>
      </c>
      <c r="N145" s="69">
        <v>2007</v>
      </c>
      <c r="O145" s="69" t="s">
        <v>585</v>
      </c>
      <c r="P145" s="69">
        <v>554691</v>
      </c>
      <c r="Q145" s="92" t="s">
        <v>649</v>
      </c>
      <c r="R145" s="92" t="s">
        <v>412</v>
      </c>
      <c r="S145" s="92"/>
    </row>
    <row r="146" spans="1:19" x14ac:dyDescent="0.2">
      <c r="A146" s="92" t="s">
        <v>352</v>
      </c>
      <c r="B146" s="69">
        <v>12</v>
      </c>
      <c r="C146" s="69">
        <v>5</v>
      </c>
      <c r="D146" s="69">
        <v>10</v>
      </c>
      <c r="E146" s="69">
        <v>17</v>
      </c>
      <c r="F146" s="69">
        <v>43</v>
      </c>
      <c r="G146" s="69">
        <v>54</v>
      </c>
      <c r="H146" s="69">
        <v>9</v>
      </c>
      <c r="I146" s="70">
        <v>0.23</v>
      </c>
      <c r="J146" s="70">
        <v>0.53</v>
      </c>
      <c r="K146" s="69">
        <v>4.3</v>
      </c>
      <c r="L146" s="69">
        <v>2.2999999999999998</v>
      </c>
      <c r="M146" s="69" t="s">
        <v>958</v>
      </c>
      <c r="N146" s="69">
        <v>2000</v>
      </c>
      <c r="O146" s="69" t="s">
        <v>585</v>
      </c>
      <c r="P146" s="69">
        <v>972679</v>
      </c>
      <c r="Q146" s="92" t="s">
        <v>616</v>
      </c>
      <c r="R146" s="92" t="s">
        <v>254</v>
      </c>
      <c r="S146" s="92"/>
    </row>
    <row r="147" spans="1:19" x14ac:dyDescent="0.2">
      <c r="A147" s="92" t="s">
        <v>261</v>
      </c>
      <c r="B147" s="69">
        <v>15</v>
      </c>
      <c r="C147" s="69">
        <v>6</v>
      </c>
      <c r="D147" s="69">
        <v>14</v>
      </c>
      <c r="E147" s="69">
        <v>23</v>
      </c>
      <c r="F147" s="69">
        <v>62</v>
      </c>
      <c r="G147" s="69">
        <v>60</v>
      </c>
      <c r="H147" s="69">
        <v>9.8000000000000007</v>
      </c>
      <c r="I147" s="70">
        <v>0.23</v>
      </c>
      <c r="J147" s="70">
        <v>0.62</v>
      </c>
      <c r="K147" s="69">
        <v>8.6</v>
      </c>
      <c r="L147" s="69">
        <v>1.6</v>
      </c>
      <c r="M147" s="69" t="s">
        <v>958</v>
      </c>
      <c r="N147" s="69">
        <v>2000</v>
      </c>
      <c r="O147" s="69" t="s">
        <v>585</v>
      </c>
      <c r="P147" s="69">
        <v>743112</v>
      </c>
      <c r="Q147" s="92" t="s">
        <v>1035</v>
      </c>
      <c r="R147" s="92" t="s">
        <v>258</v>
      </c>
      <c r="S147" s="92"/>
    </row>
    <row r="148" spans="1:19" x14ac:dyDescent="0.2">
      <c r="A148" s="92" t="s">
        <v>367</v>
      </c>
      <c r="B148" s="69">
        <v>15</v>
      </c>
      <c r="C148" s="69">
        <v>6</v>
      </c>
      <c r="D148" s="69">
        <v>14</v>
      </c>
      <c r="E148" s="69">
        <v>23</v>
      </c>
      <c r="F148" s="69">
        <v>61</v>
      </c>
      <c r="G148" s="69">
        <v>60</v>
      </c>
      <c r="H148" s="69">
        <v>9.8000000000000007</v>
      </c>
      <c r="I148" s="70">
        <v>0.23</v>
      </c>
      <c r="J148" s="70">
        <v>0.62</v>
      </c>
      <c r="K148" s="69">
        <v>8.6</v>
      </c>
      <c r="L148" s="69">
        <v>1.6</v>
      </c>
      <c r="M148" s="69" t="s">
        <v>958</v>
      </c>
      <c r="N148" s="69">
        <v>2000</v>
      </c>
      <c r="O148" s="69" t="s">
        <v>585</v>
      </c>
      <c r="P148" s="69">
        <v>707281</v>
      </c>
      <c r="Q148" s="92" t="s">
        <v>1035</v>
      </c>
      <c r="R148" s="92" t="s">
        <v>258</v>
      </c>
      <c r="S148" s="92"/>
    </row>
    <row r="149" spans="1:19" x14ac:dyDescent="0.2">
      <c r="A149" s="92" t="s">
        <v>366</v>
      </c>
      <c r="B149" s="69">
        <v>15</v>
      </c>
      <c r="C149" s="69">
        <v>6</v>
      </c>
      <c r="D149" s="69">
        <v>14</v>
      </c>
      <c r="E149" s="69">
        <v>23</v>
      </c>
      <c r="F149" s="69">
        <v>61</v>
      </c>
      <c r="G149" s="69">
        <v>60</v>
      </c>
      <c r="H149" s="69">
        <v>9.8000000000000007</v>
      </c>
      <c r="I149" s="70">
        <v>0.23</v>
      </c>
      <c r="J149" s="70">
        <v>0.62</v>
      </c>
      <c r="K149" s="69">
        <v>8.6</v>
      </c>
      <c r="L149" s="69">
        <v>1.6</v>
      </c>
      <c r="M149" s="69" t="s">
        <v>958</v>
      </c>
      <c r="N149" s="69">
        <v>2000</v>
      </c>
      <c r="O149" s="69" t="s">
        <v>585</v>
      </c>
      <c r="P149" s="69">
        <v>671453</v>
      </c>
      <c r="Q149" s="92" t="s">
        <v>1035</v>
      </c>
      <c r="R149" s="92" t="s">
        <v>353</v>
      </c>
      <c r="S149" s="92"/>
    </row>
    <row r="150" spans="1:19" x14ac:dyDescent="0.2">
      <c r="A150" s="92" t="s">
        <v>363</v>
      </c>
      <c r="B150" s="69">
        <v>15</v>
      </c>
      <c r="C150" s="69">
        <v>6</v>
      </c>
      <c r="D150" s="69">
        <v>14</v>
      </c>
      <c r="E150" s="69">
        <v>23</v>
      </c>
      <c r="F150" s="69">
        <v>61</v>
      </c>
      <c r="G150" s="69">
        <v>60</v>
      </c>
      <c r="H150" s="69">
        <v>9.8000000000000007</v>
      </c>
      <c r="I150" s="70">
        <v>0.23</v>
      </c>
      <c r="J150" s="70">
        <v>0.62</v>
      </c>
      <c r="K150" s="69">
        <v>8.6</v>
      </c>
      <c r="L150" s="69">
        <v>1.6</v>
      </c>
      <c r="M150" s="69" t="s">
        <v>958</v>
      </c>
      <c r="N150" s="69">
        <v>2000</v>
      </c>
      <c r="O150" s="69" t="s">
        <v>585</v>
      </c>
      <c r="P150" s="69">
        <v>635623</v>
      </c>
      <c r="Q150" s="92" t="s">
        <v>1035</v>
      </c>
      <c r="R150" s="92" t="s">
        <v>353</v>
      </c>
      <c r="S150" s="92"/>
    </row>
    <row r="151" spans="1:19" x14ac:dyDescent="0.2">
      <c r="A151" s="92" t="s">
        <v>362</v>
      </c>
      <c r="B151" s="69">
        <v>15</v>
      </c>
      <c r="C151" s="69">
        <v>6</v>
      </c>
      <c r="D151" s="69">
        <v>14</v>
      </c>
      <c r="E151" s="69">
        <v>23</v>
      </c>
      <c r="F151" s="69">
        <v>61</v>
      </c>
      <c r="G151" s="69">
        <v>59</v>
      </c>
      <c r="H151" s="69">
        <v>9.6999999999999993</v>
      </c>
      <c r="I151" s="70">
        <v>0.23</v>
      </c>
      <c r="J151" s="70">
        <v>0.62</v>
      </c>
      <c r="K151" s="69">
        <v>8.6</v>
      </c>
      <c r="L151" s="69">
        <v>1.6</v>
      </c>
      <c r="M151" s="69" t="s">
        <v>958</v>
      </c>
      <c r="N151" s="69">
        <v>2001</v>
      </c>
      <c r="O151" s="69" t="s">
        <v>585</v>
      </c>
      <c r="P151" s="69">
        <v>832360</v>
      </c>
      <c r="Q151" s="92" t="s">
        <v>1035</v>
      </c>
      <c r="R151" s="92" t="s">
        <v>353</v>
      </c>
      <c r="S151" s="87"/>
    </row>
    <row r="152" spans="1:19" x14ac:dyDescent="0.2">
      <c r="A152" s="92" t="s">
        <v>792</v>
      </c>
      <c r="B152" s="69">
        <v>5</v>
      </c>
      <c r="C152" s="69">
        <v>2</v>
      </c>
      <c r="D152" s="69">
        <v>5</v>
      </c>
      <c r="E152" s="69">
        <v>9</v>
      </c>
      <c r="F152" s="69">
        <v>11</v>
      </c>
      <c r="G152" s="69">
        <v>4</v>
      </c>
      <c r="H152" s="69">
        <v>0.7</v>
      </c>
      <c r="I152" s="70">
        <v>0.23</v>
      </c>
      <c r="J152" s="70">
        <v>0.55000000000000004</v>
      </c>
      <c r="K152" s="69">
        <v>4.9000000000000004</v>
      </c>
      <c r="L152" s="69">
        <v>0.4</v>
      </c>
      <c r="M152" s="69" t="s">
        <v>960</v>
      </c>
      <c r="N152" s="69">
        <v>2001</v>
      </c>
      <c r="O152" s="69" t="s">
        <v>485</v>
      </c>
      <c r="P152" s="69">
        <v>621631</v>
      </c>
      <c r="Q152" s="92" t="s">
        <v>596</v>
      </c>
      <c r="R152" s="92" t="s">
        <v>469</v>
      </c>
      <c r="S152" s="92"/>
    </row>
    <row r="153" spans="1:19" x14ac:dyDescent="0.2">
      <c r="A153" s="92" t="s">
        <v>843</v>
      </c>
      <c r="B153" s="69">
        <v>16</v>
      </c>
      <c r="C153" s="69">
        <v>7</v>
      </c>
      <c r="D153" s="69">
        <v>14</v>
      </c>
      <c r="E153" s="69">
        <v>25</v>
      </c>
      <c r="F153" s="69"/>
      <c r="G153" s="69"/>
      <c r="H153" s="69"/>
      <c r="I153" s="70">
        <v>0.23</v>
      </c>
      <c r="J153" s="70">
        <v>0.76</v>
      </c>
      <c r="K153" s="69"/>
      <c r="L153" s="69"/>
      <c r="M153" s="69" t="s">
        <v>958</v>
      </c>
      <c r="N153" s="69">
        <v>2012</v>
      </c>
      <c r="O153" s="69" t="s">
        <v>585</v>
      </c>
      <c r="P153" s="69">
        <v>184119</v>
      </c>
      <c r="Q153" s="92" t="s">
        <v>622</v>
      </c>
      <c r="R153" s="92" t="s">
        <v>109</v>
      </c>
      <c r="S153" s="92" t="s">
        <v>959</v>
      </c>
    </row>
    <row r="154" spans="1:19" x14ac:dyDescent="0.2">
      <c r="A154" s="92" t="s">
        <v>915</v>
      </c>
      <c r="B154" s="69">
        <v>12</v>
      </c>
      <c r="C154" s="69">
        <v>3</v>
      </c>
      <c r="D154" s="69">
        <v>10</v>
      </c>
      <c r="E154" s="69">
        <v>24</v>
      </c>
      <c r="F154" s="69">
        <v>59</v>
      </c>
      <c r="G154" s="69">
        <v>41</v>
      </c>
      <c r="H154" s="69">
        <v>7.1</v>
      </c>
      <c r="I154" s="70">
        <v>0.23</v>
      </c>
      <c r="J154" s="70">
        <v>0.44</v>
      </c>
      <c r="K154" s="69">
        <v>10.6</v>
      </c>
      <c r="L154" s="69">
        <v>1.2</v>
      </c>
      <c r="M154" s="69" t="s">
        <v>958</v>
      </c>
      <c r="N154" s="69">
        <v>2000</v>
      </c>
      <c r="O154" s="69" t="s">
        <v>585</v>
      </c>
      <c r="P154" s="69">
        <v>654459</v>
      </c>
      <c r="Q154" s="92" t="s">
        <v>524</v>
      </c>
      <c r="R154" s="92" t="s">
        <v>67</v>
      </c>
      <c r="S154" s="87" t="s">
        <v>959</v>
      </c>
    </row>
    <row r="155" spans="1:19" x14ac:dyDescent="0.2">
      <c r="A155" s="92" t="s">
        <v>1000</v>
      </c>
      <c r="B155" s="69">
        <v>17</v>
      </c>
      <c r="C155" s="69">
        <v>9</v>
      </c>
      <c r="D155" s="69">
        <v>16</v>
      </c>
      <c r="E155" s="69"/>
      <c r="F155" s="69"/>
      <c r="G155" s="69"/>
      <c r="H155" s="69"/>
      <c r="I155" s="70">
        <v>0.23</v>
      </c>
      <c r="J155" s="70">
        <v>0.44</v>
      </c>
      <c r="K155" s="69"/>
      <c r="L155" s="69"/>
      <c r="M155" s="69" t="s">
        <v>958</v>
      </c>
      <c r="N155" s="69">
        <v>2013</v>
      </c>
      <c r="O155" s="69" t="s">
        <v>585</v>
      </c>
      <c r="P155" s="69">
        <v>545426</v>
      </c>
      <c r="Q155" s="92" t="s">
        <v>524</v>
      </c>
      <c r="R155" s="92" t="s">
        <v>109</v>
      </c>
      <c r="S155" s="92" t="s">
        <v>959</v>
      </c>
    </row>
    <row r="156" spans="1:19" x14ac:dyDescent="0.2">
      <c r="A156" s="92" t="s">
        <v>417</v>
      </c>
      <c r="B156" s="69">
        <v>6</v>
      </c>
      <c r="C156" s="69">
        <v>2</v>
      </c>
      <c r="D156" s="69">
        <v>4</v>
      </c>
      <c r="E156" s="69">
        <v>8</v>
      </c>
      <c r="F156" s="69">
        <v>12</v>
      </c>
      <c r="G156" s="69">
        <v>25</v>
      </c>
      <c r="H156" s="69">
        <v>4.5999999999999996</v>
      </c>
      <c r="I156" s="70">
        <v>0.23</v>
      </c>
      <c r="J156" s="70">
        <v>0.6</v>
      </c>
      <c r="K156" s="69">
        <v>3.4</v>
      </c>
      <c r="L156" s="69">
        <v>0.7</v>
      </c>
      <c r="M156" s="69" t="s">
        <v>958</v>
      </c>
      <c r="N156" s="69">
        <v>2000</v>
      </c>
      <c r="O156" s="69" t="s">
        <v>585</v>
      </c>
      <c r="P156" s="69">
        <v>726117</v>
      </c>
      <c r="Q156" s="92" t="s">
        <v>524</v>
      </c>
      <c r="R156" s="92" t="s">
        <v>412</v>
      </c>
      <c r="S156" s="92" t="s">
        <v>959</v>
      </c>
    </row>
    <row r="157" spans="1:19" x14ac:dyDescent="0.2">
      <c r="A157" s="92" t="s">
        <v>468</v>
      </c>
      <c r="B157" s="69">
        <v>8</v>
      </c>
      <c r="C157" s="69">
        <v>4</v>
      </c>
      <c r="D157" s="69">
        <v>7</v>
      </c>
      <c r="E157" s="69">
        <v>7</v>
      </c>
      <c r="F157" s="69">
        <v>5</v>
      </c>
      <c r="G157" s="69">
        <v>18</v>
      </c>
      <c r="H157" s="69">
        <v>3.4</v>
      </c>
      <c r="I157" s="70">
        <v>0.23</v>
      </c>
      <c r="J157" s="70">
        <v>0.6</v>
      </c>
      <c r="K157" s="69">
        <v>4.0999999999999996</v>
      </c>
      <c r="L157" s="69">
        <v>0.1</v>
      </c>
      <c r="M157" s="69" t="s">
        <v>958</v>
      </c>
      <c r="N157" s="69">
        <v>2001</v>
      </c>
      <c r="O157" s="69" t="s">
        <v>585</v>
      </c>
      <c r="P157" s="69">
        <v>469817</v>
      </c>
      <c r="Q157" s="92" t="s">
        <v>524</v>
      </c>
      <c r="R157" s="92" t="s">
        <v>465</v>
      </c>
      <c r="S157" s="92" t="s">
        <v>959</v>
      </c>
    </row>
    <row r="158" spans="1:19" x14ac:dyDescent="0.2">
      <c r="A158" s="92" t="s">
        <v>1003</v>
      </c>
      <c r="B158" s="69">
        <v>19</v>
      </c>
      <c r="C158" s="69">
        <v>7</v>
      </c>
      <c r="D158" s="69">
        <v>17</v>
      </c>
      <c r="E158" s="69"/>
      <c r="F158" s="69"/>
      <c r="G158" s="69"/>
      <c r="H158" s="69"/>
      <c r="I158" s="70">
        <v>0.23</v>
      </c>
      <c r="J158" s="70">
        <v>0.71</v>
      </c>
      <c r="K158" s="69"/>
      <c r="L158" s="69"/>
      <c r="M158" s="69" t="s">
        <v>958</v>
      </c>
      <c r="N158" s="69">
        <v>2013</v>
      </c>
      <c r="O158" s="69" t="s">
        <v>585</v>
      </c>
      <c r="P158" s="69">
        <v>912220</v>
      </c>
      <c r="Q158" s="92" t="s">
        <v>622</v>
      </c>
      <c r="R158" s="92" t="s">
        <v>109</v>
      </c>
      <c r="S158" s="92" t="s">
        <v>959</v>
      </c>
    </row>
    <row r="159" spans="1:19" x14ac:dyDescent="0.2">
      <c r="A159" s="92" t="s">
        <v>617</v>
      </c>
      <c r="B159" s="69">
        <v>17</v>
      </c>
      <c r="C159" s="69">
        <v>7</v>
      </c>
      <c r="D159" s="69">
        <v>16</v>
      </c>
      <c r="E159" s="69">
        <v>26</v>
      </c>
      <c r="F159" s="69">
        <v>65</v>
      </c>
      <c r="G159" s="69">
        <v>68</v>
      </c>
      <c r="H159" s="69">
        <v>10.9</v>
      </c>
      <c r="I159" s="70">
        <v>0.23</v>
      </c>
      <c r="J159" s="70">
        <v>0.57999999999999996</v>
      </c>
      <c r="K159" s="69">
        <v>7.3</v>
      </c>
      <c r="L159" s="69">
        <v>2</v>
      </c>
      <c r="M159" s="69" t="s">
        <v>958</v>
      </c>
      <c r="N159" s="69">
        <v>2007</v>
      </c>
      <c r="O159" s="69" t="s">
        <v>485</v>
      </c>
      <c r="P159" s="69">
        <v>537696</v>
      </c>
      <c r="Q159" s="92" t="s">
        <v>618</v>
      </c>
      <c r="R159" s="92" t="s">
        <v>353</v>
      </c>
      <c r="S159" s="92"/>
    </row>
    <row r="160" spans="1:19" x14ac:dyDescent="0.2">
      <c r="A160" s="92" t="s">
        <v>319</v>
      </c>
      <c r="B160" s="69">
        <v>7</v>
      </c>
      <c r="C160" s="69">
        <v>4</v>
      </c>
      <c r="D160" s="69">
        <v>6</v>
      </c>
      <c r="E160" s="69">
        <v>6</v>
      </c>
      <c r="F160" s="69">
        <v>5</v>
      </c>
      <c r="G160" s="69">
        <v>17</v>
      </c>
      <c r="H160" s="69">
        <v>3.1</v>
      </c>
      <c r="I160" s="70">
        <v>0.23</v>
      </c>
      <c r="J160" s="70">
        <v>0.55000000000000004</v>
      </c>
      <c r="K160" s="69">
        <v>3.9</v>
      </c>
      <c r="L160" s="69">
        <v>0.1</v>
      </c>
      <c r="M160" s="69" t="s">
        <v>958</v>
      </c>
      <c r="N160" s="69">
        <v>2003</v>
      </c>
      <c r="O160" s="69" t="s">
        <v>485</v>
      </c>
      <c r="P160" s="69">
        <v>496497</v>
      </c>
      <c r="Q160" s="92" t="s">
        <v>618</v>
      </c>
      <c r="R160" s="92" t="s">
        <v>465</v>
      </c>
      <c r="S160" s="92"/>
    </row>
    <row r="161" spans="1:19" x14ac:dyDescent="0.2">
      <c r="A161" s="92" t="s">
        <v>262</v>
      </c>
      <c r="B161" s="69">
        <v>13</v>
      </c>
      <c r="C161" s="69">
        <v>5</v>
      </c>
      <c r="D161" s="69">
        <v>11</v>
      </c>
      <c r="E161" s="69">
        <v>20</v>
      </c>
      <c r="F161" s="69">
        <v>53</v>
      </c>
      <c r="G161" s="69">
        <v>53</v>
      </c>
      <c r="H161" s="69">
        <v>8.9</v>
      </c>
      <c r="I161" s="70">
        <v>0.23</v>
      </c>
      <c r="J161" s="70">
        <v>0.59</v>
      </c>
      <c r="K161" s="69">
        <v>7.6</v>
      </c>
      <c r="L161" s="69">
        <v>1.6</v>
      </c>
      <c r="M161" s="69" t="s">
        <v>958</v>
      </c>
      <c r="N161" s="69">
        <v>2000</v>
      </c>
      <c r="O161" s="69" t="s">
        <v>585</v>
      </c>
      <c r="P161" s="69">
        <v>778944</v>
      </c>
      <c r="Q161" s="92" t="s">
        <v>1035</v>
      </c>
      <c r="R161" s="92" t="s">
        <v>254</v>
      </c>
      <c r="S161" s="92"/>
    </row>
    <row r="162" spans="1:19" x14ac:dyDescent="0.2">
      <c r="A162" s="92" t="s">
        <v>1010</v>
      </c>
      <c r="B162" s="69">
        <v>11</v>
      </c>
      <c r="C162" s="69">
        <v>-1</v>
      </c>
      <c r="D162" s="69">
        <v>5</v>
      </c>
      <c r="E162" s="69">
        <v>18</v>
      </c>
      <c r="F162" s="69">
        <v>73</v>
      </c>
      <c r="G162" s="69">
        <v>93</v>
      </c>
      <c r="H162" s="69">
        <v>14</v>
      </c>
      <c r="I162" s="70">
        <v>0.24</v>
      </c>
      <c r="J162" s="70">
        <v>0.65</v>
      </c>
      <c r="K162" s="69">
        <v>14</v>
      </c>
      <c r="L162" s="69">
        <v>1.2</v>
      </c>
      <c r="M162" s="69" t="s">
        <v>958</v>
      </c>
      <c r="N162" s="69">
        <v>2013</v>
      </c>
      <c r="O162" s="69" t="s">
        <v>585</v>
      </c>
      <c r="P162" s="69">
        <v>893396</v>
      </c>
      <c r="Q162" s="92" t="s">
        <v>521</v>
      </c>
      <c r="R162" s="92" t="s">
        <v>562</v>
      </c>
      <c r="S162" s="92" t="s">
        <v>959</v>
      </c>
    </row>
    <row r="163" spans="1:19" x14ac:dyDescent="0.2">
      <c r="A163" s="92" t="s">
        <v>1055</v>
      </c>
      <c r="B163" s="69">
        <v>2</v>
      </c>
      <c r="C163" s="69">
        <v>0</v>
      </c>
      <c r="D163" s="69">
        <v>1</v>
      </c>
      <c r="E163" s="69">
        <v>3</v>
      </c>
      <c r="F163" s="69"/>
      <c r="G163" s="69"/>
      <c r="H163" s="69"/>
      <c r="I163" s="70">
        <v>0.24</v>
      </c>
      <c r="J163" s="70">
        <v>0.61</v>
      </c>
      <c r="K163" s="69"/>
      <c r="L163" s="69"/>
      <c r="M163" s="69" t="s">
        <v>958</v>
      </c>
      <c r="N163" s="69">
        <v>2013</v>
      </c>
      <c r="O163" s="69" t="s">
        <v>585</v>
      </c>
      <c r="P163" s="69">
        <v>660829</v>
      </c>
      <c r="Q163" s="92" t="s">
        <v>871</v>
      </c>
      <c r="R163" s="92" t="s">
        <v>368</v>
      </c>
      <c r="S163" s="92" t="s">
        <v>959</v>
      </c>
    </row>
    <row r="164" spans="1:19" x14ac:dyDescent="0.2">
      <c r="A164" s="92" t="s">
        <v>449</v>
      </c>
      <c r="B164" s="69">
        <v>2</v>
      </c>
      <c r="C164" s="69">
        <v>0</v>
      </c>
      <c r="D164" s="69">
        <v>1</v>
      </c>
      <c r="E164" s="69">
        <v>4</v>
      </c>
      <c r="F164" s="69">
        <v>14</v>
      </c>
      <c r="G164" s="69">
        <v>20</v>
      </c>
      <c r="H164" s="69">
        <v>3.7</v>
      </c>
      <c r="I164" s="70">
        <v>0.24</v>
      </c>
      <c r="J164" s="70">
        <v>0.52</v>
      </c>
      <c r="K164" s="69">
        <v>0.8</v>
      </c>
      <c r="L164" s="69">
        <v>4</v>
      </c>
      <c r="M164" s="69" t="s">
        <v>958</v>
      </c>
      <c r="N164" s="69">
        <v>2003</v>
      </c>
      <c r="O164" s="69" t="s">
        <v>585</v>
      </c>
      <c r="P164" s="69">
        <v>384750</v>
      </c>
      <c r="Q164" s="92" t="s">
        <v>518</v>
      </c>
      <c r="R164" s="92" t="s">
        <v>412</v>
      </c>
      <c r="S164" s="92"/>
    </row>
    <row r="165" spans="1:19" x14ac:dyDescent="0.2">
      <c r="A165" s="92" t="s">
        <v>131</v>
      </c>
      <c r="B165" s="69">
        <v>23</v>
      </c>
      <c r="C165" s="69">
        <v>13</v>
      </c>
      <c r="D165" s="69">
        <v>20</v>
      </c>
      <c r="E165" s="69">
        <v>37</v>
      </c>
      <c r="F165" s="69">
        <v>86</v>
      </c>
      <c r="G165" s="69">
        <v>91</v>
      </c>
      <c r="H165" s="69">
        <v>13.8</v>
      </c>
      <c r="I165" s="70">
        <v>0.24</v>
      </c>
      <c r="J165" s="70">
        <v>0.65</v>
      </c>
      <c r="K165" s="69">
        <v>9.6</v>
      </c>
      <c r="L165" s="69">
        <v>1.9</v>
      </c>
      <c r="M165" s="69" t="s">
        <v>958</v>
      </c>
      <c r="N165" s="69">
        <v>2006</v>
      </c>
      <c r="O165" s="69" t="s">
        <v>585</v>
      </c>
      <c r="P165" s="69">
        <v>399865</v>
      </c>
      <c r="Q165" s="92" t="s">
        <v>521</v>
      </c>
      <c r="R165" s="92" t="s">
        <v>197</v>
      </c>
      <c r="S165" s="92"/>
    </row>
    <row r="166" spans="1:19" x14ac:dyDescent="0.2">
      <c r="A166" s="92" t="s">
        <v>872</v>
      </c>
      <c r="B166" s="69">
        <v>4</v>
      </c>
      <c r="C166" s="69">
        <v>1</v>
      </c>
      <c r="D166" s="69">
        <v>2</v>
      </c>
      <c r="E166" s="69">
        <v>6</v>
      </c>
      <c r="F166" s="69">
        <v>17</v>
      </c>
      <c r="G166" s="69"/>
      <c r="H166" s="69"/>
      <c r="I166" s="70">
        <v>0.25</v>
      </c>
      <c r="J166" s="70">
        <v>0.95</v>
      </c>
      <c r="K166" s="69">
        <v>1.5</v>
      </c>
      <c r="L166" s="69">
        <v>2.6</v>
      </c>
      <c r="M166" s="69" t="s">
        <v>958</v>
      </c>
      <c r="N166" s="69">
        <v>2012</v>
      </c>
      <c r="O166" s="69" t="s">
        <v>485</v>
      </c>
      <c r="P166" s="69">
        <v>348680</v>
      </c>
      <c r="Q166" s="92" t="s">
        <v>42</v>
      </c>
      <c r="R166" s="92" t="s">
        <v>478</v>
      </c>
      <c r="S166" s="92"/>
    </row>
    <row r="167" spans="1:19" x14ac:dyDescent="0.2">
      <c r="A167" s="92" t="s">
        <v>1011</v>
      </c>
      <c r="B167" s="69">
        <v>19</v>
      </c>
      <c r="C167" s="69">
        <v>9</v>
      </c>
      <c r="D167" s="69">
        <v>17</v>
      </c>
      <c r="E167" s="69"/>
      <c r="F167" s="69"/>
      <c r="G167" s="69"/>
      <c r="H167" s="69"/>
      <c r="I167" s="70">
        <v>0.25</v>
      </c>
      <c r="J167" s="70">
        <v>0.7</v>
      </c>
      <c r="K167" s="69"/>
      <c r="L167" s="69"/>
      <c r="M167" s="69" t="s">
        <v>958</v>
      </c>
      <c r="N167" s="69">
        <v>2013</v>
      </c>
      <c r="O167" s="69" t="s">
        <v>485</v>
      </c>
      <c r="P167" s="69">
        <v>785907</v>
      </c>
      <c r="Q167" s="92" t="s">
        <v>826</v>
      </c>
      <c r="R167" s="92" t="s">
        <v>109</v>
      </c>
      <c r="S167" s="87" t="s">
        <v>959</v>
      </c>
    </row>
    <row r="168" spans="1:19" x14ac:dyDescent="0.2">
      <c r="A168" s="92" t="s">
        <v>936</v>
      </c>
      <c r="B168" s="69">
        <v>0</v>
      </c>
      <c r="C168" s="69">
        <v>0</v>
      </c>
      <c r="D168" s="69">
        <v>0</v>
      </c>
      <c r="E168" s="69">
        <v>1</v>
      </c>
      <c r="F168" s="69"/>
      <c r="G168" s="69"/>
      <c r="H168" s="69"/>
      <c r="I168" s="70">
        <v>0.25</v>
      </c>
      <c r="J168" s="70">
        <v>0.54</v>
      </c>
      <c r="K168" s="69"/>
      <c r="L168" s="69"/>
      <c r="M168" s="69" t="s">
        <v>958</v>
      </c>
      <c r="N168" s="69">
        <v>2013</v>
      </c>
      <c r="O168" s="69" t="s">
        <v>485</v>
      </c>
      <c r="P168" s="69">
        <v>606160</v>
      </c>
      <c r="Q168" s="92" t="s">
        <v>336</v>
      </c>
      <c r="R168" s="92" t="s">
        <v>478</v>
      </c>
      <c r="S168" s="92"/>
    </row>
    <row r="169" spans="1:19" x14ac:dyDescent="0.2">
      <c r="A169" s="92" t="s">
        <v>563</v>
      </c>
      <c r="B169" s="69">
        <v>9</v>
      </c>
      <c r="C169" s="69">
        <v>0</v>
      </c>
      <c r="D169" s="69">
        <v>6</v>
      </c>
      <c r="E169" s="69">
        <v>17</v>
      </c>
      <c r="F169" s="69">
        <v>68</v>
      </c>
      <c r="G169" s="69">
        <v>86</v>
      </c>
      <c r="H169" s="69">
        <v>13.2</v>
      </c>
      <c r="I169" s="70">
        <v>0.25</v>
      </c>
      <c r="J169" s="70">
        <v>0.49</v>
      </c>
      <c r="K169" s="69">
        <v>12</v>
      </c>
      <c r="L169" s="69">
        <v>1.3</v>
      </c>
      <c r="M169" s="69" t="s">
        <v>958</v>
      </c>
      <c r="N169" s="69">
        <v>2005</v>
      </c>
      <c r="O169" s="69" t="s">
        <v>585</v>
      </c>
      <c r="P169" s="69">
        <v>577833</v>
      </c>
      <c r="Q169" s="92" t="s">
        <v>528</v>
      </c>
      <c r="R169" s="92" t="s">
        <v>562</v>
      </c>
      <c r="S169" s="92" t="s">
        <v>959</v>
      </c>
    </row>
    <row r="170" spans="1:19" x14ac:dyDescent="0.2">
      <c r="A170" s="92" t="s">
        <v>937</v>
      </c>
      <c r="B170" s="69">
        <v>8</v>
      </c>
      <c r="C170" s="69">
        <v>0</v>
      </c>
      <c r="D170" s="69">
        <v>6</v>
      </c>
      <c r="E170" s="69">
        <v>16</v>
      </c>
      <c r="F170" s="69"/>
      <c r="G170" s="69"/>
      <c r="H170" s="69"/>
      <c r="I170" s="70">
        <v>0.25</v>
      </c>
      <c r="J170" s="70">
        <v>0.5</v>
      </c>
      <c r="K170" s="69"/>
      <c r="L170" s="69"/>
      <c r="M170" s="69" t="s">
        <v>958</v>
      </c>
      <c r="N170" s="69">
        <v>2013</v>
      </c>
      <c r="O170" s="69" t="s">
        <v>485</v>
      </c>
      <c r="P170" s="69">
        <v>610410</v>
      </c>
      <c r="Q170" s="92" t="s">
        <v>596</v>
      </c>
      <c r="R170" s="92" t="s">
        <v>562</v>
      </c>
      <c r="S170" s="92"/>
    </row>
    <row r="171" spans="1:19" x14ac:dyDescent="0.2">
      <c r="A171" s="92" t="s">
        <v>1102</v>
      </c>
      <c r="B171" s="69">
        <v>8</v>
      </c>
      <c r="C171" s="69">
        <v>4</v>
      </c>
      <c r="D171" s="69">
        <v>6</v>
      </c>
      <c r="E171" s="69">
        <v>9</v>
      </c>
      <c r="F171" s="69">
        <v>10</v>
      </c>
      <c r="G171" s="69">
        <v>17</v>
      </c>
      <c r="H171" s="69">
        <v>3.2</v>
      </c>
      <c r="I171" s="70">
        <v>0.25</v>
      </c>
      <c r="J171" s="70">
        <v>0.61</v>
      </c>
      <c r="K171" s="69">
        <v>3.6</v>
      </c>
      <c r="L171" s="69">
        <v>0.5</v>
      </c>
      <c r="M171" s="69" t="s">
        <v>958</v>
      </c>
      <c r="N171" s="69">
        <v>2000</v>
      </c>
      <c r="O171" s="69" t="s">
        <v>585</v>
      </c>
      <c r="P171" s="69">
        <v>901603</v>
      </c>
      <c r="Q171" s="92" t="s">
        <v>323</v>
      </c>
      <c r="R171" s="92" t="s">
        <v>412</v>
      </c>
      <c r="S171" s="92"/>
    </row>
    <row r="172" spans="1:19" x14ac:dyDescent="0.2">
      <c r="A172" s="92" t="s">
        <v>630</v>
      </c>
      <c r="B172" s="69">
        <v>16</v>
      </c>
      <c r="C172" s="69">
        <v>8</v>
      </c>
      <c r="D172" s="69">
        <v>16</v>
      </c>
      <c r="E172" s="69">
        <v>27</v>
      </c>
      <c r="F172" s="69">
        <v>66</v>
      </c>
      <c r="G172" s="69">
        <v>64</v>
      </c>
      <c r="H172" s="69">
        <v>10.3</v>
      </c>
      <c r="I172" s="70">
        <v>0.25</v>
      </c>
      <c r="J172" s="70">
        <v>0.5</v>
      </c>
      <c r="K172" s="69">
        <v>6.8</v>
      </c>
      <c r="L172" s="69">
        <v>2.2000000000000002</v>
      </c>
      <c r="M172" s="69" t="s">
        <v>958</v>
      </c>
      <c r="N172" s="69">
        <v>2000</v>
      </c>
      <c r="O172" s="69" t="s">
        <v>585</v>
      </c>
      <c r="P172" s="69">
        <v>252411</v>
      </c>
      <c r="Q172" s="92" t="s">
        <v>323</v>
      </c>
      <c r="R172" s="92" t="s">
        <v>109</v>
      </c>
      <c r="S172" s="92"/>
    </row>
    <row r="173" spans="1:19" x14ac:dyDescent="0.2">
      <c r="A173" s="92" t="s">
        <v>191</v>
      </c>
      <c r="B173" s="69">
        <v>11</v>
      </c>
      <c r="C173" s="69">
        <v>3</v>
      </c>
      <c r="D173" s="69">
        <v>9</v>
      </c>
      <c r="E173" s="69">
        <v>10</v>
      </c>
      <c r="F173" s="69">
        <v>7</v>
      </c>
      <c r="G173" s="69">
        <v>6</v>
      </c>
      <c r="H173" s="69">
        <v>1.2</v>
      </c>
      <c r="I173" s="70">
        <v>0.26</v>
      </c>
      <c r="J173" s="70">
        <v>0.6</v>
      </c>
      <c r="K173" s="69">
        <v>6</v>
      </c>
      <c r="L173" s="69">
        <v>0.2</v>
      </c>
      <c r="M173" s="69" t="s">
        <v>966</v>
      </c>
      <c r="N173" s="69">
        <v>2001</v>
      </c>
      <c r="O173" s="69" t="s">
        <v>485</v>
      </c>
      <c r="P173" s="69">
        <v>111518</v>
      </c>
      <c r="Q173" s="92" t="s">
        <v>586</v>
      </c>
      <c r="R173" s="92" t="s">
        <v>478</v>
      </c>
      <c r="S173" s="87"/>
    </row>
    <row r="174" spans="1:19" x14ac:dyDescent="0.2">
      <c r="A174" s="92" t="s">
        <v>9</v>
      </c>
      <c r="B174" s="69">
        <v>9</v>
      </c>
      <c r="C174" s="69">
        <v>4</v>
      </c>
      <c r="D174" s="69">
        <v>6</v>
      </c>
      <c r="E174" s="69">
        <v>1</v>
      </c>
      <c r="F174" s="69">
        <v>-10</v>
      </c>
      <c r="G174" s="69"/>
      <c r="H174" s="69"/>
      <c r="I174" s="70">
        <v>0.26</v>
      </c>
      <c r="J174" s="70">
        <v>0.75</v>
      </c>
      <c r="K174" s="69">
        <v>10.1</v>
      </c>
      <c r="L174" s="69">
        <v>-0.5</v>
      </c>
      <c r="M174" s="69" t="s">
        <v>958</v>
      </c>
      <c r="N174" s="69">
        <v>2010</v>
      </c>
      <c r="O174" s="69" t="s">
        <v>585</v>
      </c>
      <c r="P174" s="69">
        <v>110098</v>
      </c>
      <c r="Q174" s="92" t="s">
        <v>521</v>
      </c>
      <c r="R174" s="92" t="s">
        <v>207</v>
      </c>
      <c r="S174" s="92"/>
    </row>
    <row r="175" spans="1:19" x14ac:dyDescent="0.2">
      <c r="A175" s="92" t="s">
        <v>1115</v>
      </c>
      <c r="B175" s="69">
        <v>2</v>
      </c>
      <c r="C175" s="69">
        <v>1</v>
      </c>
      <c r="D175" s="69">
        <v>1</v>
      </c>
      <c r="E175" s="69">
        <v>3</v>
      </c>
      <c r="F175" s="69"/>
      <c r="G175" s="69"/>
      <c r="H175" s="69"/>
      <c r="I175" s="70">
        <v>0.26</v>
      </c>
      <c r="J175" s="70">
        <v>0.61</v>
      </c>
      <c r="K175" s="69"/>
      <c r="L175" s="69"/>
      <c r="M175" s="69" t="s">
        <v>958</v>
      </c>
      <c r="N175" s="69">
        <v>2014</v>
      </c>
      <c r="O175" s="69" t="s">
        <v>585</v>
      </c>
      <c r="P175" s="69">
        <v>453100</v>
      </c>
      <c r="Q175" s="92" t="s">
        <v>569</v>
      </c>
      <c r="R175" s="92" t="s">
        <v>478</v>
      </c>
      <c r="S175" s="92"/>
    </row>
    <row r="176" spans="1:19" x14ac:dyDescent="0.2">
      <c r="A176" s="92" t="s">
        <v>938</v>
      </c>
      <c r="B176" s="90">
        <v>3</v>
      </c>
      <c r="C176" s="90">
        <v>1</v>
      </c>
      <c r="D176" s="90">
        <v>2</v>
      </c>
      <c r="E176" s="90">
        <v>5</v>
      </c>
      <c r="F176" s="69"/>
      <c r="G176" s="69"/>
      <c r="H176" s="69"/>
      <c r="I176" s="70">
        <v>0.26</v>
      </c>
      <c r="J176" s="70">
        <v>1.01</v>
      </c>
      <c r="K176" s="69"/>
      <c r="L176" s="69"/>
      <c r="M176" s="69" t="s">
        <v>958</v>
      </c>
      <c r="N176" s="69">
        <v>2011</v>
      </c>
      <c r="O176" s="69" t="s">
        <v>485</v>
      </c>
      <c r="P176" s="69">
        <v>191437</v>
      </c>
      <c r="Q176" s="92" t="s">
        <v>299</v>
      </c>
      <c r="R176" s="92" t="s">
        <v>478</v>
      </c>
      <c r="S176" s="92"/>
    </row>
    <row r="177" spans="1:19" x14ac:dyDescent="0.2">
      <c r="A177" s="92" t="s">
        <v>581</v>
      </c>
      <c r="B177" s="90">
        <v>13</v>
      </c>
      <c r="C177" s="90">
        <v>3</v>
      </c>
      <c r="D177" s="90">
        <v>11</v>
      </c>
      <c r="E177" s="90">
        <v>26</v>
      </c>
      <c r="F177" s="69">
        <v>61</v>
      </c>
      <c r="G177" s="69">
        <v>49</v>
      </c>
      <c r="H177" s="69">
        <v>8.4</v>
      </c>
      <c r="I177" s="70">
        <v>0.26</v>
      </c>
      <c r="J177" s="70">
        <v>0.46</v>
      </c>
      <c r="K177" s="69">
        <v>9.6</v>
      </c>
      <c r="L177" s="69">
        <v>1.5</v>
      </c>
      <c r="M177" s="69" t="s">
        <v>960</v>
      </c>
      <c r="N177" s="69">
        <v>2000</v>
      </c>
      <c r="O177" s="69" t="s">
        <v>485</v>
      </c>
      <c r="P177" s="69">
        <v>515387</v>
      </c>
      <c r="Q177" s="92" t="s">
        <v>71</v>
      </c>
      <c r="R177" s="92" t="s">
        <v>67</v>
      </c>
      <c r="S177" s="92" t="s">
        <v>959</v>
      </c>
    </row>
    <row r="178" spans="1:19" x14ac:dyDescent="0.2">
      <c r="A178" s="92" t="s">
        <v>619</v>
      </c>
      <c r="B178" s="69">
        <v>11</v>
      </c>
      <c r="C178" s="69">
        <v>2</v>
      </c>
      <c r="D178" s="69">
        <v>9</v>
      </c>
      <c r="E178" s="69">
        <v>29</v>
      </c>
      <c r="F178" s="69">
        <v>58</v>
      </c>
      <c r="G178" s="69">
        <v>55</v>
      </c>
      <c r="H178" s="69">
        <v>9.1999999999999993</v>
      </c>
      <c r="I178" s="70">
        <v>0.26</v>
      </c>
      <c r="J178" s="70">
        <v>0.45</v>
      </c>
      <c r="K178" s="69">
        <v>17</v>
      </c>
      <c r="L178" s="69">
        <v>0.8</v>
      </c>
      <c r="M178" s="69" t="s">
        <v>960</v>
      </c>
      <c r="N178" s="69">
        <v>2005</v>
      </c>
      <c r="O178" s="69" t="s">
        <v>485</v>
      </c>
      <c r="P178" s="69">
        <v>133298</v>
      </c>
      <c r="Q178" s="92" t="s">
        <v>71</v>
      </c>
      <c r="R178" s="92" t="s">
        <v>180</v>
      </c>
      <c r="S178" s="92" t="s">
        <v>959</v>
      </c>
    </row>
    <row r="179" spans="1:19" x14ac:dyDescent="0.2">
      <c r="A179" s="92" t="s">
        <v>793</v>
      </c>
      <c r="B179" s="90">
        <v>10</v>
      </c>
      <c r="C179" s="90">
        <v>4</v>
      </c>
      <c r="D179" s="90">
        <v>9</v>
      </c>
      <c r="E179" s="90">
        <v>15</v>
      </c>
      <c r="F179" s="69">
        <v>18</v>
      </c>
      <c r="G179" s="69">
        <v>9</v>
      </c>
      <c r="H179" s="69">
        <v>1.8</v>
      </c>
      <c r="I179" s="70">
        <v>0.26</v>
      </c>
      <c r="J179" s="70">
        <v>0.65</v>
      </c>
      <c r="K179" s="69">
        <v>6</v>
      </c>
      <c r="L179" s="69">
        <v>0.7</v>
      </c>
      <c r="M179" s="69" t="s">
        <v>960</v>
      </c>
      <c r="N179" s="69">
        <v>2000</v>
      </c>
      <c r="O179" s="69" t="s">
        <v>485</v>
      </c>
      <c r="P179" s="69">
        <v>426726</v>
      </c>
      <c r="Q179" s="92" t="s">
        <v>596</v>
      </c>
      <c r="R179" s="92" t="s">
        <v>469</v>
      </c>
      <c r="S179" s="92"/>
    </row>
    <row r="180" spans="1:19" x14ac:dyDescent="0.2">
      <c r="A180" s="92" t="s">
        <v>1012</v>
      </c>
      <c r="B180" s="69">
        <v>22</v>
      </c>
      <c r="C180" s="69">
        <v>14</v>
      </c>
      <c r="D180" s="69">
        <v>28</v>
      </c>
      <c r="E180" s="69"/>
      <c r="F180" s="69"/>
      <c r="G180" s="69"/>
      <c r="H180" s="69"/>
      <c r="I180" s="70">
        <v>0.27</v>
      </c>
      <c r="J180" s="70">
        <v>0.85</v>
      </c>
      <c r="K180" s="69"/>
      <c r="L180" s="69"/>
      <c r="M180" s="69" t="s">
        <v>958</v>
      </c>
      <c r="N180" s="69">
        <v>2013</v>
      </c>
      <c r="O180" s="69" t="s">
        <v>485</v>
      </c>
      <c r="P180" s="69">
        <v>750075</v>
      </c>
      <c r="Q180" s="92" t="s">
        <v>826</v>
      </c>
      <c r="R180" s="92" t="s">
        <v>121</v>
      </c>
      <c r="S180" s="92"/>
    </row>
    <row r="181" spans="1:19" x14ac:dyDescent="0.2">
      <c r="A181" s="92" t="s">
        <v>331</v>
      </c>
      <c r="B181" s="90">
        <v>12</v>
      </c>
      <c r="C181" s="90">
        <v>7</v>
      </c>
      <c r="D181" s="90">
        <v>16</v>
      </c>
      <c r="E181" s="90">
        <v>15</v>
      </c>
      <c r="F181" s="69">
        <v>45</v>
      </c>
      <c r="G181" s="69">
        <v>38</v>
      </c>
      <c r="H181" s="69">
        <v>6.6</v>
      </c>
      <c r="I181" s="70">
        <v>0.27</v>
      </c>
      <c r="J181" s="70">
        <v>0.49</v>
      </c>
      <c r="K181" s="69">
        <v>9.1999999999999993</v>
      </c>
      <c r="L181" s="69">
        <v>1.2</v>
      </c>
      <c r="M181" s="69" t="s">
        <v>960</v>
      </c>
      <c r="N181" s="69">
        <v>2005</v>
      </c>
      <c r="O181" s="69" t="s">
        <v>485</v>
      </c>
      <c r="P181" s="69">
        <v>997460</v>
      </c>
      <c r="Q181" s="92" t="s">
        <v>71</v>
      </c>
      <c r="R181" s="92" t="s">
        <v>98</v>
      </c>
      <c r="S181" s="92" t="s">
        <v>959</v>
      </c>
    </row>
    <row r="182" spans="1:19" x14ac:dyDescent="0.2">
      <c r="A182" s="92" t="s">
        <v>763</v>
      </c>
      <c r="B182" s="69">
        <v>15</v>
      </c>
      <c r="C182" s="69">
        <v>8</v>
      </c>
      <c r="D182" s="69">
        <v>17</v>
      </c>
      <c r="E182" s="69">
        <v>25</v>
      </c>
      <c r="F182" s="69">
        <v>57</v>
      </c>
      <c r="G182" s="69">
        <v>55</v>
      </c>
      <c r="H182" s="69">
        <v>9.1999999999999993</v>
      </c>
      <c r="I182" s="70">
        <v>0.27</v>
      </c>
      <c r="J182" s="70">
        <v>1</v>
      </c>
      <c r="K182" s="69">
        <v>8.4</v>
      </c>
      <c r="L182" s="69">
        <v>1.5</v>
      </c>
      <c r="M182" s="69" t="s">
        <v>958</v>
      </c>
      <c r="N182" s="69">
        <v>2012</v>
      </c>
      <c r="O182" s="69" t="s">
        <v>485</v>
      </c>
      <c r="P182" s="69">
        <v>282517</v>
      </c>
      <c r="Q182" s="92" t="s">
        <v>1084</v>
      </c>
      <c r="R182" s="92" t="s">
        <v>109</v>
      </c>
      <c r="S182" s="87"/>
    </row>
    <row r="183" spans="1:19" x14ac:dyDescent="0.2">
      <c r="A183" s="92" t="s">
        <v>884</v>
      </c>
      <c r="B183" s="69">
        <v>4</v>
      </c>
      <c r="C183" s="69">
        <v>6</v>
      </c>
      <c r="D183" s="69">
        <v>13</v>
      </c>
      <c r="E183" s="69">
        <v>13</v>
      </c>
      <c r="F183" s="69"/>
      <c r="G183" s="69"/>
      <c r="H183" s="69"/>
      <c r="I183" s="70">
        <v>0.27</v>
      </c>
      <c r="J183" s="70">
        <v>1</v>
      </c>
      <c r="K183" s="69"/>
      <c r="L183" s="69"/>
      <c r="M183" s="69" t="s">
        <v>958</v>
      </c>
      <c r="N183" s="69">
        <v>2013</v>
      </c>
      <c r="O183" s="69" t="s">
        <v>485</v>
      </c>
      <c r="P183" s="69">
        <v>218115</v>
      </c>
      <c r="Q183" s="92" t="s">
        <v>1084</v>
      </c>
      <c r="R183" s="92" t="s">
        <v>170</v>
      </c>
      <c r="S183" s="92"/>
    </row>
    <row r="184" spans="1:19" x14ac:dyDescent="0.2">
      <c r="A184" s="92" t="s">
        <v>7</v>
      </c>
      <c r="B184" s="69">
        <v>17</v>
      </c>
      <c r="C184" s="69">
        <v>8</v>
      </c>
      <c r="D184" s="69">
        <v>17</v>
      </c>
      <c r="E184" s="69">
        <v>28</v>
      </c>
      <c r="F184" s="69">
        <v>70</v>
      </c>
      <c r="G184" s="69">
        <v>69</v>
      </c>
      <c r="H184" s="69">
        <v>11.1</v>
      </c>
      <c r="I184" s="70">
        <v>0.27</v>
      </c>
      <c r="J184" s="70">
        <v>0.56000000000000005</v>
      </c>
      <c r="K184" s="69">
        <v>6.8</v>
      </c>
      <c r="L184" s="69">
        <v>2.4</v>
      </c>
      <c r="M184" s="69" t="s">
        <v>958</v>
      </c>
      <c r="N184" s="69">
        <v>2002</v>
      </c>
      <c r="O184" s="69" t="s">
        <v>585</v>
      </c>
      <c r="P184" s="69">
        <v>613729</v>
      </c>
      <c r="Q184" s="92" t="s">
        <v>323</v>
      </c>
      <c r="R184" s="92" t="s">
        <v>109</v>
      </c>
      <c r="S184" s="92" t="s">
        <v>959</v>
      </c>
    </row>
    <row r="185" spans="1:19" x14ac:dyDescent="0.2">
      <c r="A185" s="92" t="s">
        <v>699</v>
      </c>
      <c r="B185" s="69">
        <v>8</v>
      </c>
      <c r="C185" s="69">
        <v>4</v>
      </c>
      <c r="D185" s="69">
        <v>7</v>
      </c>
      <c r="E185" s="69">
        <v>7</v>
      </c>
      <c r="F185" s="69">
        <v>6</v>
      </c>
      <c r="G185" s="69">
        <v>19</v>
      </c>
      <c r="H185" s="69">
        <v>3.6</v>
      </c>
      <c r="I185" s="70">
        <v>0.27</v>
      </c>
      <c r="J185" s="70">
        <v>0.71</v>
      </c>
      <c r="K185" s="69">
        <v>4</v>
      </c>
      <c r="L185" s="69">
        <v>0.2</v>
      </c>
      <c r="M185" s="69" t="s">
        <v>958</v>
      </c>
      <c r="N185" s="69">
        <v>2009</v>
      </c>
      <c r="O185" s="69" t="s">
        <v>585</v>
      </c>
      <c r="P185" s="69">
        <v>189662</v>
      </c>
      <c r="Q185" s="92" t="s">
        <v>871</v>
      </c>
      <c r="R185" s="92" t="s">
        <v>465</v>
      </c>
      <c r="S185" s="92" t="s">
        <v>959</v>
      </c>
    </row>
    <row r="186" spans="1:19" x14ac:dyDescent="0.2">
      <c r="A186" s="92" t="s">
        <v>579</v>
      </c>
      <c r="B186" s="69">
        <v>12</v>
      </c>
      <c r="C186" s="69">
        <v>3</v>
      </c>
      <c r="D186" s="69">
        <v>11</v>
      </c>
      <c r="E186" s="69">
        <v>21</v>
      </c>
      <c r="F186" s="69">
        <v>66</v>
      </c>
      <c r="G186" s="69">
        <v>78</v>
      </c>
      <c r="H186" s="69">
        <v>12.2</v>
      </c>
      <c r="I186" s="70">
        <v>0.27</v>
      </c>
      <c r="J186" s="70">
        <v>0.6</v>
      </c>
      <c r="K186" s="69">
        <v>9.3000000000000007</v>
      </c>
      <c r="L186" s="69">
        <v>1.6</v>
      </c>
      <c r="M186" s="69" t="s">
        <v>958</v>
      </c>
      <c r="N186" s="69">
        <v>2000</v>
      </c>
      <c r="O186" s="69" t="s">
        <v>585</v>
      </c>
      <c r="P186" s="69">
        <v>152835</v>
      </c>
      <c r="Q186" s="92" t="s">
        <v>871</v>
      </c>
      <c r="R186" s="92" t="s">
        <v>565</v>
      </c>
      <c r="S186" s="92" t="s">
        <v>959</v>
      </c>
    </row>
    <row r="187" spans="1:19" x14ac:dyDescent="0.2">
      <c r="A187" s="92" t="s">
        <v>221</v>
      </c>
      <c r="B187" s="69">
        <v>10</v>
      </c>
      <c r="C187" s="69">
        <v>3</v>
      </c>
      <c r="D187" s="69">
        <v>8</v>
      </c>
      <c r="E187" s="69">
        <v>16</v>
      </c>
      <c r="F187" s="69">
        <v>47</v>
      </c>
      <c r="G187" s="69">
        <v>58</v>
      </c>
      <c r="H187" s="69">
        <v>9.6</v>
      </c>
      <c r="I187" s="70">
        <v>0.27</v>
      </c>
      <c r="J187" s="70">
        <v>0.6</v>
      </c>
      <c r="K187" s="69">
        <v>6.5</v>
      </c>
      <c r="L187" s="69">
        <v>1.7</v>
      </c>
      <c r="M187" s="69" t="s">
        <v>958</v>
      </c>
      <c r="N187" s="69">
        <v>2000</v>
      </c>
      <c r="O187" s="69" t="s">
        <v>585</v>
      </c>
      <c r="P187" s="69">
        <v>117002</v>
      </c>
      <c r="Q187" s="92" t="s">
        <v>871</v>
      </c>
      <c r="R187" s="92" t="s">
        <v>219</v>
      </c>
      <c r="S187" s="92" t="s">
        <v>959</v>
      </c>
    </row>
    <row r="188" spans="1:19" x14ac:dyDescent="0.2">
      <c r="A188" s="92" t="s">
        <v>220</v>
      </c>
      <c r="B188" s="90">
        <v>6</v>
      </c>
      <c r="C188" s="90">
        <v>2</v>
      </c>
      <c r="D188" s="90">
        <v>5</v>
      </c>
      <c r="E188" s="90">
        <v>9</v>
      </c>
      <c r="F188" s="69">
        <v>23</v>
      </c>
      <c r="G188" s="69">
        <v>34</v>
      </c>
      <c r="H188" s="69">
        <v>6</v>
      </c>
      <c r="I188" s="70">
        <v>0.27</v>
      </c>
      <c r="J188" s="70">
        <v>0.6</v>
      </c>
      <c r="K188" s="69">
        <v>2.8</v>
      </c>
      <c r="L188" s="69">
        <v>1.8</v>
      </c>
      <c r="M188" s="69" t="s">
        <v>958</v>
      </c>
      <c r="N188" s="69">
        <v>2000</v>
      </c>
      <c r="O188" s="69" t="s">
        <v>585</v>
      </c>
      <c r="P188" s="69">
        <v>981175</v>
      </c>
      <c r="Q188" s="92" t="s">
        <v>871</v>
      </c>
      <c r="R188" s="92" t="s">
        <v>219</v>
      </c>
      <c r="S188" s="92" t="s">
        <v>959</v>
      </c>
    </row>
    <row r="189" spans="1:19" x14ac:dyDescent="0.2">
      <c r="A189" s="92" t="s">
        <v>698</v>
      </c>
      <c r="B189" s="69">
        <v>5</v>
      </c>
      <c r="C189" s="69">
        <v>2</v>
      </c>
      <c r="D189" s="69">
        <v>4</v>
      </c>
      <c r="E189" s="69">
        <v>7</v>
      </c>
      <c r="F189" s="69">
        <v>11</v>
      </c>
      <c r="G189" s="69">
        <v>19</v>
      </c>
      <c r="H189" s="69">
        <v>3.6</v>
      </c>
      <c r="I189" s="70">
        <v>0.27</v>
      </c>
      <c r="J189" s="70">
        <v>0.74</v>
      </c>
      <c r="K189" s="69">
        <v>2</v>
      </c>
      <c r="L189" s="69">
        <v>1.1000000000000001</v>
      </c>
      <c r="M189" s="69" t="s">
        <v>958</v>
      </c>
      <c r="N189" s="69">
        <v>2003</v>
      </c>
      <c r="O189" s="69" t="s">
        <v>485</v>
      </c>
      <c r="P189" s="69">
        <v>734558</v>
      </c>
      <c r="Q189" s="92" t="s">
        <v>697</v>
      </c>
      <c r="R189" s="92" t="s">
        <v>412</v>
      </c>
      <c r="S189" s="92"/>
    </row>
    <row r="190" spans="1:19" x14ac:dyDescent="0.2">
      <c r="A190" s="92" t="s">
        <v>734</v>
      </c>
      <c r="B190" s="69">
        <v>23</v>
      </c>
      <c r="C190" s="69">
        <v>15</v>
      </c>
      <c r="D190" s="69">
        <v>29</v>
      </c>
      <c r="E190" s="69">
        <v>28</v>
      </c>
      <c r="F190" s="69">
        <v>23</v>
      </c>
      <c r="G190" s="69"/>
      <c r="H190" s="69"/>
      <c r="I190" s="70">
        <v>0.27</v>
      </c>
      <c r="J190" s="70">
        <v>1.01</v>
      </c>
      <c r="K190" s="69">
        <v>12.2</v>
      </c>
      <c r="L190" s="69">
        <v>0.4</v>
      </c>
      <c r="M190" s="69" t="s">
        <v>958</v>
      </c>
      <c r="N190" s="69">
        <v>2011</v>
      </c>
      <c r="O190" s="69" t="s">
        <v>585</v>
      </c>
      <c r="P190" s="69">
        <v>459891</v>
      </c>
      <c r="Q190" s="92" t="s">
        <v>622</v>
      </c>
      <c r="R190" s="92" t="s">
        <v>121</v>
      </c>
      <c r="S190" s="92" t="s">
        <v>959</v>
      </c>
    </row>
    <row r="191" spans="1:19" x14ac:dyDescent="0.2">
      <c r="A191" s="92" t="s">
        <v>475</v>
      </c>
      <c r="B191" s="69">
        <v>16</v>
      </c>
      <c r="C191" s="69">
        <v>6</v>
      </c>
      <c r="D191" s="69">
        <v>14</v>
      </c>
      <c r="E191" s="69">
        <v>14</v>
      </c>
      <c r="F191" s="69">
        <v>25</v>
      </c>
      <c r="G191" s="69">
        <v>28</v>
      </c>
      <c r="H191" s="69">
        <v>5.0999999999999996</v>
      </c>
      <c r="I191" s="70">
        <v>0.27</v>
      </c>
      <c r="J191" s="70">
        <v>0.8</v>
      </c>
      <c r="K191" s="69">
        <v>5.0999999999999996</v>
      </c>
      <c r="L191" s="69">
        <v>1.1000000000000001</v>
      </c>
      <c r="M191" s="69" t="s">
        <v>966</v>
      </c>
      <c r="N191" s="69">
        <v>2006</v>
      </c>
      <c r="O191" s="69" t="s">
        <v>485</v>
      </c>
      <c r="P191" s="69">
        <v>252296</v>
      </c>
      <c r="Q191" s="92" t="s">
        <v>621</v>
      </c>
      <c r="R191" s="92" t="s">
        <v>478</v>
      </c>
      <c r="S191" s="92"/>
    </row>
    <row r="192" spans="1:19" x14ac:dyDescent="0.2">
      <c r="A192" s="92" t="s">
        <v>400</v>
      </c>
      <c r="B192" s="69">
        <v>6</v>
      </c>
      <c r="C192" s="69">
        <v>2</v>
      </c>
      <c r="D192" s="69">
        <v>5</v>
      </c>
      <c r="E192" s="69">
        <v>9</v>
      </c>
      <c r="F192" s="69">
        <v>19</v>
      </c>
      <c r="G192" s="69">
        <v>27</v>
      </c>
      <c r="H192" s="69">
        <v>4.9000000000000004</v>
      </c>
      <c r="I192" s="70">
        <v>0.27</v>
      </c>
      <c r="J192" s="70">
        <v>1.22</v>
      </c>
      <c r="K192" s="69">
        <v>2.4</v>
      </c>
      <c r="L192" s="69">
        <v>1.7</v>
      </c>
      <c r="M192" s="69" t="s">
        <v>958</v>
      </c>
      <c r="N192" s="69">
        <v>2004</v>
      </c>
      <c r="O192" s="69" t="s">
        <v>585</v>
      </c>
      <c r="P192" s="69">
        <v>855387</v>
      </c>
      <c r="Q192" s="92" t="s">
        <v>133</v>
      </c>
      <c r="R192" s="92" t="s">
        <v>254</v>
      </c>
      <c r="S192" s="92"/>
    </row>
    <row r="193" spans="1:19" x14ac:dyDescent="0.2">
      <c r="A193" s="92" t="s">
        <v>397</v>
      </c>
      <c r="B193" s="69">
        <v>7</v>
      </c>
      <c r="C193" s="69">
        <v>2</v>
      </c>
      <c r="D193" s="69">
        <v>6</v>
      </c>
      <c r="E193" s="69">
        <v>10</v>
      </c>
      <c r="F193" s="69">
        <v>27</v>
      </c>
      <c r="G193" s="69">
        <v>35</v>
      </c>
      <c r="H193" s="69">
        <v>6.3</v>
      </c>
      <c r="I193" s="70">
        <v>0.27</v>
      </c>
      <c r="J193" s="70">
        <v>1.22</v>
      </c>
      <c r="K193" s="69">
        <v>3.6</v>
      </c>
      <c r="L193" s="69">
        <v>1.7</v>
      </c>
      <c r="M193" s="69" t="s">
        <v>958</v>
      </c>
      <c r="N193" s="69">
        <v>2004</v>
      </c>
      <c r="O193" s="69" t="s">
        <v>585</v>
      </c>
      <c r="P193" s="69">
        <v>819557</v>
      </c>
      <c r="Q193" s="92" t="s">
        <v>133</v>
      </c>
      <c r="R193" s="92" t="s">
        <v>258</v>
      </c>
      <c r="S193" s="92"/>
    </row>
    <row r="194" spans="1:19" x14ac:dyDescent="0.2">
      <c r="A194" s="92" t="s">
        <v>390</v>
      </c>
      <c r="B194" s="69">
        <v>9</v>
      </c>
      <c r="C194" s="69">
        <v>3</v>
      </c>
      <c r="D194" s="69">
        <v>8</v>
      </c>
      <c r="E194" s="69">
        <v>15</v>
      </c>
      <c r="F194" s="69">
        <v>43</v>
      </c>
      <c r="G194" s="69">
        <v>50</v>
      </c>
      <c r="H194" s="69">
        <v>8.5</v>
      </c>
      <c r="I194" s="70">
        <v>0.27</v>
      </c>
      <c r="J194" s="70">
        <v>1.22</v>
      </c>
      <c r="K194" s="69">
        <v>6.2</v>
      </c>
      <c r="L194" s="69">
        <v>1.6</v>
      </c>
      <c r="M194" s="69" t="s">
        <v>958</v>
      </c>
      <c r="N194" s="69">
        <v>2004</v>
      </c>
      <c r="O194" s="69" t="s">
        <v>585</v>
      </c>
      <c r="P194" s="69">
        <v>783720</v>
      </c>
      <c r="Q194" s="92" t="s">
        <v>133</v>
      </c>
      <c r="R194" s="92" t="s">
        <v>353</v>
      </c>
      <c r="S194" s="92"/>
    </row>
    <row r="195" spans="1:19" x14ac:dyDescent="0.2">
      <c r="A195" s="92" t="s">
        <v>386</v>
      </c>
      <c r="B195" s="69">
        <v>10</v>
      </c>
      <c r="C195" s="69">
        <v>3</v>
      </c>
      <c r="D195" s="69">
        <v>9</v>
      </c>
      <c r="E195" s="69">
        <v>18</v>
      </c>
      <c r="F195" s="69">
        <v>53</v>
      </c>
      <c r="G195" s="69">
        <v>57</v>
      </c>
      <c r="H195" s="69">
        <v>9.4</v>
      </c>
      <c r="I195" s="70">
        <v>0.27</v>
      </c>
      <c r="J195" s="70">
        <v>1.22</v>
      </c>
      <c r="K195" s="69">
        <v>7.7</v>
      </c>
      <c r="L195" s="69">
        <v>1.5</v>
      </c>
      <c r="M195" s="69" t="s">
        <v>958</v>
      </c>
      <c r="N195" s="69">
        <v>2004</v>
      </c>
      <c r="O195" s="69" t="s">
        <v>585</v>
      </c>
      <c r="P195" s="69">
        <v>747899</v>
      </c>
      <c r="Q195" s="92" t="s">
        <v>133</v>
      </c>
      <c r="R195" s="92" t="s">
        <v>353</v>
      </c>
      <c r="S195" s="92"/>
    </row>
    <row r="196" spans="1:19" x14ac:dyDescent="0.2">
      <c r="A196" s="92" t="s">
        <v>781</v>
      </c>
      <c r="B196" s="69">
        <v>10</v>
      </c>
      <c r="C196" s="69">
        <v>3</v>
      </c>
      <c r="D196" s="69">
        <v>9</v>
      </c>
      <c r="E196" s="69">
        <v>19</v>
      </c>
      <c r="F196" s="69"/>
      <c r="G196" s="69"/>
      <c r="H196" s="69"/>
      <c r="I196" s="70">
        <v>0.27</v>
      </c>
      <c r="J196" s="70">
        <v>1.22</v>
      </c>
      <c r="K196" s="69"/>
      <c r="L196" s="69"/>
      <c r="M196" s="69" t="s">
        <v>958</v>
      </c>
      <c r="N196" s="69">
        <v>2012</v>
      </c>
      <c r="O196" s="69" t="s">
        <v>585</v>
      </c>
      <c r="P196" s="69">
        <v>320762</v>
      </c>
      <c r="Q196" s="92" t="s">
        <v>133</v>
      </c>
      <c r="R196" s="92" t="s">
        <v>353</v>
      </c>
      <c r="S196" s="92"/>
    </row>
    <row r="197" spans="1:19" x14ac:dyDescent="0.2">
      <c r="A197" s="92" t="s">
        <v>885</v>
      </c>
      <c r="B197" s="69">
        <v>22</v>
      </c>
      <c r="C197" s="69">
        <v>10</v>
      </c>
      <c r="D197" s="69">
        <v>20</v>
      </c>
      <c r="E197" s="69">
        <v>32</v>
      </c>
      <c r="F197" s="69">
        <v>87</v>
      </c>
      <c r="G197" s="69">
        <v>96</v>
      </c>
      <c r="H197" s="69">
        <v>14.4</v>
      </c>
      <c r="I197" s="70">
        <v>0.27</v>
      </c>
      <c r="J197" s="70">
        <v>1</v>
      </c>
      <c r="K197" s="69">
        <v>9.4</v>
      </c>
      <c r="L197" s="69">
        <v>2</v>
      </c>
      <c r="M197" s="69" t="s">
        <v>958</v>
      </c>
      <c r="N197" s="69">
        <v>2013</v>
      </c>
      <c r="O197" s="69" t="s">
        <v>485</v>
      </c>
      <c r="P197" s="69">
        <v>182287</v>
      </c>
      <c r="Q197" s="92" t="s">
        <v>1084</v>
      </c>
      <c r="R197" s="92" t="s">
        <v>72</v>
      </c>
      <c r="S197" s="92"/>
    </row>
    <row r="198" spans="1:19" x14ac:dyDescent="0.2">
      <c r="A198" s="92" t="s">
        <v>909</v>
      </c>
      <c r="B198" s="69">
        <v>5</v>
      </c>
      <c r="C198" s="69">
        <v>1</v>
      </c>
      <c r="D198" s="69">
        <v>3</v>
      </c>
      <c r="E198" s="69">
        <v>7</v>
      </c>
      <c r="F198" s="69">
        <v>15</v>
      </c>
      <c r="G198" s="69"/>
      <c r="H198" s="69"/>
      <c r="I198" s="70">
        <v>0.28000000000000003</v>
      </c>
      <c r="J198" s="70">
        <v>0.75</v>
      </c>
      <c r="K198" s="69">
        <v>2.1</v>
      </c>
      <c r="L198" s="69">
        <v>1.5</v>
      </c>
      <c r="M198" s="69" t="s">
        <v>958</v>
      </c>
      <c r="N198" s="69">
        <v>2013</v>
      </c>
      <c r="O198" s="69" t="s">
        <v>585</v>
      </c>
      <c r="P198" s="69">
        <v>732487</v>
      </c>
      <c r="Q198" s="92" t="s">
        <v>323</v>
      </c>
      <c r="R198" s="92" t="s">
        <v>478</v>
      </c>
      <c r="S198" s="92"/>
    </row>
    <row r="199" spans="1:19" x14ac:dyDescent="0.2">
      <c r="A199" s="92" t="s">
        <v>282</v>
      </c>
      <c r="B199" s="69">
        <v>1</v>
      </c>
      <c r="C199" s="69">
        <v>0</v>
      </c>
      <c r="D199" s="69">
        <v>1</v>
      </c>
      <c r="E199" s="69">
        <v>3</v>
      </c>
      <c r="F199" s="69">
        <v>9</v>
      </c>
      <c r="G199" s="69">
        <v>11</v>
      </c>
      <c r="H199" s="69">
        <v>2.1</v>
      </c>
      <c r="I199" s="70">
        <v>0.28000000000000003</v>
      </c>
      <c r="J199" s="70">
        <v>0.61</v>
      </c>
      <c r="K199" s="69">
        <v>0.4</v>
      </c>
      <c r="L199" s="69">
        <v>3.2</v>
      </c>
      <c r="M199" s="69" t="s">
        <v>958</v>
      </c>
      <c r="N199" s="69">
        <v>2000</v>
      </c>
      <c r="O199" s="69" t="s">
        <v>585</v>
      </c>
      <c r="P199" s="69">
        <v>308908</v>
      </c>
      <c r="Q199" s="92" t="s">
        <v>516</v>
      </c>
      <c r="R199" s="92" t="s">
        <v>368</v>
      </c>
      <c r="S199" s="92" t="s">
        <v>959</v>
      </c>
    </row>
    <row r="200" spans="1:19" x14ac:dyDescent="0.2">
      <c r="A200" s="92" t="s">
        <v>1013</v>
      </c>
      <c r="B200" s="69">
        <v>13</v>
      </c>
      <c r="C200" s="69">
        <v>6</v>
      </c>
      <c r="D200" s="69">
        <v>16</v>
      </c>
      <c r="E200" s="69"/>
      <c r="F200" s="69"/>
      <c r="G200" s="69"/>
      <c r="H200" s="69"/>
      <c r="I200" s="70">
        <v>0.28999999999999998</v>
      </c>
      <c r="J200" s="70">
        <v>1.1599999999999999</v>
      </c>
      <c r="K200" s="69"/>
      <c r="L200" s="69"/>
      <c r="M200" s="69" t="s">
        <v>958</v>
      </c>
      <c r="N200" s="69">
        <v>2013</v>
      </c>
      <c r="O200" s="69" t="s">
        <v>485</v>
      </c>
      <c r="P200" s="69">
        <v>857565</v>
      </c>
      <c r="Q200" s="92" t="s">
        <v>826</v>
      </c>
      <c r="R200" s="92" t="s">
        <v>478</v>
      </c>
      <c r="S200" s="92"/>
    </row>
    <row r="201" spans="1:19" x14ac:dyDescent="0.2">
      <c r="A201" s="92" t="s">
        <v>1056</v>
      </c>
      <c r="B201" s="69">
        <v>22</v>
      </c>
      <c r="C201" s="69">
        <v>13</v>
      </c>
      <c r="D201" s="69">
        <v>24</v>
      </c>
      <c r="E201" s="69">
        <v>28</v>
      </c>
      <c r="F201" s="69">
        <v>34</v>
      </c>
      <c r="G201" s="69">
        <v>44</v>
      </c>
      <c r="H201" s="69">
        <v>7.5</v>
      </c>
      <c r="I201" s="70">
        <v>0.28999999999999998</v>
      </c>
      <c r="J201" s="70">
        <v>1.43</v>
      </c>
      <c r="K201" s="69">
        <v>11.6</v>
      </c>
      <c r="L201" s="69">
        <v>0.7</v>
      </c>
      <c r="M201" s="69" t="s">
        <v>958</v>
      </c>
      <c r="N201" s="69">
        <v>2000</v>
      </c>
      <c r="O201" s="69" t="s">
        <v>585</v>
      </c>
      <c r="P201" s="69">
        <v>104257</v>
      </c>
      <c r="Q201" s="92" t="s">
        <v>133</v>
      </c>
      <c r="R201" s="92" t="s">
        <v>98</v>
      </c>
      <c r="S201" s="92"/>
    </row>
    <row r="202" spans="1:19" x14ac:dyDescent="0.2">
      <c r="A202" s="92" t="s">
        <v>420</v>
      </c>
      <c r="B202" s="69">
        <v>2</v>
      </c>
      <c r="C202" s="69">
        <v>1</v>
      </c>
      <c r="D202" s="69">
        <v>1</v>
      </c>
      <c r="E202" s="69">
        <v>3</v>
      </c>
      <c r="F202" s="69">
        <v>11</v>
      </c>
      <c r="G202" s="69">
        <v>19</v>
      </c>
      <c r="H202" s="69">
        <v>3.5</v>
      </c>
      <c r="I202" s="70">
        <v>0.28999999999999998</v>
      </c>
      <c r="J202" s="70">
        <v>0.72</v>
      </c>
      <c r="K202" s="69">
        <v>0.5</v>
      </c>
      <c r="L202" s="69">
        <v>4.3</v>
      </c>
      <c r="M202" s="69" t="s">
        <v>958</v>
      </c>
      <c r="N202" s="69">
        <v>2000</v>
      </c>
      <c r="O202" s="69" t="s">
        <v>585</v>
      </c>
      <c r="P202" s="69">
        <v>112755</v>
      </c>
      <c r="Q202" s="92" t="s">
        <v>519</v>
      </c>
      <c r="R202" s="92" t="s">
        <v>478</v>
      </c>
      <c r="S202" s="92"/>
    </row>
    <row r="203" spans="1:19" x14ac:dyDescent="0.2">
      <c r="A203" s="92" t="s">
        <v>1001</v>
      </c>
      <c r="B203" s="69">
        <v>10</v>
      </c>
      <c r="C203" s="69">
        <v>-1</v>
      </c>
      <c r="D203" s="69">
        <v>6</v>
      </c>
      <c r="E203" s="69">
        <v>18</v>
      </c>
      <c r="F203" s="69">
        <v>68</v>
      </c>
      <c r="G203" s="69">
        <v>79</v>
      </c>
      <c r="H203" s="69">
        <v>12.3</v>
      </c>
      <c r="I203" s="70">
        <v>0.28999999999999998</v>
      </c>
      <c r="J203" s="70">
        <v>0.61</v>
      </c>
      <c r="K203" s="69">
        <v>12.3</v>
      </c>
      <c r="L203" s="69">
        <v>1.3</v>
      </c>
      <c r="M203" s="69" t="s">
        <v>958</v>
      </c>
      <c r="N203" s="69">
        <v>2000</v>
      </c>
      <c r="O203" s="69" t="s">
        <v>585</v>
      </c>
      <c r="P203" s="69">
        <v>838441</v>
      </c>
      <c r="Q203" s="92" t="s">
        <v>519</v>
      </c>
      <c r="R203" s="92" t="s">
        <v>562</v>
      </c>
      <c r="S203" s="92"/>
    </row>
    <row r="204" spans="1:19" x14ac:dyDescent="0.2">
      <c r="A204" s="92" t="s">
        <v>1002</v>
      </c>
      <c r="B204" s="69">
        <v>17</v>
      </c>
      <c r="C204" s="69">
        <v>9</v>
      </c>
      <c r="D204" s="69">
        <v>17</v>
      </c>
      <c r="E204" s="69">
        <v>25</v>
      </c>
      <c r="F204" s="69">
        <v>73</v>
      </c>
      <c r="G204" s="69">
        <v>82</v>
      </c>
      <c r="H204" s="69">
        <v>12.7</v>
      </c>
      <c r="I204" s="70">
        <v>0.28999999999999998</v>
      </c>
      <c r="J204" s="70">
        <v>1.42</v>
      </c>
      <c r="K204" s="69">
        <v>9.6999999999999993</v>
      </c>
      <c r="L204" s="69">
        <v>1.6</v>
      </c>
      <c r="M204" s="69" t="s">
        <v>958</v>
      </c>
      <c r="N204" s="69">
        <v>2000</v>
      </c>
      <c r="O204" s="69" t="s">
        <v>585</v>
      </c>
      <c r="P204" s="69">
        <v>641704</v>
      </c>
      <c r="Q204" s="92" t="s">
        <v>133</v>
      </c>
      <c r="R204" s="92" t="s">
        <v>565</v>
      </c>
      <c r="S204" s="92" t="s">
        <v>959</v>
      </c>
    </row>
    <row r="205" spans="1:19" x14ac:dyDescent="0.2">
      <c r="A205" s="92" t="s">
        <v>313</v>
      </c>
      <c r="B205" s="69">
        <v>9</v>
      </c>
      <c r="C205" s="69">
        <v>-2</v>
      </c>
      <c r="D205" s="69">
        <v>4</v>
      </c>
      <c r="E205" s="69">
        <v>16</v>
      </c>
      <c r="F205" s="69">
        <v>62</v>
      </c>
      <c r="G205" s="69">
        <v>74</v>
      </c>
      <c r="H205" s="69">
        <v>11.7</v>
      </c>
      <c r="I205" s="70">
        <v>0.28999999999999998</v>
      </c>
      <c r="J205" s="70">
        <v>1.42</v>
      </c>
      <c r="K205" s="69">
        <v>13.6</v>
      </c>
      <c r="L205" s="69">
        <v>1</v>
      </c>
      <c r="M205" s="69" t="s">
        <v>958</v>
      </c>
      <c r="N205" s="69">
        <v>2007</v>
      </c>
      <c r="O205" s="69" t="s">
        <v>585</v>
      </c>
      <c r="P205" s="69">
        <v>853499</v>
      </c>
      <c r="Q205" s="92" t="s">
        <v>133</v>
      </c>
      <c r="R205" s="92" t="s">
        <v>515</v>
      </c>
      <c r="S205" s="92" t="s">
        <v>959</v>
      </c>
    </row>
    <row r="206" spans="1:19" x14ac:dyDescent="0.2">
      <c r="A206" s="92" t="s">
        <v>408</v>
      </c>
      <c r="B206" s="69">
        <v>12</v>
      </c>
      <c r="C206" s="69">
        <v>-1</v>
      </c>
      <c r="D206" s="69">
        <v>6</v>
      </c>
      <c r="E206" s="69">
        <v>18</v>
      </c>
      <c r="F206" s="69">
        <v>63</v>
      </c>
      <c r="G206" s="69">
        <v>87</v>
      </c>
      <c r="H206" s="69">
        <v>13.3</v>
      </c>
      <c r="I206" s="70">
        <v>0.28999999999999998</v>
      </c>
      <c r="J206" s="70">
        <v>1.42</v>
      </c>
      <c r="K206" s="69">
        <v>15.8</v>
      </c>
      <c r="L206" s="69">
        <v>0.9</v>
      </c>
      <c r="M206" s="69" t="s">
        <v>958</v>
      </c>
      <c r="N206" s="69">
        <v>2001</v>
      </c>
      <c r="O206" s="69" t="s">
        <v>585</v>
      </c>
      <c r="P206" s="69">
        <v>939850</v>
      </c>
      <c r="Q206" s="92" t="s">
        <v>133</v>
      </c>
      <c r="R206" s="92" t="s">
        <v>515</v>
      </c>
      <c r="S206" s="92"/>
    </row>
    <row r="207" spans="1:19" x14ac:dyDescent="0.2">
      <c r="A207" s="92" t="s">
        <v>379</v>
      </c>
      <c r="B207" s="69">
        <v>5</v>
      </c>
      <c r="C207" s="69">
        <v>8</v>
      </c>
      <c r="D207" s="69">
        <v>13</v>
      </c>
      <c r="E207" s="69">
        <v>9</v>
      </c>
      <c r="F207" s="69">
        <v>31</v>
      </c>
      <c r="G207" s="69">
        <v>17</v>
      </c>
      <c r="H207" s="69">
        <v>3.2</v>
      </c>
      <c r="I207" s="70">
        <v>0.28999999999999998</v>
      </c>
      <c r="J207" s="70">
        <v>1.42</v>
      </c>
      <c r="K207" s="69">
        <v>12.5</v>
      </c>
      <c r="L207" s="69">
        <v>0.7</v>
      </c>
      <c r="M207" s="69" t="s">
        <v>958</v>
      </c>
      <c r="N207" s="69">
        <v>2000</v>
      </c>
      <c r="O207" s="69" t="s">
        <v>585</v>
      </c>
      <c r="P207" s="69">
        <v>211748</v>
      </c>
      <c r="Q207" s="92" t="s">
        <v>133</v>
      </c>
      <c r="R207" s="92" t="s">
        <v>170</v>
      </c>
      <c r="S207" s="87"/>
    </row>
    <row r="208" spans="1:19" x14ac:dyDescent="0.2">
      <c r="A208" s="92" t="s">
        <v>378</v>
      </c>
      <c r="B208" s="69">
        <v>12</v>
      </c>
      <c r="C208" s="69">
        <v>6</v>
      </c>
      <c r="D208" s="69">
        <v>13</v>
      </c>
      <c r="E208" s="69">
        <v>21</v>
      </c>
      <c r="F208" s="69">
        <v>55</v>
      </c>
      <c r="G208" s="69">
        <v>64</v>
      </c>
      <c r="H208" s="69">
        <v>10.4</v>
      </c>
      <c r="I208" s="70">
        <v>0.28999999999999998</v>
      </c>
      <c r="J208" s="70">
        <v>1.42</v>
      </c>
      <c r="K208" s="69">
        <v>9.1</v>
      </c>
      <c r="L208" s="69">
        <v>1.4</v>
      </c>
      <c r="M208" s="69" t="s">
        <v>958</v>
      </c>
      <c r="N208" s="69">
        <v>2000</v>
      </c>
      <c r="O208" s="69" t="s">
        <v>585</v>
      </c>
      <c r="P208" s="69">
        <v>175919</v>
      </c>
      <c r="Q208" s="92" t="s">
        <v>133</v>
      </c>
      <c r="R208" s="92" t="s">
        <v>565</v>
      </c>
      <c r="S208" s="92"/>
    </row>
    <row r="209" spans="1:19" x14ac:dyDescent="0.2">
      <c r="A209" s="92" t="s">
        <v>407</v>
      </c>
      <c r="B209" s="69">
        <v>24</v>
      </c>
      <c r="C209" s="69">
        <v>12</v>
      </c>
      <c r="D209" s="69">
        <v>14</v>
      </c>
      <c r="E209" s="69">
        <v>34</v>
      </c>
      <c r="F209" s="69">
        <v>101</v>
      </c>
      <c r="G209" s="69">
        <v>108</v>
      </c>
      <c r="H209" s="69">
        <v>15.8</v>
      </c>
      <c r="I209" s="70">
        <v>0.28999999999999998</v>
      </c>
      <c r="J209" s="70">
        <v>1.42</v>
      </c>
      <c r="K209" s="69">
        <v>8.5</v>
      </c>
      <c r="L209" s="69">
        <v>2.5</v>
      </c>
      <c r="M209" s="69" t="s">
        <v>958</v>
      </c>
      <c r="N209" s="69">
        <v>2000</v>
      </c>
      <c r="O209" s="69" t="s">
        <v>585</v>
      </c>
      <c r="P209" s="69">
        <v>928341</v>
      </c>
      <c r="Q209" s="92" t="s">
        <v>133</v>
      </c>
      <c r="R209" s="92" t="s">
        <v>202</v>
      </c>
      <c r="S209" s="92"/>
    </row>
    <row r="210" spans="1:19" x14ac:dyDescent="0.2">
      <c r="A210" s="92" t="s">
        <v>398</v>
      </c>
      <c r="B210" s="69">
        <v>12</v>
      </c>
      <c r="C210" s="69">
        <v>0</v>
      </c>
      <c r="D210" s="69">
        <v>7</v>
      </c>
      <c r="E210" s="69">
        <v>17</v>
      </c>
      <c r="F210" s="69">
        <v>54</v>
      </c>
      <c r="G210" s="69">
        <v>57</v>
      </c>
      <c r="H210" s="69">
        <v>9.4</v>
      </c>
      <c r="I210" s="70">
        <v>0.28999999999999998</v>
      </c>
      <c r="J210" s="70">
        <v>1.43</v>
      </c>
      <c r="K210" s="69">
        <v>13.3</v>
      </c>
      <c r="L210" s="69">
        <v>0.9</v>
      </c>
      <c r="M210" s="69" t="s">
        <v>958</v>
      </c>
      <c r="N210" s="69">
        <v>2000</v>
      </c>
      <c r="O210" s="69" t="s">
        <v>585</v>
      </c>
      <c r="P210" s="69">
        <v>820852</v>
      </c>
      <c r="Q210" s="92" t="s">
        <v>133</v>
      </c>
      <c r="R210" s="92" t="s">
        <v>580</v>
      </c>
      <c r="S210" s="87"/>
    </row>
    <row r="211" spans="1:19" x14ac:dyDescent="0.2">
      <c r="A211" s="92" t="s">
        <v>410</v>
      </c>
      <c r="B211" s="69">
        <v>21</v>
      </c>
      <c r="C211" s="69">
        <v>4</v>
      </c>
      <c r="D211" s="69">
        <v>14</v>
      </c>
      <c r="E211" s="69">
        <v>24</v>
      </c>
      <c r="F211" s="69">
        <v>54</v>
      </c>
      <c r="G211" s="69">
        <v>89</v>
      </c>
      <c r="H211" s="69">
        <v>13.5</v>
      </c>
      <c r="I211" s="70">
        <v>0.28999999999999998</v>
      </c>
      <c r="J211" s="70">
        <v>1.42</v>
      </c>
      <c r="K211" s="69">
        <v>8.9</v>
      </c>
      <c r="L211" s="69">
        <v>1.4</v>
      </c>
      <c r="M211" s="69" t="s">
        <v>958</v>
      </c>
      <c r="N211" s="69">
        <v>2000</v>
      </c>
      <c r="O211" s="69" t="s">
        <v>585</v>
      </c>
      <c r="P211" s="69">
        <v>968420</v>
      </c>
      <c r="Q211" s="92" t="s">
        <v>133</v>
      </c>
      <c r="R211" s="92" t="s">
        <v>207</v>
      </c>
      <c r="S211" s="92"/>
    </row>
    <row r="212" spans="1:19" x14ac:dyDescent="0.2">
      <c r="A212" s="92" t="s">
        <v>405</v>
      </c>
      <c r="B212" s="69">
        <v>4</v>
      </c>
      <c r="C212" s="69">
        <v>-1</v>
      </c>
      <c r="D212" s="69">
        <v>0</v>
      </c>
      <c r="E212" s="69">
        <v>18</v>
      </c>
      <c r="F212" s="69">
        <v>76</v>
      </c>
      <c r="G212" s="69">
        <v>80</v>
      </c>
      <c r="H212" s="69">
        <v>12.4</v>
      </c>
      <c r="I212" s="70">
        <v>0.28999999999999998</v>
      </c>
      <c r="J212" s="70">
        <v>1.42</v>
      </c>
      <c r="K212" s="69">
        <v>11.9</v>
      </c>
      <c r="L212" s="69">
        <v>1.4</v>
      </c>
      <c r="M212" s="69" t="s">
        <v>958</v>
      </c>
      <c r="N212" s="69">
        <v>2000</v>
      </c>
      <c r="O212" s="69" t="s">
        <v>585</v>
      </c>
      <c r="P212" s="69">
        <v>896761</v>
      </c>
      <c r="Q212" s="92" t="s">
        <v>133</v>
      </c>
      <c r="R212" s="92" t="s">
        <v>65</v>
      </c>
      <c r="S212" s="92"/>
    </row>
    <row r="213" spans="1:19" x14ac:dyDescent="0.2">
      <c r="A213" s="92" t="s">
        <v>402</v>
      </c>
      <c r="B213" s="90">
        <v>8</v>
      </c>
      <c r="C213" s="90">
        <v>-4</v>
      </c>
      <c r="D213" s="90">
        <v>3</v>
      </c>
      <c r="E213" s="90">
        <v>14</v>
      </c>
      <c r="F213" s="69">
        <v>54</v>
      </c>
      <c r="G213" s="69">
        <v>76</v>
      </c>
      <c r="H213" s="69">
        <v>12</v>
      </c>
      <c r="I213" s="70">
        <v>0.28999999999999998</v>
      </c>
      <c r="J213" s="70">
        <v>1.43</v>
      </c>
      <c r="K213" s="69">
        <v>16.2</v>
      </c>
      <c r="L213" s="69">
        <v>0.8</v>
      </c>
      <c r="M213" s="69" t="s">
        <v>958</v>
      </c>
      <c r="N213" s="69">
        <v>2000</v>
      </c>
      <c r="O213" s="69" t="s">
        <v>585</v>
      </c>
      <c r="P213" s="69">
        <v>860932</v>
      </c>
      <c r="Q213" s="92" t="s">
        <v>133</v>
      </c>
      <c r="R213" s="92" t="s">
        <v>580</v>
      </c>
      <c r="S213" s="92"/>
    </row>
    <row r="214" spans="1:19" x14ac:dyDescent="0.2">
      <c r="A214" s="92" t="s">
        <v>401</v>
      </c>
      <c r="B214" s="69">
        <v>10</v>
      </c>
      <c r="C214" s="69">
        <v>-4</v>
      </c>
      <c r="D214" s="69">
        <v>5</v>
      </c>
      <c r="E214" s="69">
        <v>22</v>
      </c>
      <c r="F214" s="69">
        <v>80</v>
      </c>
      <c r="G214" s="69">
        <v>126</v>
      </c>
      <c r="H214" s="69">
        <v>17.7</v>
      </c>
      <c r="I214" s="70">
        <v>0.28999999999999998</v>
      </c>
      <c r="J214" s="70">
        <v>1.42</v>
      </c>
      <c r="K214" s="69">
        <v>14.6</v>
      </c>
      <c r="L214" s="69">
        <v>1.3</v>
      </c>
      <c r="M214" s="69" t="s">
        <v>958</v>
      </c>
      <c r="N214" s="69">
        <v>2000</v>
      </c>
      <c r="O214" s="69" t="s">
        <v>585</v>
      </c>
      <c r="P214" s="69">
        <v>856682</v>
      </c>
      <c r="Q214" s="92" t="s">
        <v>133</v>
      </c>
      <c r="R214" s="92" t="s">
        <v>559</v>
      </c>
      <c r="S214" s="92"/>
    </row>
    <row r="215" spans="1:19" x14ac:dyDescent="0.2">
      <c r="A215" s="92" t="s">
        <v>757</v>
      </c>
      <c r="B215" s="69">
        <v>24</v>
      </c>
      <c r="C215" s="69">
        <v>14</v>
      </c>
      <c r="D215" s="69">
        <v>20</v>
      </c>
      <c r="E215" s="69">
        <v>38</v>
      </c>
      <c r="F215" s="69">
        <v>80</v>
      </c>
      <c r="G215" s="69">
        <v>92</v>
      </c>
      <c r="H215" s="69">
        <v>13.9</v>
      </c>
      <c r="I215" s="70">
        <v>0.28999999999999998</v>
      </c>
      <c r="J215" s="70">
        <v>1.42</v>
      </c>
      <c r="K215" s="69">
        <v>9.9</v>
      </c>
      <c r="L215" s="69">
        <v>1.8</v>
      </c>
      <c r="M215" s="69" t="s">
        <v>958</v>
      </c>
      <c r="N215" s="69">
        <v>2000</v>
      </c>
      <c r="O215" s="69" t="s">
        <v>585</v>
      </c>
      <c r="P215" s="69">
        <v>283408</v>
      </c>
      <c r="Q215" s="92" t="s">
        <v>133</v>
      </c>
      <c r="R215" s="92" t="s">
        <v>207</v>
      </c>
      <c r="S215" s="87"/>
    </row>
    <row r="216" spans="1:19" x14ac:dyDescent="0.2">
      <c r="A216" s="92" t="s">
        <v>399</v>
      </c>
      <c r="B216" s="69">
        <v>4</v>
      </c>
      <c r="C216" s="69">
        <v>4</v>
      </c>
      <c r="D216" s="69">
        <v>22</v>
      </c>
      <c r="E216" s="69">
        <v>11</v>
      </c>
      <c r="F216" s="69">
        <v>11</v>
      </c>
      <c r="G216" s="69">
        <v>33</v>
      </c>
      <c r="H216" s="69">
        <v>5.8</v>
      </c>
      <c r="I216" s="70">
        <v>0.28999999999999998</v>
      </c>
      <c r="J216" s="70">
        <v>1.43</v>
      </c>
      <c r="K216" s="69">
        <v>19.600000000000001</v>
      </c>
      <c r="L216" s="69">
        <v>0.1</v>
      </c>
      <c r="M216" s="69" t="s">
        <v>958</v>
      </c>
      <c r="N216" s="69">
        <v>2000</v>
      </c>
      <c r="O216" s="69" t="s">
        <v>585</v>
      </c>
      <c r="P216" s="69">
        <v>825109</v>
      </c>
      <c r="Q216" s="92" t="s">
        <v>133</v>
      </c>
      <c r="R216" s="92" t="s">
        <v>157</v>
      </c>
      <c r="S216" s="87"/>
    </row>
    <row r="217" spans="1:19" x14ac:dyDescent="0.2">
      <c r="A217" s="92" t="s">
        <v>381</v>
      </c>
      <c r="B217" s="69">
        <v>16</v>
      </c>
      <c r="C217" s="69">
        <v>8</v>
      </c>
      <c r="D217" s="69">
        <v>14</v>
      </c>
      <c r="E217" s="69">
        <v>24</v>
      </c>
      <c r="F217" s="69">
        <v>76</v>
      </c>
      <c r="G217" s="69">
        <v>85</v>
      </c>
      <c r="H217" s="69">
        <v>13</v>
      </c>
      <c r="I217" s="70">
        <v>0.28999999999999998</v>
      </c>
      <c r="J217" s="70">
        <v>1.42</v>
      </c>
      <c r="K217" s="69">
        <v>7.7</v>
      </c>
      <c r="L217" s="69">
        <v>2.1</v>
      </c>
      <c r="M217" s="69" t="s">
        <v>958</v>
      </c>
      <c r="N217" s="69">
        <v>2000</v>
      </c>
      <c r="O217" s="69" t="s">
        <v>585</v>
      </c>
      <c r="P217" s="69">
        <v>319236</v>
      </c>
      <c r="Q217" s="92" t="s">
        <v>133</v>
      </c>
      <c r="R217" s="92" t="s">
        <v>72</v>
      </c>
      <c r="S217" s="87"/>
    </row>
    <row r="218" spans="1:19" x14ac:dyDescent="0.2">
      <c r="A218" s="92" t="s">
        <v>74</v>
      </c>
      <c r="B218" s="69">
        <v>20</v>
      </c>
      <c r="C218" s="69">
        <v>10</v>
      </c>
      <c r="D218" s="69">
        <v>17</v>
      </c>
      <c r="E218" s="69">
        <v>30</v>
      </c>
      <c r="F218" s="69">
        <v>92</v>
      </c>
      <c r="G218" s="69">
        <v>104</v>
      </c>
      <c r="H218" s="69">
        <v>15.4</v>
      </c>
      <c r="I218" s="70">
        <v>0.28999999999999998</v>
      </c>
      <c r="J218" s="70">
        <v>0.67</v>
      </c>
      <c r="K218" s="69">
        <v>7.4</v>
      </c>
      <c r="L218" s="69">
        <v>2.7</v>
      </c>
      <c r="M218" s="69" t="s">
        <v>958</v>
      </c>
      <c r="N218" s="69">
        <v>2000</v>
      </c>
      <c r="O218" s="69" t="s">
        <v>585</v>
      </c>
      <c r="P218" s="69">
        <v>678128</v>
      </c>
      <c r="Q218" s="92" t="s">
        <v>528</v>
      </c>
      <c r="R218" s="92" t="s">
        <v>72</v>
      </c>
      <c r="S218" s="87" t="s">
        <v>959</v>
      </c>
    </row>
    <row r="219" spans="1:19" x14ac:dyDescent="0.2">
      <c r="A219" s="92" t="s">
        <v>246</v>
      </c>
      <c r="B219" s="69">
        <v>4</v>
      </c>
      <c r="C219" s="69">
        <v>1</v>
      </c>
      <c r="D219" s="69">
        <v>3</v>
      </c>
      <c r="E219" s="69">
        <v>7</v>
      </c>
      <c r="F219" s="69">
        <v>24</v>
      </c>
      <c r="G219" s="69">
        <v>41</v>
      </c>
      <c r="H219" s="69">
        <v>7.1</v>
      </c>
      <c r="I219" s="70">
        <v>0.3</v>
      </c>
      <c r="J219" s="70">
        <v>1.1599999999999999</v>
      </c>
      <c r="K219" s="69">
        <v>2.2000000000000002</v>
      </c>
      <c r="L219" s="69">
        <v>2.7</v>
      </c>
      <c r="M219" s="69" t="s">
        <v>958</v>
      </c>
      <c r="N219" s="69">
        <v>2010</v>
      </c>
      <c r="O219" s="69" t="s">
        <v>485</v>
      </c>
      <c r="P219" s="69">
        <v>537639</v>
      </c>
      <c r="Q219" s="92" t="s">
        <v>657</v>
      </c>
      <c r="R219" s="92" t="s">
        <v>478</v>
      </c>
      <c r="S219" s="92"/>
    </row>
    <row r="220" spans="1:19" x14ac:dyDescent="0.2">
      <c r="A220" s="92" t="s">
        <v>482</v>
      </c>
      <c r="B220" s="69">
        <v>6</v>
      </c>
      <c r="C220" s="69">
        <v>2</v>
      </c>
      <c r="D220" s="69">
        <v>6</v>
      </c>
      <c r="E220" s="69">
        <v>9</v>
      </c>
      <c r="F220" s="69">
        <v>9</v>
      </c>
      <c r="G220" s="69">
        <v>5</v>
      </c>
      <c r="H220" s="69">
        <v>1</v>
      </c>
      <c r="I220" s="70">
        <v>0.3</v>
      </c>
      <c r="J220" s="70">
        <v>0.71</v>
      </c>
      <c r="K220" s="69">
        <v>4.8</v>
      </c>
      <c r="L220" s="69">
        <v>0.2</v>
      </c>
      <c r="M220" s="69" t="s">
        <v>960</v>
      </c>
      <c r="N220" s="69">
        <v>2000</v>
      </c>
      <c r="O220" s="69" t="s">
        <v>485</v>
      </c>
      <c r="P220" s="69">
        <v>515973</v>
      </c>
      <c r="Q220" s="92" t="s">
        <v>46</v>
      </c>
      <c r="R220" s="92" t="s">
        <v>478</v>
      </c>
      <c r="S220" s="87"/>
    </row>
    <row r="221" spans="1:19" x14ac:dyDescent="0.2">
      <c r="A221" s="92" t="s">
        <v>419</v>
      </c>
      <c r="B221" s="69">
        <v>7</v>
      </c>
      <c r="C221" s="69">
        <v>3</v>
      </c>
      <c r="D221" s="69">
        <v>6</v>
      </c>
      <c r="E221" s="69">
        <v>6</v>
      </c>
      <c r="F221" s="69">
        <v>5</v>
      </c>
      <c r="G221" s="69">
        <v>20</v>
      </c>
      <c r="H221" s="69">
        <v>3.7</v>
      </c>
      <c r="I221" s="70">
        <v>0.3</v>
      </c>
      <c r="J221" s="70">
        <v>0.68</v>
      </c>
      <c r="K221" s="69">
        <v>3.4</v>
      </c>
      <c r="L221" s="69">
        <v>0.1</v>
      </c>
      <c r="M221" s="69" t="s">
        <v>958</v>
      </c>
      <c r="N221" s="69">
        <v>2005</v>
      </c>
      <c r="O221" s="69" t="s">
        <v>585</v>
      </c>
      <c r="P221" s="69">
        <v>483099</v>
      </c>
      <c r="Q221" s="92" t="s">
        <v>544</v>
      </c>
      <c r="R221" s="92" t="s">
        <v>412</v>
      </c>
      <c r="S221" s="92"/>
    </row>
    <row r="222" spans="1:19" x14ac:dyDescent="0.2">
      <c r="A222" s="92" t="s">
        <v>285</v>
      </c>
      <c r="B222" s="69">
        <v>7</v>
      </c>
      <c r="C222" s="69">
        <v>2</v>
      </c>
      <c r="D222" s="69">
        <v>6</v>
      </c>
      <c r="E222" s="69">
        <v>11</v>
      </c>
      <c r="F222" s="69">
        <v>18</v>
      </c>
      <c r="G222" s="69">
        <v>13</v>
      </c>
      <c r="H222" s="69">
        <v>2.4</v>
      </c>
      <c r="I222" s="70">
        <v>0.3</v>
      </c>
      <c r="J222" s="70">
        <v>0.69</v>
      </c>
      <c r="K222" s="69">
        <v>4.8</v>
      </c>
      <c r="L222" s="69">
        <v>0.8</v>
      </c>
      <c r="M222" s="69" t="s">
        <v>960</v>
      </c>
      <c r="N222" s="69">
        <v>2010</v>
      </c>
      <c r="O222" s="69" t="s">
        <v>485</v>
      </c>
      <c r="P222" s="69">
        <v>203000</v>
      </c>
      <c r="Q222" s="92" t="s">
        <v>228</v>
      </c>
      <c r="R222" s="92" t="s">
        <v>469</v>
      </c>
      <c r="S222" s="92"/>
    </row>
    <row r="223" spans="1:19" x14ac:dyDescent="0.2">
      <c r="A223" s="92" t="s">
        <v>179</v>
      </c>
      <c r="B223" s="69">
        <v>9</v>
      </c>
      <c r="C223" s="69">
        <v>8</v>
      </c>
      <c r="D223" s="69">
        <v>14</v>
      </c>
      <c r="E223" s="69">
        <v>15</v>
      </c>
      <c r="F223" s="69">
        <v>37</v>
      </c>
      <c r="G223" s="69">
        <v>23</v>
      </c>
      <c r="H223" s="69">
        <v>4.2</v>
      </c>
      <c r="I223" s="70">
        <v>0.3</v>
      </c>
      <c r="J223" s="70">
        <v>0.68</v>
      </c>
      <c r="K223" s="69">
        <v>11.6</v>
      </c>
      <c r="L223" s="69">
        <v>0.8</v>
      </c>
      <c r="M223" s="69" t="s">
        <v>958</v>
      </c>
      <c r="N223" s="69">
        <v>2000</v>
      </c>
      <c r="O223" s="69" t="s">
        <v>585</v>
      </c>
      <c r="P223" s="69">
        <v>606467</v>
      </c>
      <c r="Q223" s="92" t="s">
        <v>528</v>
      </c>
      <c r="R223" s="92" t="s">
        <v>170</v>
      </c>
      <c r="S223" s="92" t="s">
        <v>959</v>
      </c>
    </row>
    <row r="224" spans="1:19" x14ac:dyDescent="0.2">
      <c r="A224" s="92" t="s">
        <v>101</v>
      </c>
      <c r="B224" s="69">
        <v>25</v>
      </c>
      <c r="C224" s="69">
        <v>13</v>
      </c>
      <c r="D224" s="69">
        <v>24</v>
      </c>
      <c r="E224" s="69">
        <v>26</v>
      </c>
      <c r="F224" s="69">
        <v>50</v>
      </c>
      <c r="G224" s="69">
        <v>63</v>
      </c>
      <c r="H224" s="69">
        <v>10.3</v>
      </c>
      <c r="I224" s="70">
        <v>0.3</v>
      </c>
      <c r="J224" s="70">
        <v>0.68</v>
      </c>
      <c r="K224" s="69">
        <v>13.8</v>
      </c>
      <c r="L224" s="69">
        <v>0.9</v>
      </c>
      <c r="M224" s="69" t="s">
        <v>958</v>
      </c>
      <c r="N224" s="69">
        <v>2000</v>
      </c>
      <c r="O224" s="69" t="s">
        <v>585</v>
      </c>
      <c r="P224" s="69">
        <v>642298</v>
      </c>
      <c r="Q224" s="92" t="s">
        <v>528</v>
      </c>
      <c r="R224" s="92" t="s">
        <v>98</v>
      </c>
      <c r="S224" s="92" t="s">
        <v>959</v>
      </c>
    </row>
    <row r="225" spans="1:19" x14ac:dyDescent="0.2">
      <c r="A225" s="92" t="s">
        <v>795</v>
      </c>
      <c r="B225" s="69">
        <v>5</v>
      </c>
      <c r="C225" s="69">
        <v>2</v>
      </c>
      <c r="D225" s="69">
        <v>6</v>
      </c>
      <c r="E225" s="69">
        <v>9</v>
      </c>
      <c r="F225" s="69">
        <v>21</v>
      </c>
      <c r="G225" s="69">
        <v>28</v>
      </c>
      <c r="H225" s="69">
        <v>5</v>
      </c>
      <c r="I225" s="70">
        <v>0.3</v>
      </c>
      <c r="J225" s="70">
        <v>1.52</v>
      </c>
      <c r="K225" s="69">
        <v>4.9000000000000004</v>
      </c>
      <c r="L225" s="69">
        <v>0.9</v>
      </c>
      <c r="M225" s="69" t="s">
        <v>958</v>
      </c>
      <c r="N225" s="69">
        <v>2004</v>
      </c>
      <c r="O225" s="69" t="s">
        <v>585</v>
      </c>
      <c r="P225" s="69">
        <v>985952</v>
      </c>
      <c r="Q225" s="92" t="s">
        <v>133</v>
      </c>
      <c r="R225" s="92" t="s">
        <v>219</v>
      </c>
      <c r="S225" s="87" t="s">
        <v>959</v>
      </c>
    </row>
    <row r="226" spans="1:19" x14ac:dyDescent="0.2">
      <c r="A226" s="92" t="s">
        <v>70</v>
      </c>
      <c r="B226" s="69">
        <v>12</v>
      </c>
      <c r="C226" s="69">
        <v>3</v>
      </c>
      <c r="D226" s="69">
        <v>9</v>
      </c>
      <c r="E226" s="69">
        <v>24</v>
      </c>
      <c r="F226" s="69">
        <v>61</v>
      </c>
      <c r="G226" s="69">
        <v>45</v>
      </c>
      <c r="H226" s="69">
        <v>7.8</v>
      </c>
      <c r="I226" s="70">
        <v>0.3</v>
      </c>
      <c r="J226" s="70">
        <v>0.68</v>
      </c>
      <c r="K226" s="69">
        <v>9.1</v>
      </c>
      <c r="L226" s="69">
        <v>1.5</v>
      </c>
      <c r="M226" s="69" t="s">
        <v>958</v>
      </c>
      <c r="N226" s="69">
        <v>2000</v>
      </c>
      <c r="O226" s="69" t="s">
        <v>585</v>
      </c>
      <c r="P226" s="69">
        <v>570630</v>
      </c>
      <c r="Q226" s="92" t="s">
        <v>528</v>
      </c>
      <c r="R226" s="92" t="s">
        <v>67</v>
      </c>
      <c r="S226" s="92" t="s">
        <v>959</v>
      </c>
    </row>
    <row r="227" spans="1:19" x14ac:dyDescent="0.2">
      <c r="A227" s="92" t="s">
        <v>882</v>
      </c>
      <c r="B227" s="69">
        <v>0</v>
      </c>
      <c r="C227" s="69">
        <v>0</v>
      </c>
      <c r="D227" s="69">
        <v>0</v>
      </c>
      <c r="E227" s="69">
        <v>1</v>
      </c>
      <c r="F227" s="69">
        <v>3</v>
      </c>
      <c r="G227" s="69">
        <v>16</v>
      </c>
      <c r="H227" s="69">
        <v>2.9</v>
      </c>
      <c r="I227" s="70">
        <v>0.31</v>
      </c>
      <c r="J227" s="70">
        <v>0.75</v>
      </c>
      <c r="K227" s="69">
        <v>3.6</v>
      </c>
      <c r="L227" s="69">
        <v>-0.1</v>
      </c>
      <c r="M227" s="69" t="s">
        <v>958</v>
      </c>
      <c r="N227" s="69">
        <v>2000</v>
      </c>
      <c r="O227" s="69" t="s">
        <v>585</v>
      </c>
      <c r="P227" s="69">
        <v>325902</v>
      </c>
      <c r="Q227" s="92" t="s">
        <v>649</v>
      </c>
      <c r="R227" s="92" t="s">
        <v>478</v>
      </c>
      <c r="S227" s="92"/>
    </row>
    <row r="228" spans="1:19" x14ac:dyDescent="0.2">
      <c r="A228" s="92" t="s">
        <v>477</v>
      </c>
      <c r="B228" s="69">
        <v>8</v>
      </c>
      <c r="C228" s="69">
        <v>4</v>
      </c>
      <c r="D228" s="69">
        <v>7</v>
      </c>
      <c r="E228" s="69">
        <v>12</v>
      </c>
      <c r="F228" s="69">
        <v>9</v>
      </c>
      <c r="G228" s="69">
        <v>5</v>
      </c>
      <c r="H228" s="69">
        <v>1</v>
      </c>
      <c r="I228" s="70">
        <v>0.31</v>
      </c>
      <c r="J228" s="70">
        <v>0.73</v>
      </c>
      <c r="K228" s="69">
        <v>5</v>
      </c>
      <c r="L228" s="69">
        <v>0.3</v>
      </c>
      <c r="M228" s="69" t="s">
        <v>960</v>
      </c>
      <c r="N228" s="69">
        <v>2000</v>
      </c>
      <c r="O228" s="69" t="s">
        <v>485</v>
      </c>
      <c r="P228" s="69">
        <v>587634</v>
      </c>
      <c r="Q228" s="92" t="s">
        <v>46</v>
      </c>
      <c r="R228" s="92" t="s">
        <v>469</v>
      </c>
      <c r="S228" s="92"/>
    </row>
    <row r="229" spans="1:19" x14ac:dyDescent="0.2">
      <c r="A229" s="92" t="s">
        <v>907</v>
      </c>
      <c r="B229" s="69">
        <v>5</v>
      </c>
      <c r="C229" s="69">
        <v>2</v>
      </c>
      <c r="D229" s="69">
        <v>3</v>
      </c>
      <c r="E229" s="69">
        <v>7</v>
      </c>
      <c r="F229" s="69"/>
      <c r="G229" s="69"/>
      <c r="H229" s="69"/>
      <c r="I229" s="70">
        <v>0.31</v>
      </c>
      <c r="J229" s="70">
        <v>0.87</v>
      </c>
      <c r="K229" s="69"/>
      <c r="L229" s="69"/>
      <c r="M229" s="69" t="s">
        <v>958</v>
      </c>
      <c r="N229" s="69">
        <v>2013</v>
      </c>
      <c r="O229" s="69" t="s">
        <v>585</v>
      </c>
      <c r="P229" s="69">
        <v>624999</v>
      </c>
      <c r="Q229" s="92" t="s">
        <v>871</v>
      </c>
      <c r="R229" s="92" t="s">
        <v>412</v>
      </c>
      <c r="S229" s="92" t="s">
        <v>959</v>
      </c>
    </row>
    <row r="230" spans="1:19" x14ac:dyDescent="0.2">
      <c r="A230" s="92" t="s">
        <v>796</v>
      </c>
      <c r="B230" s="69">
        <v>9</v>
      </c>
      <c r="C230" s="69">
        <v>0</v>
      </c>
      <c r="D230" s="69">
        <v>8</v>
      </c>
      <c r="E230" s="69">
        <v>18</v>
      </c>
      <c r="F230" s="69">
        <v>67</v>
      </c>
      <c r="G230" s="69">
        <v>81</v>
      </c>
      <c r="H230" s="69">
        <v>12.6</v>
      </c>
      <c r="I230" s="70">
        <v>0.31</v>
      </c>
      <c r="J230" s="70">
        <v>1.0900000000000001</v>
      </c>
      <c r="K230" s="69">
        <v>11.8</v>
      </c>
      <c r="L230" s="69">
        <v>1.3</v>
      </c>
      <c r="M230" s="69" t="s">
        <v>958</v>
      </c>
      <c r="N230" s="69">
        <v>2000</v>
      </c>
      <c r="O230" s="69" t="s">
        <v>485</v>
      </c>
      <c r="P230" s="69">
        <v>585216</v>
      </c>
      <c r="Q230" s="92" t="s">
        <v>299</v>
      </c>
      <c r="R230" s="92" t="s">
        <v>515</v>
      </c>
      <c r="S230" s="92"/>
    </row>
    <row r="231" spans="1:19" x14ac:dyDescent="0.2">
      <c r="A231" s="92" t="s">
        <v>113</v>
      </c>
      <c r="B231" s="69">
        <v>13</v>
      </c>
      <c r="C231" s="69">
        <v>6</v>
      </c>
      <c r="D231" s="69">
        <v>15</v>
      </c>
      <c r="E231" s="69">
        <v>25</v>
      </c>
      <c r="F231" s="69">
        <v>65</v>
      </c>
      <c r="G231" s="69">
        <v>102</v>
      </c>
      <c r="H231" s="69">
        <v>15.1</v>
      </c>
      <c r="I231" s="70">
        <v>0.31</v>
      </c>
      <c r="J231" s="70">
        <v>0.6</v>
      </c>
      <c r="K231" s="69">
        <v>7.9</v>
      </c>
      <c r="L231" s="69">
        <v>2</v>
      </c>
      <c r="M231" s="69" t="s">
        <v>960</v>
      </c>
      <c r="N231" s="69">
        <v>2000</v>
      </c>
      <c r="O231" s="69" t="s">
        <v>485</v>
      </c>
      <c r="P231" s="69">
        <v>479550</v>
      </c>
      <c r="Q231" s="92" t="s">
        <v>71</v>
      </c>
      <c r="R231" s="92" t="s">
        <v>109</v>
      </c>
      <c r="S231" s="92"/>
    </row>
    <row r="232" spans="1:19" x14ac:dyDescent="0.2">
      <c r="A232" s="92" t="s">
        <v>204</v>
      </c>
      <c r="B232" s="69">
        <v>24</v>
      </c>
      <c r="C232" s="69">
        <v>10</v>
      </c>
      <c r="D232" s="69">
        <v>17</v>
      </c>
      <c r="E232" s="69">
        <v>35</v>
      </c>
      <c r="F232" s="69">
        <v>109</v>
      </c>
      <c r="G232" s="69">
        <v>126</v>
      </c>
      <c r="H232" s="69">
        <v>17.7</v>
      </c>
      <c r="I232" s="70">
        <v>0.31</v>
      </c>
      <c r="J232" s="70">
        <v>0.61</v>
      </c>
      <c r="K232" s="69">
        <v>9.4</v>
      </c>
      <c r="L232" s="69">
        <v>2.5</v>
      </c>
      <c r="M232" s="69" t="s">
        <v>960</v>
      </c>
      <c r="N232" s="69">
        <v>2001</v>
      </c>
      <c r="O232" s="69" t="s">
        <v>485</v>
      </c>
      <c r="P232" s="69">
        <v>416982</v>
      </c>
      <c r="Q232" s="92" t="s">
        <v>71</v>
      </c>
      <c r="R232" s="92" t="s">
        <v>202</v>
      </c>
      <c r="S232" s="92"/>
    </row>
    <row r="233" spans="1:19" x14ac:dyDescent="0.2">
      <c r="A233" s="92" t="s">
        <v>1107</v>
      </c>
      <c r="B233" s="69"/>
      <c r="C233" s="69"/>
      <c r="D233" s="69"/>
      <c r="E233" s="69"/>
      <c r="F233" s="69"/>
      <c r="G233" s="69"/>
      <c r="H233" s="69"/>
      <c r="I233" s="70">
        <v>0.31</v>
      </c>
      <c r="J233" s="70">
        <v>0.75</v>
      </c>
      <c r="K233" s="69"/>
      <c r="L233" s="69"/>
      <c r="M233" s="69" t="s">
        <v>958</v>
      </c>
      <c r="N233" s="69">
        <v>2014</v>
      </c>
      <c r="O233" s="69" t="s">
        <v>585</v>
      </c>
      <c r="P233" s="69">
        <v>560599</v>
      </c>
      <c r="Q233" s="92" t="s">
        <v>472</v>
      </c>
      <c r="R233" s="92" t="s">
        <v>478</v>
      </c>
      <c r="S233" s="92"/>
    </row>
    <row r="234" spans="1:19" x14ac:dyDescent="0.2">
      <c r="A234" s="92" t="s">
        <v>612</v>
      </c>
      <c r="B234" s="69">
        <v>7</v>
      </c>
      <c r="C234" s="69">
        <v>-1</v>
      </c>
      <c r="D234" s="69">
        <v>7</v>
      </c>
      <c r="E234" s="69">
        <v>15</v>
      </c>
      <c r="F234" s="69">
        <v>55</v>
      </c>
      <c r="G234" s="69">
        <v>60</v>
      </c>
      <c r="H234" s="69">
        <v>9.9</v>
      </c>
      <c r="I234" s="70">
        <v>0.32</v>
      </c>
      <c r="J234" s="70">
        <v>1.42</v>
      </c>
      <c r="K234" s="69">
        <v>14.7</v>
      </c>
      <c r="L234" s="69">
        <v>0.9</v>
      </c>
      <c r="M234" s="69" t="s">
        <v>958</v>
      </c>
      <c r="N234" s="69">
        <v>2008</v>
      </c>
      <c r="O234" s="69" t="s">
        <v>585</v>
      </c>
      <c r="P234" s="69">
        <v>552869</v>
      </c>
      <c r="Q234" s="92" t="s">
        <v>1084</v>
      </c>
      <c r="R234" s="92" t="s">
        <v>580</v>
      </c>
      <c r="S234" s="92"/>
    </row>
    <row r="235" spans="1:19" x14ac:dyDescent="0.2">
      <c r="A235" s="92" t="s">
        <v>470</v>
      </c>
      <c r="B235" s="69">
        <v>9</v>
      </c>
      <c r="C235" s="69">
        <v>2</v>
      </c>
      <c r="D235" s="69">
        <v>7</v>
      </c>
      <c r="E235" s="69">
        <v>14</v>
      </c>
      <c r="F235" s="69">
        <v>27</v>
      </c>
      <c r="G235" s="69">
        <v>26</v>
      </c>
      <c r="H235" s="69">
        <v>4.7</v>
      </c>
      <c r="I235" s="70">
        <v>0.32</v>
      </c>
      <c r="J235" s="70">
        <v>0.85</v>
      </c>
      <c r="K235" s="69">
        <v>4.8</v>
      </c>
      <c r="L235" s="69">
        <v>1.4</v>
      </c>
      <c r="M235" s="69" t="s">
        <v>960</v>
      </c>
      <c r="N235" s="69">
        <v>2000</v>
      </c>
      <c r="O235" s="69" t="s">
        <v>485</v>
      </c>
      <c r="P235" s="69">
        <v>390898</v>
      </c>
      <c r="Q235" s="92" t="s">
        <v>596</v>
      </c>
      <c r="R235" s="92" t="s">
        <v>469</v>
      </c>
      <c r="S235" s="92"/>
    </row>
    <row r="236" spans="1:19" x14ac:dyDescent="0.2">
      <c r="A236" s="92" t="s">
        <v>650</v>
      </c>
      <c r="B236" s="69">
        <v>16</v>
      </c>
      <c r="C236" s="69">
        <v>4</v>
      </c>
      <c r="D236" s="69">
        <v>9</v>
      </c>
      <c r="E236" s="69">
        <v>33</v>
      </c>
      <c r="F236" s="69">
        <v>81</v>
      </c>
      <c r="G236" s="69">
        <v>136</v>
      </c>
      <c r="H236" s="69">
        <v>18.7</v>
      </c>
      <c r="I236" s="70">
        <v>0.32</v>
      </c>
      <c r="J236" s="70">
        <v>1.7</v>
      </c>
      <c r="K236" s="69">
        <v>10.1</v>
      </c>
      <c r="L236" s="69">
        <v>1.8</v>
      </c>
      <c r="M236" s="69" t="s">
        <v>958</v>
      </c>
      <c r="N236" s="69">
        <v>2007</v>
      </c>
      <c r="O236" s="69" t="s">
        <v>585</v>
      </c>
      <c r="P236" s="69">
        <v>766667</v>
      </c>
      <c r="Q236" s="92" t="s">
        <v>133</v>
      </c>
      <c r="R236" s="92" t="s">
        <v>559</v>
      </c>
      <c r="S236" s="92"/>
    </row>
    <row r="237" spans="1:19" x14ac:dyDescent="0.2">
      <c r="A237" s="92" t="s">
        <v>527</v>
      </c>
      <c r="B237" s="69">
        <v>13</v>
      </c>
      <c r="C237" s="69">
        <v>-2</v>
      </c>
      <c r="D237" s="69">
        <v>6</v>
      </c>
      <c r="E237" s="69">
        <v>17</v>
      </c>
      <c r="F237" s="69">
        <v>94</v>
      </c>
      <c r="G237" s="69">
        <v>134</v>
      </c>
      <c r="H237" s="69">
        <v>18.5</v>
      </c>
      <c r="I237" s="70">
        <v>0.32</v>
      </c>
      <c r="J237" s="70">
        <v>1.22</v>
      </c>
      <c r="K237" s="69">
        <v>15.2</v>
      </c>
      <c r="L237" s="69">
        <v>1.4</v>
      </c>
      <c r="M237" s="69" t="s">
        <v>958</v>
      </c>
      <c r="N237" s="69">
        <v>2000</v>
      </c>
      <c r="O237" s="69" t="s">
        <v>585</v>
      </c>
      <c r="P237" s="69">
        <v>291906</v>
      </c>
      <c r="Q237" s="92" t="s">
        <v>526</v>
      </c>
      <c r="R237" s="92" t="s">
        <v>515</v>
      </c>
      <c r="S237" s="92"/>
    </row>
    <row r="238" spans="1:19" x14ac:dyDescent="0.2">
      <c r="A238" s="92" t="s">
        <v>797</v>
      </c>
      <c r="B238" s="69">
        <v>6</v>
      </c>
      <c r="C238" s="69">
        <v>1</v>
      </c>
      <c r="D238" s="69">
        <v>3</v>
      </c>
      <c r="E238" s="69">
        <v>9</v>
      </c>
      <c r="F238" s="69"/>
      <c r="G238" s="69"/>
      <c r="H238" s="69"/>
      <c r="I238" s="70">
        <v>0.32</v>
      </c>
      <c r="J238" s="70">
        <v>0.85</v>
      </c>
      <c r="K238" s="69"/>
      <c r="L238" s="69"/>
      <c r="M238" s="69" t="s">
        <v>958</v>
      </c>
      <c r="N238" s="69">
        <v>2012</v>
      </c>
      <c r="O238" s="69" t="s">
        <v>485</v>
      </c>
      <c r="P238" s="69">
        <v>664482</v>
      </c>
      <c r="Q238" s="92" t="s">
        <v>596</v>
      </c>
      <c r="R238" s="92" t="s">
        <v>469</v>
      </c>
      <c r="S238" s="92"/>
    </row>
    <row r="239" spans="1:19" x14ac:dyDescent="0.2">
      <c r="A239" s="92" t="s">
        <v>756</v>
      </c>
      <c r="B239" s="69">
        <v>13</v>
      </c>
      <c r="C239" s="69">
        <v>-1</v>
      </c>
      <c r="D239" s="69">
        <v>9</v>
      </c>
      <c r="E239" s="69">
        <v>20</v>
      </c>
      <c r="F239" s="69">
        <v>71</v>
      </c>
      <c r="G239" s="69">
        <v>87</v>
      </c>
      <c r="H239" s="69">
        <v>13.4</v>
      </c>
      <c r="I239" s="70">
        <v>0.33</v>
      </c>
      <c r="J239" s="70">
        <v>1.5</v>
      </c>
      <c r="K239" s="69">
        <v>13.3</v>
      </c>
      <c r="L239" s="69">
        <v>1.2</v>
      </c>
      <c r="M239" s="69" t="s">
        <v>958</v>
      </c>
      <c r="N239" s="69">
        <v>2008</v>
      </c>
      <c r="O239" s="69" t="s">
        <v>585</v>
      </c>
      <c r="P239" s="69">
        <v>203067</v>
      </c>
      <c r="Q239" s="92" t="s">
        <v>1084</v>
      </c>
      <c r="R239" s="92" t="s">
        <v>515</v>
      </c>
      <c r="S239" s="92" t="s">
        <v>959</v>
      </c>
    </row>
    <row r="240" spans="1:19" x14ac:dyDescent="0.2">
      <c r="A240" s="92" t="s">
        <v>10</v>
      </c>
      <c r="B240" s="69">
        <v>12</v>
      </c>
      <c r="C240" s="69">
        <v>5</v>
      </c>
      <c r="D240" s="69">
        <v>9</v>
      </c>
      <c r="E240" s="69">
        <v>11</v>
      </c>
      <c r="F240" s="69">
        <v>8</v>
      </c>
      <c r="G240" s="69">
        <v>7</v>
      </c>
      <c r="H240" s="69">
        <v>1.4</v>
      </c>
      <c r="I240" s="70">
        <v>0.33</v>
      </c>
      <c r="J240" s="70">
        <v>0.77</v>
      </c>
      <c r="K240" s="69">
        <v>9.1999999999999993</v>
      </c>
      <c r="L240" s="69">
        <v>0.2</v>
      </c>
      <c r="M240" s="69" t="s">
        <v>968</v>
      </c>
      <c r="N240" s="69">
        <v>2003</v>
      </c>
      <c r="O240" s="69" t="s">
        <v>485</v>
      </c>
      <c r="P240" s="69">
        <v>316752</v>
      </c>
      <c r="Q240" s="92" t="s">
        <v>320</v>
      </c>
      <c r="R240" s="92" t="s">
        <v>478</v>
      </c>
      <c r="S240" s="92"/>
    </row>
    <row r="241" spans="1:19" x14ac:dyDescent="0.2">
      <c r="A241" s="92" t="s">
        <v>382</v>
      </c>
      <c r="B241" s="69">
        <v>23</v>
      </c>
      <c r="C241" s="69">
        <v>17</v>
      </c>
      <c r="D241" s="69">
        <v>26</v>
      </c>
      <c r="E241" s="69">
        <v>28</v>
      </c>
      <c r="F241" s="69">
        <v>43</v>
      </c>
      <c r="G241" s="69">
        <v>38</v>
      </c>
      <c r="H241" s="69">
        <v>6.7</v>
      </c>
      <c r="I241" s="70">
        <v>0.33</v>
      </c>
      <c r="J241" s="70">
        <v>1.83</v>
      </c>
      <c r="K241" s="69">
        <v>12.3</v>
      </c>
      <c r="L241" s="69">
        <v>0.8</v>
      </c>
      <c r="M241" s="69" t="s">
        <v>958</v>
      </c>
      <c r="N241" s="69">
        <v>2006</v>
      </c>
      <c r="O241" s="69" t="s">
        <v>585</v>
      </c>
      <c r="P241" s="69">
        <v>348862</v>
      </c>
      <c r="Q241" s="92" t="s">
        <v>133</v>
      </c>
      <c r="R241" s="92" t="s">
        <v>275</v>
      </c>
      <c r="S241" s="87"/>
    </row>
    <row r="242" spans="1:19" x14ac:dyDescent="0.2">
      <c r="A242" s="92" t="s">
        <v>39</v>
      </c>
      <c r="B242" s="69">
        <v>9</v>
      </c>
      <c r="C242" s="69">
        <v>2</v>
      </c>
      <c r="D242" s="69">
        <v>6</v>
      </c>
      <c r="E242" s="69">
        <v>18</v>
      </c>
      <c r="F242" s="69">
        <v>48</v>
      </c>
      <c r="G242" s="69">
        <v>38</v>
      </c>
      <c r="H242" s="69">
        <v>6.6</v>
      </c>
      <c r="I242" s="70">
        <v>0.34</v>
      </c>
      <c r="J242" s="70">
        <v>1.55</v>
      </c>
      <c r="K242" s="69">
        <v>12</v>
      </c>
      <c r="L242" s="69">
        <v>0.9</v>
      </c>
      <c r="M242" s="69" t="s">
        <v>958</v>
      </c>
      <c r="N242" s="69">
        <v>2001</v>
      </c>
      <c r="O242" s="69" t="s">
        <v>585</v>
      </c>
      <c r="P242" s="69">
        <v>577304</v>
      </c>
      <c r="Q242" s="92" t="s">
        <v>1084</v>
      </c>
      <c r="R242" s="92" t="s">
        <v>38</v>
      </c>
      <c r="S242" s="87"/>
    </row>
    <row r="243" spans="1:19" x14ac:dyDescent="0.2">
      <c r="A243" s="92" t="s">
        <v>484</v>
      </c>
      <c r="B243" s="69">
        <v>14</v>
      </c>
      <c r="C243" s="69">
        <v>6</v>
      </c>
      <c r="D243" s="69">
        <v>11</v>
      </c>
      <c r="E243" s="69">
        <v>12</v>
      </c>
      <c r="F243" s="69">
        <v>15</v>
      </c>
      <c r="G243" s="69">
        <v>15</v>
      </c>
      <c r="H243" s="69">
        <v>2.9</v>
      </c>
      <c r="I243" s="70">
        <v>0.34</v>
      </c>
      <c r="J243" s="70">
        <v>0.82</v>
      </c>
      <c r="K243" s="69">
        <v>10.8</v>
      </c>
      <c r="L243" s="69">
        <v>0.4</v>
      </c>
      <c r="M243" s="69" t="s">
        <v>968</v>
      </c>
      <c r="N243" s="69">
        <v>2000</v>
      </c>
      <c r="O243" s="69" t="s">
        <v>485</v>
      </c>
      <c r="P243" s="69">
        <v>551804</v>
      </c>
      <c r="Q243" s="92" t="s">
        <v>46</v>
      </c>
      <c r="R243" s="92" t="s">
        <v>478</v>
      </c>
      <c r="S243" s="87"/>
    </row>
    <row r="244" spans="1:19" x14ac:dyDescent="0.2">
      <c r="A244" s="92" t="s">
        <v>1126</v>
      </c>
      <c r="B244" s="69"/>
      <c r="C244" s="69"/>
      <c r="D244" s="69"/>
      <c r="E244" s="69"/>
      <c r="F244" s="69"/>
      <c r="G244" s="69"/>
      <c r="H244" s="69"/>
      <c r="I244" s="70">
        <v>0.34</v>
      </c>
      <c r="J244" s="70">
        <v>1.61</v>
      </c>
      <c r="K244" s="69"/>
      <c r="L244" s="69"/>
      <c r="M244" s="69" t="s">
        <v>958</v>
      </c>
      <c r="N244" s="69">
        <v>2014</v>
      </c>
      <c r="O244" s="69" t="s">
        <v>485</v>
      </c>
      <c r="P244" s="69">
        <v>564849</v>
      </c>
      <c r="Q244" s="92" t="s">
        <v>1084</v>
      </c>
      <c r="R244" s="92" t="s">
        <v>38</v>
      </c>
      <c r="S244" s="92"/>
    </row>
    <row r="245" spans="1:19" x14ac:dyDescent="0.2">
      <c r="A245" s="92" t="s">
        <v>40</v>
      </c>
      <c r="B245" s="69">
        <v>9</v>
      </c>
      <c r="C245" s="69">
        <v>2</v>
      </c>
      <c r="D245" s="69">
        <v>6</v>
      </c>
      <c r="E245" s="69">
        <v>19</v>
      </c>
      <c r="F245" s="69">
        <v>43</v>
      </c>
      <c r="G245" s="69">
        <v>23</v>
      </c>
      <c r="H245" s="69">
        <v>4.2</v>
      </c>
      <c r="I245" s="70">
        <v>0.34</v>
      </c>
      <c r="J245" s="70">
        <v>1.54</v>
      </c>
      <c r="K245" s="69">
        <v>12</v>
      </c>
      <c r="L245" s="69">
        <v>0.8</v>
      </c>
      <c r="M245" s="69" t="s">
        <v>958</v>
      </c>
      <c r="N245" s="69">
        <v>2000</v>
      </c>
      <c r="O245" s="69" t="s">
        <v>585</v>
      </c>
      <c r="P245" s="69">
        <v>108506</v>
      </c>
      <c r="Q245" s="92" t="s">
        <v>1084</v>
      </c>
      <c r="R245" s="92" t="s">
        <v>38</v>
      </c>
      <c r="S245" s="87"/>
    </row>
    <row r="246" spans="1:19" x14ac:dyDescent="0.2">
      <c r="A246" s="92" t="s">
        <v>903</v>
      </c>
      <c r="B246" s="69">
        <v>9</v>
      </c>
      <c r="C246" s="69">
        <v>-2</v>
      </c>
      <c r="D246" s="69">
        <v>7</v>
      </c>
      <c r="E246" s="69">
        <v>13</v>
      </c>
      <c r="F246" s="69">
        <v>58</v>
      </c>
      <c r="G246" s="69">
        <v>81</v>
      </c>
      <c r="H246" s="69">
        <v>12.6</v>
      </c>
      <c r="I246" s="70">
        <v>0.35</v>
      </c>
      <c r="J246" s="70">
        <v>1.31</v>
      </c>
      <c r="K246" s="69">
        <v>13.3</v>
      </c>
      <c r="L246" s="69">
        <v>1</v>
      </c>
      <c r="M246" s="69" t="s">
        <v>958</v>
      </c>
      <c r="N246" s="69">
        <v>2000</v>
      </c>
      <c r="O246" s="69" t="s">
        <v>585</v>
      </c>
      <c r="P246" s="69">
        <v>528133</v>
      </c>
      <c r="Q246" s="92" t="s">
        <v>1035</v>
      </c>
      <c r="R246" s="92" t="s">
        <v>515</v>
      </c>
      <c r="S246" s="87"/>
    </row>
    <row r="247" spans="1:19" x14ac:dyDescent="0.2">
      <c r="A247" s="92" t="s">
        <v>768</v>
      </c>
      <c r="B247" s="69">
        <v>11</v>
      </c>
      <c r="C247" s="69">
        <v>3</v>
      </c>
      <c r="D247" s="69">
        <v>8</v>
      </c>
      <c r="E247" s="69">
        <v>11</v>
      </c>
      <c r="F247" s="69"/>
      <c r="G247" s="69"/>
      <c r="H247" s="69"/>
      <c r="I247" s="70">
        <v>0.35</v>
      </c>
      <c r="J247" s="70">
        <v>0.8</v>
      </c>
      <c r="K247" s="69"/>
      <c r="L247" s="69"/>
      <c r="M247" s="69" t="s">
        <v>966</v>
      </c>
      <c r="N247" s="69">
        <v>2012</v>
      </c>
      <c r="O247" s="69" t="s">
        <v>485</v>
      </c>
      <c r="P247" s="69">
        <v>980284</v>
      </c>
      <c r="Q247" s="92" t="s">
        <v>393</v>
      </c>
      <c r="R247" s="92" t="s">
        <v>478</v>
      </c>
      <c r="S247" s="87"/>
    </row>
    <row r="248" spans="1:19" x14ac:dyDescent="0.2">
      <c r="A248" s="92" t="s">
        <v>380</v>
      </c>
      <c r="B248" s="69">
        <v>10</v>
      </c>
      <c r="C248" s="69">
        <v>-3</v>
      </c>
      <c r="D248" s="69">
        <v>6</v>
      </c>
      <c r="E248" s="69">
        <v>20</v>
      </c>
      <c r="F248" s="69">
        <v>61</v>
      </c>
      <c r="G248" s="69">
        <v>88</v>
      </c>
      <c r="H248" s="69">
        <v>13.4</v>
      </c>
      <c r="I248" s="70">
        <v>0.35</v>
      </c>
      <c r="J248" s="70">
        <v>1.61</v>
      </c>
      <c r="K248" s="69">
        <v>12.2</v>
      </c>
      <c r="L248" s="69">
        <v>1.2</v>
      </c>
      <c r="M248" s="69" t="s">
        <v>958</v>
      </c>
      <c r="N248" s="69">
        <v>2007</v>
      </c>
      <c r="O248" s="69" t="s">
        <v>485</v>
      </c>
      <c r="P248" s="69">
        <v>286294</v>
      </c>
      <c r="Q248" s="92" t="s">
        <v>1084</v>
      </c>
      <c r="R248" s="92" t="s">
        <v>580</v>
      </c>
      <c r="S248" s="87"/>
    </row>
    <row r="249" spans="1:19" x14ac:dyDescent="0.2">
      <c r="A249" s="92" t="s">
        <v>919</v>
      </c>
      <c r="B249" s="69">
        <v>20</v>
      </c>
      <c r="C249" s="69">
        <v>12</v>
      </c>
      <c r="D249" s="69">
        <v>22</v>
      </c>
      <c r="E249" s="69">
        <v>27</v>
      </c>
      <c r="F249" s="69">
        <v>34</v>
      </c>
      <c r="G249" s="69">
        <v>47</v>
      </c>
      <c r="H249" s="69">
        <v>8</v>
      </c>
      <c r="I249" s="70">
        <v>0.35</v>
      </c>
      <c r="J249" s="70">
        <v>1.6</v>
      </c>
      <c r="K249" s="69">
        <v>12.1</v>
      </c>
      <c r="L249" s="69">
        <v>0.7</v>
      </c>
      <c r="M249" s="69" t="s">
        <v>958</v>
      </c>
      <c r="N249" s="69">
        <v>2013</v>
      </c>
      <c r="O249" s="69" t="s">
        <v>485</v>
      </c>
      <c r="P249" s="69">
        <v>494427</v>
      </c>
      <c r="Q249" s="92" t="s">
        <v>1084</v>
      </c>
      <c r="R249" s="92" t="s">
        <v>98</v>
      </c>
      <c r="S249" s="92"/>
    </row>
    <row r="250" spans="1:19" x14ac:dyDescent="0.2">
      <c r="A250" s="92" t="s">
        <v>969</v>
      </c>
      <c r="B250" s="69">
        <v>9</v>
      </c>
      <c r="C250" s="69">
        <v>3</v>
      </c>
      <c r="D250" s="69">
        <v>11</v>
      </c>
      <c r="E250" s="69">
        <v>13</v>
      </c>
      <c r="F250" s="69">
        <v>16</v>
      </c>
      <c r="G250" s="69">
        <v>22</v>
      </c>
      <c r="H250" s="69">
        <v>4</v>
      </c>
      <c r="I250" s="70">
        <v>0.35</v>
      </c>
      <c r="J250" s="70">
        <v>0.82</v>
      </c>
      <c r="K250" s="69">
        <v>7</v>
      </c>
      <c r="L250" s="69">
        <v>0.5</v>
      </c>
      <c r="M250" s="69" t="s">
        <v>960</v>
      </c>
      <c r="N250" s="69">
        <v>2013</v>
      </c>
      <c r="O250" s="69" t="s">
        <v>485</v>
      </c>
      <c r="P250" s="69">
        <v>528422</v>
      </c>
      <c r="Q250" s="92" t="s">
        <v>58</v>
      </c>
      <c r="R250" s="92" t="s">
        <v>478</v>
      </c>
      <c r="S250" s="92"/>
    </row>
    <row r="251" spans="1:19" x14ac:dyDescent="0.2">
      <c r="A251" s="92" t="s">
        <v>1089</v>
      </c>
      <c r="B251" s="69"/>
      <c r="C251" s="69">
        <v>3</v>
      </c>
      <c r="D251" s="69"/>
      <c r="E251" s="69"/>
      <c r="F251" s="69"/>
      <c r="G251" s="69"/>
      <c r="H251" s="69"/>
      <c r="I251" s="70">
        <v>0.35</v>
      </c>
      <c r="J251" s="70">
        <v>1</v>
      </c>
      <c r="K251" s="69"/>
      <c r="L251" s="69"/>
      <c r="M251" s="69" t="s">
        <v>960</v>
      </c>
      <c r="N251" s="69">
        <v>2014</v>
      </c>
      <c r="O251" s="69" t="s">
        <v>485</v>
      </c>
      <c r="P251" s="69">
        <v>229625</v>
      </c>
      <c r="Q251" s="92" t="s">
        <v>596</v>
      </c>
      <c r="R251" s="92" t="s">
        <v>478</v>
      </c>
      <c r="S251" s="87"/>
    </row>
    <row r="252" spans="1:19" x14ac:dyDescent="0.2">
      <c r="A252" s="92" t="s">
        <v>286</v>
      </c>
      <c r="B252" s="69">
        <v>10</v>
      </c>
      <c r="C252" s="69">
        <v>7</v>
      </c>
      <c r="D252" s="69">
        <v>10</v>
      </c>
      <c r="E252" s="69">
        <v>13</v>
      </c>
      <c r="F252" s="69">
        <v>10</v>
      </c>
      <c r="G252" s="69">
        <v>19</v>
      </c>
      <c r="H252" s="69">
        <v>3.6</v>
      </c>
      <c r="I252" s="70">
        <v>0.35</v>
      </c>
      <c r="J252" s="70">
        <v>1.1599999999999999</v>
      </c>
      <c r="K252" s="69">
        <v>7.6</v>
      </c>
      <c r="L252" s="69">
        <v>0.3</v>
      </c>
      <c r="M252" s="69" t="s">
        <v>958</v>
      </c>
      <c r="N252" s="69">
        <v>2011</v>
      </c>
      <c r="O252" s="69" t="s">
        <v>485</v>
      </c>
      <c r="P252" s="69">
        <v>639633</v>
      </c>
      <c r="Q252" s="92" t="s">
        <v>618</v>
      </c>
      <c r="R252" s="92" t="s">
        <v>227</v>
      </c>
      <c r="S252" s="92"/>
    </row>
    <row r="253" spans="1:19" x14ac:dyDescent="0.2">
      <c r="A253" s="92" t="s">
        <v>798</v>
      </c>
      <c r="B253" s="69">
        <v>5</v>
      </c>
      <c r="C253" s="69">
        <v>0</v>
      </c>
      <c r="D253" s="69">
        <v>3</v>
      </c>
      <c r="E253" s="69">
        <v>11</v>
      </c>
      <c r="F253" s="69"/>
      <c r="G253" s="69"/>
      <c r="H253" s="69"/>
      <c r="I253" s="70">
        <v>0.35</v>
      </c>
      <c r="J253" s="70">
        <v>0.95</v>
      </c>
      <c r="K253" s="69"/>
      <c r="L253" s="69"/>
      <c r="M253" s="69" t="s">
        <v>958</v>
      </c>
      <c r="N253" s="69">
        <v>2012</v>
      </c>
      <c r="O253" s="69" t="s">
        <v>485</v>
      </c>
      <c r="P253" s="69">
        <v>700310</v>
      </c>
      <c r="Q253" s="92" t="s">
        <v>596</v>
      </c>
      <c r="R253" s="92" t="s">
        <v>469</v>
      </c>
      <c r="S253" s="92"/>
    </row>
    <row r="254" spans="1:19" x14ac:dyDescent="0.2">
      <c r="A254" s="92" t="s">
        <v>533</v>
      </c>
      <c r="B254" s="69">
        <v>14</v>
      </c>
      <c r="C254" s="69">
        <v>1</v>
      </c>
      <c r="D254" s="69">
        <v>10</v>
      </c>
      <c r="E254" s="69">
        <v>24</v>
      </c>
      <c r="F254" s="69">
        <v>99</v>
      </c>
      <c r="G254" s="69">
        <v>168</v>
      </c>
      <c r="H254" s="69">
        <v>21.8</v>
      </c>
      <c r="I254" s="70">
        <v>0.35</v>
      </c>
      <c r="J254" s="70">
        <v>1.4</v>
      </c>
      <c r="K254" s="69">
        <v>15</v>
      </c>
      <c r="L254" s="69">
        <v>1.4</v>
      </c>
      <c r="M254" s="69" t="s">
        <v>958</v>
      </c>
      <c r="N254" s="69">
        <v>2009</v>
      </c>
      <c r="O254" s="69" t="s">
        <v>585</v>
      </c>
      <c r="P254" s="69">
        <v>140491</v>
      </c>
      <c r="Q254" s="92" t="s">
        <v>526</v>
      </c>
      <c r="R254" s="92" t="s">
        <v>580</v>
      </c>
      <c r="S254" s="87"/>
    </row>
    <row r="255" spans="1:19" x14ac:dyDescent="0.2">
      <c r="A255" s="92" t="s">
        <v>114</v>
      </c>
      <c r="B255" s="69">
        <v>16</v>
      </c>
      <c r="C255" s="69">
        <v>6</v>
      </c>
      <c r="D255" s="69">
        <v>17</v>
      </c>
      <c r="E255" s="69">
        <v>27</v>
      </c>
      <c r="F255" s="69">
        <v>64</v>
      </c>
      <c r="G255" s="69">
        <v>74</v>
      </c>
      <c r="H255" s="69">
        <v>11.7</v>
      </c>
      <c r="I255" s="70">
        <v>0.35</v>
      </c>
      <c r="J255" s="70">
        <v>1</v>
      </c>
      <c r="K255" s="69">
        <v>9.6</v>
      </c>
      <c r="L255" s="69">
        <v>1.5</v>
      </c>
      <c r="M255" s="69" t="s">
        <v>966</v>
      </c>
      <c r="N255" s="69">
        <v>2002</v>
      </c>
      <c r="O255" s="69" t="s">
        <v>485</v>
      </c>
      <c r="P255" s="69">
        <v>984187</v>
      </c>
      <c r="Q255" s="92" t="s">
        <v>621</v>
      </c>
      <c r="R255" s="92" t="s">
        <v>109</v>
      </c>
      <c r="S255" s="87"/>
    </row>
    <row r="256" spans="1:19" x14ac:dyDescent="0.2">
      <c r="A256" s="92" t="s">
        <v>115</v>
      </c>
      <c r="B256" s="69">
        <v>16</v>
      </c>
      <c r="C256" s="69">
        <v>2</v>
      </c>
      <c r="D256" s="69">
        <v>10</v>
      </c>
      <c r="E256" s="69">
        <v>25</v>
      </c>
      <c r="F256" s="69">
        <v>42</v>
      </c>
      <c r="G256" s="69">
        <v>49</v>
      </c>
      <c r="H256" s="69">
        <v>8.1999999999999993</v>
      </c>
      <c r="I256" s="70">
        <v>0.35</v>
      </c>
      <c r="J256" s="70">
        <v>1</v>
      </c>
      <c r="K256" s="69">
        <v>11.5</v>
      </c>
      <c r="L256" s="69">
        <v>0.9</v>
      </c>
      <c r="M256" s="69" t="s">
        <v>966</v>
      </c>
      <c r="N256" s="69">
        <v>2002</v>
      </c>
      <c r="O256" s="69" t="s">
        <v>485</v>
      </c>
      <c r="P256" s="69">
        <v>120014</v>
      </c>
      <c r="Q256" s="92" t="s">
        <v>621</v>
      </c>
      <c r="R256" s="92" t="s">
        <v>109</v>
      </c>
      <c r="S256" s="87"/>
    </row>
    <row r="257" spans="1:19" x14ac:dyDescent="0.2">
      <c r="A257" s="92" t="s">
        <v>1127</v>
      </c>
      <c r="B257" s="69">
        <v>5</v>
      </c>
      <c r="C257" s="69">
        <v>2</v>
      </c>
      <c r="D257" s="69">
        <v>5</v>
      </c>
      <c r="E257" s="69">
        <v>8</v>
      </c>
      <c r="F257" s="69">
        <v>16</v>
      </c>
      <c r="G257" s="69">
        <v>24</v>
      </c>
      <c r="H257" s="69">
        <v>4.4000000000000004</v>
      </c>
      <c r="I257" s="70">
        <v>0.35</v>
      </c>
      <c r="J257" s="70">
        <v>0.91</v>
      </c>
      <c r="K257" s="69">
        <v>1.9</v>
      </c>
      <c r="L257" s="69">
        <v>1.8</v>
      </c>
      <c r="M257" s="69" t="s">
        <v>958</v>
      </c>
      <c r="N257" s="69">
        <v>2000</v>
      </c>
      <c r="O257" s="69" t="s">
        <v>585</v>
      </c>
      <c r="P257" s="69">
        <v>403642</v>
      </c>
      <c r="Q257" s="92" t="s">
        <v>524</v>
      </c>
      <c r="R257" s="92" t="s">
        <v>219</v>
      </c>
      <c r="S257" s="87" t="s">
        <v>959</v>
      </c>
    </row>
    <row r="258" spans="1:19" x14ac:dyDescent="0.2">
      <c r="A258" s="92" t="s">
        <v>762</v>
      </c>
      <c r="B258" s="69">
        <v>3</v>
      </c>
      <c r="C258" s="69">
        <v>1</v>
      </c>
      <c r="D258" s="69">
        <v>2</v>
      </c>
      <c r="E258" s="69">
        <v>5</v>
      </c>
      <c r="F258" s="69"/>
      <c r="G258" s="69"/>
      <c r="H258" s="69"/>
      <c r="I258" s="70">
        <v>0.35</v>
      </c>
      <c r="J258" s="70">
        <v>0.82</v>
      </c>
      <c r="K258" s="69"/>
      <c r="L258" s="69"/>
      <c r="M258" s="69" t="s">
        <v>958</v>
      </c>
      <c r="N258" s="69">
        <v>2012</v>
      </c>
      <c r="O258" s="69" t="s">
        <v>585</v>
      </c>
      <c r="P258" s="69">
        <v>832717</v>
      </c>
      <c r="Q258" s="92" t="s">
        <v>27</v>
      </c>
      <c r="R258" s="92" t="s">
        <v>478</v>
      </c>
      <c r="S258" s="87"/>
    </row>
    <row r="259" spans="1:19" x14ac:dyDescent="0.2">
      <c r="A259" s="92" t="s">
        <v>799</v>
      </c>
      <c r="B259" s="69">
        <v>8</v>
      </c>
      <c r="C259" s="69">
        <v>1</v>
      </c>
      <c r="D259" s="69">
        <v>7</v>
      </c>
      <c r="E259" s="69">
        <v>16</v>
      </c>
      <c r="F259" s="69">
        <v>38</v>
      </c>
      <c r="G259" s="69">
        <v>51</v>
      </c>
      <c r="H259" s="69">
        <v>8.5</v>
      </c>
      <c r="I259" s="70">
        <v>0.35</v>
      </c>
      <c r="J259" s="70">
        <v>0.95</v>
      </c>
      <c r="K259" s="69">
        <v>7.1</v>
      </c>
      <c r="L259" s="69">
        <v>1.3</v>
      </c>
      <c r="M259" s="69" t="s">
        <v>960</v>
      </c>
      <c r="N259" s="69">
        <v>2001</v>
      </c>
      <c r="O259" s="69" t="s">
        <v>485</v>
      </c>
      <c r="P259" s="69">
        <v>549972</v>
      </c>
      <c r="Q259" s="92" t="s">
        <v>596</v>
      </c>
      <c r="R259" s="92" t="s">
        <v>469</v>
      </c>
      <c r="S259" s="92"/>
    </row>
    <row r="260" spans="1:19" x14ac:dyDescent="0.2">
      <c r="A260" s="92" t="s">
        <v>414</v>
      </c>
      <c r="B260" s="69">
        <v>4</v>
      </c>
      <c r="C260" s="69">
        <v>1</v>
      </c>
      <c r="D260" s="69">
        <v>3</v>
      </c>
      <c r="E260" s="69">
        <v>8</v>
      </c>
      <c r="F260" s="69">
        <v>27</v>
      </c>
      <c r="G260" s="69">
        <v>47</v>
      </c>
      <c r="H260" s="69">
        <v>8</v>
      </c>
      <c r="I260" s="70">
        <v>0.36</v>
      </c>
      <c r="J260" s="70">
        <v>1.03</v>
      </c>
      <c r="K260" s="69">
        <v>5.5</v>
      </c>
      <c r="L260" s="69">
        <v>1.2</v>
      </c>
      <c r="M260" s="69" t="s">
        <v>958</v>
      </c>
      <c r="N260" s="69">
        <v>2004</v>
      </c>
      <c r="O260" s="69" t="s">
        <v>585</v>
      </c>
      <c r="P260" s="69">
        <v>104786</v>
      </c>
      <c r="Q260" s="92" t="s">
        <v>528</v>
      </c>
      <c r="R260" s="92" t="s">
        <v>478</v>
      </c>
      <c r="S260" s="92"/>
    </row>
    <row r="261" spans="1:19" x14ac:dyDescent="0.2">
      <c r="A261" s="92" t="s">
        <v>208</v>
      </c>
      <c r="B261" s="69">
        <v>24</v>
      </c>
      <c r="C261" s="69">
        <v>-1</v>
      </c>
      <c r="D261" s="69">
        <v>8</v>
      </c>
      <c r="E261" s="69">
        <v>31</v>
      </c>
      <c r="F261" s="69">
        <v>68</v>
      </c>
      <c r="G261" s="69">
        <v>146</v>
      </c>
      <c r="H261" s="69">
        <v>19.7</v>
      </c>
      <c r="I261" s="70">
        <v>0.37</v>
      </c>
      <c r="J261" s="70">
        <v>1.41</v>
      </c>
      <c r="K261" s="69">
        <v>13.7</v>
      </c>
      <c r="L261" s="69">
        <v>1.2</v>
      </c>
      <c r="M261" s="69" t="s">
        <v>958</v>
      </c>
      <c r="N261" s="69">
        <v>2001</v>
      </c>
      <c r="O261" s="69" t="s">
        <v>585</v>
      </c>
      <c r="P261" s="69">
        <v>313742</v>
      </c>
      <c r="Q261" s="92" t="s">
        <v>1035</v>
      </c>
      <c r="R261" s="92" t="s">
        <v>207</v>
      </c>
      <c r="S261" s="87"/>
    </row>
    <row r="262" spans="1:19" x14ac:dyDescent="0.2">
      <c r="A262" s="92" t="s">
        <v>609</v>
      </c>
      <c r="B262" s="69">
        <v>11</v>
      </c>
      <c r="C262" s="69">
        <v>-1</v>
      </c>
      <c r="D262" s="69">
        <v>7</v>
      </c>
      <c r="E262" s="69">
        <v>20</v>
      </c>
      <c r="F262" s="69">
        <v>68</v>
      </c>
      <c r="G262" s="69">
        <v>88</v>
      </c>
      <c r="H262" s="69">
        <v>13.5</v>
      </c>
      <c r="I262" s="70">
        <v>0.37</v>
      </c>
      <c r="J262" s="70">
        <v>1.4</v>
      </c>
      <c r="K262" s="69">
        <v>13.3</v>
      </c>
      <c r="L262" s="69">
        <v>1.2</v>
      </c>
      <c r="M262" s="69" t="s">
        <v>958</v>
      </c>
      <c r="N262" s="69">
        <v>2000</v>
      </c>
      <c r="O262" s="69" t="s">
        <v>585</v>
      </c>
      <c r="P262" s="69">
        <v>916189</v>
      </c>
      <c r="Q262" s="92" t="s">
        <v>521</v>
      </c>
      <c r="R262" s="92" t="s">
        <v>515</v>
      </c>
      <c r="S262" s="87"/>
    </row>
    <row r="263" spans="1:19" x14ac:dyDescent="0.2">
      <c r="A263" s="92" t="s">
        <v>274</v>
      </c>
      <c r="B263" s="69">
        <v>10</v>
      </c>
      <c r="C263" s="69">
        <v>4</v>
      </c>
      <c r="D263" s="69">
        <v>9</v>
      </c>
      <c r="E263" s="69">
        <v>16</v>
      </c>
      <c r="F263" s="69">
        <v>35</v>
      </c>
      <c r="G263" s="69">
        <v>39</v>
      </c>
      <c r="H263" s="69">
        <v>6.9</v>
      </c>
      <c r="I263" s="70">
        <v>0.37</v>
      </c>
      <c r="J263" s="70">
        <v>1.4</v>
      </c>
      <c r="K263" s="69">
        <v>4.5999999999999996</v>
      </c>
      <c r="L263" s="69">
        <v>1.8</v>
      </c>
      <c r="M263" s="69" t="s">
        <v>958</v>
      </c>
      <c r="N263" s="69">
        <v>2000</v>
      </c>
      <c r="O263" s="69" t="s">
        <v>585</v>
      </c>
      <c r="P263" s="69">
        <v>665372</v>
      </c>
      <c r="Q263" s="92" t="s">
        <v>521</v>
      </c>
      <c r="R263" s="92" t="s">
        <v>219</v>
      </c>
      <c r="S263" s="92"/>
    </row>
    <row r="264" spans="1:19" x14ac:dyDescent="0.2">
      <c r="A264" s="92" t="s">
        <v>432</v>
      </c>
      <c r="B264" s="69">
        <v>28</v>
      </c>
      <c r="C264" s="69">
        <v>22</v>
      </c>
      <c r="D264" s="69">
        <v>41</v>
      </c>
      <c r="E264" s="69">
        <v>34</v>
      </c>
      <c r="F264" s="69">
        <v>5</v>
      </c>
      <c r="G264" s="69">
        <v>22</v>
      </c>
      <c r="H264" s="69">
        <v>4</v>
      </c>
      <c r="I264" s="70">
        <v>0.37</v>
      </c>
      <c r="J264" s="70">
        <v>1.75</v>
      </c>
      <c r="K264" s="69">
        <v>17.399999999999999</v>
      </c>
      <c r="L264" s="69">
        <v>0.1</v>
      </c>
      <c r="M264" s="69" t="s">
        <v>958</v>
      </c>
      <c r="N264" s="69">
        <v>2008</v>
      </c>
      <c r="O264" s="69" t="s">
        <v>585</v>
      </c>
      <c r="P264" s="69">
        <v>588699</v>
      </c>
      <c r="Q264" s="92" t="s">
        <v>1084</v>
      </c>
      <c r="R264" s="92" t="s">
        <v>277</v>
      </c>
      <c r="S264" s="92"/>
    </row>
    <row r="265" spans="1:19" x14ac:dyDescent="0.2">
      <c r="A265" s="92" t="s">
        <v>223</v>
      </c>
      <c r="B265" s="69">
        <v>15</v>
      </c>
      <c r="C265" s="69">
        <v>6</v>
      </c>
      <c r="D265" s="69">
        <v>14</v>
      </c>
      <c r="E265" s="69">
        <v>21</v>
      </c>
      <c r="F265" s="69">
        <v>50</v>
      </c>
      <c r="G265" s="69">
        <v>61</v>
      </c>
      <c r="H265" s="69">
        <v>10.1</v>
      </c>
      <c r="I265" s="70">
        <v>0.37</v>
      </c>
      <c r="J265" s="70">
        <v>1.25</v>
      </c>
      <c r="K265" s="69">
        <v>5.6</v>
      </c>
      <c r="L265" s="69">
        <v>2</v>
      </c>
      <c r="M265" s="69" t="s">
        <v>958</v>
      </c>
      <c r="N265" s="69">
        <v>2002</v>
      </c>
      <c r="O265" s="69" t="s">
        <v>585</v>
      </c>
      <c r="P265" s="69">
        <v>879114</v>
      </c>
      <c r="Q265" s="92" t="s">
        <v>616</v>
      </c>
      <c r="R265" s="92" t="s">
        <v>219</v>
      </c>
      <c r="S265" s="87"/>
    </row>
    <row r="266" spans="1:19" x14ac:dyDescent="0.2">
      <c r="A266" s="92" t="s">
        <v>1033</v>
      </c>
      <c r="B266" s="69">
        <v>10</v>
      </c>
      <c r="C266" s="69">
        <v>14</v>
      </c>
      <c r="D266" s="69">
        <v>21</v>
      </c>
      <c r="E266" s="69"/>
      <c r="F266" s="69"/>
      <c r="G266" s="69"/>
      <c r="H266" s="69"/>
      <c r="I266" s="70">
        <v>0.37</v>
      </c>
      <c r="J266" s="70">
        <v>0.8</v>
      </c>
      <c r="K266" s="69"/>
      <c r="L266" s="69"/>
      <c r="M266" s="69" t="s">
        <v>958</v>
      </c>
      <c r="N266" s="69">
        <v>2013</v>
      </c>
      <c r="O266" s="69" t="s">
        <v>585</v>
      </c>
      <c r="P266" s="69">
        <v>579425</v>
      </c>
      <c r="Q266" s="92" t="s">
        <v>518</v>
      </c>
      <c r="R266" s="92" t="s">
        <v>275</v>
      </c>
      <c r="S266" s="92"/>
    </row>
    <row r="267" spans="1:19" x14ac:dyDescent="0.2">
      <c r="A267" s="92" t="s">
        <v>1034</v>
      </c>
      <c r="B267" s="69">
        <v>12</v>
      </c>
      <c r="C267" s="69">
        <v>9</v>
      </c>
      <c r="D267" s="69">
        <v>18</v>
      </c>
      <c r="E267" s="69"/>
      <c r="F267" s="69"/>
      <c r="G267" s="69"/>
      <c r="H267" s="69"/>
      <c r="I267" s="70">
        <v>0.37</v>
      </c>
      <c r="J267" s="70">
        <v>0.8</v>
      </c>
      <c r="K267" s="69"/>
      <c r="L267" s="69"/>
      <c r="M267" s="69" t="s">
        <v>958</v>
      </c>
      <c r="N267" s="69">
        <v>2013</v>
      </c>
      <c r="O267" s="69" t="s">
        <v>585</v>
      </c>
      <c r="P267" s="69">
        <v>543595</v>
      </c>
      <c r="Q267" s="92" t="s">
        <v>518</v>
      </c>
      <c r="R267" s="92" t="s">
        <v>121</v>
      </c>
      <c r="S267" s="92"/>
    </row>
    <row r="268" spans="1:19" x14ac:dyDescent="0.2">
      <c r="A268" s="92" t="s">
        <v>844</v>
      </c>
      <c r="B268" s="69">
        <v>22</v>
      </c>
      <c r="C268" s="69">
        <v>15</v>
      </c>
      <c r="D268" s="69">
        <v>29</v>
      </c>
      <c r="E268" s="69">
        <v>29</v>
      </c>
      <c r="F268" s="69"/>
      <c r="G268" s="69"/>
      <c r="H268" s="69"/>
      <c r="I268" s="70">
        <v>0.37</v>
      </c>
      <c r="J268" s="70">
        <v>0.94</v>
      </c>
      <c r="K268" s="69"/>
      <c r="L268" s="69"/>
      <c r="M268" s="69" t="s">
        <v>958</v>
      </c>
      <c r="N268" s="69">
        <v>2012</v>
      </c>
      <c r="O268" s="69" t="s">
        <v>585</v>
      </c>
      <c r="P268" s="69">
        <v>295857</v>
      </c>
      <c r="Q268" s="92" t="s">
        <v>528</v>
      </c>
      <c r="R268" s="92" t="s">
        <v>121</v>
      </c>
      <c r="S268" s="92"/>
    </row>
    <row r="269" spans="1:19" x14ac:dyDescent="0.2">
      <c r="A269" s="92" t="s">
        <v>55</v>
      </c>
      <c r="B269" s="69">
        <v>17</v>
      </c>
      <c r="C269" s="69">
        <v>0</v>
      </c>
      <c r="D269" s="69">
        <v>12</v>
      </c>
      <c r="E269" s="69">
        <v>26</v>
      </c>
      <c r="F269" s="69">
        <v>86</v>
      </c>
      <c r="G269" s="69">
        <v>113</v>
      </c>
      <c r="H269" s="69">
        <v>16.399999999999999</v>
      </c>
      <c r="I269" s="70">
        <v>0.37</v>
      </c>
      <c r="J269" s="70">
        <v>1.1399999999999999</v>
      </c>
      <c r="K269" s="69">
        <v>16.8</v>
      </c>
      <c r="L269" s="69">
        <v>1.1000000000000001</v>
      </c>
      <c r="M269" s="69" t="s">
        <v>958</v>
      </c>
      <c r="N269" s="69">
        <v>2008</v>
      </c>
      <c r="O269" s="69" t="s">
        <v>585</v>
      </c>
      <c r="P269" s="69">
        <v>490292</v>
      </c>
      <c r="Q269" s="92" t="s">
        <v>542</v>
      </c>
      <c r="R269" s="92" t="s">
        <v>515</v>
      </c>
      <c r="S269" s="92"/>
    </row>
    <row r="270" spans="1:19" x14ac:dyDescent="0.2">
      <c r="A270" s="92" t="s">
        <v>471</v>
      </c>
      <c r="B270" s="69">
        <v>7</v>
      </c>
      <c r="C270" s="69">
        <v>3</v>
      </c>
      <c r="D270" s="69">
        <v>6</v>
      </c>
      <c r="E270" s="69">
        <v>10</v>
      </c>
      <c r="F270" s="69">
        <v>7</v>
      </c>
      <c r="G270" s="69"/>
      <c r="H270" s="69"/>
      <c r="I270" s="70">
        <v>0.38</v>
      </c>
      <c r="J270" s="70">
        <v>0.9</v>
      </c>
      <c r="K270" s="69">
        <v>5.2</v>
      </c>
      <c r="L270" s="69">
        <v>0.2</v>
      </c>
      <c r="M270" s="69" t="s">
        <v>960</v>
      </c>
      <c r="N270" s="69">
        <v>2011</v>
      </c>
      <c r="O270" s="69" t="s">
        <v>485</v>
      </c>
      <c r="P270" s="69">
        <v>288001</v>
      </c>
      <c r="Q270" s="92" t="s">
        <v>93</v>
      </c>
      <c r="R270" s="92" t="s">
        <v>469</v>
      </c>
      <c r="S270" s="92"/>
    </row>
    <row r="271" spans="1:19" x14ac:dyDescent="0.2">
      <c r="A271" s="92" t="s">
        <v>421</v>
      </c>
      <c r="B271" s="69">
        <v>32</v>
      </c>
      <c r="C271" s="69">
        <v>10</v>
      </c>
      <c r="D271" s="69">
        <v>34</v>
      </c>
      <c r="E271" s="69">
        <v>32</v>
      </c>
      <c r="F271" s="69">
        <v>27</v>
      </c>
      <c r="G271" s="69">
        <v>16</v>
      </c>
      <c r="H271" s="69">
        <v>3</v>
      </c>
      <c r="I271" s="70">
        <v>0.38</v>
      </c>
      <c r="J271" s="70">
        <v>1.85</v>
      </c>
      <c r="K271" s="69">
        <v>17.7</v>
      </c>
      <c r="L271" s="69">
        <v>0.4</v>
      </c>
      <c r="M271" s="69" t="s">
        <v>958</v>
      </c>
      <c r="N271" s="69">
        <v>2008</v>
      </c>
      <c r="O271" s="69" t="s">
        <v>485</v>
      </c>
      <c r="P271" s="69">
        <v>167239</v>
      </c>
      <c r="Q271" s="92" t="s">
        <v>1084</v>
      </c>
      <c r="R271" s="92" t="s">
        <v>121</v>
      </c>
      <c r="S271" s="87"/>
    </row>
    <row r="272" spans="1:19" x14ac:dyDescent="0.2">
      <c r="A272" s="92" t="s">
        <v>77</v>
      </c>
      <c r="B272" s="69">
        <v>-6</v>
      </c>
      <c r="C272" s="69">
        <v>3</v>
      </c>
      <c r="D272" s="69">
        <v>17</v>
      </c>
      <c r="E272" s="69">
        <v>2</v>
      </c>
      <c r="F272" s="69">
        <v>-9</v>
      </c>
      <c r="G272" s="69">
        <v>12</v>
      </c>
      <c r="H272" s="69">
        <v>2.2000000000000002</v>
      </c>
      <c r="I272" s="70">
        <v>0.38</v>
      </c>
      <c r="J272" s="70">
        <v>1.85</v>
      </c>
      <c r="K272" s="69">
        <v>22.8</v>
      </c>
      <c r="L272" s="69">
        <v>-0.2</v>
      </c>
      <c r="M272" s="69" t="s">
        <v>958</v>
      </c>
      <c r="N272" s="69">
        <v>2007</v>
      </c>
      <c r="O272" s="69" t="s">
        <v>485</v>
      </c>
      <c r="P272" s="69">
        <v>433862</v>
      </c>
      <c r="Q272" s="92" t="s">
        <v>1084</v>
      </c>
      <c r="R272" s="92" t="s">
        <v>276</v>
      </c>
      <c r="S272" s="92"/>
    </row>
    <row r="273" spans="1:19" x14ac:dyDescent="0.2">
      <c r="A273" s="92" t="s">
        <v>79</v>
      </c>
      <c r="B273" s="69">
        <v>21</v>
      </c>
      <c r="C273" s="69">
        <v>17</v>
      </c>
      <c r="D273" s="69">
        <v>22</v>
      </c>
      <c r="E273" s="69">
        <v>27</v>
      </c>
      <c r="F273" s="69">
        <v>36</v>
      </c>
      <c r="G273" s="69">
        <v>36</v>
      </c>
      <c r="H273" s="69">
        <v>6.3</v>
      </c>
      <c r="I273" s="70">
        <v>0.38</v>
      </c>
      <c r="J273" s="70">
        <v>1.86</v>
      </c>
      <c r="K273" s="69">
        <v>12.3</v>
      </c>
      <c r="L273" s="69">
        <v>0.7</v>
      </c>
      <c r="M273" s="69" t="s">
        <v>958</v>
      </c>
      <c r="N273" s="69">
        <v>2007</v>
      </c>
      <c r="O273" s="69" t="s">
        <v>485</v>
      </c>
      <c r="P273" s="69">
        <v>653097</v>
      </c>
      <c r="Q273" s="92" t="s">
        <v>1084</v>
      </c>
      <c r="R273" s="92" t="s">
        <v>275</v>
      </c>
      <c r="S273" s="87"/>
    </row>
    <row r="274" spans="1:19" x14ac:dyDescent="0.2">
      <c r="A274" s="92" t="s">
        <v>287</v>
      </c>
      <c r="B274" s="69">
        <v>11</v>
      </c>
      <c r="C274" s="69">
        <v>-2</v>
      </c>
      <c r="D274" s="69">
        <v>7</v>
      </c>
      <c r="E274" s="69">
        <v>19</v>
      </c>
      <c r="F274" s="69">
        <v>75</v>
      </c>
      <c r="G274" s="69">
        <v>93</v>
      </c>
      <c r="H274" s="69">
        <v>14</v>
      </c>
      <c r="I274" s="70">
        <v>0.38</v>
      </c>
      <c r="J274" s="70">
        <v>1.4</v>
      </c>
      <c r="K274" s="69">
        <v>12.1</v>
      </c>
      <c r="L274" s="69">
        <v>1.4</v>
      </c>
      <c r="M274" s="69" t="s">
        <v>958</v>
      </c>
      <c r="N274" s="69">
        <v>2000</v>
      </c>
      <c r="O274" s="69" t="s">
        <v>585</v>
      </c>
      <c r="P274" s="69">
        <v>393314</v>
      </c>
      <c r="Q274" s="92" t="s">
        <v>657</v>
      </c>
      <c r="R274" s="92" t="s">
        <v>515</v>
      </c>
      <c r="S274" s="92"/>
    </row>
    <row r="275" spans="1:19" x14ac:dyDescent="0.2">
      <c r="A275" s="92" t="s">
        <v>201</v>
      </c>
      <c r="B275" s="69">
        <v>12</v>
      </c>
      <c r="C275" s="69">
        <v>0</v>
      </c>
      <c r="D275" s="69">
        <v>9</v>
      </c>
      <c r="E275" s="69">
        <v>22</v>
      </c>
      <c r="F275" s="69">
        <v>67</v>
      </c>
      <c r="G275" s="69">
        <v>77</v>
      </c>
      <c r="H275" s="69">
        <v>12</v>
      </c>
      <c r="I275" s="70">
        <v>0.38</v>
      </c>
      <c r="J275" s="70">
        <v>1.3</v>
      </c>
      <c r="K275" s="69">
        <v>11.9</v>
      </c>
      <c r="L275" s="69">
        <v>1.3</v>
      </c>
      <c r="M275" s="69" t="s">
        <v>958</v>
      </c>
      <c r="N275" s="69">
        <v>2002</v>
      </c>
      <c r="O275" s="69" t="s">
        <v>585</v>
      </c>
      <c r="P275" s="69">
        <v>158261</v>
      </c>
      <c r="Q275" s="92" t="s">
        <v>616</v>
      </c>
      <c r="R275" s="92" t="s">
        <v>515</v>
      </c>
      <c r="S275" s="87"/>
    </row>
    <row r="276" spans="1:19" x14ac:dyDescent="0.2">
      <c r="A276" s="92" t="s">
        <v>314</v>
      </c>
      <c r="B276" s="69">
        <v>14</v>
      </c>
      <c r="C276" s="69">
        <v>6</v>
      </c>
      <c r="D276" s="69">
        <v>11</v>
      </c>
      <c r="E276" s="69">
        <v>23</v>
      </c>
      <c r="F276" s="69"/>
      <c r="G276" s="69"/>
      <c r="H276" s="69"/>
      <c r="I276" s="70">
        <v>0.38</v>
      </c>
      <c r="J276" s="70">
        <v>1.6</v>
      </c>
      <c r="K276" s="69"/>
      <c r="L276" s="69"/>
      <c r="M276" s="69" t="s">
        <v>958</v>
      </c>
      <c r="N276" s="69">
        <v>2011</v>
      </c>
      <c r="O276" s="69" t="s">
        <v>585</v>
      </c>
      <c r="P276" s="69">
        <v>541235</v>
      </c>
      <c r="Q276" s="92" t="s">
        <v>526</v>
      </c>
      <c r="R276" s="92" t="s">
        <v>109</v>
      </c>
      <c r="S276" s="92"/>
    </row>
    <row r="277" spans="1:19" x14ac:dyDescent="0.2">
      <c r="A277" s="92" t="s">
        <v>297</v>
      </c>
      <c r="B277" s="69">
        <v>11</v>
      </c>
      <c r="C277" s="69">
        <v>3</v>
      </c>
      <c r="D277" s="69">
        <v>10</v>
      </c>
      <c r="E277" s="69">
        <v>17</v>
      </c>
      <c r="F277" s="69">
        <v>29</v>
      </c>
      <c r="G277" s="69"/>
      <c r="H277" s="69"/>
      <c r="I277" s="70">
        <v>0.38</v>
      </c>
      <c r="J277" s="70">
        <v>0.91</v>
      </c>
      <c r="K277" s="69">
        <v>8</v>
      </c>
      <c r="L277" s="69">
        <v>0.9</v>
      </c>
      <c r="M277" s="69" t="s">
        <v>960</v>
      </c>
      <c r="N277" s="69">
        <v>2010</v>
      </c>
      <c r="O277" s="69" t="s">
        <v>485</v>
      </c>
      <c r="P277" s="69">
        <v>550970</v>
      </c>
      <c r="Q277" s="92" t="s">
        <v>271</v>
      </c>
      <c r="R277" s="92" t="s">
        <v>478</v>
      </c>
      <c r="S277" s="92"/>
    </row>
    <row r="278" spans="1:19" x14ac:dyDescent="0.2">
      <c r="A278" s="92" t="s">
        <v>29</v>
      </c>
      <c r="B278" s="69">
        <v>12</v>
      </c>
      <c r="C278" s="69">
        <v>5</v>
      </c>
      <c r="D278" s="69">
        <v>10</v>
      </c>
      <c r="E278" s="69">
        <v>12</v>
      </c>
      <c r="F278" s="69">
        <v>6</v>
      </c>
      <c r="G278" s="69">
        <v>6</v>
      </c>
      <c r="H278" s="69">
        <v>1.3</v>
      </c>
      <c r="I278" s="70">
        <v>0.38</v>
      </c>
      <c r="J278" s="70">
        <v>0.9</v>
      </c>
      <c r="K278" s="69">
        <v>9</v>
      </c>
      <c r="L278" s="69">
        <v>0.1</v>
      </c>
      <c r="M278" s="69" t="s">
        <v>968</v>
      </c>
      <c r="N278" s="69">
        <v>2000</v>
      </c>
      <c r="O278" s="69" t="s">
        <v>485</v>
      </c>
      <c r="P278" s="69">
        <v>483800</v>
      </c>
      <c r="Q278" s="92" t="s">
        <v>324</v>
      </c>
      <c r="R278" s="92" t="s">
        <v>478</v>
      </c>
      <c r="S278" s="92"/>
    </row>
    <row r="279" spans="1:19" x14ac:dyDescent="0.2">
      <c r="A279" s="92" t="s">
        <v>683</v>
      </c>
      <c r="B279" s="69">
        <v>7</v>
      </c>
      <c r="C279" s="69">
        <v>3</v>
      </c>
      <c r="D279" s="69">
        <v>6</v>
      </c>
      <c r="E279" s="69">
        <v>10</v>
      </c>
      <c r="F279" s="69"/>
      <c r="G279" s="69"/>
      <c r="H279" s="69"/>
      <c r="I279" s="70">
        <v>0.38</v>
      </c>
      <c r="J279" s="70">
        <v>1.48</v>
      </c>
      <c r="K279" s="69"/>
      <c r="L279" s="69"/>
      <c r="M279" s="69" t="s">
        <v>958</v>
      </c>
      <c r="N279" s="69">
        <v>2011</v>
      </c>
      <c r="O279" s="69" t="s">
        <v>485</v>
      </c>
      <c r="P279" s="69">
        <v>155606</v>
      </c>
      <c r="Q279" s="92" t="s">
        <v>299</v>
      </c>
      <c r="R279" s="92" t="s">
        <v>227</v>
      </c>
      <c r="S279" s="92"/>
    </row>
    <row r="280" spans="1:19" x14ac:dyDescent="0.2">
      <c r="A280" s="92" t="s">
        <v>35</v>
      </c>
      <c r="B280" s="69">
        <v>19</v>
      </c>
      <c r="C280" s="69">
        <v>2</v>
      </c>
      <c r="D280" s="69">
        <v>12</v>
      </c>
      <c r="E280" s="69">
        <v>31</v>
      </c>
      <c r="F280" s="69">
        <v>72</v>
      </c>
      <c r="G280" s="69">
        <v>67</v>
      </c>
      <c r="H280" s="69">
        <v>10.8</v>
      </c>
      <c r="I280" s="70">
        <v>0.38</v>
      </c>
      <c r="J280" s="70">
        <v>1.3</v>
      </c>
      <c r="K280" s="69">
        <v>13</v>
      </c>
      <c r="L280" s="69">
        <v>1.3</v>
      </c>
      <c r="M280" s="69" t="s">
        <v>958</v>
      </c>
      <c r="N280" s="69">
        <v>2005</v>
      </c>
      <c r="O280" s="69" t="s">
        <v>585</v>
      </c>
      <c r="P280" s="69">
        <v>484923</v>
      </c>
      <c r="Q280" s="92" t="s">
        <v>616</v>
      </c>
      <c r="R280" s="92" t="s">
        <v>580</v>
      </c>
      <c r="S280" s="92"/>
    </row>
    <row r="281" spans="1:19" x14ac:dyDescent="0.2">
      <c r="A281" s="92" t="s">
        <v>568</v>
      </c>
      <c r="B281" s="69">
        <v>7</v>
      </c>
      <c r="C281" s="69">
        <v>2</v>
      </c>
      <c r="D281" s="69">
        <v>5</v>
      </c>
      <c r="E281" s="69">
        <v>11</v>
      </c>
      <c r="F281" s="69">
        <v>34</v>
      </c>
      <c r="G281" s="69">
        <v>50</v>
      </c>
      <c r="H281" s="69">
        <v>8.5</v>
      </c>
      <c r="I281" s="70">
        <v>0.38</v>
      </c>
      <c r="J281" s="70">
        <v>1.07</v>
      </c>
      <c r="K281" s="69">
        <v>5.3</v>
      </c>
      <c r="L281" s="69">
        <v>1.6</v>
      </c>
      <c r="M281" s="69" t="s">
        <v>958</v>
      </c>
      <c r="N281" s="69">
        <v>2009</v>
      </c>
      <c r="O281" s="69" t="s">
        <v>485</v>
      </c>
      <c r="P281" s="69">
        <v>408898</v>
      </c>
      <c r="Q281" s="92" t="s">
        <v>534</v>
      </c>
      <c r="R281" s="92" t="s">
        <v>478</v>
      </c>
      <c r="S281" s="87"/>
    </row>
    <row r="282" spans="1:19" x14ac:dyDescent="0.2">
      <c r="A282" s="92" t="s">
        <v>537</v>
      </c>
      <c r="B282" s="69">
        <v>15</v>
      </c>
      <c r="C282" s="69">
        <v>-2</v>
      </c>
      <c r="D282" s="69">
        <v>8</v>
      </c>
      <c r="E282" s="69">
        <v>27</v>
      </c>
      <c r="F282" s="69">
        <v>95</v>
      </c>
      <c r="G282" s="69">
        <v>143</v>
      </c>
      <c r="H282" s="69">
        <v>19.399999999999999</v>
      </c>
      <c r="I282" s="70">
        <v>0.39</v>
      </c>
      <c r="J282" s="70">
        <v>1.5</v>
      </c>
      <c r="K282" s="69">
        <v>15</v>
      </c>
      <c r="L282" s="69">
        <v>1.4</v>
      </c>
      <c r="M282" s="69" t="s">
        <v>958</v>
      </c>
      <c r="N282" s="69">
        <v>2000</v>
      </c>
      <c r="O282" s="69" t="s">
        <v>585</v>
      </c>
      <c r="P282" s="69">
        <v>952010</v>
      </c>
      <c r="Q282" s="92" t="s">
        <v>521</v>
      </c>
      <c r="R282" s="92" t="s">
        <v>559</v>
      </c>
      <c r="S282" s="92"/>
    </row>
    <row r="283" spans="1:19" x14ac:dyDescent="0.2">
      <c r="A283" s="92" t="s">
        <v>132</v>
      </c>
      <c r="B283" s="69">
        <v>26</v>
      </c>
      <c r="C283" s="69">
        <v>12</v>
      </c>
      <c r="D283" s="69">
        <v>15</v>
      </c>
      <c r="E283" s="69">
        <v>39</v>
      </c>
      <c r="F283" s="69">
        <v>112</v>
      </c>
      <c r="G283" s="69">
        <v>119</v>
      </c>
      <c r="H283" s="69">
        <v>17</v>
      </c>
      <c r="I283" s="70">
        <v>0.39</v>
      </c>
      <c r="J283" s="70">
        <v>1.5</v>
      </c>
      <c r="K283" s="69">
        <v>8.4</v>
      </c>
      <c r="L283" s="69">
        <v>2.7</v>
      </c>
      <c r="M283" s="69" t="s">
        <v>958</v>
      </c>
      <c r="N283" s="69">
        <v>2006</v>
      </c>
      <c r="O283" s="69" t="s">
        <v>585</v>
      </c>
      <c r="P283" s="69">
        <v>644005</v>
      </c>
      <c r="Q283" s="92" t="s">
        <v>521</v>
      </c>
      <c r="R283" s="92" t="s">
        <v>202</v>
      </c>
      <c r="S283" s="87"/>
    </row>
    <row r="284" spans="1:19" x14ac:dyDescent="0.2">
      <c r="A284" s="92" t="s">
        <v>988</v>
      </c>
      <c r="B284" s="69">
        <v>14</v>
      </c>
      <c r="C284" s="69">
        <v>7</v>
      </c>
      <c r="D284" s="69">
        <v>13</v>
      </c>
      <c r="E284" s="69">
        <v>19</v>
      </c>
      <c r="F284" s="69"/>
      <c r="G284" s="69"/>
      <c r="H284" s="69"/>
      <c r="I284" s="70">
        <v>0.39</v>
      </c>
      <c r="J284" s="70">
        <v>1.36</v>
      </c>
      <c r="K284" s="69"/>
      <c r="L284" s="69"/>
      <c r="M284" s="69" t="s">
        <v>958</v>
      </c>
      <c r="N284" s="69">
        <v>2013</v>
      </c>
      <c r="O284" s="69" t="s">
        <v>485</v>
      </c>
      <c r="P284" s="69">
        <v>997403</v>
      </c>
      <c r="Q284" s="92" t="s">
        <v>618</v>
      </c>
      <c r="R284" s="92" t="s">
        <v>227</v>
      </c>
      <c r="S284" s="87"/>
    </row>
    <row r="285" spans="1:19" x14ac:dyDescent="0.2">
      <c r="A285" s="92" t="s">
        <v>899</v>
      </c>
      <c r="B285" s="69">
        <v>19</v>
      </c>
      <c r="C285" s="69">
        <v>10</v>
      </c>
      <c r="D285" s="69">
        <v>17</v>
      </c>
      <c r="E285" s="69">
        <v>30</v>
      </c>
      <c r="F285" s="69">
        <v>89</v>
      </c>
      <c r="G285" s="69">
        <v>97</v>
      </c>
      <c r="H285" s="69">
        <v>14.5</v>
      </c>
      <c r="I285" s="70">
        <v>0.39</v>
      </c>
      <c r="J285" s="70">
        <v>1.58</v>
      </c>
      <c r="K285" s="69">
        <v>8.5</v>
      </c>
      <c r="L285" s="69">
        <v>2.2000000000000002</v>
      </c>
      <c r="M285" s="69" t="s">
        <v>958</v>
      </c>
      <c r="N285" s="69">
        <v>2000</v>
      </c>
      <c r="O285" s="69" t="s">
        <v>585</v>
      </c>
      <c r="P285" s="69">
        <v>456475</v>
      </c>
      <c r="Q285" s="92" t="s">
        <v>1035</v>
      </c>
      <c r="R285" s="92" t="s">
        <v>72</v>
      </c>
      <c r="S285" s="92"/>
    </row>
    <row r="286" spans="1:19" x14ac:dyDescent="0.2">
      <c r="A286" s="92" t="s">
        <v>901</v>
      </c>
      <c r="B286" s="69">
        <v>16</v>
      </c>
      <c r="C286" s="69">
        <v>5</v>
      </c>
      <c r="D286" s="69">
        <v>14</v>
      </c>
      <c r="E286" s="69">
        <v>27</v>
      </c>
      <c r="F286" s="69">
        <v>61</v>
      </c>
      <c r="G286" s="69">
        <v>45</v>
      </c>
      <c r="H286" s="69">
        <v>7.8</v>
      </c>
      <c r="I286" s="70">
        <v>0.39</v>
      </c>
      <c r="J286" s="70">
        <v>1.57</v>
      </c>
      <c r="K286" s="69">
        <v>8.6999999999999993</v>
      </c>
      <c r="L286" s="69">
        <v>1.6</v>
      </c>
      <c r="M286" s="69" t="s">
        <v>958</v>
      </c>
      <c r="N286" s="69">
        <v>2000</v>
      </c>
      <c r="O286" s="69" t="s">
        <v>585</v>
      </c>
      <c r="P286" s="69">
        <v>492306</v>
      </c>
      <c r="Q286" s="92" t="s">
        <v>1035</v>
      </c>
      <c r="R286" s="92" t="s">
        <v>38</v>
      </c>
      <c r="S286" s="92"/>
    </row>
    <row r="287" spans="1:19" x14ac:dyDescent="0.2">
      <c r="A287" s="92" t="s">
        <v>905</v>
      </c>
      <c r="B287" s="69">
        <v>14</v>
      </c>
      <c r="C287" s="69">
        <v>4</v>
      </c>
      <c r="D287" s="69">
        <v>12</v>
      </c>
      <c r="E287" s="69">
        <v>21</v>
      </c>
      <c r="F287" s="69">
        <v>57</v>
      </c>
      <c r="G287" s="69">
        <v>50</v>
      </c>
      <c r="H287" s="69">
        <v>8.5</v>
      </c>
      <c r="I287" s="70">
        <v>0.39</v>
      </c>
      <c r="J287" s="70">
        <v>1.53</v>
      </c>
      <c r="K287" s="69">
        <v>9.1999999999999993</v>
      </c>
      <c r="L287" s="69">
        <v>1.4</v>
      </c>
      <c r="M287" s="69" t="s">
        <v>958</v>
      </c>
      <c r="N287" s="69">
        <v>2000</v>
      </c>
      <c r="O287" s="69" t="s">
        <v>585</v>
      </c>
      <c r="P287" s="69">
        <v>563965</v>
      </c>
      <c r="Q287" s="92" t="s">
        <v>1035</v>
      </c>
      <c r="R287" s="92" t="s">
        <v>109</v>
      </c>
      <c r="S287" s="92"/>
    </row>
    <row r="288" spans="1:19" x14ac:dyDescent="0.2">
      <c r="A288" s="92" t="s">
        <v>1058</v>
      </c>
      <c r="B288" s="69">
        <v>13</v>
      </c>
      <c r="C288" s="69">
        <v>6</v>
      </c>
      <c r="D288" s="69">
        <v>14</v>
      </c>
      <c r="E288" s="69">
        <v>21</v>
      </c>
      <c r="F288" s="69">
        <v>66</v>
      </c>
      <c r="G288" s="69">
        <v>60</v>
      </c>
      <c r="H288" s="69">
        <v>9.9</v>
      </c>
      <c r="I288" s="70">
        <v>0.4</v>
      </c>
      <c r="J288" s="70">
        <v>1.58</v>
      </c>
      <c r="K288" s="69">
        <v>8.6</v>
      </c>
      <c r="L288" s="69">
        <v>1.7</v>
      </c>
      <c r="M288" s="69" t="s">
        <v>958</v>
      </c>
      <c r="N288" s="69">
        <v>2004</v>
      </c>
      <c r="O288" s="69" t="s">
        <v>585</v>
      </c>
      <c r="P288" s="69">
        <v>522581</v>
      </c>
      <c r="Q288" s="92" t="s">
        <v>1035</v>
      </c>
      <c r="R288" s="92" t="s">
        <v>109</v>
      </c>
      <c r="S288" s="92"/>
    </row>
    <row r="289" spans="1:19" x14ac:dyDescent="0.2">
      <c r="A289" s="92" t="s">
        <v>234</v>
      </c>
      <c r="B289" s="69">
        <v>7</v>
      </c>
      <c r="C289" s="69">
        <v>1</v>
      </c>
      <c r="D289" s="69">
        <v>7</v>
      </c>
      <c r="E289" s="69">
        <v>14</v>
      </c>
      <c r="F289" s="69">
        <v>34</v>
      </c>
      <c r="G289" s="69">
        <v>37</v>
      </c>
      <c r="H289" s="69">
        <v>6.5</v>
      </c>
      <c r="I289" s="70">
        <v>0.4</v>
      </c>
      <c r="J289" s="70">
        <v>1</v>
      </c>
      <c r="K289" s="69">
        <v>8.1999999999999993</v>
      </c>
      <c r="L289" s="69">
        <v>1.1000000000000001</v>
      </c>
      <c r="M289" s="69" t="s">
        <v>960</v>
      </c>
      <c r="N289" s="69">
        <v>2010</v>
      </c>
      <c r="O289" s="69" t="s">
        <v>485</v>
      </c>
      <c r="P289" s="69">
        <v>955435</v>
      </c>
      <c r="Q289" s="92" t="s">
        <v>228</v>
      </c>
      <c r="R289" s="92" t="s">
        <v>469</v>
      </c>
      <c r="S289" s="92"/>
    </row>
    <row r="290" spans="1:19" x14ac:dyDescent="0.2">
      <c r="A290" s="92" t="s">
        <v>291</v>
      </c>
      <c r="B290" s="69">
        <v>14</v>
      </c>
      <c r="C290" s="69">
        <v>10</v>
      </c>
      <c r="D290" s="69">
        <v>15</v>
      </c>
      <c r="E290" s="69">
        <v>25</v>
      </c>
      <c r="F290" s="69">
        <v>88</v>
      </c>
      <c r="G290" s="69">
        <v>106</v>
      </c>
      <c r="H290" s="69">
        <v>15.5</v>
      </c>
      <c r="I290" s="70">
        <v>0.4</v>
      </c>
      <c r="J290" s="70">
        <v>1.6</v>
      </c>
      <c r="K290" s="69">
        <v>8.6</v>
      </c>
      <c r="L290" s="69">
        <v>2.2000000000000002</v>
      </c>
      <c r="M290" s="69" t="s">
        <v>958</v>
      </c>
      <c r="N290" s="69">
        <v>2011</v>
      </c>
      <c r="O290" s="69" t="s">
        <v>585</v>
      </c>
      <c r="P290" s="69">
        <v>840033</v>
      </c>
      <c r="Q290" s="92" t="s">
        <v>521</v>
      </c>
      <c r="R290" s="92" t="s">
        <v>72</v>
      </c>
      <c r="S290" s="87"/>
    </row>
    <row r="291" spans="1:19" x14ac:dyDescent="0.2">
      <c r="A291" s="92" t="s">
        <v>989</v>
      </c>
      <c r="B291" s="69">
        <v>12</v>
      </c>
      <c r="C291" s="69">
        <v>3</v>
      </c>
      <c r="D291" s="69">
        <v>9</v>
      </c>
      <c r="E291" s="69">
        <v>24</v>
      </c>
      <c r="F291" s="69">
        <v>57</v>
      </c>
      <c r="G291" s="69">
        <v>37</v>
      </c>
      <c r="H291" s="69">
        <v>6.5</v>
      </c>
      <c r="I291" s="70">
        <v>0.4</v>
      </c>
      <c r="J291" s="70">
        <v>1.6</v>
      </c>
      <c r="K291" s="69">
        <v>10</v>
      </c>
      <c r="L291" s="69">
        <v>1.3</v>
      </c>
      <c r="M291" s="69" t="s">
        <v>958</v>
      </c>
      <c r="N291" s="69">
        <v>2013</v>
      </c>
      <c r="O291" s="69" t="s">
        <v>585</v>
      </c>
      <c r="P291" s="69">
        <v>362020</v>
      </c>
      <c r="Q291" s="92" t="s">
        <v>521</v>
      </c>
      <c r="R291" s="92" t="s">
        <v>38</v>
      </c>
      <c r="S291" s="87"/>
    </row>
    <row r="292" spans="1:19" x14ac:dyDescent="0.2">
      <c r="A292" s="92" t="s">
        <v>82</v>
      </c>
      <c r="B292" s="69">
        <v>19</v>
      </c>
      <c r="C292" s="69">
        <v>12</v>
      </c>
      <c r="D292" s="69">
        <v>21</v>
      </c>
      <c r="E292" s="69">
        <v>24</v>
      </c>
      <c r="F292" s="69">
        <v>40</v>
      </c>
      <c r="G292" s="69">
        <v>44</v>
      </c>
      <c r="H292" s="69">
        <v>7.5</v>
      </c>
      <c r="I292" s="70">
        <v>0.4</v>
      </c>
      <c r="J292" s="70">
        <v>1.55</v>
      </c>
      <c r="K292" s="69">
        <v>11.1</v>
      </c>
      <c r="L292" s="69">
        <v>0.9</v>
      </c>
      <c r="M292" s="69" t="s">
        <v>968</v>
      </c>
      <c r="N292" s="69">
        <v>2003</v>
      </c>
      <c r="O292" s="69" t="s">
        <v>485</v>
      </c>
      <c r="P292" s="69">
        <v>919787</v>
      </c>
      <c r="Q292" s="92" t="s">
        <v>521</v>
      </c>
      <c r="R292" s="92" t="s">
        <v>98</v>
      </c>
      <c r="S292" s="92"/>
    </row>
    <row r="293" spans="1:19" x14ac:dyDescent="0.2">
      <c r="A293" s="92" t="s">
        <v>608</v>
      </c>
      <c r="B293" s="69">
        <v>16</v>
      </c>
      <c r="C293" s="69">
        <v>8</v>
      </c>
      <c r="D293" s="69">
        <v>15</v>
      </c>
      <c r="E293" s="69">
        <v>24</v>
      </c>
      <c r="F293" s="69">
        <v>59</v>
      </c>
      <c r="G293" s="69">
        <v>58</v>
      </c>
      <c r="H293" s="69">
        <v>9.6</v>
      </c>
      <c r="I293" s="70">
        <v>0.4</v>
      </c>
      <c r="J293" s="70">
        <v>1.6</v>
      </c>
      <c r="K293" s="69">
        <v>7.2</v>
      </c>
      <c r="L293" s="69">
        <v>1.8</v>
      </c>
      <c r="M293" s="69" t="s">
        <v>958</v>
      </c>
      <c r="N293" s="69">
        <v>2000</v>
      </c>
      <c r="O293" s="69" t="s">
        <v>585</v>
      </c>
      <c r="P293" s="69">
        <v>123679</v>
      </c>
      <c r="Q293" s="92" t="s">
        <v>521</v>
      </c>
      <c r="R293" s="92" t="s">
        <v>109</v>
      </c>
      <c r="S293" s="87"/>
    </row>
    <row r="294" spans="1:19" x14ac:dyDescent="0.2">
      <c r="A294" s="92" t="s">
        <v>273</v>
      </c>
      <c r="B294" s="69">
        <v>6</v>
      </c>
      <c r="C294" s="69">
        <v>7</v>
      </c>
      <c r="D294" s="69">
        <v>13</v>
      </c>
      <c r="E294" s="69">
        <v>12</v>
      </c>
      <c r="F294" s="69">
        <v>34</v>
      </c>
      <c r="G294" s="69">
        <v>18</v>
      </c>
      <c r="H294" s="69">
        <v>3.4</v>
      </c>
      <c r="I294" s="70">
        <v>0.4</v>
      </c>
      <c r="J294" s="70">
        <v>1.6</v>
      </c>
      <c r="K294" s="69">
        <v>12.3</v>
      </c>
      <c r="L294" s="69">
        <v>0.7</v>
      </c>
      <c r="M294" s="69" t="s">
        <v>958</v>
      </c>
      <c r="N294" s="69">
        <v>2003</v>
      </c>
      <c r="O294" s="69" t="s">
        <v>585</v>
      </c>
      <c r="P294" s="69">
        <v>203182</v>
      </c>
      <c r="Q294" s="92" t="s">
        <v>521</v>
      </c>
      <c r="R294" s="92" t="s">
        <v>170</v>
      </c>
      <c r="S294" s="92"/>
    </row>
    <row r="295" spans="1:19" x14ac:dyDescent="0.2">
      <c r="A295" s="92" t="s">
        <v>266</v>
      </c>
      <c r="B295" s="69">
        <v>25</v>
      </c>
      <c r="C295" s="69">
        <v>18</v>
      </c>
      <c r="D295" s="69">
        <v>35</v>
      </c>
      <c r="E295" s="69">
        <v>28</v>
      </c>
      <c r="F295" s="69">
        <v>19</v>
      </c>
      <c r="G295" s="69">
        <v>46</v>
      </c>
      <c r="H295" s="69">
        <v>7.8</v>
      </c>
      <c r="I295" s="70">
        <v>0.4</v>
      </c>
      <c r="J295" s="70">
        <v>1.6</v>
      </c>
      <c r="K295" s="69">
        <v>15.9</v>
      </c>
      <c r="L295" s="69">
        <v>0.3</v>
      </c>
      <c r="M295" s="69" t="s">
        <v>958</v>
      </c>
      <c r="N295" s="69">
        <v>2006</v>
      </c>
      <c r="O295" s="69" t="s">
        <v>585</v>
      </c>
      <c r="P295" s="69">
        <v>679837</v>
      </c>
      <c r="Q295" s="92" t="s">
        <v>521</v>
      </c>
      <c r="R295" s="92" t="s">
        <v>277</v>
      </c>
      <c r="S295" s="92"/>
    </row>
    <row r="296" spans="1:19" x14ac:dyDescent="0.2">
      <c r="A296" s="92" t="s">
        <v>263</v>
      </c>
      <c r="B296" s="69">
        <v>15</v>
      </c>
      <c r="C296" s="69">
        <v>2</v>
      </c>
      <c r="D296" s="69">
        <v>8</v>
      </c>
      <c r="E296" s="69">
        <v>26</v>
      </c>
      <c r="F296" s="69">
        <v>73</v>
      </c>
      <c r="G296" s="69">
        <v>80</v>
      </c>
      <c r="H296" s="69">
        <v>12.4</v>
      </c>
      <c r="I296" s="70">
        <v>0.4</v>
      </c>
      <c r="J296" s="70">
        <v>1.6</v>
      </c>
      <c r="K296" s="69">
        <v>12.7</v>
      </c>
      <c r="L296" s="69">
        <v>1.3</v>
      </c>
      <c r="M296" s="69" t="s">
        <v>958</v>
      </c>
      <c r="N296" s="69">
        <v>2000</v>
      </c>
      <c r="O296" s="69" t="s">
        <v>585</v>
      </c>
      <c r="P296" s="69">
        <v>811117</v>
      </c>
      <c r="Q296" s="92" t="s">
        <v>521</v>
      </c>
      <c r="R296" s="92" t="s">
        <v>580</v>
      </c>
      <c r="S296" s="92"/>
    </row>
    <row r="297" spans="1:19" x14ac:dyDescent="0.2">
      <c r="A297" s="92" t="s">
        <v>129</v>
      </c>
      <c r="B297" s="69">
        <v>14</v>
      </c>
      <c r="C297" s="69">
        <v>-2</v>
      </c>
      <c r="D297" s="69">
        <v>7</v>
      </c>
      <c r="E297" s="69">
        <v>27</v>
      </c>
      <c r="F297" s="69">
        <v>80</v>
      </c>
      <c r="G297" s="69">
        <v>94</v>
      </c>
      <c r="H297" s="69">
        <v>14.2</v>
      </c>
      <c r="I297" s="70">
        <v>0.4</v>
      </c>
      <c r="J297" s="70">
        <v>1.6</v>
      </c>
      <c r="K297" s="69">
        <v>14.6</v>
      </c>
      <c r="L297" s="69">
        <v>1.2</v>
      </c>
      <c r="M297" s="69" t="s">
        <v>958</v>
      </c>
      <c r="N297" s="69">
        <v>2006</v>
      </c>
      <c r="O297" s="69" t="s">
        <v>585</v>
      </c>
      <c r="P297" s="69">
        <v>751495</v>
      </c>
      <c r="Q297" s="92" t="s">
        <v>521</v>
      </c>
      <c r="R297" s="92" t="s">
        <v>580</v>
      </c>
      <c r="S297" s="92"/>
    </row>
    <row r="298" spans="1:19" x14ac:dyDescent="0.2">
      <c r="A298" s="92" t="s">
        <v>272</v>
      </c>
      <c r="B298" s="69">
        <v>22</v>
      </c>
      <c r="C298" s="69">
        <v>13</v>
      </c>
      <c r="D298" s="69">
        <v>27</v>
      </c>
      <c r="E298" s="69">
        <v>30</v>
      </c>
      <c r="F298" s="69">
        <v>33</v>
      </c>
      <c r="G298" s="69">
        <v>50</v>
      </c>
      <c r="H298" s="69">
        <v>8.4</v>
      </c>
      <c r="I298" s="70">
        <v>0.4</v>
      </c>
      <c r="J298" s="70">
        <v>1.6</v>
      </c>
      <c r="K298" s="69">
        <v>12.9</v>
      </c>
      <c r="L298" s="69">
        <v>0.7</v>
      </c>
      <c r="M298" s="69" t="s">
        <v>958</v>
      </c>
      <c r="N298" s="69">
        <v>2000</v>
      </c>
      <c r="O298" s="69" t="s">
        <v>585</v>
      </c>
      <c r="P298" s="69">
        <v>987842</v>
      </c>
      <c r="Q298" s="92" t="s">
        <v>521</v>
      </c>
      <c r="R298" s="92" t="s">
        <v>121</v>
      </c>
      <c r="S298" s="87"/>
    </row>
    <row r="299" spans="1:19" x14ac:dyDescent="0.2">
      <c r="A299" s="92" t="s">
        <v>130</v>
      </c>
      <c r="B299" s="69">
        <v>1</v>
      </c>
      <c r="C299" s="69">
        <v>4</v>
      </c>
      <c r="D299" s="69">
        <v>17</v>
      </c>
      <c r="E299" s="69">
        <v>8</v>
      </c>
      <c r="F299" s="69">
        <v>6</v>
      </c>
      <c r="G299" s="69">
        <v>23</v>
      </c>
      <c r="H299" s="69">
        <v>4.2</v>
      </c>
      <c r="I299" s="70">
        <v>0.4</v>
      </c>
      <c r="J299" s="70">
        <v>1.6</v>
      </c>
      <c r="K299" s="69">
        <v>18.5</v>
      </c>
      <c r="L299" s="69">
        <v>0</v>
      </c>
      <c r="M299" s="69" t="s">
        <v>958</v>
      </c>
      <c r="N299" s="69">
        <v>2006</v>
      </c>
      <c r="O299" s="69" t="s">
        <v>585</v>
      </c>
      <c r="P299" s="69">
        <v>715664</v>
      </c>
      <c r="Q299" s="92" t="s">
        <v>521</v>
      </c>
      <c r="R299" s="92" t="s">
        <v>157</v>
      </c>
      <c r="S299" s="92"/>
    </row>
    <row r="300" spans="1:19" x14ac:dyDescent="0.2">
      <c r="A300" s="92" t="s">
        <v>1014</v>
      </c>
      <c r="B300" s="69">
        <v>9</v>
      </c>
      <c r="C300" s="69">
        <v>9</v>
      </c>
      <c r="D300" s="69">
        <v>11</v>
      </c>
      <c r="E300" s="69"/>
      <c r="F300" s="69"/>
      <c r="G300" s="69"/>
      <c r="H300" s="69"/>
      <c r="I300" s="70">
        <v>0.4</v>
      </c>
      <c r="J300" s="70">
        <v>1.56</v>
      </c>
      <c r="K300" s="69"/>
      <c r="L300" s="69"/>
      <c r="M300" s="69" t="s">
        <v>958</v>
      </c>
      <c r="N300" s="69">
        <v>2013</v>
      </c>
      <c r="O300" s="69" t="s">
        <v>485</v>
      </c>
      <c r="P300" s="69">
        <v>821736</v>
      </c>
      <c r="Q300" s="92" t="s">
        <v>826</v>
      </c>
      <c r="R300" s="92" t="s">
        <v>278</v>
      </c>
      <c r="S300" s="92"/>
    </row>
    <row r="301" spans="1:19" x14ac:dyDescent="0.2">
      <c r="A301" s="92" t="s">
        <v>845</v>
      </c>
      <c r="B301" s="69">
        <v>4</v>
      </c>
      <c r="C301" s="69">
        <v>1</v>
      </c>
      <c r="D301" s="69">
        <v>3</v>
      </c>
      <c r="E301" s="69">
        <v>6</v>
      </c>
      <c r="F301" s="69"/>
      <c r="G301" s="69"/>
      <c r="H301" s="69"/>
      <c r="I301" s="70">
        <v>0.4</v>
      </c>
      <c r="J301" s="70">
        <v>0.95</v>
      </c>
      <c r="K301" s="69"/>
      <c r="L301" s="69"/>
      <c r="M301" s="69" t="s">
        <v>958</v>
      </c>
      <c r="N301" s="69">
        <v>2012</v>
      </c>
      <c r="O301" s="69" t="s">
        <v>485</v>
      </c>
      <c r="P301" s="69">
        <v>734319</v>
      </c>
      <c r="Q301" s="92" t="s">
        <v>393</v>
      </c>
      <c r="R301" s="92" t="s">
        <v>478</v>
      </c>
      <c r="S301" s="92"/>
    </row>
    <row r="302" spans="1:19" x14ac:dyDescent="0.2">
      <c r="A302" s="92" t="s">
        <v>222</v>
      </c>
      <c r="B302" s="69">
        <v>10</v>
      </c>
      <c r="C302" s="69">
        <v>2</v>
      </c>
      <c r="D302" s="69">
        <v>7</v>
      </c>
      <c r="E302" s="69">
        <v>14</v>
      </c>
      <c r="F302" s="69">
        <v>36</v>
      </c>
      <c r="G302" s="69">
        <v>34</v>
      </c>
      <c r="H302" s="69">
        <v>6.1</v>
      </c>
      <c r="I302" s="70">
        <v>0.4</v>
      </c>
      <c r="J302" s="70">
        <v>1.59</v>
      </c>
      <c r="K302" s="69">
        <v>5.4</v>
      </c>
      <c r="L302" s="69">
        <v>1.6</v>
      </c>
      <c r="M302" s="69" t="s">
        <v>958</v>
      </c>
      <c r="N302" s="69">
        <v>2000</v>
      </c>
      <c r="O302" s="69" t="s">
        <v>585</v>
      </c>
      <c r="P302" s="69">
        <v>599795</v>
      </c>
      <c r="Q302" s="92" t="s">
        <v>1035</v>
      </c>
      <c r="R302" s="92" t="s">
        <v>219</v>
      </c>
      <c r="S302" s="87"/>
    </row>
    <row r="303" spans="1:19" x14ac:dyDescent="0.2">
      <c r="A303" s="92" t="s">
        <v>448</v>
      </c>
      <c r="B303" s="69">
        <v>23</v>
      </c>
      <c r="C303" s="69">
        <v>12</v>
      </c>
      <c r="D303" s="69">
        <v>28</v>
      </c>
      <c r="E303" s="69">
        <v>30</v>
      </c>
      <c r="F303" s="69">
        <v>33</v>
      </c>
      <c r="G303" s="69">
        <v>47</v>
      </c>
      <c r="H303" s="69">
        <v>8</v>
      </c>
      <c r="I303" s="70">
        <v>0.4</v>
      </c>
      <c r="J303" s="70">
        <v>2</v>
      </c>
      <c r="K303" s="69">
        <v>13</v>
      </c>
      <c r="L303" s="69">
        <v>0.6</v>
      </c>
      <c r="M303" s="69" t="s">
        <v>958</v>
      </c>
      <c r="N303" s="69">
        <v>2008</v>
      </c>
      <c r="O303" s="69" t="s">
        <v>485</v>
      </c>
      <c r="P303" s="69">
        <v>995571</v>
      </c>
      <c r="Q303" s="92" t="s">
        <v>1084</v>
      </c>
      <c r="R303" s="92" t="s">
        <v>121</v>
      </c>
      <c r="S303" s="92"/>
    </row>
    <row r="304" spans="1:19" x14ac:dyDescent="0.2">
      <c r="A304" s="92" t="s">
        <v>108</v>
      </c>
      <c r="B304" s="69">
        <v>23</v>
      </c>
      <c r="C304" s="69">
        <v>13</v>
      </c>
      <c r="D304" s="69">
        <v>24</v>
      </c>
      <c r="E304" s="69">
        <v>28</v>
      </c>
      <c r="F304" s="69">
        <v>28</v>
      </c>
      <c r="G304" s="69">
        <v>43</v>
      </c>
      <c r="H304" s="69">
        <v>7.4</v>
      </c>
      <c r="I304" s="70">
        <v>0.4</v>
      </c>
      <c r="J304" s="70">
        <v>1.62</v>
      </c>
      <c r="K304" s="69">
        <v>11.7</v>
      </c>
      <c r="L304" s="69">
        <v>0.6</v>
      </c>
      <c r="M304" s="69" t="s">
        <v>958</v>
      </c>
      <c r="N304" s="69">
        <v>2001</v>
      </c>
      <c r="O304" s="69" t="s">
        <v>585</v>
      </c>
      <c r="P304" s="69">
        <v>385401</v>
      </c>
      <c r="Q304" s="92" t="s">
        <v>1035</v>
      </c>
      <c r="R304" s="92" t="s">
        <v>98</v>
      </c>
      <c r="S304" s="92"/>
    </row>
    <row r="305" spans="1:19" x14ac:dyDescent="0.2">
      <c r="A305" s="92" t="s">
        <v>289</v>
      </c>
      <c r="B305" s="69">
        <v>11</v>
      </c>
      <c r="C305" s="69">
        <v>0</v>
      </c>
      <c r="D305" s="69">
        <v>8</v>
      </c>
      <c r="E305" s="69">
        <v>20</v>
      </c>
      <c r="F305" s="69">
        <v>57</v>
      </c>
      <c r="G305" s="69">
        <v>68</v>
      </c>
      <c r="H305" s="69">
        <v>10.9</v>
      </c>
      <c r="I305" s="70">
        <v>0.4</v>
      </c>
      <c r="J305" s="70">
        <v>1.46</v>
      </c>
      <c r="K305" s="69">
        <v>7.8</v>
      </c>
      <c r="L305" s="69">
        <v>1.7</v>
      </c>
      <c r="M305" s="69" t="s">
        <v>958</v>
      </c>
      <c r="N305" s="69">
        <v>2000</v>
      </c>
      <c r="O305" s="69" t="s">
        <v>585</v>
      </c>
      <c r="P305" s="69">
        <v>357483</v>
      </c>
      <c r="Q305" s="92" t="s">
        <v>657</v>
      </c>
      <c r="R305" s="92" t="s">
        <v>565</v>
      </c>
      <c r="S305" s="92"/>
    </row>
    <row r="306" spans="1:19" x14ac:dyDescent="0.2">
      <c r="A306" s="92" t="s">
        <v>1057</v>
      </c>
      <c r="B306" s="69">
        <v>5</v>
      </c>
      <c r="C306" s="69">
        <v>-2</v>
      </c>
      <c r="D306" s="69">
        <v>2</v>
      </c>
      <c r="E306" s="69">
        <v>8</v>
      </c>
      <c r="F306" s="69">
        <v>20</v>
      </c>
      <c r="G306" s="69">
        <v>21</v>
      </c>
      <c r="H306" s="69">
        <v>3.9</v>
      </c>
      <c r="I306" s="70">
        <v>0.4</v>
      </c>
      <c r="J306" s="70">
        <v>1.5</v>
      </c>
      <c r="K306" s="69">
        <v>7.3</v>
      </c>
      <c r="L306" s="69">
        <v>0.6</v>
      </c>
      <c r="M306" s="69" t="s">
        <v>958</v>
      </c>
      <c r="N306" s="69">
        <v>2005</v>
      </c>
      <c r="O306" s="69" t="s">
        <v>485</v>
      </c>
      <c r="P306" s="69">
        <v>887554</v>
      </c>
      <c r="Q306" s="92" t="s">
        <v>594</v>
      </c>
      <c r="R306" s="92" t="s">
        <v>218</v>
      </c>
      <c r="S306" s="92"/>
    </row>
    <row r="307" spans="1:19" x14ac:dyDescent="0.2">
      <c r="A307" s="92" t="s">
        <v>800</v>
      </c>
      <c r="B307" s="69">
        <v>11</v>
      </c>
      <c r="C307" s="69">
        <v>0</v>
      </c>
      <c r="D307" s="69">
        <v>6</v>
      </c>
      <c r="E307" s="69">
        <v>29</v>
      </c>
      <c r="F307" s="69">
        <v>58</v>
      </c>
      <c r="G307" s="69">
        <v>68</v>
      </c>
      <c r="H307" s="69">
        <v>11</v>
      </c>
      <c r="I307" s="70">
        <v>0.4</v>
      </c>
      <c r="J307" s="70">
        <v>2</v>
      </c>
      <c r="K307" s="69">
        <v>13</v>
      </c>
      <c r="L307" s="69">
        <v>1</v>
      </c>
      <c r="M307" s="69" t="s">
        <v>966</v>
      </c>
      <c r="N307" s="69">
        <v>2008</v>
      </c>
      <c r="O307" s="69" t="s">
        <v>485</v>
      </c>
      <c r="P307" s="69">
        <v>571695</v>
      </c>
      <c r="Q307" s="92" t="s">
        <v>1090</v>
      </c>
      <c r="R307" s="92" t="s">
        <v>38</v>
      </c>
      <c r="S307" s="87" t="s">
        <v>959</v>
      </c>
    </row>
    <row r="308" spans="1:19" x14ac:dyDescent="0.2">
      <c r="A308" s="92" t="s">
        <v>801</v>
      </c>
      <c r="B308" s="69">
        <v>20</v>
      </c>
      <c r="C308" s="69">
        <v>1</v>
      </c>
      <c r="D308" s="69">
        <v>13</v>
      </c>
      <c r="E308" s="69">
        <v>42</v>
      </c>
      <c r="F308" s="69">
        <v>95</v>
      </c>
      <c r="G308" s="69">
        <v>124</v>
      </c>
      <c r="H308" s="69">
        <v>17.5</v>
      </c>
      <c r="I308" s="70">
        <v>0.4</v>
      </c>
      <c r="J308" s="70">
        <v>2</v>
      </c>
      <c r="K308" s="69">
        <v>16</v>
      </c>
      <c r="L308" s="69">
        <v>1.3</v>
      </c>
      <c r="M308" s="69" t="s">
        <v>966</v>
      </c>
      <c r="N308" s="69">
        <v>2008</v>
      </c>
      <c r="O308" s="69" t="s">
        <v>485</v>
      </c>
      <c r="P308" s="69">
        <v>388298</v>
      </c>
      <c r="Q308" s="92" t="s">
        <v>1090</v>
      </c>
      <c r="R308" s="92" t="s">
        <v>580</v>
      </c>
      <c r="S308" s="92" t="s">
        <v>959</v>
      </c>
    </row>
    <row r="309" spans="1:19" x14ac:dyDescent="0.2">
      <c r="A309" s="92" t="s">
        <v>1085</v>
      </c>
      <c r="B309" s="69">
        <v>9</v>
      </c>
      <c r="C309" s="69">
        <v>-2</v>
      </c>
      <c r="D309" s="69">
        <v>5</v>
      </c>
      <c r="E309" s="69">
        <v>16</v>
      </c>
      <c r="F309" s="69">
        <v>58</v>
      </c>
      <c r="G309" s="69"/>
      <c r="H309" s="69"/>
      <c r="I309" s="70">
        <v>0.4</v>
      </c>
      <c r="J309" s="70">
        <v>1.5</v>
      </c>
      <c r="K309" s="69">
        <v>12.4</v>
      </c>
      <c r="L309" s="69">
        <v>1.1000000000000001</v>
      </c>
      <c r="M309" s="69" t="s">
        <v>958</v>
      </c>
      <c r="N309" s="69">
        <v>2010</v>
      </c>
      <c r="O309" s="69" t="s">
        <v>585</v>
      </c>
      <c r="P309" s="69">
        <v>605634</v>
      </c>
      <c r="Q309" s="92" t="s">
        <v>685</v>
      </c>
      <c r="R309" s="92" t="s">
        <v>515</v>
      </c>
      <c r="S309" s="87"/>
    </row>
    <row r="310" spans="1:19" x14ac:dyDescent="0.2">
      <c r="A310" s="92" t="s">
        <v>388</v>
      </c>
      <c r="B310" s="69">
        <v>-7</v>
      </c>
      <c r="C310" s="69">
        <v>1</v>
      </c>
      <c r="D310" s="69">
        <v>15</v>
      </c>
      <c r="E310" s="69">
        <v>4</v>
      </c>
      <c r="F310" s="69">
        <v>-6</v>
      </c>
      <c r="G310" s="69">
        <v>26</v>
      </c>
      <c r="H310" s="69">
        <v>4.7</v>
      </c>
      <c r="I310" s="70">
        <v>0.4</v>
      </c>
      <c r="J310" s="70">
        <v>2.44</v>
      </c>
      <c r="K310" s="69">
        <v>22.6</v>
      </c>
      <c r="L310" s="69">
        <v>-0.1</v>
      </c>
      <c r="M310" s="69" t="s">
        <v>958</v>
      </c>
      <c r="N310" s="69">
        <v>2001</v>
      </c>
      <c r="O310" s="69" t="s">
        <v>585</v>
      </c>
      <c r="P310" s="69">
        <v>752204</v>
      </c>
      <c r="Q310" s="92" t="s">
        <v>133</v>
      </c>
      <c r="R310" s="92" t="s">
        <v>276</v>
      </c>
      <c r="S310" s="92"/>
    </row>
    <row r="311" spans="1:19" x14ac:dyDescent="0.2">
      <c r="A311" s="92" t="s">
        <v>288</v>
      </c>
      <c r="B311" s="69">
        <v>9</v>
      </c>
      <c r="C311" s="69">
        <v>3</v>
      </c>
      <c r="D311" s="69">
        <v>7</v>
      </c>
      <c r="E311" s="69">
        <v>13</v>
      </c>
      <c r="F311" s="69">
        <v>12</v>
      </c>
      <c r="G311" s="69"/>
      <c r="H311" s="69"/>
      <c r="I311" s="70">
        <v>0.4</v>
      </c>
      <c r="J311" s="70">
        <v>1.18</v>
      </c>
      <c r="K311" s="69">
        <v>5.4</v>
      </c>
      <c r="L311" s="69">
        <v>0.5</v>
      </c>
      <c r="M311" s="69" t="s">
        <v>960</v>
      </c>
      <c r="N311" s="69">
        <v>2010</v>
      </c>
      <c r="O311" s="69" t="s">
        <v>485</v>
      </c>
      <c r="P311" s="69">
        <v>259499</v>
      </c>
      <c r="Q311" s="92" t="s">
        <v>61</v>
      </c>
      <c r="R311" s="92" t="s">
        <v>478</v>
      </c>
      <c r="S311" s="92"/>
    </row>
    <row r="312" spans="1:19" x14ac:dyDescent="0.2">
      <c r="A312" s="92" t="s">
        <v>874</v>
      </c>
      <c r="B312" s="69">
        <v>14</v>
      </c>
      <c r="C312" s="69">
        <v>5</v>
      </c>
      <c r="D312" s="69">
        <v>12</v>
      </c>
      <c r="E312" s="69">
        <v>22</v>
      </c>
      <c r="F312" s="69">
        <v>62</v>
      </c>
      <c r="G312" s="69">
        <v>73</v>
      </c>
      <c r="H312" s="69">
        <v>11.5</v>
      </c>
      <c r="I312" s="70">
        <v>0.4</v>
      </c>
      <c r="J312" s="70">
        <v>0.85</v>
      </c>
      <c r="K312" s="69">
        <v>9</v>
      </c>
      <c r="L312" s="69">
        <v>1.6</v>
      </c>
      <c r="M312" s="69" t="s">
        <v>958</v>
      </c>
      <c r="N312" s="69">
        <v>2012</v>
      </c>
      <c r="O312" s="69" t="s">
        <v>585</v>
      </c>
      <c r="P312" s="69">
        <v>201111</v>
      </c>
      <c r="Q312" s="92" t="s">
        <v>622</v>
      </c>
      <c r="R312" s="92" t="s">
        <v>565</v>
      </c>
      <c r="S312" s="92" t="s">
        <v>959</v>
      </c>
    </row>
    <row r="313" spans="1:19" x14ac:dyDescent="0.2">
      <c r="A313" s="92" t="s">
        <v>577</v>
      </c>
      <c r="B313" s="69">
        <v>19</v>
      </c>
      <c r="C313" s="69">
        <v>8</v>
      </c>
      <c r="D313" s="69">
        <v>17</v>
      </c>
      <c r="E313" s="69">
        <v>27</v>
      </c>
      <c r="F313" s="69">
        <v>67</v>
      </c>
      <c r="G313" s="69">
        <v>82</v>
      </c>
      <c r="H313" s="69">
        <v>12.7</v>
      </c>
      <c r="I313" s="70">
        <v>0.4</v>
      </c>
      <c r="J313" s="70">
        <v>1.4</v>
      </c>
      <c r="K313" s="69">
        <v>7.4</v>
      </c>
      <c r="L313" s="69">
        <v>2</v>
      </c>
      <c r="M313" s="69" t="s">
        <v>958</v>
      </c>
      <c r="N313" s="69">
        <v>2002</v>
      </c>
      <c r="O313" s="69" t="s">
        <v>585</v>
      </c>
      <c r="P313" s="69">
        <v>301580</v>
      </c>
      <c r="Q313" s="92" t="s">
        <v>616</v>
      </c>
      <c r="R313" s="92" t="s">
        <v>565</v>
      </c>
      <c r="S313" s="87"/>
    </row>
    <row r="314" spans="1:19" x14ac:dyDescent="0.2">
      <c r="A314" s="92" t="s">
        <v>41</v>
      </c>
      <c r="B314" s="69">
        <v>11</v>
      </c>
      <c r="C314" s="69">
        <v>5</v>
      </c>
      <c r="D314" s="69">
        <v>10</v>
      </c>
      <c r="E314" s="69">
        <v>22</v>
      </c>
      <c r="F314" s="69">
        <v>52</v>
      </c>
      <c r="G314" s="69">
        <v>38</v>
      </c>
      <c r="H314" s="69">
        <v>6.7</v>
      </c>
      <c r="I314" s="70">
        <v>0.4</v>
      </c>
      <c r="J314" s="70">
        <v>1.41</v>
      </c>
      <c r="K314" s="69">
        <v>9</v>
      </c>
      <c r="L314" s="69">
        <v>1.3</v>
      </c>
      <c r="M314" s="69" t="s">
        <v>958</v>
      </c>
      <c r="N314" s="69">
        <v>2002</v>
      </c>
      <c r="O314" s="69" t="s">
        <v>585</v>
      </c>
      <c r="P314" s="69">
        <v>122432</v>
      </c>
      <c r="Q314" s="92" t="s">
        <v>616</v>
      </c>
      <c r="R314" s="92" t="s">
        <v>38</v>
      </c>
      <c r="S314" s="87"/>
    </row>
    <row r="315" spans="1:19" x14ac:dyDescent="0.2">
      <c r="A315" s="92" t="s">
        <v>1059</v>
      </c>
      <c r="B315" s="69">
        <v>18</v>
      </c>
      <c r="C315" s="69">
        <v>-3</v>
      </c>
      <c r="D315" s="69">
        <v>10</v>
      </c>
      <c r="E315" s="69">
        <v>31</v>
      </c>
      <c r="F315" s="69">
        <v>70</v>
      </c>
      <c r="G315" s="69">
        <v>101</v>
      </c>
      <c r="H315" s="69">
        <v>15</v>
      </c>
      <c r="I315" s="70">
        <v>0.4</v>
      </c>
      <c r="J315" s="70">
        <v>1.61</v>
      </c>
      <c r="K315" s="69">
        <v>15.7</v>
      </c>
      <c r="L315" s="69">
        <v>1.1000000000000001</v>
      </c>
      <c r="M315" s="69" t="s">
        <v>958</v>
      </c>
      <c r="N315" s="69">
        <v>2013</v>
      </c>
      <c r="O315" s="69" t="s">
        <v>585</v>
      </c>
      <c r="P315" s="69">
        <v>515676</v>
      </c>
      <c r="Q315" s="92" t="s">
        <v>1035</v>
      </c>
      <c r="R315" s="92" t="s">
        <v>559</v>
      </c>
      <c r="S315" s="92"/>
    </row>
    <row r="316" spans="1:19" x14ac:dyDescent="0.2">
      <c r="A316" s="92" t="s">
        <v>848</v>
      </c>
      <c r="B316" s="69">
        <v>8</v>
      </c>
      <c r="C316" s="69">
        <v>-5</v>
      </c>
      <c r="D316" s="69">
        <v>5</v>
      </c>
      <c r="E316" s="69">
        <v>19</v>
      </c>
      <c r="F316" s="69">
        <v>62</v>
      </c>
      <c r="G316" s="69"/>
      <c r="H316" s="69"/>
      <c r="I316" s="70">
        <v>0.41</v>
      </c>
      <c r="J316" s="70">
        <v>0.9</v>
      </c>
      <c r="K316" s="69">
        <v>10.8</v>
      </c>
      <c r="L316" s="69">
        <v>1.4</v>
      </c>
      <c r="M316" s="69" t="s">
        <v>958</v>
      </c>
      <c r="N316" s="69">
        <v>2010</v>
      </c>
      <c r="O316" s="69" t="s">
        <v>585</v>
      </c>
      <c r="P316" s="69">
        <v>476895</v>
      </c>
      <c r="Q316" s="92" t="s">
        <v>987</v>
      </c>
      <c r="R316" s="92" t="s">
        <v>515</v>
      </c>
      <c r="S316" s="87"/>
    </row>
    <row r="317" spans="1:19" x14ac:dyDescent="0.2">
      <c r="A317" s="92" t="s">
        <v>883</v>
      </c>
      <c r="B317" s="69">
        <v>4</v>
      </c>
      <c r="C317" s="69">
        <v>1</v>
      </c>
      <c r="D317" s="69">
        <v>3</v>
      </c>
      <c r="E317" s="69">
        <v>7</v>
      </c>
      <c r="F317" s="69"/>
      <c r="G317" s="69"/>
      <c r="H317" s="69"/>
      <c r="I317" s="70">
        <v>0.41</v>
      </c>
      <c r="J317" s="70">
        <v>0.98</v>
      </c>
      <c r="K317" s="69"/>
      <c r="L317" s="69"/>
      <c r="M317" s="69" t="s">
        <v>958</v>
      </c>
      <c r="N317" s="69">
        <v>2012</v>
      </c>
      <c r="O317" s="69" t="s">
        <v>585</v>
      </c>
      <c r="P317" s="69">
        <v>934711</v>
      </c>
      <c r="Q317" s="92" t="s">
        <v>27</v>
      </c>
      <c r="R317" s="92" t="s">
        <v>478</v>
      </c>
      <c r="S317" s="92"/>
    </row>
    <row r="318" spans="1:19" x14ac:dyDescent="0.2">
      <c r="A318" s="92" t="s">
        <v>846</v>
      </c>
      <c r="B318" s="69">
        <v>7</v>
      </c>
      <c r="C318" s="69">
        <v>1</v>
      </c>
      <c r="D318" s="69">
        <v>5</v>
      </c>
      <c r="E318" s="69">
        <v>12</v>
      </c>
      <c r="F318" s="69">
        <v>28</v>
      </c>
      <c r="G318" s="69">
        <v>39</v>
      </c>
      <c r="H318" s="69">
        <v>6.8</v>
      </c>
      <c r="I318" s="70">
        <v>0.41</v>
      </c>
      <c r="J318" s="70">
        <v>1.05</v>
      </c>
      <c r="K318" s="69">
        <v>3.8</v>
      </c>
      <c r="L318" s="69">
        <v>1.8</v>
      </c>
      <c r="M318" s="69" t="s">
        <v>958</v>
      </c>
      <c r="N318" s="69">
        <v>2005</v>
      </c>
      <c r="O318" s="69" t="s">
        <v>585</v>
      </c>
      <c r="P318" s="69">
        <v>963462</v>
      </c>
      <c r="Q318" s="92" t="s">
        <v>323</v>
      </c>
      <c r="R318" s="92" t="s">
        <v>219</v>
      </c>
      <c r="S318" s="87"/>
    </row>
    <row r="319" spans="1:19" x14ac:dyDescent="0.2">
      <c r="A319" s="92" t="s">
        <v>78</v>
      </c>
      <c r="B319" s="69">
        <v>41</v>
      </c>
      <c r="C319" s="69">
        <v>12</v>
      </c>
      <c r="D319" s="69">
        <v>41</v>
      </c>
      <c r="E319" s="69">
        <v>78</v>
      </c>
      <c r="F319" s="69">
        <v>35</v>
      </c>
      <c r="G319" s="69">
        <v>38</v>
      </c>
      <c r="H319" s="69">
        <v>6.6</v>
      </c>
      <c r="I319" s="70">
        <v>0.41</v>
      </c>
      <c r="J319" s="70">
        <v>2.0699999999999998</v>
      </c>
      <c r="K319" s="69">
        <v>19.7</v>
      </c>
      <c r="L319" s="69">
        <v>0.5</v>
      </c>
      <c r="M319" s="69" t="s">
        <v>958</v>
      </c>
      <c r="N319" s="69">
        <v>2007</v>
      </c>
      <c r="O319" s="69" t="s">
        <v>485</v>
      </c>
      <c r="P319" s="69">
        <v>469692</v>
      </c>
      <c r="Q319" s="92" t="s">
        <v>1084</v>
      </c>
      <c r="R319" s="92" t="s">
        <v>180</v>
      </c>
      <c r="S319" s="87"/>
    </row>
    <row r="320" spans="1:19" x14ac:dyDescent="0.2">
      <c r="A320" s="92" t="s">
        <v>886</v>
      </c>
      <c r="B320" s="69">
        <v>25</v>
      </c>
      <c r="C320" s="69">
        <v>-2</v>
      </c>
      <c r="D320" s="69">
        <v>17</v>
      </c>
      <c r="E320" s="69">
        <v>36</v>
      </c>
      <c r="F320" s="69"/>
      <c r="G320" s="69"/>
      <c r="H320" s="69"/>
      <c r="I320" s="70">
        <v>0.42</v>
      </c>
      <c r="J320" s="70">
        <v>1.58</v>
      </c>
      <c r="K320" s="69"/>
      <c r="L320" s="69"/>
      <c r="M320" s="69" t="s">
        <v>958</v>
      </c>
      <c r="N320" s="69">
        <v>2013</v>
      </c>
      <c r="O320" s="69" t="s">
        <v>585</v>
      </c>
      <c r="P320" s="69">
        <v>584912</v>
      </c>
      <c r="Q320" s="92" t="s">
        <v>657</v>
      </c>
      <c r="R320" s="92" t="s">
        <v>559</v>
      </c>
      <c r="S320" s="92"/>
    </row>
    <row r="321" spans="1:19" x14ac:dyDescent="0.2">
      <c r="A321" s="92" t="s">
        <v>967</v>
      </c>
      <c r="B321" s="69">
        <v>8</v>
      </c>
      <c r="C321" s="69">
        <v>3</v>
      </c>
      <c r="D321" s="69">
        <v>6</v>
      </c>
      <c r="E321" s="69">
        <v>9</v>
      </c>
      <c r="F321" s="69">
        <v>26</v>
      </c>
      <c r="G321" s="69"/>
      <c r="H321" s="69"/>
      <c r="I321" s="70">
        <v>0.42</v>
      </c>
      <c r="J321" s="70">
        <v>1.06</v>
      </c>
      <c r="K321" s="69">
        <v>10</v>
      </c>
      <c r="L321" s="69">
        <v>0.6</v>
      </c>
      <c r="M321" s="69" t="s">
        <v>958</v>
      </c>
      <c r="N321" s="69">
        <v>2013</v>
      </c>
      <c r="O321" s="69" t="s">
        <v>485</v>
      </c>
      <c r="P321" s="69">
        <v>842393</v>
      </c>
      <c r="Q321" s="92" t="s">
        <v>336</v>
      </c>
      <c r="R321" s="92" t="s">
        <v>478</v>
      </c>
      <c r="S321" s="92"/>
    </row>
    <row r="322" spans="1:19" x14ac:dyDescent="0.2">
      <c r="A322" s="92" t="s">
        <v>1061</v>
      </c>
      <c r="B322" s="69">
        <v>6</v>
      </c>
      <c r="C322" s="69">
        <v>0</v>
      </c>
      <c r="D322" s="69">
        <v>5</v>
      </c>
      <c r="E322" s="69">
        <v>15</v>
      </c>
      <c r="F322" s="69">
        <v>30</v>
      </c>
      <c r="G322" s="69">
        <v>36</v>
      </c>
      <c r="H322" s="69">
        <v>6.3</v>
      </c>
      <c r="I322" s="70">
        <v>0.42</v>
      </c>
      <c r="J322" s="70">
        <v>1.6</v>
      </c>
      <c r="K322" s="69">
        <v>9.6</v>
      </c>
      <c r="L322" s="69">
        <v>0.7</v>
      </c>
      <c r="M322" s="69" t="s">
        <v>958</v>
      </c>
      <c r="N322" s="69">
        <v>2000</v>
      </c>
      <c r="O322" s="69" t="s">
        <v>485</v>
      </c>
      <c r="P322" s="69">
        <v>241497</v>
      </c>
      <c r="Q322" s="92" t="s">
        <v>594</v>
      </c>
      <c r="R322" s="92" t="s">
        <v>38</v>
      </c>
      <c r="S322" s="87"/>
    </row>
    <row r="323" spans="1:19" x14ac:dyDescent="0.2">
      <c r="A323" s="92" t="s">
        <v>1065</v>
      </c>
      <c r="B323" s="69">
        <v>15</v>
      </c>
      <c r="C323" s="69">
        <v>3</v>
      </c>
      <c r="D323" s="69">
        <v>9</v>
      </c>
      <c r="E323" s="69">
        <v>23</v>
      </c>
      <c r="F323" s="69">
        <v>61</v>
      </c>
      <c r="G323" s="69">
        <v>60</v>
      </c>
      <c r="H323" s="69">
        <v>9.9</v>
      </c>
      <c r="I323" s="70">
        <v>0.42</v>
      </c>
      <c r="J323" s="70">
        <v>1.6</v>
      </c>
      <c r="K323" s="69">
        <v>12.3</v>
      </c>
      <c r="L323" s="69">
        <v>1.1000000000000001</v>
      </c>
      <c r="M323" s="69" t="s">
        <v>958</v>
      </c>
      <c r="N323" s="69">
        <v>2000</v>
      </c>
      <c r="O323" s="69" t="s">
        <v>485</v>
      </c>
      <c r="P323" s="69">
        <v>348987</v>
      </c>
      <c r="Q323" s="92" t="s">
        <v>594</v>
      </c>
      <c r="R323" s="92" t="s">
        <v>580</v>
      </c>
      <c r="S323" s="92"/>
    </row>
    <row r="324" spans="1:19" x14ac:dyDescent="0.2">
      <c r="A324" s="92" t="s">
        <v>1062</v>
      </c>
      <c r="B324" s="69">
        <v>10</v>
      </c>
      <c r="C324" s="69">
        <v>-1</v>
      </c>
      <c r="D324" s="69">
        <v>7</v>
      </c>
      <c r="E324" s="69">
        <v>18</v>
      </c>
      <c r="F324" s="69">
        <v>62</v>
      </c>
      <c r="G324" s="69"/>
      <c r="H324" s="69"/>
      <c r="I324" s="70">
        <v>0.42</v>
      </c>
      <c r="J324" s="70">
        <v>1.6</v>
      </c>
      <c r="K324" s="69">
        <v>13.7</v>
      </c>
      <c r="L324" s="69">
        <v>1.1000000000000001</v>
      </c>
      <c r="M324" s="69" t="s">
        <v>958</v>
      </c>
      <c r="N324" s="69">
        <v>2010</v>
      </c>
      <c r="O324" s="69" t="s">
        <v>485</v>
      </c>
      <c r="P324" s="69">
        <v>792697</v>
      </c>
      <c r="Q324" s="92" t="s">
        <v>594</v>
      </c>
      <c r="R324" s="92" t="s">
        <v>515</v>
      </c>
      <c r="S324" s="87"/>
    </row>
    <row r="325" spans="1:19" x14ac:dyDescent="0.2">
      <c r="A325" s="92" t="s">
        <v>1063</v>
      </c>
      <c r="B325" s="69">
        <v>16</v>
      </c>
      <c r="C325" s="69">
        <v>-2</v>
      </c>
      <c r="D325" s="69">
        <v>10</v>
      </c>
      <c r="E325" s="69">
        <v>30</v>
      </c>
      <c r="F325" s="69">
        <v>74</v>
      </c>
      <c r="G325" s="69"/>
      <c r="H325" s="69"/>
      <c r="I325" s="70">
        <v>0.42</v>
      </c>
      <c r="J325" s="70">
        <v>1.6</v>
      </c>
      <c r="K325" s="69">
        <v>16.2</v>
      </c>
      <c r="L325" s="69">
        <v>1.1000000000000001</v>
      </c>
      <c r="M325" s="69" t="s">
        <v>958</v>
      </c>
      <c r="N325" s="69">
        <v>2010</v>
      </c>
      <c r="O325" s="69" t="s">
        <v>485</v>
      </c>
      <c r="P325" s="69">
        <v>721035</v>
      </c>
      <c r="Q325" s="92" t="s">
        <v>594</v>
      </c>
      <c r="R325" s="92" t="s">
        <v>559</v>
      </c>
      <c r="S325" s="87"/>
    </row>
    <row r="326" spans="1:19" x14ac:dyDescent="0.2">
      <c r="A326" s="92" t="s">
        <v>199</v>
      </c>
      <c r="B326" s="69">
        <v>16</v>
      </c>
      <c r="C326" s="69">
        <v>9</v>
      </c>
      <c r="D326" s="69">
        <v>12</v>
      </c>
      <c r="E326" s="69">
        <v>27</v>
      </c>
      <c r="F326" s="69">
        <v>66</v>
      </c>
      <c r="G326" s="69">
        <v>71</v>
      </c>
      <c r="H326" s="69">
        <v>11.3</v>
      </c>
      <c r="I326" s="70">
        <v>0.42</v>
      </c>
      <c r="J326" s="70">
        <v>1.5</v>
      </c>
      <c r="K326" s="69">
        <v>9.1999999999999993</v>
      </c>
      <c r="L326" s="69">
        <v>1.6</v>
      </c>
      <c r="M326" s="69" t="s">
        <v>958</v>
      </c>
      <c r="N326" s="69">
        <v>2002</v>
      </c>
      <c r="O326" s="69" t="s">
        <v>585</v>
      </c>
      <c r="P326" s="69">
        <v>194092</v>
      </c>
      <c r="Q326" s="92" t="s">
        <v>616</v>
      </c>
      <c r="R326" s="92" t="s">
        <v>197</v>
      </c>
      <c r="S326" s="92"/>
    </row>
    <row r="327" spans="1:19" x14ac:dyDescent="0.2">
      <c r="A327" s="92" t="s">
        <v>1060</v>
      </c>
      <c r="B327" s="69">
        <v>18</v>
      </c>
      <c r="C327" s="69">
        <v>10</v>
      </c>
      <c r="D327" s="69">
        <v>15</v>
      </c>
      <c r="E327" s="69">
        <v>28</v>
      </c>
      <c r="F327" s="69">
        <v>62</v>
      </c>
      <c r="G327" s="69">
        <v>60</v>
      </c>
      <c r="H327" s="69">
        <v>9.9</v>
      </c>
      <c r="I327" s="70">
        <v>0.42</v>
      </c>
      <c r="J327" s="70">
        <v>1.6</v>
      </c>
      <c r="K327" s="69">
        <v>7.5</v>
      </c>
      <c r="L327" s="69">
        <v>1.9</v>
      </c>
      <c r="M327" s="69" t="s">
        <v>958</v>
      </c>
      <c r="N327" s="69">
        <v>2000</v>
      </c>
      <c r="O327" s="69" t="s">
        <v>485</v>
      </c>
      <c r="P327" s="69">
        <v>384818</v>
      </c>
      <c r="Q327" s="92" t="s">
        <v>594</v>
      </c>
      <c r="R327" s="92" t="s">
        <v>109</v>
      </c>
      <c r="S327" s="87"/>
    </row>
    <row r="328" spans="1:19" x14ac:dyDescent="0.2">
      <c r="A328" s="92" t="s">
        <v>777</v>
      </c>
      <c r="B328" s="69">
        <v>7</v>
      </c>
      <c r="C328" s="69">
        <v>2</v>
      </c>
      <c r="D328" s="69">
        <v>6</v>
      </c>
      <c r="E328" s="69">
        <v>11</v>
      </c>
      <c r="F328" s="69"/>
      <c r="G328" s="69"/>
      <c r="H328" s="69"/>
      <c r="I328" s="70">
        <v>0.42</v>
      </c>
      <c r="J328" s="70">
        <v>1.62</v>
      </c>
      <c r="K328" s="69"/>
      <c r="L328" s="69"/>
      <c r="M328" s="69" t="s">
        <v>958</v>
      </c>
      <c r="N328" s="69">
        <v>2012</v>
      </c>
      <c r="O328" s="69" t="s">
        <v>585</v>
      </c>
      <c r="P328" s="69">
        <v>499913</v>
      </c>
      <c r="Q328" s="92" t="s">
        <v>685</v>
      </c>
      <c r="R328" s="92" t="s">
        <v>227</v>
      </c>
      <c r="S328" s="92"/>
    </row>
    <row r="329" spans="1:19" x14ac:dyDescent="0.2">
      <c r="A329" s="92" t="s">
        <v>172</v>
      </c>
      <c r="B329" s="69">
        <v>12</v>
      </c>
      <c r="C329" s="69">
        <v>4</v>
      </c>
      <c r="D329" s="69">
        <v>10</v>
      </c>
      <c r="E329" s="69">
        <v>19</v>
      </c>
      <c r="F329" s="69">
        <v>40</v>
      </c>
      <c r="G329" s="69">
        <v>62</v>
      </c>
      <c r="H329" s="69">
        <v>10.1</v>
      </c>
      <c r="I329" s="70">
        <v>0.42</v>
      </c>
      <c r="J329" s="70">
        <v>1.02</v>
      </c>
      <c r="K329" s="69">
        <v>11</v>
      </c>
      <c r="L329" s="69">
        <v>0.9</v>
      </c>
      <c r="M329" s="69" t="s">
        <v>960</v>
      </c>
      <c r="N329" s="69">
        <v>2007</v>
      </c>
      <c r="O329" s="69" t="s">
        <v>485</v>
      </c>
      <c r="P329" s="69">
        <v>335463</v>
      </c>
      <c r="Q329" s="92" t="s">
        <v>271</v>
      </c>
      <c r="R329" s="92" t="s">
        <v>478</v>
      </c>
      <c r="S329" s="92"/>
    </row>
    <row r="330" spans="1:19" x14ac:dyDescent="0.2">
      <c r="A330" s="92" t="s">
        <v>205</v>
      </c>
      <c r="B330" s="69">
        <v>28</v>
      </c>
      <c r="C330" s="69">
        <v>13</v>
      </c>
      <c r="D330" s="69">
        <v>20</v>
      </c>
      <c r="E330" s="69">
        <v>38</v>
      </c>
      <c r="F330" s="69">
        <v>106</v>
      </c>
      <c r="G330" s="69">
        <v>123</v>
      </c>
      <c r="H330" s="69">
        <v>17.3</v>
      </c>
      <c r="I330" s="70">
        <v>0.42</v>
      </c>
      <c r="J330" s="70">
        <v>1.5</v>
      </c>
      <c r="K330" s="69">
        <v>8.4</v>
      </c>
      <c r="L330" s="69">
        <v>2.7</v>
      </c>
      <c r="M330" s="69" t="s">
        <v>958</v>
      </c>
      <c r="N330" s="69">
        <v>2002</v>
      </c>
      <c r="O330" s="69" t="s">
        <v>585</v>
      </c>
      <c r="P330" s="69">
        <v>229922</v>
      </c>
      <c r="Q330" s="92" t="s">
        <v>616</v>
      </c>
      <c r="R330" s="92" t="s">
        <v>202</v>
      </c>
      <c r="S330" s="87"/>
    </row>
    <row r="331" spans="1:19" x14ac:dyDescent="0.2">
      <c r="A331" s="92" t="s">
        <v>646</v>
      </c>
      <c r="B331" s="69">
        <v>20</v>
      </c>
      <c r="C331" s="69">
        <v>10</v>
      </c>
      <c r="D331" s="69">
        <v>19</v>
      </c>
      <c r="E331" s="69">
        <v>34</v>
      </c>
      <c r="F331" s="69">
        <v>97</v>
      </c>
      <c r="G331" s="69">
        <v>108</v>
      </c>
      <c r="H331" s="69">
        <v>15.7</v>
      </c>
      <c r="I331" s="70">
        <v>0.42</v>
      </c>
      <c r="J331" s="70">
        <v>1.5</v>
      </c>
      <c r="K331" s="69">
        <v>8.6999999999999993</v>
      </c>
      <c r="L331" s="69">
        <v>2.2999999999999998</v>
      </c>
      <c r="M331" s="69" t="s">
        <v>958</v>
      </c>
      <c r="N331" s="69">
        <v>2002</v>
      </c>
      <c r="O331" s="69" t="s">
        <v>585</v>
      </c>
      <c r="P331" s="69">
        <v>986604</v>
      </c>
      <c r="Q331" s="92" t="s">
        <v>616</v>
      </c>
      <c r="R331" s="92" t="s">
        <v>72</v>
      </c>
      <c r="S331" s="92"/>
    </row>
    <row r="332" spans="1:19" x14ac:dyDescent="0.2">
      <c r="A332" s="92" t="s">
        <v>1064</v>
      </c>
      <c r="B332" s="69">
        <v>19</v>
      </c>
      <c r="C332" s="69">
        <v>11</v>
      </c>
      <c r="D332" s="69">
        <v>15</v>
      </c>
      <c r="E332" s="69">
        <v>30</v>
      </c>
      <c r="F332" s="69">
        <v>59</v>
      </c>
      <c r="G332" s="69">
        <v>57</v>
      </c>
      <c r="H332" s="69">
        <v>9.5</v>
      </c>
      <c r="I332" s="70">
        <v>0.42</v>
      </c>
      <c r="J332" s="70">
        <v>1.6</v>
      </c>
      <c r="K332" s="69">
        <v>7.2</v>
      </c>
      <c r="L332" s="69">
        <v>1.8</v>
      </c>
      <c r="M332" s="69" t="s">
        <v>958</v>
      </c>
      <c r="N332" s="69">
        <v>2008</v>
      </c>
      <c r="O332" s="69" t="s">
        <v>485</v>
      </c>
      <c r="P332" s="69">
        <v>106492</v>
      </c>
      <c r="Q332" s="92" t="s">
        <v>594</v>
      </c>
      <c r="R332" s="92" t="s">
        <v>109</v>
      </c>
      <c r="S332" s="92" t="s">
        <v>959</v>
      </c>
    </row>
    <row r="333" spans="1:19" x14ac:dyDescent="0.2">
      <c r="A333" s="92" t="s">
        <v>1005</v>
      </c>
      <c r="B333" s="69">
        <v>13</v>
      </c>
      <c r="C333" s="69">
        <v>5</v>
      </c>
      <c r="D333" s="69">
        <v>10</v>
      </c>
      <c r="E333" s="69">
        <v>17</v>
      </c>
      <c r="F333" s="69">
        <v>21</v>
      </c>
      <c r="G333" s="69">
        <v>13</v>
      </c>
      <c r="H333" s="69">
        <v>2.5</v>
      </c>
      <c r="I333" s="70">
        <v>0.43</v>
      </c>
      <c r="J333" s="70">
        <v>1.07</v>
      </c>
      <c r="K333" s="69">
        <v>6.9</v>
      </c>
      <c r="L333" s="69">
        <v>0.8</v>
      </c>
      <c r="M333" s="69" t="s">
        <v>971</v>
      </c>
      <c r="N333" s="69">
        <v>2006</v>
      </c>
      <c r="O333" s="69" t="s">
        <v>485</v>
      </c>
      <c r="P333" s="69">
        <v>551093</v>
      </c>
      <c r="Q333" s="92" t="s">
        <v>584</v>
      </c>
      <c r="R333" s="92" t="s">
        <v>469</v>
      </c>
      <c r="S333" s="87"/>
    </row>
    <row r="334" spans="1:19" x14ac:dyDescent="0.2">
      <c r="A334" s="92" t="s">
        <v>290</v>
      </c>
      <c r="B334" s="69">
        <v>27</v>
      </c>
      <c r="C334" s="69">
        <v>13</v>
      </c>
      <c r="D334" s="69">
        <v>26</v>
      </c>
      <c r="E334" s="69">
        <v>39</v>
      </c>
      <c r="F334" s="69">
        <v>82</v>
      </c>
      <c r="G334" s="69">
        <v>86</v>
      </c>
      <c r="H334" s="69">
        <v>13.2</v>
      </c>
      <c r="I334" s="70">
        <v>0.43</v>
      </c>
      <c r="J334" s="70">
        <v>1.52</v>
      </c>
      <c r="K334" s="69">
        <v>9.5</v>
      </c>
      <c r="L334" s="69">
        <v>1.8</v>
      </c>
      <c r="M334" s="69" t="s">
        <v>958</v>
      </c>
      <c r="N334" s="69">
        <v>2005</v>
      </c>
      <c r="O334" s="69" t="s">
        <v>585</v>
      </c>
      <c r="P334" s="69">
        <v>520759</v>
      </c>
      <c r="Q334" s="92" t="s">
        <v>616</v>
      </c>
      <c r="R334" s="92" t="s">
        <v>109</v>
      </c>
      <c r="S334" s="92"/>
    </row>
    <row r="335" spans="1:19" x14ac:dyDescent="0.2">
      <c r="A335" s="92" t="s">
        <v>939</v>
      </c>
      <c r="B335" s="69">
        <v>14</v>
      </c>
      <c r="C335" s="69">
        <v>7</v>
      </c>
      <c r="D335" s="69">
        <v>15</v>
      </c>
      <c r="E335" s="69">
        <v>24</v>
      </c>
      <c r="F335" s="69"/>
      <c r="G335" s="69"/>
      <c r="H335" s="69"/>
      <c r="I335" s="70">
        <v>0.43</v>
      </c>
      <c r="J335" s="70">
        <v>1.79</v>
      </c>
      <c r="K335" s="69"/>
      <c r="L335" s="69"/>
      <c r="M335" s="69" t="s">
        <v>958</v>
      </c>
      <c r="N335" s="69">
        <v>2011</v>
      </c>
      <c r="O335" s="69" t="s">
        <v>485</v>
      </c>
      <c r="P335" s="69">
        <v>762880</v>
      </c>
      <c r="Q335" s="92" t="s">
        <v>299</v>
      </c>
      <c r="R335" s="92" t="s">
        <v>227</v>
      </c>
      <c r="S335" s="92"/>
    </row>
    <row r="336" spans="1:19" x14ac:dyDescent="0.2">
      <c r="A336" s="92" t="s">
        <v>973</v>
      </c>
      <c r="B336" s="69">
        <v>10</v>
      </c>
      <c r="C336" s="69">
        <v>2</v>
      </c>
      <c r="D336" s="69">
        <v>9</v>
      </c>
      <c r="E336" s="69">
        <v>16</v>
      </c>
      <c r="F336" s="69">
        <v>25</v>
      </c>
      <c r="G336" s="69">
        <v>42</v>
      </c>
      <c r="H336" s="69">
        <v>7.2</v>
      </c>
      <c r="I336" s="70">
        <v>0.43</v>
      </c>
      <c r="J336" s="70">
        <v>1.05</v>
      </c>
      <c r="K336" s="69">
        <v>5.6</v>
      </c>
      <c r="L336" s="69">
        <v>1.1000000000000001</v>
      </c>
      <c r="M336" s="69" t="s">
        <v>960</v>
      </c>
      <c r="N336" s="69">
        <v>2013</v>
      </c>
      <c r="O336" s="69" t="s">
        <v>485</v>
      </c>
      <c r="P336" s="69">
        <v>492595</v>
      </c>
      <c r="Q336" s="92" t="s">
        <v>58</v>
      </c>
      <c r="R336" s="92" t="s">
        <v>478</v>
      </c>
      <c r="S336" s="87"/>
    </row>
    <row r="337" spans="1:19" x14ac:dyDescent="0.2">
      <c r="A337" s="92" t="s">
        <v>1067</v>
      </c>
      <c r="B337" s="69">
        <v>19</v>
      </c>
      <c r="C337" s="69">
        <v>12</v>
      </c>
      <c r="D337" s="69">
        <v>24</v>
      </c>
      <c r="E337" s="69">
        <v>23</v>
      </c>
      <c r="F337" s="69">
        <v>16</v>
      </c>
      <c r="G337" s="69">
        <v>29</v>
      </c>
      <c r="H337" s="69">
        <v>5.3</v>
      </c>
      <c r="I337" s="70">
        <v>0.44</v>
      </c>
      <c r="J337" s="70">
        <v>1.83</v>
      </c>
      <c r="K337" s="69">
        <v>14.7</v>
      </c>
      <c r="L337" s="69">
        <v>0.2</v>
      </c>
      <c r="M337" s="69" t="s">
        <v>958</v>
      </c>
      <c r="N337" s="69">
        <v>2001</v>
      </c>
      <c r="O337" s="69" t="s">
        <v>585</v>
      </c>
      <c r="P337" s="69">
        <v>206250</v>
      </c>
      <c r="Q337" s="92" t="s">
        <v>1035</v>
      </c>
      <c r="R337" s="92" t="s">
        <v>121</v>
      </c>
      <c r="S337" s="92"/>
    </row>
    <row r="338" spans="1:19" x14ac:dyDescent="0.2">
      <c r="A338" s="92" t="s">
        <v>293</v>
      </c>
      <c r="B338" s="69">
        <v>13</v>
      </c>
      <c r="C338" s="69">
        <v>9</v>
      </c>
      <c r="D338" s="69">
        <v>19</v>
      </c>
      <c r="E338" s="69">
        <v>18</v>
      </c>
      <c r="F338" s="69">
        <v>13</v>
      </c>
      <c r="G338" s="69">
        <v>15</v>
      </c>
      <c r="H338" s="69">
        <v>2.8</v>
      </c>
      <c r="I338" s="70">
        <v>0.44</v>
      </c>
      <c r="J338" s="70">
        <v>1.72</v>
      </c>
      <c r="K338" s="69">
        <v>11.6</v>
      </c>
      <c r="L338" s="69">
        <v>0.2</v>
      </c>
      <c r="M338" s="69" t="s">
        <v>958</v>
      </c>
      <c r="N338" s="69">
        <v>2000</v>
      </c>
      <c r="O338" s="69" t="s">
        <v>585</v>
      </c>
      <c r="P338" s="69">
        <v>285825</v>
      </c>
      <c r="Q338" s="92" t="s">
        <v>657</v>
      </c>
      <c r="R338" s="92" t="s">
        <v>121</v>
      </c>
      <c r="S338" s="92"/>
    </row>
    <row r="339" spans="1:19" x14ac:dyDescent="0.2">
      <c r="A339" s="92" t="s">
        <v>1066</v>
      </c>
      <c r="B339" s="69">
        <v>28</v>
      </c>
      <c r="C339" s="69">
        <v>14</v>
      </c>
      <c r="D339" s="69">
        <v>16</v>
      </c>
      <c r="E339" s="69">
        <v>43</v>
      </c>
      <c r="F339" s="69">
        <v>112</v>
      </c>
      <c r="G339" s="69">
        <v>113</v>
      </c>
      <c r="H339" s="69">
        <v>16.3</v>
      </c>
      <c r="I339" s="70">
        <v>0.44</v>
      </c>
      <c r="J339" s="70">
        <v>1.7</v>
      </c>
      <c r="K339" s="69">
        <v>9.1999999999999993</v>
      </c>
      <c r="L339" s="69">
        <v>2.5</v>
      </c>
      <c r="M339" s="69" t="s">
        <v>958</v>
      </c>
      <c r="N339" s="69">
        <v>2000</v>
      </c>
      <c r="O339" s="69" t="s">
        <v>485</v>
      </c>
      <c r="P339" s="69">
        <v>313155</v>
      </c>
      <c r="Q339" s="92" t="s">
        <v>594</v>
      </c>
      <c r="R339" s="92" t="s">
        <v>202</v>
      </c>
      <c r="S339" s="92"/>
    </row>
    <row r="340" spans="1:19" x14ac:dyDescent="0.2">
      <c r="A340" s="92" t="s">
        <v>895</v>
      </c>
      <c r="B340" s="69">
        <v>11</v>
      </c>
      <c r="C340" s="69">
        <v>8</v>
      </c>
      <c r="D340" s="69">
        <v>15</v>
      </c>
      <c r="E340" s="69">
        <v>16</v>
      </c>
      <c r="F340" s="69">
        <v>43</v>
      </c>
      <c r="G340" s="69">
        <v>25</v>
      </c>
      <c r="H340" s="69">
        <v>4.5</v>
      </c>
      <c r="I340" s="70">
        <v>0.44</v>
      </c>
      <c r="J340" s="70">
        <v>1.57</v>
      </c>
      <c r="K340" s="69">
        <v>12.6</v>
      </c>
      <c r="L340" s="69">
        <v>0.9</v>
      </c>
      <c r="M340" s="69" t="s">
        <v>958</v>
      </c>
      <c r="N340" s="69">
        <v>2005</v>
      </c>
      <c r="O340" s="69" t="s">
        <v>585</v>
      </c>
      <c r="P340" s="69">
        <v>377432</v>
      </c>
      <c r="Q340" s="92" t="s">
        <v>616</v>
      </c>
      <c r="R340" s="92" t="s">
        <v>170</v>
      </c>
      <c r="S340" s="87"/>
    </row>
    <row r="341" spans="1:19" x14ac:dyDescent="0.2">
      <c r="A341" s="92" t="s">
        <v>972</v>
      </c>
      <c r="B341" s="69">
        <v>12</v>
      </c>
      <c r="C341" s="69">
        <v>3</v>
      </c>
      <c r="D341" s="69">
        <v>11</v>
      </c>
      <c r="E341" s="69">
        <v>18</v>
      </c>
      <c r="F341" s="69">
        <v>18</v>
      </c>
      <c r="G341" s="69">
        <v>33</v>
      </c>
      <c r="H341" s="69">
        <v>5.8</v>
      </c>
      <c r="I341" s="70">
        <v>0.44</v>
      </c>
      <c r="J341" s="70">
        <v>1.08</v>
      </c>
      <c r="K341" s="69">
        <v>6.7</v>
      </c>
      <c r="L341" s="69">
        <v>0.7</v>
      </c>
      <c r="M341" s="69" t="s">
        <v>960</v>
      </c>
      <c r="N341" s="69">
        <v>2013</v>
      </c>
      <c r="O341" s="69" t="s">
        <v>485</v>
      </c>
      <c r="P341" s="69">
        <v>420935</v>
      </c>
      <c r="Q341" s="92" t="s">
        <v>58</v>
      </c>
      <c r="R341" s="92" t="s">
        <v>478</v>
      </c>
      <c r="S341" s="92"/>
    </row>
    <row r="342" spans="1:19" x14ac:dyDescent="0.2">
      <c r="A342" s="92" t="s">
        <v>684</v>
      </c>
      <c r="B342" s="69">
        <v>10</v>
      </c>
      <c r="C342" s="69">
        <v>5</v>
      </c>
      <c r="D342" s="69">
        <v>10</v>
      </c>
      <c r="E342" s="69">
        <v>16</v>
      </c>
      <c r="F342" s="69"/>
      <c r="G342" s="69"/>
      <c r="H342" s="69"/>
      <c r="I342" s="70">
        <v>0.44</v>
      </c>
      <c r="J342" s="70">
        <v>1.82</v>
      </c>
      <c r="K342" s="69"/>
      <c r="L342" s="69"/>
      <c r="M342" s="69" t="s">
        <v>958</v>
      </c>
      <c r="N342" s="69">
        <v>2011</v>
      </c>
      <c r="O342" s="69" t="s">
        <v>485</v>
      </c>
      <c r="P342" s="69">
        <v>119776</v>
      </c>
      <c r="Q342" s="92" t="s">
        <v>299</v>
      </c>
      <c r="R342" s="92" t="s">
        <v>227</v>
      </c>
      <c r="S342" s="92"/>
    </row>
    <row r="343" spans="1:19" x14ac:dyDescent="0.2">
      <c r="A343" s="92" t="s">
        <v>529</v>
      </c>
      <c r="B343" s="69">
        <v>8</v>
      </c>
      <c r="C343" s="69">
        <v>-1</v>
      </c>
      <c r="D343" s="69">
        <v>5</v>
      </c>
      <c r="E343" s="69">
        <v>16</v>
      </c>
      <c r="F343" s="69">
        <v>62</v>
      </c>
      <c r="G343" s="69">
        <v>80</v>
      </c>
      <c r="H343" s="69">
        <v>12.4</v>
      </c>
      <c r="I343" s="70">
        <v>0.44</v>
      </c>
      <c r="J343" s="70">
        <v>1.21</v>
      </c>
      <c r="K343" s="69">
        <v>11.7</v>
      </c>
      <c r="L343" s="69">
        <v>1.2</v>
      </c>
      <c r="M343" s="69" t="s">
        <v>958</v>
      </c>
      <c r="N343" s="69">
        <v>2000</v>
      </c>
      <c r="O343" s="69" t="s">
        <v>585</v>
      </c>
      <c r="P343" s="69">
        <v>928937</v>
      </c>
      <c r="Q343" s="92" t="s">
        <v>528</v>
      </c>
      <c r="R343" s="92" t="s">
        <v>515</v>
      </c>
      <c r="S343" s="87"/>
    </row>
    <row r="344" spans="1:19" x14ac:dyDescent="0.2">
      <c r="A344" s="92" t="s">
        <v>652</v>
      </c>
      <c r="B344" s="69">
        <v>20</v>
      </c>
      <c r="C344" s="69">
        <v>16</v>
      </c>
      <c r="D344" s="69">
        <v>23</v>
      </c>
      <c r="E344" s="69">
        <v>25</v>
      </c>
      <c r="F344" s="69">
        <v>49</v>
      </c>
      <c r="G344" s="69">
        <v>46</v>
      </c>
      <c r="H344" s="69">
        <v>7.8</v>
      </c>
      <c r="I344" s="70">
        <v>0.45</v>
      </c>
      <c r="J344" s="70">
        <v>1.85</v>
      </c>
      <c r="K344" s="69">
        <v>12.4</v>
      </c>
      <c r="L344" s="69">
        <v>0.9</v>
      </c>
      <c r="M344" s="69" t="s">
        <v>958</v>
      </c>
      <c r="N344" s="69">
        <v>2009</v>
      </c>
      <c r="O344" s="69" t="s">
        <v>485</v>
      </c>
      <c r="P344" s="69">
        <v>425892</v>
      </c>
      <c r="Q344" s="92" t="s">
        <v>521</v>
      </c>
      <c r="R344" s="92" t="s">
        <v>275</v>
      </c>
      <c r="S344" s="87"/>
    </row>
    <row r="345" spans="1:19" x14ac:dyDescent="0.2">
      <c r="A345" s="92" t="s">
        <v>873</v>
      </c>
      <c r="B345" s="69">
        <v>4</v>
      </c>
      <c r="C345" s="69">
        <v>1</v>
      </c>
      <c r="D345" s="69">
        <v>6</v>
      </c>
      <c r="E345" s="69">
        <v>11</v>
      </c>
      <c r="F345" s="69">
        <v>9</v>
      </c>
      <c r="G345" s="69"/>
      <c r="H345" s="69"/>
      <c r="I345" s="70">
        <v>0.45</v>
      </c>
      <c r="J345" s="70">
        <v>1</v>
      </c>
      <c r="K345" s="69">
        <v>6.5</v>
      </c>
      <c r="L345" s="69">
        <v>0.2</v>
      </c>
      <c r="M345" s="69" t="s">
        <v>960</v>
      </c>
      <c r="N345" s="69">
        <v>2011</v>
      </c>
      <c r="O345" s="69" t="s">
        <v>485</v>
      </c>
      <c r="P345" s="69">
        <v>857037</v>
      </c>
      <c r="Q345" s="92" t="s">
        <v>93</v>
      </c>
      <c r="R345" s="92" t="s">
        <v>227</v>
      </c>
      <c r="S345" s="92"/>
    </row>
    <row r="346" spans="1:19" x14ac:dyDescent="0.2">
      <c r="A346" s="92" t="s">
        <v>759</v>
      </c>
      <c r="B346" s="69">
        <v>14</v>
      </c>
      <c r="C346" s="69">
        <v>12</v>
      </c>
      <c r="D346" s="69">
        <v>14</v>
      </c>
      <c r="E346" s="69">
        <v>18</v>
      </c>
      <c r="F346" s="69">
        <v>50</v>
      </c>
      <c r="G346" s="69"/>
      <c r="H346" s="69"/>
      <c r="I346" s="70">
        <v>0.45</v>
      </c>
      <c r="J346" s="70">
        <v>1</v>
      </c>
      <c r="K346" s="69">
        <v>10.5</v>
      </c>
      <c r="L346" s="69">
        <v>1.2</v>
      </c>
      <c r="M346" s="69" t="s">
        <v>958</v>
      </c>
      <c r="N346" s="69">
        <v>2012</v>
      </c>
      <c r="O346" s="69" t="s">
        <v>585</v>
      </c>
      <c r="P346" s="69">
        <v>815712</v>
      </c>
      <c r="Q346" s="92" t="s">
        <v>332</v>
      </c>
      <c r="R346" s="92" t="s">
        <v>202</v>
      </c>
      <c r="S346" s="87" t="s">
        <v>959</v>
      </c>
    </row>
    <row r="347" spans="1:19" x14ac:dyDescent="0.2">
      <c r="A347" s="92" t="s">
        <v>394</v>
      </c>
      <c r="B347" s="69">
        <v>19</v>
      </c>
      <c r="C347" s="69">
        <v>8</v>
      </c>
      <c r="D347" s="69">
        <v>19</v>
      </c>
      <c r="E347" s="69">
        <v>29</v>
      </c>
      <c r="F347" s="69">
        <v>74</v>
      </c>
      <c r="G347" s="69">
        <v>68</v>
      </c>
      <c r="H347" s="69">
        <v>10.9</v>
      </c>
      <c r="I347" s="70">
        <v>0.45</v>
      </c>
      <c r="J347" s="70">
        <v>1</v>
      </c>
      <c r="K347" s="69">
        <v>9.3000000000000007</v>
      </c>
      <c r="L347" s="69">
        <v>1.8</v>
      </c>
      <c r="M347" s="69" t="s">
        <v>966</v>
      </c>
      <c r="N347" s="69">
        <v>2007</v>
      </c>
      <c r="O347" s="69" t="s">
        <v>485</v>
      </c>
      <c r="P347" s="69">
        <v>282632</v>
      </c>
      <c r="Q347" s="92" t="s">
        <v>393</v>
      </c>
      <c r="R347" s="92" t="s">
        <v>109</v>
      </c>
      <c r="S347" s="87"/>
    </row>
    <row r="348" spans="1:19" x14ac:dyDescent="0.2">
      <c r="A348" s="92" t="s">
        <v>949</v>
      </c>
      <c r="B348" s="69">
        <v>6</v>
      </c>
      <c r="C348" s="69">
        <v>0</v>
      </c>
      <c r="D348" s="69">
        <v>4</v>
      </c>
      <c r="E348" s="69">
        <v>22</v>
      </c>
      <c r="F348" s="69">
        <v>54</v>
      </c>
      <c r="G348" s="69">
        <v>13</v>
      </c>
      <c r="H348" s="69">
        <v>2.4</v>
      </c>
      <c r="I348" s="70">
        <v>0.45</v>
      </c>
      <c r="J348" s="70">
        <v>1.25</v>
      </c>
      <c r="K348" s="69">
        <v>13</v>
      </c>
      <c r="L348" s="69">
        <v>0.9</v>
      </c>
      <c r="M348" s="69" t="s">
        <v>960</v>
      </c>
      <c r="N348" s="69">
        <v>2000</v>
      </c>
      <c r="O348" s="69" t="s">
        <v>485</v>
      </c>
      <c r="P348" s="69">
        <v>507475</v>
      </c>
      <c r="Q348" s="92" t="s">
        <v>61</v>
      </c>
      <c r="R348" s="92" t="s">
        <v>67</v>
      </c>
      <c r="S348" s="92"/>
    </row>
    <row r="349" spans="1:19" x14ac:dyDescent="0.2">
      <c r="A349" s="92" t="s">
        <v>700</v>
      </c>
      <c r="B349" s="69">
        <v>10</v>
      </c>
      <c r="C349" s="69">
        <v>-1</v>
      </c>
      <c r="D349" s="69">
        <v>6</v>
      </c>
      <c r="E349" s="69">
        <v>17</v>
      </c>
      <c r="F349" s="69">
        <v>59</v>
      </c>
      <c r="G349" s="69">
        <v>75</v>
      </c>
      <c r="H349" s="69">
        <v>11.9</v>
      </c>
      <c r="I349" s="70">
        <v>0.45</v>
      </c>
      <c r="J349" s="70">
        <v>1.25</v>
      </c>
      <c r="K349" s="69">
        <v>12.8</v>
      </c>
      <c r="L349" s="69">
        <v>1.1000000000000001</v>
      </c>
      <c r="M349" s="69" t="s">
        <v>958</v>
      </c>
      <c r="N349" s="69">
        <v>2000</v>
      </c>
      <c r="O349" s="69" t="s">
        <v>585</v>
      </c>
      <c r="P349" s="69">
        <v>730366</v>
      </c>
      <c r="Q349" s="92" t="s">
        <v>871</v>
      </c>
      <c r="R349" s="92" t="s">
        <v>515</v>
      </c>
      <c r="S349" s="87" t="s">
        <v>959</v>
      </c>
    </row>
    <row r="350" spans="1:19" x14ac:dyDescent="0.2">
      <c r="A350" s="92" t="s">
        <v>701</v>
      </c>
      <c r="B350" s="69">
        <v>13</v>
      </c>
      <c r="C350" s="69">
        <v>6</v>
      </c>
      <c r="D350" s="69">
        <v>13</v>
      </c>
      <c r="E350" s="69">
        <v>23</v>
      </c>
      <c r="F350" s="69">
        <v>74</v>
      </c>
      <c r="G350" s="69">
        <v>78</v>
      </c>
      <c r="H350" s="69">
        <v>12.2</v>
      </c>
      <c r="I350" s="70">
        <v>0.45</v>
      </c>
      <c r="J350" s="70">
        <v>1.25</v>
      </c>
      <c r="K350" s="69">
        <v>7.5</v>
      </c>
      <c r="L350" s="69">
        <v>2.1</v>
      </c>
      <c r="M350" s="69" t="s">
        <v>958</v>
      </c>
      <c r="N350" s="69">
        <v>2003</v>
      </c>
      <c r="O350" s="69" t="s">
        <v>585</v>
      </c>
      <c r="P350" s="69">
        <v>936781</v>
      </c>
      <c r="Q350" s="92" t="s">
        <v>871</v>
      </c>
      <c r="R350" s="92" t="s">
        <v>109</v>
      </c>
      <c r="S350" s="87" t="s">
        <v>959</v>
      </c>
    </row>
    <row r="351" spans="1:19" x14ac:dyDescent="0.2">
      <c r="A351" s="92" t="s">
        <v>1108</v>
      </c>
      <c r="B351" s="69">
        <v>12</v>
      </c>
      <c r="C351" s="69">
        <v>3</v>
      </c>
      <c r="D351" s="69">
        <v>13</v>
      </c>
      <c r="E351" s="69">
        <v>21</v>
      </c>
      <c r="F351" s="69"/>
      <c r="G351" s="69"/>
      <c r="H351" s="69"/>
      <c r="I351" s="70">
        <v>0.45</v>
      </c>
      <c r="J351" s="70">
        <v>1.01</v>
      </c>
      <c r="K351" s="69"/>
      <c r="L351" s="69"/>
      <c r="M351" s="69" t="s">
        <v>958</v>
      </c>
      <c r="N351" s="69">
        <v>2014</v>
      </c>
      <c r="O351" s="69" t="s">
        <v>585</v>
      </c>
      <c r="P351" s="69">
        <v>269704</v>
      </c>
      <c r="Q351" s="92" t="s">
        <v>1100</v>
      </c>
      <c r="R351" s="92" t="s">
        <v>227</v>
      </c>
      <c r="S351" s="92" t="s">
        <v>959</v>
      </c>
    </row>
    <row r="352" spans="1:19" x14ac:dyDescent="0.2">
      <c r="A352" s="92" t="s">
        <v>990</v>
      </c>
      <c r="B352" s="69">
        <v>15</v>
      </c>
      <c r="C352" s="69">
        <v>0</v>
      </c>
      <c r="D352" s="69">
        <v>11</v>
      </c>
      <c r="E352" s="69">
        <v>22</v>
      </c>
      <c r="F352" s="69"/>
      <c r="G352" s="69"/>
      <c r="H352" s="69"/>
      <c r="I352" s="70">
        <v>0.45</v>
      </c>
      <c r="J352" s="70">
        <v>1</v>
      </c>
      <c r="K352" s="69"/>
      <c r="L352" s="69"/>
      <c r="M352" s="69" t="s">
        <v>958</v>
      </c>
      <c r="N352" s="69">
        <v>2013</v>
      </c>
      <c r="O352" s="69" t="s">
        <v>585</v>
      </c>
      <c r="P352" s="69">
        <v>328021</v>
      </c>
      <c r="Q352" s="92" t="s">
        <v>940</v>
      </c>
      <c r="R352" s="92" t="s">
        <v>515</v>
      </c>
      <c r="S352" s="87"/>
    </row>
    <row r="353" spans="1:19" x14ac:dyDescent="0.2">
      <c r="A353" s="92" t="s">
        <v>769</v>
      </c>
      <c r="B353" s="69">
        <v>5</v>
      </c>
      <c r="C353" s="69">
        <v>4</v>
      </c>
      <c r="D353" s="69">
        <v>12</v>
      </c>
      <c r="E353" s="69">
        <v>12</v>
      </c>
      <c r="F353" s="69">
        <v>41</v>
      </c>
      <c r="G353" s="69">
        <v>41</v>
      </c>
      <c r="H353" s="69">
        <v>7.2</v>
      </c>
      <c r="I353" s="70">
        <v>0.45</v>
      </c>
      <c r="J353" s="70">
        <v>1</v>
      </c>
      <c r="K353" s="69">
        <v>14</v>
      </c>
      <c r="L353" s="69">
        <v>0.8</v>
      </c>
      <c r="M353" s="69" t="s">
        <v>966</v>
      </c>
      <c r="N353" s="69">
        <v>2012</v>
      </c>
      <c r="O353" s="69" t="s">
        <v>485</v>
      </c>
      <c r="P353" s="69">
        <v>116111</v>
      </c>
      <c r="Q353" s="92" t="s">
        <v>393</v>
      </c>
      <c r="R353" s="92" t="s">
        <v>180</v>
      </c>
      <c r="S353" s="87"/>
    </row>
    <row r="354" spans="1:19" x14ac:dyDescent="0.2">
      <c r="A354" s="92" t="s">
        <v>847</v>
      </c>
      <c r="B354" s="69">
        <v>9</v>
      </c>
      <c r="C354" s="69">
        <v>2</v>
      </c>
      <c r="D354" s="69">
        <v>7</v>
      </c>
      <c r="E354" s="69">
        <v>15</v>
      </c>
      <c r="F354" s="69">
        <v>38</v>
      </c>
      <c r="G354" s="69">
        <v>51</v>
      </c>
      <c r="H354" s="69">
        <v>8.6</v>
      </c>
      <c r="I354" s="70">
        <v>0.46</v>
      </c>
      <c r="J354" s="70">
        <v>1.25</v>
      </c>
      <c r="K354" s="69">
        <v>5.5</v>
      </c>
      <c r="L354" s="69">
        <v>1.7</v>
      </c>
      <c r="M354" s="69" t="s">
        <v>958</v>
      </c>
      <c r="N354" s="69">
        <v>2005</v>
      </c>
      <c r="O354" s="69" t="s">
        <v>585</v>
      </c>
      <c r="P354" s="69">
        <v>927632</v>
      </c>
      <c r="Q354" s="92" t="s">
        <v>323</v>
      </c>
      <c r="R354" s="92" t="s">
        <v>219</v>
      </c>
      <c r="S354" s="92"/>
    </row>
    <row r="355" spans="1:19" x14ac:dyDescent="0.2">
      <c r="A355" s="92" t="s">
        <v>948</v>
      </c>
      <c r="B355" s="69">
        <v>10</v>
      </c>
      <c r="C355" s="69">
        <v>0</v>
      </c>
      <c r="D355" s="69">
        <v>7</v>
      </c>
      <c r="E355" s="69">
        <v>18</v>
      </c>
      <c r="F355" s="69">
        <v>62</v>
      </c>
      <c r="G355" s="69">
        <v>67</v>
      </c>
      <c r="H355" s="69">
        <v>10.9</v>
      </c>
      <c r="I355" s="70">
        <v>0.46</v>
      </c>
      <c r="J355" s="70">
        <v>1.82</v>
      </c>
      <c r="K355" s="69">
        <v>7.9</v>
      </c>
      <c r="L355" s="69">
        <v>1.8</v>
      </c>
      <c r="M355" s="69" t="s">
        <v>958</v>
      </c>
      <c r="N355" s="69">
        <v>2013</v>
      </c>
      <c r="O355" s="69" t="s">
        <v>485</v>
      </c>
      <c r="P355" s="69">
        <v>768317</v>
      </c>
      <c r="Q355" s="92" t="s">
        <v>299</v>
      </c>
      <c r="R355" s="92" t="s">
        <v>227</v>
      </c>
      <c r="S355" s="87"/>
    </row>
    <row r="356" spans="1:19" x14ac:dyDescent="0.2">
      <c r="A356" s="92" t="s">
        <v>794</v>
      </c>
      <c r="B356" s="69">
        <v>15</v>
      </c>
      <c r="C356" s="69">
        <v>7</v>
      </c>
      <c r="D356" s="69">
        <v>13</v>
      </c>
      <c r="E356" s="69">
        <v>29</v>
      </c>
      <c r="F356" s="69">
        <v>70</v>
      </c>
      <c r="G356" s="69">
        <v>83</v>
      </c>
      <c r="H356" s="69">
        <v>12.8</v>
      </c>
      <c r="I356" s="70">
        <v>0.46</v>
      </c>
      <c r="J356" s="70">
        <v>2</v>
      </c>
      <c r="K356" s="69">
        <v>10.6</v>
      </c>
      <c r="L356" s="69">
        <v>1.4</v>
      </c>
      <c r="M356" s="69" t="s">
        <v>966</v>
      </c>
      <c r="N356" s="69">
        <v>2008</v>
      </c>
      <c r="O356" s="69" t="s">
        <v>485</v>
      </c>
      <c r="P356" s="69">
        <v>352468</v>
      </c>
      <c r="Q356" s="92" t="s">
        <v>1090</v>
      </c>
      <c r="R356" s="92" t="s">
        <v>109</v>
      </c>
      <c r="S356" s="92" t="s">
        <v>959</v>
      </c>
    </row>
    <row r="357" spans="1:19" x14ac:dyDescent="0.2">
      <c r="A357" s="92" t="s">
        <v>975</v>
      </c>
      <c r="B357" s="69">
        <v>5</v>
      </c>
      <c r="C357" s="69">
        <v>1</v>
      </c>
      <c r="D357" s="69">
        <v>6</v>
      </c>
      <c r="E357" s="69">
        <v>10</v>
      </c>
      <c r="F357" s="69">
        <v>21</v>
      </c>
      <c r="G357" s="69"/>
      <c r="H357" s="69"/>
      <c r="I357" s="70">
        <v>0.47</v>
      </c>
      <c r="J357" s="70">
        <v>1.1499999999999999</v>
      </c>
      <c r="K357" s="69">
        <v>5.2</v>
      </c>
      <c r="L357" s="69">
        <v>1</v>
      </c>
      <c r="M357" s="69" t="s">
        <v>960</v>
      </c>
      <c r="N357" s="69">
        <v>2013</v>
      </c>
      <c r="O357" s="69" t="s">
        <v>485</v>
      </c>
      <c r="P357" s="69">
        <v>989962</v>
      </c>
      <c r="Q357" s="92" t="s">
        <v>889</v>
      </c>
      <c r="R357" s="92" t="s">
        <v>478</v>
      </c>
      <c r="S357" s="92"/>
    </row>
    <row r="358" spans="1:19" x14ac:dyDescent="0.2">
      <c r="A358" s="92" t="s">
        <v>658</v>
      </c>
      <c r="B358" s="69">
        <v>42</v>
      </c>
      <c r="C358" s="69">
        <v>17</v>
      </c>
      <c r="D358" s="69">
        <v>42</v>
      </c>
      <c r="E358" s="69">
        <v>72</v>
      </c>
      <c r="F358" s="69">
        <v>26</v>
      </c>
      <c r="G358" s="69">
        <v>23</v>
      </c>
      <c r="H358" s="69">
        <v>4.2</v>
      </c>
      <c r="I358" s="70">
        <v>0.47</v>
      </c>
      <c r="J358" s="70">
        <v>2</v>
      </c>
      <c r="K358" s="69">
        <v>21.8</v>
      </c>
      <c r="L358" s="69">
        <v>0.4</v>
      </c>
      <c r="M358" s="69" t="s">
        <v>958</v>
      </c>
      <c r="N358" s="69">
        <v>2009</v>
      </c>
      <c r="O358" s="69" t="s">
        <v>485</v>
      </c>
      <c r="P358" s="69">
        <v>354233</v>
      </c>
      <c r="Q358" s="92" t="s">
        <v>521</v>
      </c>
      <c r="R358" s="92" t="s">
        <v>180</v>
      </c>
      <c r="S358" s="92"/>
    </row>
    <row r="359" spans="1:19" x14ac:dyDescent="0.2">
      <c r="A359" s="92" t="s">
        <v>480</v>
      </c>
      <c r="B359" s="69">
        <v>12</v>
      </c>
      <c r="C359" s="69">
        <v>5</v>
      </c>
      <c r="D359" s="69">
        <v>10</v>
      </c>
      <c r="E359" s="69">
        <v>12</v>
      </c>
      <c r="F359" s="69">
        <v>10</v>
      </c>
      <c r="G359" s="69">
        <v>16</v>
      </c>
      <c r="H359" s="69">
        <v>3</v>
      </c>
      <c r="I359" s="70">
        <v>0.47</v>
      </c>
      <c r="J359" s="70">
        <v>1.34</v>
      </c>
      <c r="K359" s="69">
        <v>7.9</v>
      </c>
      <c r="L359" s="69">
        <v>0.3</v>
      </c>
      <c r="M359" s="69" t="s">
        <v>968</v>
      </c>
      <c r="N359" s="69">
        <v>2000</v>
      </c>
      <c r="O359" s="69" t="s">
        <v>485</v>
      </c>
      <c r="P359" s="69">
        <v>370239</v>
      </c>
      <c r="Q359" s="92" t="s">
        <v>264</v>
      </c>
      <c r="R359" s="92" t="s">
        <v>478</v>
      </c>
      <c r="S359" s="87"/>
    </row>
    <row r="360" spans="1:19" x14ac:dyDescent="0.2">
      <c r="A360" s="92" t="s">
        <v>8</v>
      </c>
      <c r="B360" s="69">
        <v>9</v>
      </c>
      <c r="C360" s="69">
        <v>-1</v>
      </c>
      <c r="D360" s="69">
        <v>5</v>
      </c>
      <c r="E360" s="69">
        <v>12</v>
      </c>
      <c r="F360" s="69">
        <v>40</v>
      </c>
      <c r="G360" s="69">
        <v>58</v>
      </c>
      <c r="H360" s="69">
        <v>9.6</v>
      </c>
      <c r="I360" s="70">
        <v>0.47</v>
      </c>
      <c r="J360" s="70">
        <v>1.27</v>
      </c>
      <c r="K360" s="69">
        <v>9.1</v>
      </c>
      <c r="L360" s="69">
        <v>1.1000000000000001</v>
      </c>
      <c r="M360" s="69" t="s">
        <v>958</v>
      </c>
      <c r="N360" s="69">
        <v>2000</v>
      </c>
      <c r="O360" s="69" t="s">
        <v>585</v>
      </c>
      <c r="P360" s="69">
        <v>829945</v>
      </c>
      <c r="Q360" s="92" t="s">
        <v>323</v>
      </c>
      <c r="R360" s="92" t="s">
        <v>218</v>
      </c>
      <c r="S360" s="92"/>
    </row>
    <row r="361" spans="1:19" x14ac:dyDescent="0.2">
      <c r="A361" s="92" t="s">
        <v>704</v>
      </c>
      <c r="B361" s="69">
        <v>21</v>
      </c>
      <c r="C361" s="69">
        <v>12</v>
      </c>
      <c r="D361" s="69">
        <v>21</v>
      </c>
      <c r="E361" s="69">
        <v>27</v>
      </c>
      <c r="F361" s="69">
        <v>38</v>
      </c>
      <c r="G361" s="69">
        <v>60</v>
      </c>
      <c r="H361" s="69">
        <v>9.8000000000000007</v>
      </c>
      <c r="I361" s="70">
        <v>0.47</v>
      </c>
      <c r="J361" s="70">
        <v>1.33</v>
      </c>
      <c r="K361" s="69">
        <v>10.4</v>
      </c>
      <c r="L361" s="69">
        <v>0.9</v>
      </c>
      <c r="M361" s="69" t="s">
        <v>958</v>
      </c>
      <c r="N361" s="69">
        <v>2003</v>
      </c>
      <c r="O361" s="69" t="s">
        <v>485</v>
      </c>
      <c r="P361" s="69">
        <v>586982</v>
      </c>
      <c r="Q361" s="92" t="s">
        <v>697</v>
      </c>
      <c r="R361" s="92" t="s">
        <v>98</v>
      </c>
      <c r="S361" s="87"/>
    </row>
    <row r="362" spans="1:19" x14ac:dyDescent="0.2">
      <c r="A362" s="92" t="s">
        <v>66</v>
      </c>
      <c r="B362" s="69">
        <v>13</v>
      </c>
      <c r="C362" s="69">
        <v>1</v>
      </c>
      <c r="D362" s="69">
        <v>7</v>
      </c>
      <c r="E362" s="69">
        <v>32</v>
      </c>
      <c r="F362" s="69">
        <v>82</v>
      </c>
      <c r="G362" s="69">
        <v>94</v>
      </c>
      <c r="H362" s="69">
        <v>14.1</v>
      </c>
      <c r="I362" s="70">
        <v>0.47</v>
      </c>
      <c r="J362" s="70">
        <v>1.76</v>
      </c>
      <c r="K362" s="69">
        <v>10.3</v>
      </c>
      <c r="L362" s="69">
        <v>1.8</v>
      </c>
      <c r="M362" s="69" t="s">
        <v>958</v>
      </c>
      <c r="N362" s="69">
        <v>2005</v>
      </c>
      <c r="O362" s="69" t="s">
        <v>585</v>
      </c>
      <c r="P362" s="69">
        <v>556589</v>
      </c>
      <c r="Q362" s="92" t="s">
        <v>616</v>
      </c>
      <c r="R362" s="92" t="s">
        <v>65</v>
      </c>
      <c r="S362" s="87"/>
    </row>
    <row r="363" spans="1:19" x14ac:dyDescent="0.2">
      <c r="A363" s="92" t="s">
        <v>914</v>
      </c>
      <c r="B363" s="69">
        <v>27</v>
      </c>
      <c r="C363" s="69">
        <v>11</v>
      </c>
      <c r="D363" s="69">
        <v>22</v>
      </c>
      <c r="E363" s="69">
        <v>29</v>
      </c>
      <c r="F363" s="69"/>
      <c r="G363" s="69"/>
      <c r="H363" s="69"/>
      <c r="I363" s="70">
        <v>0.47</v>
      </c>
      <c r="J363" s="70">
        <v>1.5</v>
      </c>
      <c r="K363" s="69"/>
      <c r="L363" s="69"/>
      <c r="M363" s="69" t="s">
        <v>966</v>
      </c>
      <c r="N363" s="69">
        <v>2013</v>
      </c>
      <c r="O363" s="69" t="s">
        <v>485</v>
      </c>
      <c r="P363" s="69">
        <v>311027</v>
      </c>
      <c r="Q363" s="92" t="s">
        <v>621</v>
      </c>
      <c r="R363" s="92" t="s">
        <v>207</v>
      </c>
      <c r="S363" s="87"/>
    </row>
    <row r="364" spans="1:19" x14ac:dyDescent="0.2">
      <c r="A364" s="92" t="s">
        <v>1128</v>
      </c>
      <c r="B364" s="69">
        <v>8</v>
      </c>
      <c r="C364" s="69">
        <v>3</v>
      </c>
      <c r="D364" s="69">
        <v>8</v>
      </c>
      <c r="E364" s="69">
        <v>13</v>
      </c>
      <c r="F364" s="69">
        <v>31</v>
      </c>
      <c r="G364" s="69">
        <v>38</v>
      </c>
      <c r="H364" s="69">
        <v>6.7</v>
      </c>
      <c r="I364" s="70">
        <v>0.47</v>
      </c>
      <c r="J364" s="70">
        <v>1.4</v>
      </c>
      <c r="K364" s="69">
        <v>4.5</v>
      </c>
      <c r="L364" s="69">
        <v>1.6</v>
      </c>
      <c r="M364" s="69" t="s">
        <v>958</v>
      </c>
      <c r="N364" s="69">
        <v>2000</v>
      </c>
      <c r="O364" s="69" t="s">
        <v>585</v>
      </c>
      <c r="P364" s="69">
        <v>546960</v>
      </c>
      <c r="Q364" s="92" t="s">
        <v>524</v>
      </c>
      <c r="R364" s="92" t="s">
        <v>219</v>
      </c>
      <c r="S364" s="92" t="s">
        <v>959</v>
      </c>
    </row>
    <row r="365" spans="1:19" x14ac:dyDescent="0.2">
      <c r="A365" s="92" t="s">
        <v>561</v>
      </c>
      <c r="B365" s="69">
        <v>14</v>
      </c>
      <c r="C365" s="69">
        <v>-3</v>
      </c>
      <c r="D365" s="69">
        <v>7</v>
      </c>
      <c r="E365" s="69">
        <v>26</v>
      </c>
      <c r="F365" s="69">
        <v>80</v>
      </c>
      <c r="G365" s="69">
        <v>123</v>
      </c>
      <c r="H365" s="69">
        <v>17.399999999999999</v>
      </c>
      <c r="I365" s="70">
        <v>0.47</v>
      </c>
      <c r="J365" s="70">
        <v>1.4</v>
      </c>
      <c r="K365" s="69">
        <v>13.4</v>
      </c>
      <c r="L365" s="69">
        <v>1.4</v>
      </c>
      <c r="M365" s="69" t="s">
        <v>958</v>
      </c>
      <c r="N365" s="69">
        <v>2002</v>
      </c>
      <c r="O365" s="69" t="s">
        <v>585</v>
      </c>
      <c r="P365" s="69">
        <v>103606</v>
      </c>
      <c r="Q365" s="92" t="s">
        <v>524</v>
      </c>
      <c r="R365" s="92" t="s">
        <v>559</v>
      </c>
      <c r="S365" s="92" t="s">
        <v>959</v>
      </c>
    </row>
    <row r="366" spans="1:19" x14ac:dyDescent="0.2">
      <c r="A366" s="92" t="s">
        <v>525</v>
      </c>
      <c r="B366" s="69">
        <v>10</v>
      </c>
      <c r="C366" s="69">
        <v>-1</v>
      </c>
      <c r="D366" s="69">
        <v>6</v>
      </c>
      <c r="E366" s="69">
        <v>18</v>
      </c>
      <c r="F366" s="69">
        <v>62</v>
      </c>
      <c r="G366" s="69">
        <v>75</v>
      </c>
      <c r="H366" s="69">
        <v>11.8</v>
      </c>
      <c r="I366" s="70">
        <v>0.47</v>
      </c>
      <c r="J366" s="70">
        <v>1.4</v>
      </c>
      <c r="K366" s="69">
        <v>12.9</v>
      </c>
      <c r="L366" s="69">
        <v>1.1000000000000001</v>
      </c>
      <c r="M366" s="69" t="s">
        <v>958</v>
      </c>
      <c r="N366" s="69">
        <v>2000</v>
      </c>
      <c r="O366" s="69" t="s">
        <v>585</v>
      </c>
      <c r="P366" s="69">
        <v>690289</v>
      </c>
      <c r="Q366" s="92" t="s">
        <v>524</v>
      </c>
      <c r="R366" s="92" t="s">
        <v>515</v>
      </c>
      <c r="S366" s="87" t="s">
        <v>959</v>
      </c>
    </row>
    <row r="367" spans="1:19" x14ac:dyDescent="0.2">
      <c r="A367" s="92" t="s">
        <v>169</v>
      </c>
      <c r="B367" s="69">
        <v>2</v>
      </c>
      <c r="C367" s="69">
        <v>2</v>
      </c>
      <c r="D367" s="69">
        <v>17</v>
      </c>
      <c r="E367" s="69">
        <v>9</v>
      </c>
      <c r="F367" s="69">
        <v>3</v>
      </c>
      <c r="G367" s="69">
        <v>18</v>
      </c>
      <c r="H367" s="69">
        <v>3.3</v>
      </c>
      <c r="I367" s="70">
        <v>0.47</v>
      </c>
      <c r="J367" s="70">
        <v>1.75</v>
      </c>
      <c r="K367" s="69">
        <v>18.399999999999999</v>
      </c>
      <c r="L367" s="69">
        <v>0</v>
      </c>
      <c r="M367" s="69" t="s">
        <v>958</v>
      </c>
      <c r="N367" s="69">
        <v>2005</v>
      </c>
      <c r="O367" s="69" t="s">
        <v>585</v>
      </c>
      <c r="P367" s="69">
        <v>449090</v>
      </c>
      <c r="Q367" s="92" t="s">
        <v>616</v>
      </c>
      <c r="R367" s="92" t="s">
        <v>157</v>
      </c>
      <c r="S367" s="87"/>
    </row>
    <row r="368" spans="1:19" x14ac:dyDescent="0.2">
      <c r="A368" s="92" t="s">
        <v>703</v>
      </c>
      <c r="B368" s="69">
        <v>13</v>
      </c>
      <c r="C368" s="69">
        <v>6</v>
      </c>
      <c r="D368" s="69">
        <v>15</v>
      </c>
      <c r="E368" s="69">
        <v>24</v>
      </c>
      <c r="F368" s="69">
        <v>64</v>
      </c>
      <c r="G368" s="69">
        <v>70</v>
      </c>
      <c r="H368" s="69">
        <v>11.2</v>
      </c>
      <c r="I368" s="70">
        <v>0.47</v>
      </c>
      <c r="J368" s="70">
        <v>1.33</v>
      </c>
      <c r="K368" s="69">
        <v>7.8</v>
      </c>
      <c r="L368" s="69">
        <v>1.9</v>
      </c>
      <c r="M368" s="69" t="s">
        <v>958</v>
      </c>
      <c r="N368" s="69">
        <v>2011</v>
      </c>
      <c r="O368" s="69" t="s">
        <v>485</v>
      </c>
      <c r="P368" s="69">
        <v>503573</v>
      </c>
      <c r="Q368" s="92" t="s">
        <v>697</v>
      </c>
      <c r="R368" s="92" t="s">
        <v>109</v>
      </c>
      <c r="S368" s="92" t="s">
        <v>959</v>
      </c>
    </row>
    <row r="369" spans="1:19" x14ac:dyDescent="0.2">
      <c r="A369" s="92" t="s">
        <v>1105</v>
      </c>
      <c r="B369" s="69">
        <v>15</v>
      </c>
      <c r="C369" s="69">
        <v>14</v>
      </c>
      <c r="D369" s="69">
        <v>17</v>
      </c>
      <c r="E369" s="69">
        <v>21</v>
      </c>
      <c r="F369" s="69">
        <v>32</v>
      </c>
      <c r="G369" s="69">
        <v>15</v>
      </c>
      <c r="H369" s="69">
        <v>2.9</v>
      </c>
      <c r="I369" s="70">
        <v>0.48</v>
      </c>
      <c r="J369" s="70">
        <v>1.91</v>
      </c>
      <c r="K369" s="69">
        <v>13.7</v>
      </c>
      <c r="L369" s="69">
        <v>0.6</v>
      </c>
      <c r="M369" s="69" t="s">
        <v>958</v>
      </c>
      <c r="N369" s="69">
        <v>2004</v>
      </c>
      <c r="O369" s="69" t="s">
        <v>585</v>
      </c>
      <c r="P369" s="69">
        <v>838383</v>
      </c>
      <c r="Q369" s="92" t="s">
        <v>657</v>
      </c>
      <c r="R369" s="92" t="s">
        <v>98</v>
      </c>
      <c r="S369" s="87"/>
    </row>
    <row r="370" spans="1:19" x14ac:dyDescent="0.2">
      <c r="A370" s="92" t="s">
        <v>1037</v>
      </c>
      <c r="B370" s="69">
        <v>28</v>
      </c>
      <c r="C370" s="69">
        <v>12</v>
      </c>
      <c r="D370" s="69">
        <v>26</v>
      </c>
      <c r="E370" s="69">
        <v>34</v>
      </c>
      <c r="F370" s="69"/>
      <c r="G370" s="69"/>
      <c r="H370" s="69"/>
      <c r="I370" s="70">
        <v>0.48</v>
      </c>
      <c r="J370" s="70">
        <v>1.9</v>
      </c>
      <c r="K370" s="69"/>
      <c r="L370" s="69"/>
      <c r="M370" s="69" t="s">
        <v>958</v>
      </c>
      <c r="N370" s="69">
        <v>2013</v>
      </c>
      <c r="O370" s="69" t="s">
        <v>485</v>
      </c>
      <c r="P370" s="69">
        <v>379024</v>
      </c>
      <c r="Q370" s="92" t="s">
        <v>594</v>
      </c>
      <c r="R370" s="92" t="s">
        <v>98</v>
      </c>
      <c r="S370" s="92"/>
    </row>
    <row r="371" spans="1:19" x14ac:dyDescent="0.2">
      <c r="A371" s="92" t="s">
        <v>702</v>
      </c>
      <c r="B371" s="69">
        <v>15</v>
      </c>
      <c r="C371" s="69">
        <v>2</v>
      </c>
      <c r="D371" s="69">
        <v>10</v>
      </c>
      <c r="E371" s="69">
        <v>26</v>
      </c>
      <c r="F371" s="69">
        <v>59</v>
      </c>
      <c r="G371" s="69">
        <v>63</v>
      </c>
      <c r="H371" s="69">
        <v>10.199999999999999</v>
      </c>
      <c r="I371" s="70">
        <v>0.48</v>
      </c>
      <c r="J371" s="70">
        <v>1.36</v>
      </c>
      <c r="K371" s="69">
        <v>13.6</v>
      </c>
      <c r="L371" s="69">
        <v>1.1000000000000001</v>
      </c>
      <c r="M371" s="69" t="s">
        <v>958</v>
      </c>
      <c r="N371" s="69">
        <v>2010</v>
      </c>
      <c r="O371" s="69" t="s">
        <v>485</v>
      </c>
      <c r="P371" s="69">
        <v>242495</v>
      </c>
      <c r="Q371" s="92" t="s">
        <v>697</v>
      </c>
      <c r="R371" s="92" t="s">
        <v>580</v>
      </c>
      <c r="S371" s="92"/>
    </row>
    <row r="372" spans="1:19" x14ac:dyDescent="0.2">
      <c r="A372" s="92" t="s">
        <v>1103</v>
      </c>
      <c r="B372" s="69">
        <v>10</v>
      </c>
      <c r="C372" s="69">
        <v>8</v>
      </c>
      <c r="D372" s="69">
        <v>16</v>
      </c>
      <c r="E372" s="69">
        <v>13</v>
      </c>
      <c r="F372" s="69">
        <v>31</v>
      </c>
      <c r="G372" s="69">
        <v>16</v>
      </c>
      <c r="H372" s="69">
        <v>3.1</v>
      </c>
      <c r="I372" s="70">
        <v>0.48</v>
      </c>
      <c r="J372" s="70">
        <v>0.43</v>
      </c>
      <c r="K372" s="69">
        <v>12.7</v>
      </c>
      <c r="L372" s="69">
        <v>0.6</v>
      </c>
      <c r="M372" s="69" t="s">
        <v>958</v>
      </c>
      <c r="N372" s="69">
        <v>2000</v>
      </c>
      <c r="O372" s="69" t="s">
        <v>585</v>
      </c>
      <c r="P372" s="69">
        <v>582791</v>
      </c>
      <c r="Q372" s="92" t="s">
        <v>524</v>
      </c>
      <c r="R372" s="92" t="s">
        <v>170</v>
      </c>
      <c r="S372" s="92" t="s">
        <v>959</v>
      </c>
    </row>
    <row r="373" spans="1:19" x14ac:dyDescent="0.2">
      <c r="A373" s="92" t="s">
        <v>782</v>
      </c>
      <c r="B373" s="69">
        <v>16</v>
      </c>
      <c r="C373" s="69">
        <v>2</v>
      </c>
      <c r="D373" s="69">
        <v>11</v>
      </c>
      <c r="E373" s="69">
        <v>27</v>
      </c>
      <c r="F373" s="69"/>
      <c r="G373" s="69"/>
      <c r="H373" s="69"/>
      <c r="I373" s="70">
        <v>0.48</v>
      </c>
      <c r="J373" s="70">
        <v>1.41</v>
      </c>
      <c r="K373" s="69"/>
      <c r="L373" s="69"/>
      <c r="M373" s="69" t="s">
        <v>958</v>
      </c>
      <c r="N373" s="69">
        <v>2012</v>
      </c>
      <c r="O373" s="69" t="s">
        <v>585</v>
      </c>
      <c r="P373" s="69">
        <v>611657</v>
      </c>
      <c r="Q373" s="92" t="s">
        <v>524</v>
      </c>
      <c r="R373" s="92" t="s">
        <v>580</v>
      </c>
      <c r="S373" s="87" t="s">
        <v>959</v>
      </c>
    </row>
    <row r="374" spans="1:19" x14ac:dyDescent="0.2">
      <c r="A374" s="92" t="s">
        <v>1129</v>
      </c>
      <c r="B374" s="69">
        <v>13</v>
      </c>
      <c r="C374" s="69">
        <v>5</v>
      </c>
      <c r="D374" s="69">
        <v>12</v>
      </c>
      <c r="E374" s="69">
        <v>21</v>
      </c>
      <c r="F374" s="69">
        <v>60</v>
      </c>
      <c r="G374" s="69">
        <v>67</v>
      </c>
      <c r="H374" s="69">
        <v>10.8</v>
      </c>
      <c r="I374" s="70">
        <v>0.48</v>
      </c>
      <c r="J374" s="70">
        <v>1.41</v>
      </c>
      <c r="K374" s="69">
        <v>9.4</v>
      </c>
      <c r="L374" s="69">
        <v>1.4</v>
      </c>
      <c r="M374" s="69" t="s">
        <v>958</v>
      </c>
      <c r="N374" s="69">
        <v>2000</v>
      </c>
      <c r="O374" s="69" t="s">
        <v>585</v>
      </c>
      <c r="P374" s="69">
        <v>367813</v>
      </c>
      <c r="Q374" s="92" t="s">
        <v>524</v>
      </c>
      <c r="R374" s="92" t="s">
        <v>219</v>
      </c>
      <c r="S374" s="92" t="s">
        <v>959</v>
      </c>
    </row>
    <row r="375" spans="1:19" x14ac:dyDescent="0.2">
      <c r="A375" s="92" t="s">
        <v>738</v>
      </c>
      <c r="B375" s="69">
        <v>20</v>
      </c>
      <c r="C375" s="69">
        <v>13</v>
      </c>
      <c r="D375" s="69">
        <v>31</v>
      </c>
      <c r="E375" s="69">
        <v>24</v>
      </c>
      <c r="F375" s="69">
        <v>20</v>
      </c>
      <c r="G375" s="69">
        <v>28</v>
      </c>
      <c r="H375" s="69">
        <v>5</v>
      </c>
      <c r="I375" s="70">
        <v>0.48</v>
      </c>
      <c r="J375" s="70">
        <v>1.77</v>
      </c>
      <c r="K375" s="69">
        <v>13</v>
      </c>
      <c r="L375" s="69">
        <v>0.4</v>
      </c>
      <c r="M375" s="69" t="s">
        <v>958</v>
      </c>
      <c r="N375" s="69">
        <v>2002</v>
      </c>
      <c r="O375" s="69" t="s">
        <v>585</v>
      </c>
      <c r="P375" s="69">
        <v>950774</v>
      </c>
      <c r="Q375" s="92" t="s">
        <v>616</v>
      </c>
      <c r="R375" s="92" t="s">
        <v>121</v>
      </c>
      <c r="S375" s="92"/>
    </row>
    <row r="376" spans="1:19" x14ac:dyDescent="0.2">
      <c r="A376" s="92" t="s">
        <v>84</v>
      </c>
      <c r="B376" s="69">
        <v>21</v>
      </c>
      <c r="C376" s="69">
        <v>10</v>
      </c>
      <c r="D376" s="69">
        <v>18</v>
      </c>
      <c r="E376" s="69">
        <v>34</v>
      </c>
      <c r="F376" s="69">
        <v>100</v>
      </c>
      <c r="G376" s="69">
        <v>111</v>
      </c>
      <c r="H376" s="69">
        <v>16.100000000000001</v>
      </c>
      <c r="I376" s="70">
        <v>0.48</v>
      </c>
      <c r="J376" s="70">
        <v>1.41</v>
      </c>
      <c r="K376" s="69">
        <v>7.9</v>
      </c>
      <c r="L376" s="69">
        <v>2.6</v>
      </c>
      <c r="M376" s="69" t="s">
        <v>958</v>
      </c>
      <c r="N376" s="69">
        <v>2000</v>
      </c>
      <c r="O376" s="69" t="s">
        <v>585</v>
      </c>
      <c r="P376" s="69">
        <v>511139</v>
      </c>
      <c r="Q376" s="92" t="s">
        <v>524</v>
      </c>
      <c r="R376" s="92" t="s">
        <v>72</v>
      </c>
      <c r="S376" s="87" t="s">
        <v>959</v>
      </c>
    </row>
    <row r="377" spans="1:19" x14ac:dyDescent="0.2">
      <c r="A377" s="92" t="s">
        <v>120</v>
      </c>
      <c r="B377" s="69">
        <v>13</v>
      </c>
      <c r="C377" s="69">
        <v>8</v>
      </c>
      <c r="D377" s="69">
        <v>15</v>
      </c>
      <c r="E377" s="69">
        <v>19</v>
      </c>
      <c r="F377" s="69">
        <v>52</v>
      </c>
      <c r="G377" s="69">
        <v>53</v>
      </c>
      <c r="H377" s="69">
        <v>8.9</v>
      </c>
      <c r="I377" s="70">
        <v>0.48</v>
      </c>
      <c r="J377" s="70">
        <v>1.44</v>
      </c>
      <c r="K377" s="69">
        <v>7.8</v>
      </c>
      <c r="L377" s="69">
        <v>1.5</v>
      </c>
      <c r="M377" s="69" t="s">
        <v>958</v>
      </c>
      <c r="N377" s="69">
        <v>2000</v>
      </c>
      <c r="O377" s="69" t="s">
        <v>585</v>
      </c>
      <c r="P377" s="69">
        <v>475301</v>
      </c>
      <c r="Q377" s="92" t="s">
        <v>524</v>
      </c>
      <c r="R377" s="92" t="s">
        <v>109</v>
      </c>
      <c r="S377" s="92" t="s">
        <v>959</v>
      </c>
    </row>
    <row r="378" spans="1:19" x14ac:dyDescent="0.2">
      <c r="A378" s="92" t="s">
        <v>778</v>
      </c>
      <c r="B378" s="69">
        <v>8</v>
      </c>
      <c r="C378" s="69">
        <v>3</v>
      </c>
      <c r="D378" s="69">
        <v>9</v>
      </c>
      <c r="E378" s="69">
        <v>15</v>
      </c>
      <c r="F378" s="69"/>
      <c r="G378" s="69"/>
      <c r="H378" s="69"/>
      <c r="I378" s="70">
        <v>0.48</v>
      </c>
      <c r="J378" s="70">
        <v>1.91</v>
      </c>
      <c r="K378" s="69"/>
      <c r="L378" s="69"/>
      <c r="M378" s="69" t="s">
        <v>958</v>
      </c>
      <c r="N378" s="69">
        <v>2012</v>
      </c>
      <c r="O378" s="69" t="s">
        <v>585</v>
      </c>
      <c r="P378" s="69">
        <v>464081</v>
      </c>
      <c r="Q378" s="92" t="s">
        <v>685</v>
      </c>
      <c r="R378" s="92" t="s">
        <v>227</v>
      </c>
      <c r="S378" s="92"/>
    </row>
    <row r="379" spans="1:19" x14ac:dyDescent="0.2">
      <c r="A379" s="92" t="s">
        <v>137</v>
      </c>
      <c r="B379" s="69">
        <v>12</v>
      </c>
      <c r="C379" s="69">
        <v>4</v>
      </c>
      <c r="D379" s="69">
        <v>10</v>
      </c>
      <c r="E379" s="69">
        <v>17</v>
      </c>
      <c r="F379" s="69">
        <v>25</v>
      </c>
      <c r="G379" s="69">
        <v>17</v>
      </c>
      <c r="H379" s="69">
        <v>3.2</v>
      </c>
      <c r="I379" s="70">
        <v>0.48</v>
      </c>
      <c r="J379" s="70">
        <v>1.22</v>
      </c>
      <c r="K379" s="69">
        <v>5.7</v>
      </c>
      <c r="L379" s="69">
        <v>1.1000000000000001</v>
      </c>
      <c r="M379" s="69" t="s">
        <v>960</v>
      </c>
      <c r="N379" s="69">
        <v>2003</v>
      </c>
      <c r="O379" s="69" t="s">
        <v>485</v>
      </c>
      <c r="P379" s="69">
        <v>280925</v>
      </c>
      <c r="Q379" s="92" t="s">
        <v>320</v>
      </c>
      <c r="R379" s="92" t="s">
        <v>469</v>
      </c>
      <c r="S379" s="92"/>
    </row>
    <row r="380" spans="1:19" x14ac:dyDescent="0.2">
      <c r="A380" s="92" t="s">
        <v>736</v>
      </c>
      <c r="B380" s="69">
        <v>24</v>
      </c>
      <c r="C380" s="69">
        <v>12</v>
      </c>
      <c r="D380" s="69">
        <v>28</v>
      </c>
      <c r="E380" s="69">
        <v>26</v>
      </c>
      <c r="F380" s="69">
        <v>32</v>
      </c>
      <c r="G380" s="69">
        <v>50</v>
      </c>
      <c r="H380" s="69">
        <v>8.4</v>
      </c>
      <c r="I380" s="70">
        <v>0.48</v>
      </c>
      <c r="J380" s="70">
        <v>1.78</v>
      </c>
      <c r="K380" s="69">
        <v>12.1</v>
      </c>
      <c r="L380" s="69">
        <v>0.6</v>
      </c>
      <c r="M380" s="69" t="s">
        <v>958</v>
      </c>
      <c r="N380" s="69">
        <v>2002</v>
      </c>
      <c r="O380" s="69" t="s">
        <v>585</v>
      </c>
      <c r="P380" s="69">
        <v>914945</v>
      </c>
      <c r="Q380" s="92" t="s">
        <v>616</v>
      </c>
      <c r="R380" s="92" t="s">
        <v>98</v>
      </c>
      <c r="S380" s="92"/>
    </row>
    <row r="381" spans="1:19" x14ac:dyDescent="0.2">
      <c r="A381" s="92" t="s">
        <v>198</v>
      </c>
      <c r="B381" s="69">
        <v>15</v>
      </c>
      <c r="C381" s="69">
        <v>9</v>
      </c>
      <c r="D381" s="69">
        <v>12</v>
      </c>
      <c r="E381" s="69">
        <v>32</v>
      </c>
      <c r="F381" s="69">
        <v>98</v>
      </c>
      <c r="G381" s="69">
        <v>126</v>
      </c>
      <c r="H381" s="69">
        <v>17.8</v>
      </c>
      <c r="I381" s="70">
        <v>0.48</v>
      </c>
      <c r="J381" s="70">
        <v>1.44</v>
      </c>
      <c r="K381" s="69">
        <v>8.4</v>
      </c>
      <c r="L381" s="69">
        <v>2.4</v>
      </c>
      <c r="M381" s="69" t="s">
        <v>958</v>
      </c>
      <c r="N381" s="69">
        <v>2000</v>
      </c>
      <c r="O381" s="69" t="s">
        <v>585</v>
      </c>
      <c r="P381" s="69">
        <v>439471</v>
      </c>
      <c r="Q381" s="92" t="s">
        <v>524</v>
      </c>
      <c r="R381" s="92" t="s">
        <v>197</v>
      </c>
      <c r="S381" s="87" t="s">
        <v>959</v>
      </c>
    </row>
    <row r="382" spans="1:19" x14ac:dyDescent="0.2">
      <c r="A382" s="92" t="s">
        <v>404</v>
      </c>
      <c r="B382" s="69">
        <v>4</v>
      </c>
      <c r="C382" s="69">
        <v>0</v>
      </c>
      <c r="D382" s="69">
        <v>5</v>
      </c>
      <c r="E382" s="69">
        <v>12</v>
      </c>
      <c r="F382" s="69">
        <v>36</v>
      </c>
      <c r="G382" s="69"/>
      <c r="H382" s="69"/>
      <c r="I382" s="70">
        <v>0.49</v>
      </c>
      <c r="J382" s="70">
        <v>1.21</v>
      </c>
      <c r="K382" s="69">
        <v>7.7</v>
      </c>
      <c r="L382" s="69">
        <v>1.1000000000000001</v>
      </c>
      <c r="M382" s="69" t="s">
        <v>958</v>
      </c>
      <c r="N382" s="69">
        <v>2010</v>
      </c>
      <c r="O382" s="69" t="s">
        <v>585</v>
      </c>
      <c r="P382" s="69">
        <v>626291</v>
      </c>
      <c r="Q382" s="92" t="s">
        <v>569</v>
      </c>
      <c r="R382" s="92" t="s">
        <v>218</v>
      </c>
      <c r="S382" s="92"/>
    </row>
    <row r="383" spans="1:19" x14ac:dyDescent="0.2">
      <c r="A383" s="92" t="s">
        <v>737</v>
      </c>
      <c r="B383" s="69">
        <v>27</v>
      </c>
      <c r="C383" s="69">
        <v>22</v>
      </c>
      <c r="D383" s="69">
        <v>37</v>
      </c>
      <c r="E383" s="69">
        <v>31</v>
      </c>
      <c r="F383" s="69">
        <v>2</v>
      </c>
      <c r="G383" s="69">
        <v>18</v>
      </c>
      <c r="H383" s="69">
        <v>3.4</v>
      </c>
      <c r="I383" s="70">
        <v>0.49</v>
      </c>
      <c r="J383" s="70">
        <v>1.82</v>
      </c>
      <c r="K383" s="69">
        <v>16.8</v>
      </c>
      <c r="L383" s="69">
        <v>0</v>
      </c>
      <c r="M383" s="69" t="s">
        <v>958</v>
      </c>
      <c r="N383" s="69">
        <v>2011</v>
      </c>
      <c r="O383" s="69" t="s">
        <v>585</v>
      </c>
      <c r="P383" s="69">
        <v>823039</v>
      </c>
      <c r="Q383" s="92" t="s">
        <v>616</v>
      </c>
      <c r="R383" s="92" t="s">
        <v>277</v>
      </c>
      <c r="S383" s="92"/>
    </row>
    <row r="384" spans="1:19" x14ac:dyDescent="0.2">
      <c r="A384" s="92" t="s">
        <v>627</v>
      </c>
      <c r="B384" s="69">
        <v>10</v>
      </c>
      <c r="C384" s="69">
        <v>-3</v>
      </c>
      <c r="D384" s="69">
        <v>5</v>
      </c>
      <c r="E384" s="69">
        <v>17</v>
      </c>
      <c r="F384" s="69">
        <v>62</v>
      </c>
      <c r="G384" s="69">
        <v>85</v>
      </c>
      <c r="H384" s="69">
        <v>13.1</v>
      </c>
      <c r="I384" s="70">
        <v>0.49</v>
      </c>
      <c r="J384" s="70">
        <v>1.33</v>
      </c>
      <c r="K384" s="69">
        <v>15.3</v>
      </c>
      <c r="L384" s="69">
        <v>1</v>
      </c>
      <c r="M384" s="69" t="s">
        <v>958</v>
      </c>
      <c r="N384" s="69">
        <v>2000</v>
      </c>
      <c r="O384" s="69" t="s">
        <v>585</v>
      </c>
      <c r="P384" s="69">
        <v>973263</v>
      </c>
      <c r="Q384" s="92" t="s">
        <v>323</v>
      </c>
      <c r="R384" s="92" t="s">
        <v>515</v>
      </c>
      <c r="S384" s="92"/>
    </row>
    <row r="385" spans="1:19" x14ac:dyDescent="0.2">
      <c r="A385" s="92" t="s">
        <v>47</v>
      </c>
      <c r="B385" s="69">
        <v>11</v>
      </c>
      <c r="C385" s="69">
        <v>3</v>
      </c>
      <c r="D385" s="69">
        <v>11</v>
      </c>
      <c r="E385" s="69">
        <v>20</v>
      </c>
      <c r="F385" s="69">
        <v>60</v>
      </c>
      <c r="G385" s="69">
        <v>77</v>
      </c>
      <c r="H385" s="69">
        <v>12</v>
      </c>
      <c r="I385" s="70">
        <v>0.49</v>
      </c>
      <c r="J385" s="70">
        <v>1.2</v>
      </c>
      <c r="K385" s="69">
        <v>7.7</v>
      </c>
      <c r="L385" s="69">
        <v>2</v>
      </c>
      <c r="M385" s="69" t="s">
        <v>960</v>
      </c>
      <c r="N385" s="69">
        <v>2000</v>
      </c>
      <c r="O385" s="69" t="s">
        <v>485</v>
      </c>
      <c r="P385" s="69">
        <v>336826</v>
      </c>
      <c r="Q385" s="92" t="s">
        <v>46</v>
      </c>
      <c r="R385" s="92" t="s">
        <v>38</v>
      </c>
      <c r="S385" s="92"/>
    </row>
    <row r="386" spans="1:19" x14ac:dyDescent="0.2">
      <c r="A386" s="92" t="s">
        <v>188</v>
      </c>
      <c r="B386" s="69">
        <v>22</v>
      </c>
      <c r="C386" s="69">
        <v>4</v>
      </c>
      <c r="D386" s="69">
        <v>20</v>
      </c>
      <c r="E386" s="69">
        <v>27</v>
      </c>
      <c r="F386" s="69">
        <v>56</v>
      </c>
      <c r="G386" s="69">
        <v>105</v>
      </c>
      <c r="H386" s="69">
        <v>15.4</v>
      </c>
      <c r="I386" s="70">
        <v>0.5</v>
      </c>
      <c r="J386" s="70">
        <v>1.2</v>
      </c>
      <c r="K386" s="69">
        <v>14.9</v>
      </c>
      <c r="L386" s="69">
        <v>0.9</v>
      </c>
      <c r="M386" s="69" t="s">
        <v>966</v>
      </c>
      <c r="N386" s="69">
        <v>2001</v>
      </c>
      <c r="O386" s="69" t="s">
        <v>485</v>
      </c>
      <c r="P386" s="69">
        <v>183178</v>
      </c>
      <c r="Q386" s="92" t="s">
        <v>586</v>
      </c>
      <c r="R386" s="92" t="s">
        <v>180</v>
      </c>
      <c r="S386" s="92"/>
    </row>
    <row r="387" spans="1:19" x14ac:dyDescent="0.2">
      <c r="A387" s="92" t="s">
        <v>75</v>
      </c>
      <c r="B387" s="69">
        <v>15</v>
      </c>
      <c r="C387" s="69">
        <v>7</v>
      </c>
      <c r="D387" s="69">
        <v>16</v>
      </c>
      <c r="E387" s="69">
        <v>26</v>
      </c>
      <c r="F387" s="69">
        <v>74</v>
      </c>
      <c r="G387" s="69">
        <v>81</v>
      </c>
      <c r="H387" s="69">
        <v>12.6</v>
      </c>
      <c r="I387" s="70">
        <v>0.5</v>
      </c>
      <c r="J387" s="70">
        <v>1.23</v>
      </c>
      <c r="K387" s="69">
        <v>7</v>
      </c>
      <c r="L387" s="69">
        <v>2.5</v>
      </c>
      <c r="M387" s="69" t="s">
        <v>968</v>
      </c>
      <c r="N387" s="69">
        <v>2000</v>
      </c>
      <c r="O387" s="69" t="s">
        <v>485</v>
      </c>
      <c r="P387" s="69">
        <v>300996</v>
      </c>
      <c r="Q387" s="92" t="s">
        <v>46</v>
      </c>
      <c r="R387" s="92" t="s">
        <v>72</v>
      </c>
      <c r="S387" s="92"/>
    </row>
    <row r="388" spans="1:19" x14ac:dyDescent="0.2">
      <c r="A388" s="92" t="s">
        <v>251</v>
      </c>
      <c r="B388" s="69">
        <v>7</v>
      </c>
      <c r="C388" s="69">
        <v>3</v>
      </c>
      <c r="D388" s="69">
        <v>7</v>
      </c>
      <c r="E388" s="69">
        <v>7</v>
      </c>
      <c r="F388" s="69">
        <v>6</v>
      </c>
      <c r="G388" s="69">
        <v>1</v>
      </c>
      <c r="H388" s="69">
        <v>0.3</v>
      </c>
      <c r="I388" s="70">
        <v>0.5</v>
      </c>
      <c r="J388" s="70">
        <v>1.21</v>
      </c>
      <c r="K388" s="69">
        <v>4.8</v>
      </c>
      <c r="L388" s="69">
        <v>0.2</v>
      </c>
      <c r="M388" s="69" t="s">
        <v>960</v>
      </c>
      <c r="N388" s="69">
        <v>2000</v>
      </c>
      <c r="O388" s="69" t="s">
        <v>485</v>
      </c>
      <c r="P388" s="69">
        <v>480145</v>
      </c>
      <c r="Q388" s="92" t="s">
        <v>46</v>
      </c>
      <c r="R388" s="92" t="s">
        <v>227</v>
      </c>
      <c r="S388" s="87"/>
    </row>
    <row r="389" spans="1:19" x14ac:dyDescent="0.2">
      <c r="A389" s="92" t="s">
        <v>686</v>
      </c>
      <c r="B389" s="69">
        <v>10</v>
      </c>
      <c r="C389" s="69">
        <v>3</v>
      </c>
      <c r="D389" s="69">
        <v>10</v>
      </c>
      <c r="E389" s="69">
        <v>16</v>
      </c>
      <c r="F389" s="69"/>
      <c r="G389" s="69"/>
      <c r="H389" s="69"/>
      <c r="I389" s="70">
        <v>0.5</v>
      </c>
      <c r="J389" s="70">
        <v>2.21</v>
      </c>
      <c r="K389" s="69"/>
      <c r="L389" s="69"/>
      <c r="M389" s="69" t="s">
        <v>958</v>
      </c>
      <c r="N389" s="69">
        <v>2011</v>
      </c>
      <c r="O389" s="69" t="s">
        <v>485</v>
      </c>
      <c r="P389" s="69">
        <v>983940</v>
      </c>
      <c r="Q389" s="92" t="s">
        <v>299</v>
      </c>
      <c r="R389" s="92" t="s">
        <v>227</v>
      </c>
      <c r="S389" s="92"/>
    </row>
    <row r="390" spans="1:19" x14ac:dyDescent="0.2">
      <c r="A390" s="92" t="s">
        <v>252</v>
      </c>
      <c r="B390" s="69">
        <v>12</v>
      </c>
      <c r="C390" s="69">
        <v>5</v>
      </c>
      <c r="D390" s="69">
        <v>12</v>
      </c>
      <c r="E390" s="69">
        <v>15</v>
      </c>
      <c r="F390" s="69">
        <v>31</v>
      </c>
      <c r="G390" s="69">
        <v>36</v>
      </c>
      <c r="H390" s="69">
        <v>6.3</v>
      </c>
      <c r="I390" s="70">
        <v>0.5</v>
      </c>
      <c r="J390" s="70">
        <v>1.22</v>
      </c>
      <c r="K390" s="69">
        <v>3.8</v>
      </c>
      <c r="L390" s="69">
        <v>2</v>
      </c>
      <c r="M390" s="69" t="s">
        <v>960</v>
      </c>
      <c r="N390" s="69">
        <v>2000</v>
      </c>
      <c r="O390" s="69" t="s">
        <v>485</v>
      </c>
      <c r="P390" s="69">
        <v>408484</v>
      </c>
      <c r="Q390" s="92" t="s">
        <v>46</v>
      </c>
      <c r="R390" s="92" t="s">
        <v>227</v>
      </c>
      <c r="S390" s="92"/>
    </row>
    <row r="391" spans="1:19" x14ac:dyDescent="0.2">
      <c r="A391" s="92" t="s">
        <v>710</v>
      </c>
      <c r="B391" s="69">
        <v>17</v>
      </c>
      <c r="C391" s="69">
        <v>7</v>
      </c>
      <c r="D391" s="69">
        <v>14</v>
      </c>
      <c r="E391" s="69">
        <v>18</v>
      </c>
      <c r="F391" s="69">
        <v>16</v>
      </c>
      <c r="G391" s="69">
        <v>15</v>
      </c>
      <c r="H391" s="69">
        <v>2.9</v>
      </c>
      <c r="I391" s="70">
        <v>0.5</v>
      </c>
      <c r="J391" s="70">
        <v>1.21</v>
      </c>
      <c r="K391" s="69">
        <v>5</v>
      </c>
      <c r="L391" s="69">
        <v>0.8</v>
      </c>
      <c r="M391" s="69" t="s">
        <v>960</v>
      </c>
      <c r="N391" s="69">
        <v>2006</v>
      </c>
      <c r="O391" s="69" t="s">
        <v>485</v>
      </c>
      <c r="P391" s="69">
        <v>647669</v>
      </c>
      <c r="Q391" s="92" t="s">
        <v>46</v>
      </c>
      <c r="R391" s="92" t="s">
        <v>227</v>
      </c>
      <c r="S391" s="92"/>
    </row>
    <row r="392" spans="1:19" x14ac:dyDescent="0.2">
      <c r="A392" s="92" t="s">
        <v>253</v>
      </c>
      <c r="B392" s="69">
        <v>9</v>
      </c>
      <c r="C392" s="69">
        <v>4</v>
      </c>
      <c r="D392" s="69">
        <v>9</v>
      </c>
      <c r="E392" s="69">
        <v>11</v>
      </c>
      <c r="F392" s="69">
        <v>17</v>
      </c>
      <c r="G392" s="69">
        <v>16</v>
      </c>
      <c r="H392" s="69">
        <v>3.1</v>
      </c>
      <c r="I392" s="70">
        <v>0.5</v>
      </c>
      <c r="J392" s="70">
        <v>1.21</v>
      </c>
      <c r="K392" s="69">
        <v>4.0999999999999996</v>
      </c>
      <c r="L392" s="69">
        <v>0.9</v>
      </c>
      <c r="M392" s="69" t="s">
        <v>960</v>
      </c>
      <c r="N392" s="69">
        <v>2000</v>
      </c>
      <c r="O392" s="69" t="s">
        <v>485</v>
      </c>
      <c r="P392" s="69">
        <v>444315</v>
      </c>
      <c r="Q392" s="92" t="s">
        <v>46</v>
      </c>
      <c r="R392" s="92" t="s">
        <v>227</v>
      </c>
      <c r="S392" s="92"/>
    </row>
    <row r="393" spans="1:19" x14ac:dyDescent="0.2">
      <c r="A393" s="92" t="s">
        <v>647</v>
      </c>
      <c r="B393" s="69">
        <v>11</v>
      </c>
      <c r="C393" s="69">
        <v>6</v>
      </c>
      <c r="D393" s="69">
        <v>11</v>
      </c>
      <c r="E393" s="69">
        <v>9</v>
      </c>
      <c r="F393" s="69">
        <v>9</v>
      </c>
      <c r="G393" s="69">
        <v>17</v>
      </c>
      <c r="H393" s="69">
        <v>3.2</v>
      </c>
      <c r="I393" s="70">
        <v>0.51</v>
      </c>
      <c r="J393" s="70">
        <v>1.29</v>
      </c>
      <c r="K393" s="69">
        <v>7</v>
      </c>
      <c r="L393" s="69">
        <v>0.3</v>
      </c>
      <c r="M393" s="69" t="s">
        <v>968</v>
      </c>
      <c r="N393" s="69">
        <v>2006</v>
      </c>
      <c r="O393" s="69" t="s">
        <v>485</v>
      </c>
      <c r="P393" s="69">
        <v>336115</v>
      </c>
      <c r="Q393" s="92" t="s">
        <v>584</v>
      </c>
      <c r="R393" s="92" t="s">
        <v>478</v>
      </c>
      <c r="S393" s="87"/>
    </row>
    <row r="394" spans="1:19" x14ac:dyDescent="0.2">
      <c r="A394" s="92" t="s">
        <v>1068</v>
      </c>
      <c r="B394" s="69">
        <v>9</v>
      </c>
      <c r="C394" s="69">
        <v>3</v>
      </c>
      <c r="D394" s="69">
        <v>7</v>
      </c>
      <c r="E394" s="69">
        <v>14</v>
      </c>
      <c r="F394" s="69">
        <v>26</v>
      </c>
      <c r="G394" s="69">
        <v>16</v>
      </c>
      <c r="H394" s="69">
        <v>3</v>
      </c>
      <c r="I394" s="70">
        <v>0.51</v>
      </c>
      <c r="J394" s="70">
        <v>1.27</v>
      </c>
      <c r="K394" s="69">
        <v>6.2</v>
      </c>
      <c r="L394" s="69">
        <v>1.1000000000000001</v>
      </c>
      <c r="M394" s="69" t="s">
        <v>960</v>
      </c>
      <c r="N394" s="69">
        <v>2009</v>
      </c>
      <c r="O394" s="69" t="s">
        <v>485</v>
      </c>
      <c r="P394" s="69">
        <v>838268</v>
      </c>
      <c r="Q394" s="92" t="s">
        <v>268</v>
      </c>
      <c r="R394" s="92" t="s">
        <v>469</v>
      </c>
      <c r="S394" s="87"/>
    </row>
    <row r="395" spans="1:19" x14ac:dyDescent="0.2">
      <c r="A395" s="92" t="s">
        <v>644</v>
      </c>
      <c r="B395" s="69">
        <v>4</v>
      </c>
      <c r="C395" s="69">
        <v>1</v>
      </c>
      <c r="D395" s="69">
        <v>2</v>
      </c>
      <c r="E395" s="69">
        <v>8</v>
      </c>
      <c r="F395" s="69">
        <v>17</v>
      </c>
      <c r="G395" s="69"/>
      <c r="H395" s="69"/>
      <c r="I395" s="70">
        <v>0.51</v>
      </c>
      <c r="J395" s="70">
        <v>1.59</v>
      </c>
      <c r="K395" s="69">
        <v>10.4</v>
      </c>
      <c r="L395" s="69">
        <v>0.4</v>
      </c>
      <c r="M395" s="69" t="s">
        <v>958</v>
      </c>
      <c r="N395" s="69">
        <v>2011</v>
      </c>
      <c r="O395" s="69" t="s">
        <v>485</v>
      </c>
      <c r="P395" s="69">
        <v>507236</v>
      </c>
      <c r="Q395" s="92" t="s">
        <v>645</v>
      </c>
      <c r="R395" s="92" t="s">
        <v>478</v>
      </c>
      <c r="S395" s="92"/>
    </row>
    <row r="396" spans="1:19" x14ac:dyDescent="0.2">
      <c r="A396" s="92" t="s">
        <v>322</v>
      </c>
      <c r="B396" s="69">
        <v>13</v>
      </c>
      <c r="C396" s="69">
        <v>5</v>
      </c>
      <c r="D396" s="69">
        <v>14</v>
      </c>
      <c r="E396" s="69">
        <v>18</v>
      </c>
      <c r="F396" s="69">
        <v>48</v>
      </c>
      <c r="G396" s="69">
        <v>55</v>
      </c>
      <c r="H396" s="69">
        <v>9.1999999999999993</v>
      </c>
      <c r="I396" s="70">
        <v>0.51</v>
      </c>
      <c r="J396" s="70">
        <v>1.24</v>
      </c>
      <c r="K396" s="69">
        <v>4.5</v>
      </c>
      <c r="L396" s="69">
        <v>2.7</v>
      </c>
      <c r="M396" s="69" t="s">
        <v>960</v>
      </c>
      <c r="N396" s="69">
        <v>2004</v>
      </c>
      <c r="O396" s="69" t="s">
        <v>485</v>
      </c>
      <c r="P396" s="69">
        <v>320358</v>
      </c>
      <c r="Q396" s="92" t="s">
        <v>46</v>
      </c>
      <c r="R396" s="92" t="s">
        <v>109</v>
      </c>
      <c r="S396" s="92"/>
    </row>
    <row r="397" spans="1:19" x14ac:dyDescent="0.2">
      <c r="A397" s="92" t="s">
        <v>974</v>
      </c>
      <c r="B397" s="69">
        <v>8</v>
      </c>
      <c r="C397" s="69">
        <v>2</v>
      </c>
      <c r="D397" s="69">
        <v>7</v>
      </c>
      <c r="E397" s="69">
        <v>14</v>
      </c>
      <c r="F397" s="69">
        <v>31</v>
      </c>
      <c r="G397" s="69"/>
      <c r="H397" s="69"/>
      <c r="I397" s="70">
        <v>0.51</v>
      </c>
      <c r="J397" s="70">
        <v>1.28</v>
      </c>
      <c r="K397" s="69">
        <v>5.7</v>
      </c>
      <c r="L397" s="69">
        <v>1.4</v>
      </c>
      <c r="M397" s="69" t="s">
        <v>960</v>
      </c>
      <c r="N397" s="69">
        <v>2013</v>
      </c>
      <c r="O397" s="69" t="s">
        <v>485</v>
      </c>
      <c r="P397" s="69">
        <v>456764</v>
      </c>
      <c r="Q397" s="92" t="s">
        <v>58</v>
      </c>
      <c r="R397" s="92" t="s">
        <v>478</v>
      </c>
      <c r="S397" s="92"/>
    </row>
    <row r="398" spans="1:19" x14ac:dyDescent="0.2">
      <c r="A398" s="92" t="s">
        <v>292</v>
      </c>
      <c r="B398" s="69">
        <v>17</v>
      </c>
      <c r="C398" s="69">
        <v>5</v>
      </c>
      <c r="D398" s="69">
        <v>15</v>
      </c>
      <c r="E398" s="69">
        <v>25</v>
      </c>
      <c r="F398" s="69">
        <v>38</v>
      </c>
      <c r="G398" s="69">
        <v>54</v>
      </c>
      <c r="H398" s="69">
        <v>9.1</v>
      </c>
      <c r="I398" s="70">
        <v>0.51</v>
      </c>
      <c r="J398" s="70">
        <v>1.24</v>
      </c>
      <c r="K398" s="69">
        <v>4.7</v>
      </c>
      <c r="L398" s="69">
        <v>2</v>
      </c>
      <c r="M398" s="69" t="s">
        <v>960</v>
      </c>
      <c r="N398" s="69">
        <v>2009</v>
      </c>
      <c r="O398" s="69" t="s">
        <v>485</v>
      </c>
      <c r="P398" s="69">
        <v>118000</v>
      </c>
      <c r="Q398" s="92" t="s">
        <v>46</v>
      </c>
      <c r="R398" s="92" t="s">
        <v>109</v>
      </c>
      <c r="S398" s="92"/>
    </row>
    <row r="399" spans="1:19" x14ac:dyDescent="0.2">
      <c r="A399" s="92" t="s">
        <v>483</v>
      </c>
      <c r="B399" s="69">
        <v>7</v>
      </c>
      <c r="C399" s="69">
        <v>2</v>
      </c>
      <c r="D399" s="69">
        <v>6</v>
      </c>
      <c r="E399" s="69">
        <v>14</v>
      </c>
      <c r="F399" s="69">
        <v>30</v>
      </c>
      <c r="G399" s="69">
        <v>45</v>
      </c>
      <c r="H399" s="69">
        <v>7.7</v>
      </c>
      <c r="I399" s="70">
        <v>0.52</v>
      </c>
      <c r="J399" s="70">
        <v>1.53</v>
      </c>
      <c r="K399" s="69">
        <v>6.7</v>
      </c>
      <c r="L399" s="69">
        <v>1.2</v>
      </c>
      <c r="M399" s="69" t="s">
        <v>960</v>
      </c>
      <c r="N399" s="69">
        <v>2003</v>
      </c>
      <c r="O399" s="69" t="s">
        <v>485</v>
      </c>
      <c r="P399" s="69">
        <v>753384</v>
      </c>
      <c r="Q399" s="92" t="s">
        <v>264</v>
      </c>
      <c r="R399" s="92" t="s">
        <v>478</v>
      </c>
      <c r="S399" s="92"/>
    </row>
    <row r="400" spans="1:19" x14ac:dyDescent="0.2">
      <c r="A400" s="92" t="s">
        <v>190</v>
      </c>
      <c r="B400" s="69">
        <v>-1</v>
      </c>
      <c r="C400" s="69">
        <v>-5</v>
      </c>
      <c r="D400" s="69">
        <v>-5</v>
      </c>
      <c r="E400" s="69">
        <v>-3</v>
      </c>
      <c r="F400" s="69">
        <v>-19</v>
      </c>
      <c r="G400" s="69">
        <v>-7</v>
      </c>
      <c r="H400" s="69">
        <v>-1.4</v>
      </c>
      <c r="I400" s="70">
        <v>0.52</v>
      </c>
      <c r="J400" s="70">
        <v>1.48</v>
      </c>
      <c r="K400" s="69">
        <v>13.8</v>
      </c>
      <c r="L400" s="69">
        <v>-0.6</v>
      </c>
      <c r="M400" s="69" t="s">
        <v>960</v>
      </c>
      <c r="N400" s="69">
        <v>2008</v>
      </c>
      <c r="O400" s="69" t="s">
        <v>485</v>
      </c>
      <c r="P400" s="69">
        <v>734434</v>
      </c>
      <c r="Q400" s="92" t="s">
        <v>61</v>
      </c>
      <c r="R400" s="92" t="s">
        <v>207</v>
      </c>
      <c r="S400" s="92"/>
    </row>
    <row r="401" spans="1:19" x14ac:dyDescent="0.2">
      <c r="A401" s="92" t="s">
        <v>25</v>
      </c>
      <c r="B401" s="69">
        <v>16</v>
      </c>
      <c r="C401" s="69">
        <v>5</v>
      </c>
      <c r="D401" s="69">
        <v>15</v>
      </c>
      <c r="E401" s="69">
        <v>16</v>
      </c>
      <c r="F401" s="69">
        <v>22</v>
      </c>
      <c r="G401" s="69">
        <v>33</v>
      </c>
      <c r="H401" s="69">
        <v>5.9</v>
      </c>
      <c r="I401" s="70">
        <v>0.52</v>
      </c>
      <c r="J401" s="70">
        <v>1.31</v>
      </c>
      <c r="K401" s="69">
        <v>7.6</v>
      </c>
      <c r="L401" s="69">
        <v>0.8</v>
      </c>
      <c r="M401" s="69" t="s">
        <v>968</v>
      </c>
      <c r="N401" s="69">
        <v>2001</v>
      </c>
      <c r="O401" s="69" t="s">
        <v>485</v>
      </c>
      <c r="P401" s="69">
        <v>103010</v>
      </c>
      <c r="Q401" s="92" t="s">
        <v>268</v>
      </c>
      <c r="R401" s="92" t="s">
        <v>478</v>
      </c>
      <c r="S401" s="92"/>
    </row>
    <row r="402" spans="1:19" x14ac:dyDescent="0.2">
      <c r="A402" s="92" t="s">
        <v>672</v>
      </c>
      <c r="B402" s="69">
        <v>11</v>
      </c>
      <c r="C402" s="69">
        <v>4</v>
      </c>
      <c r="D402" s="69">
        <v>15</v>
      </c>
      <c r="E402" s="69">
        <v>10</v>
      </c>
      <c r="F402" s="69">
        <v>-1</v>
      </c>
      <c r="G402" s="69">
        <v>11</v>
      </c>
      <c r="H402" s="69">
        <v>2.1</v>
      </c>
      <c r="I402" s="70">
        <v>0.52</v>
      </c>
      <c r="J402" s="70">
        <v>1.31</v>
      </c>
      <c r="K402" s="69">
        <v>9</v>
      </c>
      <c r="L402" s="69">
        <v>-0.2</v>
      </c>
      <c r="M402" s="69" t="s">
        <v>968</v>
      </c>
      <c r="N402" s="69">
        <v>2009</v>
      </c>
      <c r="O402" s="69" t="s">
        <v>485</v>
      </c>
      <c r="P402" s="69">
        <v>874099</v>
      </c>
      <c r="Q402" s="92" t="s">
        <v>268</v>
      </c>
      <c r="R402" s="92" t="s">
        <v>478</v>
      </c>
      <c r="S402" s="87"/>
    </row>
    <row r="403" spans="1:19" x14ac:dyDescent="0.2">
      <c r="A403" s="92" t="s">
        <v>24</v>
      </c>
      <c r="B403" s="69">
        <v>11</v>
      </c>
      <c r="C403" s="69">
        <v>4</v>
      </c>
      <c r="D403" s="69">
        <v>9</v>
      </c>
      <c r="E403" s="69">
        <v>16</v>
      </c>
      <c r="F403" s="69">
        <v>22</v>
      </c>
      <c r="G403" s="69">
        <v>15</v>
      </c>
      <c r="H403" s="69">
        <v>2.9</v>
      </c>
      <c r="I403" s="70">
        <v>0.52</v>
      </c>
      <c r="J403" s="70">
        <v>1.31</v>
      </c>
      <c r="K403" s="69">
        <v>5.6</v>
      </c>
      <c r="L403" s="69">
        <v>0.9</v>
      </c>
      <c r="M403" s="69" t="s">
        <v>960</v>
      </c>
      <c r="N403" s="69">
        <v>2000</v>
      </c>
      <c r="O403" s="69" t="s">
        <v>485</v>
      </c>
      <c r="P403" s="69">
        <v>966598</v>
      </c>
      <c r="Q403" s="92" t="s">
        <v>268</v>
      </c>
      <c r="R403" s="92" t="s">
        <v>469</v>
      </c>
      <c r="S403" s="92"/>
    </row>
    <row r="404" spans="1:19" x14ac:dyDescent="0.2">
      <c r="A404" s="92" t="s">
        <v>1069</v>
      </c>
      <c r="B404" s="69">
        <v>8</v>
      </c>
      <c r="C404" s="69">
        <v>2</v>
      </c>
      <c r="D404" s="69">
        <v>6</v>
      </c>
      <c r="E404" s="69">
        <v>16</v>
      </c>
      <c r="F404" s="69">
        <v>40</v>
      </c>
      <c r="G404" s="69">
        <v>43</v>
      </c>
      <c r="H404" s="69">
        <v>7.4</v>
      </c>
      <c r="I404" s="70">
        <v>0.52</v>
      </c>
      <c r="J404" s="70">
        <v>1.29</v>
      </c>
      <c r="K404" s="69">
        <v>8.3000000000000007</v>
      </c>
      <c r="L404" s="69">
        <v>1.3</v>
      </c>
      <c r="M404" s="69" t="s">
        <v>960</v>
      </c>
      <c r="N404" s="69">
        <v>2000</v>
      </c>
      <c r="O404" s="69" t="s">
        <v>485</v>
      </c>
      <c r="P404" s="69">
        <v>930768</v>
      </c>
      <c r="Q404" s="92" t="s">
        <v>268</v>
      </c>
      <c r="R404" s="92" t="s">
        <v>469</v>
      </c>
      <c r="S404" s="92"/>
    </row>
    <row r="405" spans="1:19" x14ac:dyDescent="0.2">
      <c r="A405" s="92" t="s">
        <v>991</v>
      </c>
      <c r="B405" s="69">
        <v>4</v>
      </c>
      <c r="C405" s="69">
        <v>1</v>
      </c>
      <c r="D405" s="69">
        <v>2</v>
      </c>
      <c r="E405" s="69"/>
      <c r="F405" s="69"/>
      <c r="G405" s="69"/>
      <c r="H405" s="69"/>
      <c r="I405" s="70">
        <v>0.52</v>
      </c>
      <c r="J405" s="70">
        <v>1.94</v>
      </c>
      <c r="K405" s="69"/>
      <c r="L405" s="69"/>
      <c r="M405" s="69" t="s">
        <v>958</v>
      </c>
      <c r="N405" s="69">
        <v>2013</v>
      </c>
      <c r="O405" s="69" t="s">
        <v>485</v>
      </c>
      <c r="P405" s="69">
        <v>895227</v>
      </c>
      <c r="Q405" s="92" t="s">
        <v>992</v>
      </c>
      <c r="R405" s="92" t="s">
        <v>478</v>
      </c>
      <c r="S405" s="92"/>
    </row>
    <row r="406" spans="1:19" x14ac:dyDescent="0.2">
      <c r="A406" s="92" t="s">
        <v>908</v>
      </c>
      <c r="B406" s="69">
        <v>10</v>
      </c>
      <c r="C406" s="69">
        <v>2</v>
      </c>
      <c r="D406" s="69">
        <v>8</v>
      </c>
      <c r="E406" s="69">
        <v>18</v>
      </c>
      <c r="F406" s="69"/>
      <c r="G406" s="69"/>
      <c r="H406" s="69"/>
      <c r="I406" s="70">
        <v>0.52</v>
      </c>
      <c r="J406" s="70">
        <v>1.46</v>
      </c>
      <c r="K406" s="69"/>
      <c r="L406" s="69"/>
      <c r="M406" s="69" t="s">
        <v>958</v>
      </c>
      <c r="N406" s="69">
        <v>2013</v>
      </c>
      <c r="O406" s="69" t="s">
        <v>585</v>
      </c>
      <c r="P406" s="69">
        <v>696658</v>
      </c>
      <c r="Q406" s="92" t="s">
        <v>323</v>
      </c>
      <c r="R406" s="92" t="s">
        <v>565</v>
      </c>
      <c r="S406" s="92"/>
    </row>
    <row r="407" spans="1:19" x14ac:dyDescent="0.2">
      <c r="A407" s="92" t="s">
        <v>295</v>
      </c>
      <c r="B407" s="69">
        <v>13</v>
      </c>
      <c r="C407" s="69">
        <v>6</v>
      </c>
      <c r="D407" s="69">
        <v>16</v>
      </c>
      <c r="E407" s="69">
        <v>16</v>
      </c>
      <c r="F407" s="69">
        <v>37</v>
      </c>
      <c r="G407" s="69">
        <v>57</v>
      </c>
      <c r="H407" s="69">
        <v>9.4</v>
      </c>
      <c r="I407" s="70">
        <v>0.52</v>
      </c>
      <c r="J407" s="70">
        <v>1.28</v>
      </c>
      <c r="K407" s="69">
        <v>6.3</v>
      </c>
      <c r="L407" s="69">
        <v>1.6</v>
      </c>
      <c r="M407" s="69" t="s">
        <v>960</v>
      </c>
      <c r="N407" s="69">
        <v>2009</v>
      </c>
      <c r="O407" s="69" t="s">
        <v>485</v>
      </c>
      <c r="P407" s="69">
        <v>153833</v>
      </c>
      <c r="Q407" s="92" t="s">
        <v>46</v>
      </c>
      <c r="R407" s="92" t="s">
        <v>121</v>
      </c>
      <c r="S407" s="87"/>
    </row>
    <row r="408" spans="1:19" x14ac:dyDescent="0.2">
      <c r="A408" s="92" t="s">
        <v>941</v>
      </c>
      <c r="B408" s="69">
        <v>12</v>
      </c>
      <c r="C408" s="69">
        <v>0</v>
      </c>
      <c r="D408" s="69">
        <v>8</v>
      </c>
      <c r="E408" s="69">
        <v>21</v>
      </c>
      <c r="F408" s="69"/>
      <c r="G408" s="69"/>
      <c r="H408" s="69"/>
      <c r="I408" s="70">
        <v>0.52</v>
      </c>
      <c r="J408" s="70">
        <v>1.4</v>
      </c>
      <c r="K408" s="69"/>
      <c r="L408" s="69"/>
      <c r="M408" s="69" t="s">
        <v>958</v>
      </c>
      <c r="N408" s="69">
        <v>2013</v>
      </c>
      <c r="O408" s="69" t="s">
        <v>485</v>
      </c>
      <c r="P408" s="69">
        <v>646240</v>
      </c>
      <c r="Q408" s="92" t="s">
        <v>596</v>
      </c>
      <c r="R408" s="92" t="s">
        <v>515</v>
      </c>
      <c r="S408" s="87"/>
    </row>
    <row r="409" spans="1:19" x14ac:dyDescent="0.2">
      <c r="A409" s="92" t="s">
        <v>601</v>
      </c>
      <c r="B409" s="69">
        <v>11</v>
      </c>
      <c r="C409" s="69">
        <v>2</v>
      </c>
      <c r="D409" s="69">
        <v>9</v>
      </c>
      <c r="E409" s="69">
        <v>17</v>
      </c>
      <c r="F409" s="69">
        <v>36</v>
      </c>
      <c r="G409" s="69">
        <v>35</v>
      </c>
      <c r="H409" s="69">
        <v>6.3</v>
      </c>
      <c r="I409" s="70">
        <v>0.52</v>
      </c>
      <c r="J409" s="70">
        <v>1.29</v>
      </c>
      <c r="K409" s="69">
        <v>4.5</v>
      </c>
      <c r="L409" s="69">
        <v>1.9</v>
      </c>
      <c r="M409" s="69" t="s">
        <v>960</v>
      </c>
      <c r="N409" s="69">
        <v>2008</v>
      </c>
      <c r="O409" s="69" t="s">
        <v>485</v>
      </c>
      <c r="P409" s="69">
        <v>945162</v>
      </c>
      <c r="Q409" s="92" t="s">
        <v>597</v>
      </c>
      <c r="R409" s="92" t="s">
        <v>478</v>
      </c>
      <c r="S409" s="87"/>
    </row>
    <row r="410" spans="1:19" x14ac:dyDescent="0.2">
      <c r="A410" s="92" t="s">
        <v>902</v>
      </c>
      <c r="B410" s="69">
        <v>27</v>
      </c>
      <c r="C410" s="69">
        <v>10</v>
      </c>
      <c r="D410" s="69">
        <v>20</v>
      </c>
      <c r="E410" s="69">
        <v>37</v>
      </c>
      <c r="F410" s="69">
        <v>103</v>
      </c>
      <c r="G410" s="69">
        <v>97</v>
      </c>
      <c r="H410" s="69">
        <v>14.6</v>
      </c>
      <c r="I410" s="70">
        <v>0.52</v>
      </c>
      <c r="J410" s="70">
        <v>1.51</v>
      </c>
      <c r="K410" s="69">
        <v>7</v>
      </c>
      <c r="L410" s="69">
        <v>3</v>
      </c>
      <c r="M410" s="69" t="s">
        <v>966</v>
      </c>
      <c r="N410" s="69">
        <v>2013</v>
      </c>
      <c r="O410" s="69" t="s">
        <v>485</v>
      </c>
      <c r="P410" s="69">
        <v>517508</v>
      </c>
      <c r="Q410" s="92" t="s">
        <v>708</v>
      </c>
      <c r="R410" s="92" t="s">
        <v>202</v>
      </c>
      <c r="S410" s="87"/>
    </row>
    <row r="411" spans="1:19" x14ac:dyDescent="0.2">
      <c r="A411" s="92" t="s">
        <v>707</v>
      </c>
      <c r="B411" s="69">
        <v>15</v>
      </c>
      <c r="C411" s="69">
        <v>8</v>
      </c>
      <c r="D411" s="69">
        <v>13</v>
      </c>
      <c r="E411" s="69">
        <v>31</v>
      </c>
      <c r="F411" s="69">
        <v>81</v>
      </c>
      <c r="G411" s="69">
        <v>118</v>
      </c>
      <c r="H411" s="69">
        <v>16.8</v>
      </c>
      <c r="I411" s="70">
        <v>0.52</v>
      </c>
      <c r="J411" s="70">
        <v>1.51</v>
      </c>
      <c r="K411" s="69">
        <v>13.8</v>
      </c>
      <c r="L411" s="69">
        <v>1.3</v>
      </c>
      <c r="M411" s="69" t="s">
        <v>966</v>
      </c>
      <c r="N411" s="69">
        <v>2002</v>
      </c>
      <c r="O411" s="69" t="s">
        <v>485</v>
      </c>
      <c r="P411" s="69">
        <v>191676</v>
      </c>
      <c r="Q411" s="92" t="s">
        <v>708</v>
      </c>
      <c r="R411" s="92" t="s">
        <v>197</v>
      </c>
      <c r="S411" s="87"/>
    </row>
    <row r="412" spans="1:19" x14ac:dyDescent="0.2">
      <c r="A412" s="92" t="s">
        <v>706</v>
      </c>
      <c r="B412" s="69">
        <v>14</v>
      </c>
      <c r="C412" s="69">
        <v>-3</v>
      </c>
      <c r="D412" s="69">
        <v>7</v>
      </c>
      <c r="E412" s="69">
        <v>25</v>
      </c>
      <c r="F412" s="69">
        <v>80</v>
      </c>
      <c r="G412" s="69">
        <v>123</v>
      </c>
      <c r="H412" s="69">
        <v>17.399999999999999</v>
      </c>
      <c r="I412" s="70">
        <v>0.52</v>
      </c>
      <c r="J412" s="70">
        <v>1.5</v>
      </c>
      <c r="K412" s="69">
        <v>13.4</v>
      </c>
      <c r="L412" s="69">
        <v>1.3</v>
      </c>
      <c r="M412" s="69" t="s">
        <v>958</v>
      </c>
      <c r="N412" s="69">
        <v>2000</v>
      </c>
      <c r="O412" s="69" t="s">
        <v>585</v>
      </c>
      <c r="P412" s="69">
        <v>694539</v>
      </c>
      <c r="Q412" s="92" t="s">
        <v>871</v>
      </c>
      <c r="R412" s="92" t="s">
        <v>559</v>
      </c>
      <c r="S412" s="87" t="s">
        <v>959</v>
      </c>
    </row>
    <row r="413" spans="1:19" x14ac:dyDescent="0.2">
      <c r="A413" s="92" t="s">
        <v>705</v>
      </c>
      <c r="B413" s="69">
        <v>15</v>
      </c>
      <c r="C413" s="69">
        <v>-2</v>
      </c>
      <c r="D413" s="69">
        <v>7</v>
      </c>
      <c r="E413" s="69">
        <v>34</v>
      </c>
      <c r="F413" s="69">
        <v>90</v>
      </c>
      <c r="G413" s="69">
        <v>142</v>
      </c>
      <c r="H413" s="69">
        <v>19.3</v>
      </c>
      <c r="I413" s="70">
        <v>0.52</v>
      </c>
      <c r="J413" s="70">
        <v>1.5</v>
      </c>
      <c r="K413" s="69">
        <v>14.2</v>
      </c>
      <c r="L413" s="69">
        <v>1.4</v>
      </c>
      <c r="M413" s="69" t="s">
        <v>958</v>
      </c>
      <c r="N413" s="69">
        <v>2006</v>
      </c>
      <c r="O413" s="69" t="s">
        <v>585</v>
      </c>
      <c r="P413" s="69">
        <v>416867</v>
      </c>
      <c r="Q413" s="92" t="s">
        <v>871</v>
      </c>
      <c r="R413" s="92" t="s">
        <v>559</v>
      </c>
      <c r="S413" s="92" t="s">
        <v>959</v>
      </c>
    </row>
    <row r="414" spans="1:19" x14ac:dyDescent="0.2">
      <c r="A414" s="92" t="s">
        <v>481</v>
      </c>
      <c r="B414" s="69">
        <v>12</v>
      </c>
      <c r="C414" s="69">
        <v>5</v>
      </c>
      <c r="D414" s="69">
        <v>11</v>
      </c>
      <c r="E414" s="69">
        <v>14</v>
      </c>
      <c r="F414" s="69">
        <v>42</v>
      </c>
      <c r="G414" s="69">
        <v>58</v>
      </c>
      <c r="H414" s="69">
        <v>9.6</v>
      </c>
      <c r="I414" s="70">
        <v>0.52</v>
      </c>
      <c r="J414" s="70">
        <v>1.53</v>
      </c>
      <c r="K414" s="69">
        <v>5.4</v>
      </c>
      <c r="L414" s="69">
        <v>2</v>
      </c>
      <c r="M414" s="69" t="s">
        <v>968</v>
      </c>
      <c r="N414" s="69">
        <v>2000</v>
      </c>
      <c r="O414" s="69" t="s">
        <v>485</v>
      </c>
      <c r="P414" s="69">
        <v>298570</v>
      </c>
      <c r="Q414" s="92" t="s">
        <v>264</v>
      </c>
      <c r="R414" s="92" t="s">
        <v>478</v>
      </c>
      <c r="S414" s="87"/>
    </row>
    <row r="415" spans="1:19" x14ac:dyDescent="0.2">
      <c r="A415" s="92" t="s">
        <v>753</v>
      </c>
      <c r="B415" s="69">
        <v>6</v>
      </c>
      <c r="C415" s="69">
        <v>-1</v>
      </c>
      <c r="D415" s="69">
        <v>5</v>
      </c>
      <c r="E415" s="69">
        <v>10</v>
      </c>
      <c r="F415" s="69">
        <v>38</v>
      </c>
      <c r="G415" s="69">
        <v>55</v>
      </c>
      <c r="H415" s="69">
        <v>9.1999999999999993</v>
      </c>
      <c r="I415" s="70">
        <v>0.53</v>
      </c>
      <c r="J415" s="70">
        <v>1.6</v>
      </c>
      <c r="K415" s="69">
        <v>7.5</v>
      </c>
      <c r="L415" s="69">
        <v>1.2</v>
      </c>
      <c r="M415" s="69" t="s">
        <v>958</v>
      </c>
      <c r="N415" s="69">
        <v>2000</v>
      </c>
      <c r="O415" s="69" t="s">
        <v>585</v>
      </c>
      <c r="P415" s="69">
        <v>878520</v>
      </c>
      <c r="Q415" s="92" t="s">
        <v>542</v>
      </c>
      <c r="R415" s="92" t="s">
        <v>219</v>
      </c>
      <c r="S415" s="92"/>
    </row>
    <row r="416" spans="1:19" x14ac:dyDescent="0.2">
      <c r="A416" s="92" t="s">
        <v>560</v>
      </c>
      <c r="B416" s="69">
        <v>14</v>
      </c>
      <c r="C416" s="69">
        <v>-2</v>
      </c>
      <c r="D416" s="69">
        <v>8</v>
      </c>
      <c r="E416" s="69">
        <v>26</v>
      </c>
      <c r="F416" s="69">
        <v>85</v>
      </c>
      <c r="G416" s="69">
        <v>126</v>
      </c>
      <c r="H416" s="69">
        <v>17.7</v>
      </c>
      <c r="I416" s="70">
        <v>0.53</v>
      </c>
      <c r="J416" s="70">
        <v>1.6</v>
      </c>
      <c r="K416" s="69">
        <v>14.2</v>
      </c>
      <c r="L416" s="69">
        <v>1.4</v>
      </c>
      <c r="M416" s="69" t="s">
        <v>958</v>
      </c>
      <c r="N416" s="69">
        <v>2000</v>
      </c>
      <c r="O416" s="69" t="s">
        <v>585</v>
      </c>
      <c r="P416" s="69">
        <v>842690</v>
      </c>
      <c r="Q416" s="92" t="s">
        <v>542</v>
      </c>
      <c r="R416" s="92" t="s">
        <v>559</v>
      </c>
      <c r="S416" s="92"/>
    </row>
    <row r="417" spans="1:19" x14ac:dyDescent="0.2">
      <c r="A417" s="92" t="s">
        <v>543</v>
      </c>
      <c r="B417" s="69">
        <v>14</v>
      </c>
      <c r="C417" s="69">
        <v>-1</v>
      </c>
      <c r="D417" s="69">
        <v>9</v>
      </c>
      <c r="E417" s="69">
        <v>21</v>
      </c>
      <c r="F417" s="69">
        <v>72</v>
      </c>
      <c r="G417" s="69">
        <v>95</v>
      </c>
      <c r="H417" s="69">
        <v>14.3</v>
      </c>
      <c r="I417" s="70">
        <v>0.53</v>
      </c>
      <c r="J417" s="70">
        <v>1.6</v>
      </c>
      <c r="K417" s="69">
        <v>15.5</v>
      </c>
      <c r="L417" s="69">
        <v>1.1000000000000001</v>
      </c>
      <c r="M417" s="69" t="s">
        <v>958</v>
      </c>
      <c r="N417" s="69">
        <v>2000</v>
      </c>
      <c r="O417" s="69" t="s">
        <v>585</v>
      </c>
      <c r="P417" s="69">
        <v>806869</v>
      </c>
      <c r="Q417" s="92" t="s">
        <v>542</v>
      </c>
      <c r="R417" s="92" t="s">
        <v>515</v>
      </c>
      <c r="S417" s="87"/>
    </row>
    <row r="418" spans="1:19" x14ac:dyDescent="0.2">
      <c r="A418" s="92" t="s">
        <v>451</v>
      </c>
      <c r="B418" s="69">
        <v>14</v>
      </c>
      <c r="C418" s="69">
        <v>8</v>
      </c>
      <c r="D418" s="69">
        <v>11</v>
      </c>
      <c r="E418" s="69">
        <v>23</v>
      </c>
      <c r="F418" s="69">
        <v>60</v>
      </c>
      <c r="G418" s="69">
        <v>54</v>
      </c>
      <c r="H418" s="69">
        <v>9</v>
      </c>
      <c r="I418" s="70">
        <v>0.53</v>
      </c>
      <c r="J418" s="70">
        <v>1.23</v>
      </c>
      <c r="K418" s="69">
        <v>7.6</v>
      </c>
      <c r="L418" s="69">
        <v>1.8</v>
      </c>
      <c r="M418" s="69" t="s">
        <v>968</v>
      </c>
      <c r="N418" s="69">
        <v>2000</v>
      </c>
      <c r="O418" s="69" t="s">
        <v>485</v>
      </c>
      <c r="P418" s="69">
        <v>555466</v>
      </c>
      <c r="Q418" s="92" t="s">
        <v>324</v>
      </c>
      <c r="R418" s="92" t="s">
        <v>109</v>
      </c>
      <c r="S418" s="92"/>
    </row>
    <row r="419" spans="1:19" x14ac:dyDescent="0.2">
      <c r="A419" s="92" t="s">
        <v>1070</v>
      </c>
      <c r="B419" s="69">
        <v>-6</v>
      </c>
      <c r="C419" s="69">
        <v>0</v>
      </c>
      <c r="D419" s="69">
        <v>12</v>
      </c>
      <c r="E419" s="69">
        <v>0</v>
      </c>
      <c r="F419" s="69">
        <v>-8</v>
      </c>
      <c r="G419" s="69">
        <v>4</v>
      </c>
      <c r="H419" s="69">
        <v>0.8</v>
      </c>
      <c r="I419" s="70">
        <v>0.53</v>
      </c>
      <c r="J419" s="70">
        <v>2.2000000000000002</v>
      </c>
      <c r="K419" s="69">
        <v>20.399999999999999</v>
      </c>
      <c r="L419" s="69">
        <v>-0.2</v>
      </c>
      <c r="M419" s="69" t="s">
        <v>958</v>
      </c>
      <c r="N419" s="69">
        <v>2005</v>
      </c>
      <c r="O419" s="69" t="s">
        <v>485</v>
      </c>
      <c r="P419" s="69">
        <v>851725</v>
      </c>
      <c r="Q419" s="92" t="s">
        <v>594</v>
      </c>
      <c r="R419" s="92" t="s">
        <v>157</v>
      </c>
      <c r="S419" s="92"/>
    </row>
    <row r="420" spans="1:19" x14ac:dyDescent="0.2">
      <c r="A420" s="92" t="s">
        <v>595</v>
      </c>
      <c r="B420" s="69">
        <v>13</v>
      </c>
      <c r="C420" s="69">
        <v>-1</v>
      </c>
      <c r="D420" s="69">
        <v>6</v>
      </c>
      <c r="E420" s="69">
        <v>21</v>
      </c>
      <c r="F420" s="69">
        <v>63</v>
      </c>
      <c r="G420" s="69">
        <v>76</v>
      </c>
      <c r="H420" s="69">
        <v>12</v>
      </c>
      <c r="I420" s="70">
        <v>0.53</v>
      </c>
      <c r="J420" s="70">
        <v>1.25</v>
      </c>
      <c r="K420" s="69">
        <v>12.3</v>
      </c>
      <c r="L420" s="69">
        <v>1.2</v>
      </c>
      <c r="M420" s="69" t="s">
        <v>958</v>
      </c>
      <c r="N420" s="69">
        <v>2000</v>
      </c>
      <c r="O420" s="69" t="s">
        <v>585</v>
      </c>
      <c r="P420" s="69">
        <v>739458</v>
      </c>
      <c r="Q420" s="92" t="s">
        <v>518</v>
      </c>
      <c r="R420" s="92" t="s">
        <v>515</v>
      </c>
      <c r="S420" s="87" t="s">
        <v>959</v>
      </c>
    </row>
    <row r="421" spans="1:19" x14ac:dyDescent="0.2">
      <c r="A421" s="92" t="s">
        <v>599</v>
      </c>
      <c r="B421" s="69">
        <v>8</v>
      </c>
      <c r="C421" s="69">
        <v>2</v>
      </c>
      <c r="D421" s="69">
        <v>7</v>
      </c>
      <c r="E421" s="69">
        <v>16</v>
      </c>
      <c r="F421" s="69">
        <v>39</v>
      </c>
      <c r="G421" s="69">
        <v>48</v>
      </c>
      <c r="H421" s="69">
        <v>8.1</v>
      </c>
      <c r="I421" s="70">
        <v>0.53</v>
      </c>
      <c r="J421" s="70">
        <v>1.34</v>
      </c>
      <c r="K421" s="69">
        <v>6.8</v>
      </c>
      <c r="L421" s="69">
        <v>1.4</v>
      </c>
      <c r="M421" s="69" t="s">
        <v>960</v>
      </c>
      <c r="N421" s="69">
        <v>2008</v>
      </c>
      <c r="O421" s="69" t="s">
        <v>485</v>
      </c>
      <c r="P421" s="69">
        <v>873505</v>
      </c>
      <c r="Q421" s="92" t="s">
        <v>597</v>
      </c>
      <c r="R421" s="92" t="s">
        <v>469</v>
      </c>
      <c r="S421" s="92"/>
    </row>
    <row r="422" spans="1:19" x14ac:dyDescent="0.2">
      <c r="A422" s="92" t="s">
        <v>209</v>
      </c>
      <c r="B422" s="69">
        <v>22</v>
      </c>
      <c r="C422" s="69">
        <v>12</v>
      </c>
      <c r="D422" s="69">
        <v>17</v>
      </c>
      <c r="E422" s="69">
        <v>38</v>
      </c>
      <c r="F422" s="69">
        <v>87</v>
      </c>
      <c r="G422" s="69">
        <v>98</v>
      </c>
      <c r="H422" s="69">
        <v>14.6</v>
      </c>
      <c r="I422" s="70">
        <v>0.53</v>
      </c>
      <c r="J422" s="70">
        <v>1.6</v>
      </c>
      <c r="K422" s="69">
        <v>9</v>
      </c>
      <c r="L422" s="69">
        <v>2.1</v>
      </c>
      <c r="M422" s="69" t="s">
        <v>958</v>
      </c>
      <c r="N422" s="69">
        <v>2000</v>
      </c>
      <c r="O422" s="69" t="s">
        <v>585</v>
      </c>
      <c r="P422" s="69">
        <v>771030</v>
      </c>
      <c r="Q422" s="92" t="s">
        <v>542</v>
      </c>
      <c r="R422" s="92" t="s">
        <v>207</v>
      </c>
      <c r="S422" s="92"/>
    </row>
    <row r="423" spans="1:19" x14ac:dyDescent="0.2">
      <c r="A423" s="92" t="s">
        <v>727</v>
      </c>
      <c r="B423" s="69">
        <v>16</v>
      </c>
      <c r="C423" s="69">
        <v>5</v>
      </c>
      <c r="D423" s="69">
        <v>12</v>
      </c>
      <c r="E423" s="69">
        <v>23</v>
      </c>
      <c r="F423" s="69">
        <v>37</v>
      </c>
      <c r="G423" s="69">
        <v>29</v>
      </c>
      <c r="H423" s="69">
        <v>5.2</v>
      </c>
      <c r="I423" s="70">
        <v>0.54</v>
      </c>
      <c r="J423" s="70">
        <v>1.38</v>
      </c>
      <c r="K423" s="69">
        <v>6.8</v>
      </c>
      <c r="L423" s="69">
        <v>1.4</v>
      </c>
      <c r="M423" s="69" t="s">
        <v>971</v>
      </c>
      <c r="N423" s="69">
        <v>2006</v>
      </c>
      <c r="O423" s="69" t="s">
        <v>485</v>
      </c>
      <c r="P423" s="69">
        <v>479436</v>
      </c>
      <c r="Q423" s="92" t="s">
        <v>584</v>
      </c>
      <c r="R423" s="92" t="s">
        <v>478</v>
      </c>
      <c r="S423" s="92"/>
    </row>
    <row r="424" spans="1:19" x14ac:dyDescent="0.2">
      <c r="A424" s="92" t="s">
        <v>891</v>
      </c>
      <c r="B424" s="69">
        <v>7</v>
      </c>
      <c r="C424" s="69">
        <v>4</v>
      </c>
      <c r="D424" s="69">
        <v>9</v>
      </c>
      <c r="E424" s="69">
        <v>9</v>
      </c>
      <c r="F424" s="69">
        <v>1</v>
      </c>
      <c r="G424" s="69"/>
      <c r="H424" s="69"/>
      <c r="I424" s="70">
        <v>0.54</v>
      </c>
      <c r="J424" s="70">
        <v>1.35</v>
      </c>
      <c r="K424" s="69">
        <v>6.3</v>
      </c>
      <c r="L424" s="69">
        <v>-0.2</v>
      </c>
      <c r="M424" s="69" t="s">
        <v>960</v>
      </c>
      <c r="N424" s="69">
        <v>2011</v>
      </c>
      <c r="O424" s="69" t="s">
        <v>485</v>
      </c>
      <c r="P424" s="69">
        <v>140434</v>
      </c>
      <c r="Q424" s="92" t="s">
        <v>93</v>
      </c>
      <c r="R424" s="92" t="s">
        <v>478</v>
      </c>
      <c r="S424" s="87"/>
    </row>
    <row r="425" spans="1:19" x14ac:dyDescent="0.2">
      <c r="A425" s="92" t="s">
        <v>260</v>
      </c>
      <c r="B425" s="69">
        <v>13</v>
      </c>
      <c r="C425" s="69">
        <v>11</v>
      </c>
      <c r="D425" s="69">
        <v>13</v>
      </c>
      <c r="E425" s="69">
        <v>29</v>
      </c>
      <c r="F425" s="69">
        <v>74</v>
      </c>
      <c r="G425" s="69">
        <v>109</v>
      </c>
      <c r="H425" s="69">
        <v>15.9</v>
      </c>
      <c r="I425" s="70">
        <v>0.54</v>
      </c>
      <c r="J425" s="70">
        <v>1.27</v>
      </c>
      <c r="K425" s="69">
        <v>8.8000000000000007</v>
      </c>
      <c r="L425" s="69">
        <v>1.8</v>
      </c>
      <c r="M425" s="69" t="s">
        <v>968</v>
      </c>
      <c r="N425" s="69">
        <v>2007</v>
      </c>
      <c r="O425" s="69" t="s">
        <v>485</v>
      </c>
      <c r="P425" s="69">
        <v>815837</v>
      </c>
      <c r="Q425" s="92" t="s">
        <v>268</v>
      </c>
      <c r="R425" s="92" t="s">
        <v>72</v>
      </c>
      <c r="S425" s="92"/>
    </row>
    <row r="426" spans="1:19" x14ac:dyDescent="0.2">
      <c r="A426" s="92" t="s">
        <v>687</v>
      </c>
      <c r="B426" s="69">
        <v>13</v>
      </c>
      <c r="C426" s="69">
        <v>7</v>
      </c>
      <c r="D426" s="69">
        <v>14</v>
      </c>
      <c r="E426" s="69">
        <v>20</v>
      </c>
      <c r="F426" s="69"/>
      <c r="G426" s="69"/>
      <c r="H426" s="69"/>
      <c r="I426" s="70">
        <v>0.54</v>
      </c>
      <c r="J426" s="70">
        <v>2.44</v>
      </c>
      <c r="K426" s="69"/>
      <c r="L426" s="69"/>
      <c r="M426" s="69" t="s">
        <v>958</v>
      </c>
      <c r="N426" s="69">
        <v>2011</v>
      </c>
      <c r="O426" s="69" t="s">
        <v>485</v>
      </c>
      <c r="P426" s="69">
        <v>912287</v>
      </c>
      <c r="Q426" s="92" t="s">
        <v>299</v>
      </c>
      <c r="R426" s="92" t="s">
        <v>227</v>
      </c>
      <c r="S426" s="87"/>
    </row>
    <row r="427" spans="1:19" x14ac:dyDescent="0.2">
      <c r="A427" s="92" t="s">
        <v>912</v>
      </c>
      <c r="B427" s="69">
        <v>9</v>
      </c>
      <c r="C427" s="69">
        <v>19</v>
      </c>
      <c r="D427" s="69">
        <v>7</v>
      </c>
      <c r="E427" s="69">
        <v>21</v>
      </c>
      <c r="F427" s="69">
        <v>8</v>
      </c>
      <c r="G427" s="69">
        <v>-2</v>
      </c>
      <c r="H427" s="69">
        <v>-0.5</v>
      </c>
      <c r="I427" s="70">
        <v>0.54</v>
      </c>
      <c r="J427" s="70">
        <v>1.58</v>
      </c>
      <c r="K427" s="69">
        <v>20.7</v>
      </c>
      <c r="L427" s="69">
        <v>0.1</v>
      </c>
      <c r="M427" s="69" t="s">
        <v>958</v>
      </c>
      <c r="N427" s="69">
        <v>2013</v>
      </c>
      <c r="O427" s="69" t="s">
        <v>485</v>
      </c>
      <c r="P427" s="69">
        <v>374181</v>
      </c>
      <c r="Q427" s="92" t="s">
        <v>697</v>
      </c>
      <c r="R427" s="92" t="s">
        <v>275</v>
      </c>
      <c r="S427" s="92"/>
    </row>
    <row r="428" spans="1:19" x14ac:dyDescent="0.2">
      <c r="A428" s="92" t="s">
        <v>709</v>
      </c>
      <c r="B428" s="69">
        <v>-3</v>
      </c>
      <c r="C428" s="69">
        <v>-7</v>
      </c>
      <c r="D428" s="69">
        <v>-3</v>
      </c>
      <c r="E428" s="69">
        <v>2</v>
      </c>
      <c r="F428" s="69">
        <v>14</v>
      </c>
      <c r="G428" s="69">
        <v>36</v>
      </c>
      <c r="H428" s="69">
        <v>6.3</v>
      </c>
      <c r="I428" s="70">
        <v>0.54</v>
      </c>
      <c r="J428" s="70">
        <v>1.58</v>
      </c>
      <c r="K428" s="69">
        <v>17.399999999999999</v>
      </c>
      <c r="L428" s="69">
        <v>0.3</v>
      </c>
      <c r="M428" s="69" t="s">
        <v>958</v>
      </c>
      <c r="N428" s="69">
        <v>2009</v>
      </c>
      <c r="O428" s="69" t="s">
        <v>485</v>
      </c>
      <c r="P428" s="69">
        <v>225490</v>
      </c>
      <c r="Q428" s="92" t="s">
        <v>697</v>
      </c>
      <c r="R428" s="92" t="s">
        <v>207</v>
      </c>
      <c r="S428" s="87"/>
    </row>
    <row r="429" spans="1:19" x14ac:dyDescent="0.2">
      <c r="A429" s="92" t="s">
        <v>1071</v>
      </c>
      <c r="B429" s="69"/>
      <c r="C429" s="69">
        <v>13</v>
      </c>
      <c r="D429" s="69"/>
      <c r="E429" s="69"/>
      <c r="F429" s="69"/>
      <c r="G429" s="69"/>
      <c r="H429" s="69"/>
      <c r="I429" s="70">
        <v>0.54</v>
      </c>
      <c r="J429" s="70">
        <v>1.65</v>
      </c>
      <c r="K429" s="69"/>
      <c r="L429" s="69"/>
      <c r="M429" s="69" t="s">
        <v>958</v>
      </c>
      <c r="N429" s="69">
        <v>2014</v>
      </c>
      <c r="O429" s="69" t="s">
        <v>585</v>
      </c>
      <c r="P429" s="69">
        <v>802900</v>
      </c>
      <c r="Q429" s="92" t="s">
        <v>524</v>
      </c>
      <c r="R429" s="92" t="s">
        <v>121</v>
      </c>
      <c r="S429" s="92" t="s">
        <v>959</v>
      </c>
    </row>
    <row r="430" spans="1:19" x14ac:dyDescent="0.2">
      <c r="A430" s="92" t="s">
        <v>296</v>
      </c>
      <c r="B430" s="69">
        <v>52</v>
      </c>
      <c r="C430" s="69">
        <v>20</v>
      </c>
      <c r="D430" s="69">
        <v>52</v>
      </c>
      <c r="E430" s="69">
        <v>89</v>
      </c>
      <c r="F430" s="69">
        <v>34</v>
      </c>
      <c r="G430" s="69">
        <v>46</v>
      </c>
      <c r="H430" s="69">
        <v>7.9</v>
      </c>
      <c r="I430" s="70">
        <v>0.54</v>
      </c>
      <c r="J430" s="70">
        <v>2.2200000000000002</v>
      </c>
      <c r="K430" s="69">
        <v>22.7</v>
      </c>
      <c r="L430" s="69">
        <v>0.5</v>
      </c>
      <c r="M430" s="69" t="s">
        <v>958</v>
      </c>
      <c r="N430" s="69">
        <v>2004</v>
      </c>
      <c r="O430" s="69" t="s">
        <v>585</v>
      </c>
      <c r="P430" s="69">
        <v>505586</v>
      </c>
      <c r="Q430" s="92" t="s">
        <v>657</v>
      </c>
      <c r="R430" s="92" t="s">
        <v>180</v>
      </c>
      <c r="S430" s="92"/>
    </row>
    <row r="431" spans="1:19" x14ac:dyDescent="0.2">
      <c r="A431" s="92" t="s">
        <v>302</v>
      </c>
      <c r="B431" s="69">
        <v>5</v>
      </c>
      <c r="C431" s="69">
        <v>-3</v>
      </c>
      <c r="D431" s="69">
        <v>2</v>
      </c>
      <c r="E431" s="69">
        <v>12</v>
      </c>
      <c r="F431" s="69">
        <v>65</v>
      </c>
      <c r="G431" s="69"/>
      <c r="H431" s="69"/>
      <c r="I431" s="70">
        <v>0.55000000000000004</v>
      </c>
      <c r="J431" s="70">
        <v>1.3</v>
      </c>
      <c r="K431" s="69">
        <v>12.3</v>
      </c>
      <c r="L431" s="69">
        <v>1.2</v>
      </c>
      <c r="M431" s="69" t="s">
        <v>958</v>
      </c>
      <c r="N431" s="69">
        <v>2011</v>
      </c>
      <c r="O431" s="69" t="s">
        <v>585</v>
      </c>
      <c r="P431" s="69">
        <v>584979</v>
      </c>
      <c r="Q431" s="92" t="s">
        <v>303</v>
      </c>
      <c r="R431" s="92" t="s">
        <v>515</v>
      </c>
      <c r="S431" s="92"/>
    </row>
    <row r="432" spans="1:19" x14ac:dyDescent="0.2">
      <c r="A432" s="92" t="s">
        <v>664</v>
      </c>
      <c r="B432" s="69">
        <v>-5</v>
      </c>
      <c r="C432" s="69">
        <v>4</v>
      </c>
      <c r="D432" s="69">
        <v>18</v>
      </c>
      <c r="E432" s="69">
        <v>6</v>
      </c>
      <c r="F432" s="69">
        <v>-15</v>
      </c>
      <c r="G432" s="69">
        <v>17</v>
      </c>
      <c r="H432" s="69">
        <v>3.1</v>
      </c>
      <c r="I432" s="70">
        <v>0.55000000000000004</v>
      </c>
      <c r="J432" s="70">
        <v>2.4500000000000002</v>
      </c>
      <c r="K432" s="69">
        <v>23.6</v>
      </c>
      <c r="L432" s="69">
        <v>-0.3</v>
      </c>
      <c r="M432" s="69" t="s">
        <v>958</v>
      </c>
      <c r="N432" s="69">
        <v>2009</v>
      </c>
      <c r="O432" s="69" t="s">
        <v>485</v>
      </c>
      <c r="P432" s="69">
        <v>390062</v>
      </c>
      <c r="Q432" s="92" t="s">
        <v>521</v>
      </c>
      <c r="R432" s="92" t="s">
        <v>276</v>
      </c>
      <c r="S432" s="92"/>
    </row>
    <row r="433" spans="1:19" x14ac:dyDescent="0.2">
      <c r="A433" s="92" t="s">
        <v>43</v>
      </c>
      <c r="B433" s="69">
        <v>11</v>
      </c>
      <c r="C433" s="69">
        <v>4</v>
      </c>
      <c r="D433" s="69">
        <v>13</v>
      </c>
      <c r="E433" s="69">
        <v>23</v>
      </c>
      <c r="F433" s="69">
        <v>56</v>
      </c>
      <c r="G433" s="69">
        <v>44</v>
      </c>
      <c r="H433" s="69">
        <v>7.5</v>
      </c>
      <c r="I433" s="70">
        <v>0.55000000000000004</v>
      </c>
      <c r="J433" s="70">
        <v>1.3</v>
      </c>
      <c r="K433" s="69">
        <v>9.8000000000000007</v>
      </c>
      <c r="L433" s="69">
        <v>1.2</v>
      </c>
      <c r="M433" s="69" t="s">
        <v>960</v>
      </c>
      <c r="N433" s="69">
        <v>2001</v>
      </c>
      <c r="O433" s="69" t="s">
        <v>485</v>
      </c>
      <c r="P433" s="69">
        <v>899773</v>
      </c>
      <c r="Q433" s="92" t="s">
        <v>93</v>
      </c>
      <c r="R433" s="92" t="s">
        <v>38</v>
      </c>
      <c r="S433" s="87"/>
    </row>
    <row r="434" spans="1:19" x14ac:dyDescent="0.2">
      <c r="A434" s="92" t="s">
        <v>670</v>
      </c>
      <c r="B434" s="69">
        <v>7</v>
      </c>
      <c r="C434" s="69">
        <v>2</v>
      </c>
      <c r="D434" s="69">
        <v>8</v>
      </c>
      <c r="E434" s="69">
        <v>20</v>
      </c>
      <c r="F434" s="69">
        <v>53</v>
      </c>
      <c r="G434" s="69">
        <v>48</v>
      </c>
      <c r="H434" s="69">
        <v>8.1999999999999993</v>
      </c>
      <c r="I434" s="70">
        <v>0.55000000000000004</v>
      </c>
      <c r="J434" s="70">
        <v>1.29</v>
      </c>
      <c r="K434" s="69">
        <v>9.4</v>
      </c>
      <c r="L434" s="69">
        <v>1.3</v>
      </c>
      <c r="M434" s="69" t="s">
        <v>960</v>
      </c>
      <c r="N434" s="69">
        <v>2000</v>
      </c>
      <c r="O434" s="69" t="s">
        <v>485</v>
      </c>
      <c r="P434" s="69">
        <v>317404</v>
      </c>
      <c r="Q434" s="92" t="s">
        <v>268</v>
      </c>
      <c r="R434" s="92" t="s">
        <v>38</v>
      </c>
      <c r="S434" s="92"/>
    </row>
    <row r="435" spans="1:19" x14ac:dyDescent="0.2">
      <c r="A435" s="92" t="s">
        <v>259</v>
      </c>
      <c r="B435" s="69">
        <v>17</v>
      </c>
      <c r="C435" s="69">
        <v>16</v>
      </c>
      <c r="D435" s="69">
        <v>12</v>
      </c>
      <c r="E435" s="69">
        <v>35</v>
      </c>
      <c r="F435" s="69">
        <v>77</v>
      </c>
      <c r="G435" s="69">
        <v>121</v>
      </c>
      <c r="H435" s="69">
        <v>17.2</v>
      </c>
      <c r="I435" s="70">
        <v>0.55000000000000004</v>
      </c>
      <c r="J435" s="70">
        <v>1.3</v>
      </c>
      <c r="K435" s="69">
        <v>12.7</v>
      </c>
      <c r="L435" s="69">
        <v>1.3</v>
      </c>
      <c r="M435" s="69" t="s">
        <v>960</v>
      </c>
      <c r="N435" s="69">
        <v>2000</v>
      </c>
      <c r="O435" s="69" t="s">
        <v>485</v>
      </c>
      <c r="P435" s="69">
        <v>174086</v>
      </c>
      <c r="Q435" s="92" t="s">
        <v>268</v>
      </c>
      <c r="R435" s="92" t="s">
        <v>72</v>
      </c>
      <c r="S435" s="87"/>
    </row>
    <row r="436" spans="1:19" x14ac:dyDescent="0.2">
      <c r="A436" s="92" t="s">
        <v>812</v>
      </c>
      <c r="B436" s="69">
        <v>9</v>
      </c>
      <c r="C436" s="69">
        <v>8</v>
      </c>
      <c r="D436" s="69">
        <v>10</v>
      </c>
      <c r="E436" s="69">
        <v>18</v>
      </c>
      <c r="F436" s="69">
        <v>42</v>
      </c>
      <c r="G436" s="69">
        <v>49</v>
      </c>
      <c r="H436" s="69">
        <v>8.3000000000000007</v>
      </c>
      <c r="I436" s="70">
        <v>0.55000000000000004</v>
      </c>
      <c r="J436" s="70">
        <v>1.5</v>
      </c>
      <c r="K436" s="69">
        <v>7.7</v>
      </c>
      <c r="L436" s="69">
        <v>1.3</v>
      </c>
      <c r="M436" s="69" t="s">
        <v>968</v>
      </c>
      <c r="N436" s="69">
        <v>2002</v>
      </c>
      <c r="O436" s="69" t="s">
        <v>485</v>
      </c>
      <c r="P436" s="69">
        <v>872440</v>
      </c>
      <c r="Q436" s="92" t="s">
        <v>264</v>
      </c>
      <c r="R436" s="92" t="s">
        <v>109</v>
      </c>
      <c r="S436" s="87"/>
    </row>
    <row r="437" spans="1:19" x14ac:dyDescent="0.2">
      <c r="A437" s="92" t="s">
        <v>628</v>
      </c>
      <c r="B437" s="69">
        <v>3</v>
      </c>
      <c r="C437" s="69">
        <v>-7</v>
      </c>
      <c r="D437" s="69">
        <v>-5</v>
      </c>
      <c r="E437" s="69">
        <v>21</v>
      </c>
      <c r="F437" s="69">
        <v>63</v>
      </c>
      <c r="G437" s="69">
        <v>52</v>
      </c>
      <c r="H437" s="69">
        <v>8.6999999999999993</v>
      </c>
      <c r="I437" s="70">
        <v>0.55000000000000004</v>
      </c>
      <c r="J437" s="70">
        <v>1.53</v>
      </c>
      <c r="K437" s="69">
        <v>18.7</v>
      </c>
      <c r="L437" s="69">
        <v>0.8</v>
      </c>
      <c r="M437" s="69" t="s">
        <v>958</v>
      </c>
      <c r="N437" s="69">
        <v>2005</v>
      </c>
      <c r="O437" s="69" t="s">
        <v>585</v>
      </c>
      <c r="P437" s="69">
        <v>832899</v>
      </c>
      <c r="Q437" s="92" t="s">
        <v>323</v>
      </c>
      <c r="R437" s="92" t="s">
        <v>515</v>
      </c>
      <c r="S437" s="92"/>
    </row>
    <row r="438" spans="1:19" x14ac:dyDescent="0.2">
      <c r="A438" s="92" t="s">
        <v>629</v>
      </c>
      <c r="B438" s="69">
        <v>10</v>
      </c>
      <c r="C438" s="69">
        <v>-1</v>
      </c>
      <c r="D438" s="69">
        <v>6</v>
      </c>
      <c r="E438" s="69">
        <v>16</v>
      </c>
      <c r="F438" s="69">
        <v>63</v>
      </c>
      <c r="G438" s="69">
        <v>79</v>
      </c>
      <c r="H438" s="69">
        <v>12.3</v>
      </c>
      <c r="I438" s="70">
        <v>0.55000000000000004</v>
      </c>
      <c r="J438" s="70">
        <v>1.54</v>
      </c>
      <c r="K438" s="69">
        <v>12.2</v>
      </c>
      <c r="L438" s="69">
        <v>1.2</v>
      </c>
      <c r="M438" s="69" t="s">
        <v>958</v>
      </c>
      <c r="N438" s="69">
        <v>2000</v>
      </c>
      <c r="O438" s="69" t="s">
        <v>585</v>
      </c>
      <c r="P438" s="69">
        <v>937433</v>
      </c>
      <c r="Q438" s="92" t="s">
        <v>323</v>
      </c>
      <c r="R438" s="92" t="s">
        <v>38</v>
      </c>
      <c r="S438" s="87"/>
    </row>
    <row r="439" spans="1:19" x14ac:dyDescent="0.2">
      <c r="A439" s="92" t="s">
        <v>849</v>
      </c>
      <c r="B439" s="69">
        <v>12</v>
      </c>
      <c r="C439" s="69">
        <v>-3</v>
      </c>
      <c r="D439" s="69">
        <v>9</v>
      </c>
      <c r="E439" s="69">
        <v>27</v>
      </c>
      <c r="F439" s="69">
        <v>49</v>
      </c>
      <c r="G439" s="69"/>
      <c r="H439" s="69"/>
      <c r="I439" s="70">
        <v>0.55000000000000004</v>
      </c>
      <c r="J439" s="70">
        <v>1.46</v>
      </c>
      <c r="K439" s="69">
        <v>15.9</v>
      </c>
      <c r="L439" s="69">
        <v>0.7</v>
      </c>
      <c r="M439" s="69" t="s">
        <v>960</v>
      </c>
      <c r="N439" s="69">
        <v>2011</v>
      </c>
      <c r="O439" s="69" t="s">
        <v>485</v>
      </c>
      <c r="P439" s="69">
        <v>157438</v>
      </c>
      <c r="Q439" s="92" t="s">
        <v>347</v>
      </c>
      <c r="R439" s="92" t="s">
        <v>180</v>
      </c>
      <c r="S439" s="92" t="s">
        <v>959</v>
      </c>
    </row>
    <row r="440" spans="1:19" x14ac:dyDescent="0.2">
      <c r="A440" s="92" t="s">
        <v>138</v>
      </c>
      <c r="B440" s="69">
        <v>9</v>
      </c>
      <c r="C440" s="69">
        <v>3</v>
      </c>
      <c r="D440" s="69">
        <v>8</v>
      </c>
      <c r="E440" s="69">
        <v>14</v>
      </c>
      <c r="F440" s="69">
        <v>21</v>
      </c>
      <c r="G440" s="69">
        <v>15</v>
      </c>
      <c r="H440" s="69">
        <v>2.8</v>
      </c>
      <c r="I440" s="70">
        <v>0.55000000000000004</v>
      </c>
      <c r="J440" s="70">
        <v>1.42</v>
      </c>
      <c r="K440" s="69">
        <v>5.6</v>
      </c>
      <c r="L440" s="69">
        <v>0.9</v>
      </c>
      <c r="M440" s="69" t="s">
        <v>960</v>
      </c>
      <c r="N440" s="69">
        <v>2003</v>
      </c>
      <c r="O440" s="69" t="s">
        <v>485</v>
      </c>
      <c r="P440" s="69">
        <v>352583</v>
      </c>
      <c r="Q440" s="92" t="s">
        <v>320</v>
      </c>
      <c r="R440" s="92" t="s">
        <v>478</v>
      </c>
      <c r="S440" s="87"/>
    </row>
    <row r="441" spans="1:19" x14ac:dyDescent="0.2">
      <c r="A441" s="92" t="s">
        <v>920</v>
      </c>
      <c r="B441" s="69">
        <v>7</v>
      </c>
      <c r="C441" s="69">
        <v>2</v>
      </c>
      <c r="D441" s="69">
        <v>6</v>
      </c>
      <c r="E441" s="69">
        <v>9</v>
      </c>
      <c r="F441" s="69">
        <v>22</v>
      </c>
      <c r="G441" s="69">
        <v>24</v>
      </c>
      <c r="H441" s="69">
        <v>4.5</v>
      </c>
      <c r="I441" s="70">
        <v>0.56000000000000005</v>
      </c>
      <c r="J441" s="70">
        <v>1.4</v>
      </c>
      <c r="K441" s="69">
        <v>8.6999999999999993</v>
      </c>
      <c r="L441" s="69">
        <v>0.7</v>
      </c>
      <c r="M441" s="69" t="s">
        <v>960</v>
      </c>
      <c r="N441" s="69">
        <v>2013</v>
      </c>
      <c r="O441" s="69" t="s">
        <v>485</v>
      </c>
      <c r="P441" s="69">
        <v>717900</v>
      </c>
      <c r="Q441" s="92" t="s">
        <v>1096</v>
      </c>
      <c r="R441" s="92" t="s">
        <v>478</v>
      </c>
      <c r="S441" s="92"/>
    </row>
    <row r="442" spans="1:19" x14ac:dyDescent="0.2">
      <c r="A442" s="92" t="s">
        <v>1076</v>
      </c>
      <c r="B442" s="69">
        <v>5</v>
      </c>
      <c r="C442" s="69">
        <v>1</v>
      </c>
      <c r="D442" s="69">
        <v>3</v>
      </c>
      <c r="E442" s="69">
        <v>8</v>
      </c>
      <c r="F442" s="69"/>
      <c r="G442" s="69"/>
      <c r="H442" s="69"/>
      <c r="I442" s="70">
        <v>0.56000000000000005</v>
      </c>
      <c r="J442" s="70">
        <v>1.77</v>
      </c>
      <c r="K442" s="69"/>
      <c r="L442" s="69"/>
      <c r="M442" s="69" t="s">
        <v>958</v>
      </c>
      <c r="N442" s="69">
        <v>2012</v>
      </c>
      <c r="O442" s="69" t="s">
        <v>485</v>
      </c>
      <c r="P442" s="69">
        <v>299511</v>
      </c>
      <c r="Q442" s="92" t="s">
        <v>645</v>
      </c>
      <c r="R442" s="92" t="s">
        <v>478</v>
      </c>
      <c r="S442" s="92"/>
    </row>
    <row r="443" spans="1:19" x14ac:dyDescent="0.2">
      <c r="A443" s="92" t="s">
        <v>20</v>
      </c>
      <c r="B443" s="69">
        <v>21</v>
      </c>
      <c r="C443" s="69">
        <v>7</v>
      </c>
      <c r="D443" s="69">
        <v>19</v>
      </c>
      <c r="E443" s="69">
        <v>24</v>
      </c>
      <c r="F443" s="69">
        <v>50</v>
      </c>
      <c r="G443" s="69">
        <v>64</v>
      </c>
      <c r="H443" s="69">
        <v>10.3</v>
      </c>
      <c r="I443" s="70">
        <v>0.56000000000000005</v>
      </c>
      <c r="J443" s="70">
        <v>1.33</v>
      </c>
      <c r="K443" s="69">
        <v>10.3</v>
      </c>
      <c r="L443" s="69">
        <v>1.1000000000000001</v>
      </c>
      <c r="M443" s="69" t="s">
        <v>968</v>
      </c>
      <c r="N443" s="69">
        <v>2007</v>
      </c>
      <c r="O443" s="69" t="s">
        <v>485</v>
      </c>
      <c r="P443" s="69">
        <v>136895</v>
      </c>
      <c r="Q443" s="92" t="s">
        <v>268</v>
      </c>
      <c r="R443" s="92" t="s">
        <v>207</v>
      </c>
      <c r="S443" s="87"/>
    </row>
    <row r="444" spans="1:19" x14ac:dyDescent="0.2">
      <c r="A444" s="92" t="s">
        <v>770</v>
      </c>
      <c r="B444" s="69">
        <v>5</v>
      </c>
      <c r="C444" s="69">
        <v>1</v>
      </c>
      <c r="D444" s="69">
        <v>4</v>
      </c>
      <c r="E444" s="69">
        <v>8</v>
      </c>
      <c r="F444" s="69"/>
      <c r="G444" s="69"/>
      <c r="H444" s="69"/>
      <c r="I444" s="70">
        <v>0.56000000000000005</v>
      </c>
      <c r="J444" s="70">
        <v>1.5</v>
      </c>
      <c r="K444" s="69"/>
      <c r="L444" s="69"/>
      <c r="M444" s="69" t="s">
        <v>958</v>
      </c>
      <c r="N444" s="69">
        <v>2012</v>
      </c>
      <c r="O444" s="69" t="s">
        <v>585</v>
      </c>
      <c r="P444" s="69">
        <v>447086</v>
      </c>
      <c r="Q444" s="92" t="s">
        <v>740</v>
      </c>
      <c r="R444" s="92" t="s">
        <v>227</v>
      </c>
      <c r="S444" s="87"/>
    </row>
    <row r="445" spans="1:19" x14ac:dyDescent="0.2">
      <c r="A445" s="92" t="s">
        <v>892</v>
      </c>
      <c r="B445" s="69">
        <v>8</v>
      </c>
      <c r="C445" s="69">
        <v>1</v>
      </c>
      <c r="D445" s="69">
        <v>6</v>
      </c>
      <c r="E445" s="69">
        <v>17</v>
      </c>
      <c r="F445" s="69">
        <v>65</v>
      </c>
      <c r="G445" s="69">
        <v>73</v>
      </c>
      <c r="H445" s="69">
        <v>11.5</v>
      </c>
      <c r="I445" s="70">
        <v>0.56000000000000005</v>
      </c>
      <c r="J445" s="70">
        <v>1.56</v>
      </c>
      <c r="K445" s="69">
        <v>9.9</v>
      </c>
      <c r="L445" s="69">
        <v>1.5</v>
      </c>
      <c r="M445" s="69" t="s">
        <v>958</v>
      </c>
      <c r="N445" s="69">
        <v>2000</v>
      </c>
      <c r="O445" s="69" t="s">
        <v>585</v>
      </c>
      <c r="P445" s="69">
        <v>144923</v>
      </c>
      <c r="Q445" s="92" t="s">
        <v>323</v>
      </c>
      <c r="R445" s="92" t="s">
        <v>38</v>
      </c>
      <c r="S445" s="87"/>
    </row>
    <row r="446" spans="1:19" x14ac:dyDescent="0.2">
      <c r="A446" s="92" t="s">
        <v>520</v>
      </c>
      <c r="B446" s="69">
        <v>13</v>
      </c>
      <c r="C446" s="69">
        <v>-1</v>
      </c>
      <c r="D446" s="69">
        <v>8</v>
      </c>
      <c r="E446" s="69">
        <v>23</v>
      </c>
      <c r="F446" s="69">
        <v>73</v>
      </c>
      <c r="G446" s="69">
        <v>91</v>
      </c>
      <c r="H446" s="69">
        <v>13.8</v>
      </c>
      <c r="I446" s="70">
        <v>0.56000000000000005</v>
      </c>
      <c r="J446" s="70">
        <v>1.51</v>
      </c>
      <c r="K446" s="69">
        <v>13.1</v>
      </c>
      <c r="L446" s="69">
        <v>1.3</v>
      </c>
      <c r="M446" s="69" t="s">
        <v>958</v>
      </c>
      <c r="N446" s="69">
        <v>2000</v>
      </c>
      <c r="O446" s="69" t="s">
        <v>585</v>
      </c>
      <c r="P446" s="69">
        <v>220244</v>
      </c>
      <c r="Q446" s="92" t="s">
        <v>519</v>
      </c>
      <c r="R446" s="92" t="s">
        <v>515</v>
      </c>
      <c r="S446" s="92"/>
    </row>
    <row r="447" spans="1:19" x14ac:dyDescent="0.2">
      <c r="A447" s="92" t="s">
        <v>1086</v>
      </c>
      <c r="B447" s="69">
        <v>20</v>
      </c>
      <c r="C447" s="69">
        <v>0</v>
      </c>
      <c r="D447" s="69">
        <v>10</v>
      </c>
      <c r="E447" s="69">
        <v>34</v>
      </c>
      <c r="F447" s="69">
        <v>77</v>
      </c>
      <c r="G447" s="69">
        <v>82</v>
      </c>
      <c r="H447" s="69">
        <v>12.8</v>
      </c>
      <c r="I447" s="70">
        <v>0.56000000000000005</v>
      </c>
      <c r="J447" s="70">
        <v>1.51</v>
      </c>
      <c r="K447" s="69">
        <v>13.3</v>
      </c>
      <c r="L447" s="69">
        <v>1.3</v>
      </c>
      <c r="M447" s="69" t="s">
        <v>958</v>
      </c>
      <c r="N447" s="69">
        <v>2000</v>
      </c>
      <c r="O447" s="69" t="s">
        <v>585</v>
      </c>
      <c r="P447" s="69">
        <v>184416</v>
      </c>
      <c r="Q447" s="92" t="s">
        <v>519</v>
      </c>
      <c r="R447" s="92" t="s">
        <v>559</v>
      </c>
      <c r="S447" s="87"/>
    </row>
    <row r="448" spans="1:19" x14ac:dyDescent="0.2">
      <c r="A448" s="92" t="s">
        <v>1072</v>
      </c>
      <c r="B448" s="69">
        <v>8</v>
      </c>
      <c r="C448" s="69">
        <v>2</v>
      </c>
      <c r="D448" s="69">
        <v>10</v>
      </c>
      <c r="E448" s="69">
        <v>12</v>
      </c>
      <c r="F448" s="69">
        <v>35</v>
      </c>
      <c r="G448" s="69">
        <v>36</v>
      </c>
      <c r="H448" s="69">
        <v>6.3</v>
      </c>
      <c r="I448" s="70">
        <v>0.56000000000000005</v>
      </c>
      <c r="J448" s="70">
        <v>1.4</v>
      </c>
      <c r="K448" s="69">
        <v>5.7</v>
      </c>
      <c r="L448" s="69">
        <v>1.6</v>
      </c>
      <c r="M448" s="69" t="s">
        <v>960</v>
      </c>
      <c r="N448" s="69">
        <v>2006</v>
      </c>
      <c r="O448" s="69" t="s">
        <v>485</v>
      </c>
      <c r="P448" s="69">
        <v>985895</v>
      </c>
      <c r="Q448" s="92" t="s">
        <v>46</v>
      </c>
      <c r="R448" s="92" t="s">
        <v>109</v>
      </c>
      <c r="S448" s="92" t="s">
        <v>959</v>
      </c>
    </row>
    <row r="449" spans="1:19" x14ac:dyDescent="0.2">
      <c r="A449" s="92" t="s">
        <v>942</v>
      </c>
      <c r="B449" s="69">
        <v>18</v>
      </c>
      <c r="C449" s="69">
        <v>9</v>
      </c>
      <c r="D449" s="69">
        <v>18</v>
      </c>
      <c r="E449" s="69">
        <v>24</v>
      </c>
      <c r="F449" s="69">
        <v>22</v>
      </c>
      <c r="G449" s="69">
        <v>33</v>
      </c>
      <c r="H449" s="69">
        <v>5.9</v>
      </c>
      <c r="I449" s="70">
        <v>0.56000000000000005</v>
      </c>
      <c r="J449" s="70">
        <v>1.72</v>
      </c>
      <c r="K449" s="69">
        <v>11.5</v>
      </c>
      <c r="L449" s="69">
        <v>0.5</v>
      </c>
      <c r="M449" s="69" t="s">
        <v>958</v>
      </c>
      <c r="N449" s="69">
        <v>2000</v>
      </c>
      <c r="O449" s="69" t="s">
        <v>585</v>
      </c>
      <c r="P449" s="69">
        <v>618629</v>
      </c>
      <c r="Q449" s="92" t="s">
        <v>524</v>
      </c>
      <c r="R449" s="92" t="s">
        <v>98</v>
      </c>
      <c r="S449" s="92" t="s">
        <v>959</v>
      </c>
    </row>
    <row r="450" spans="1:19" x14ac:dyDescent="0.2">
      <c r="A450" s="92" t="s">
        <v>775</v>
      </c>
      <c r="B450" s="69">
        <v>16</v>
      </c>
      <c r="C450" s="69">
        <v>8</v>
      </c>
      <c r="D450" s="69">
        <v>15</v>
      </c>
      <c r="E450" s="69">
        <v>25</v>
      </c>
      <c r="F450" s="69"/>
      <c r="G450" s="69"/>
      <c r="H450" s="69"/>
      <c r="I450" s="70">
        <v>0.56000000000000005</v>
      </c>
      <c r="J450" s="70">
        <v>2.33</v>
      </c>
      <c r="K450" s="69"/>
      <c r="L450" s="69"/>
      <c r="M450" s="69" t="s">
        <v>958</v>
      </c>
      <c r="N450" s="69">
        <v>2012</v>
      </c>
      <c r="O450" s="69" t="s">
        <v>585</v>
      </c>
      <c r="P450" s="69">
        <v>356592</v>
      </c>
      <c r="Q450" s="92" t="s">
        <v>685</v>
      </c>
      <c r="R450" s="92" t="s">
        <v>109</v>
      </c>
      <c r="S450" s="87"/>
    </row>
    <row r="451" spans="1:19" x14ac:dyDescent="0.2">
      <c r="A451" s="92" t="s">
        <v>776</v>
      </c>
      <c r="B451" s="69">
        <v>11</v>
      </c>
      <c r="C451" s="69">
        <v>4</v>
      </c>
      <c r="D451" s="69">
        <v>12</v>
      </c>
      <c r="E451" s="69">
        <v>21</v>
      </c>
      <c r="F451" s="69"/>
      <c r="G451" s="69"/>
      <c r="H451" s="69"/>
      <c r="I451" s="70">
        <v>0.56000000000000005</v>
      </c>
      <c r="J451" s="70">
        <v>2.34</v>
      </c>
      <c r="K451" s="69"/>
      <c r="L451" s="69"/>
      <c r="M451" s="69" t="s">
        <v>958</v>
      </c>
      <c r="N451" s="69">
        <v>2012</v>
      </c>
      <c r="O451" s="69" t="s">
        <v>585</v>
      </c>
      <c r="P451" s="69">
        <v>428250</v>
      </c>
      <c r="Q451" s="92" t="s">
        <v>685</v>
      </c>
      <c r="R451" s="92" t="s">
        <v>109</v>
      </c>
      <c r="S451" s="92"/>
    </row>
    <row r="452" spans="1:19" x14ac:dyDescent="0.2">
      <c r="A452" s="92" t="s">
        <v>206</v>
      </c>
      <c r="B452" s="69">
        <v>15</v>
      </c>
      <c r="C452" s="69">
        <v>5</v>
      </c>
      <c r="D452" s="69">
        <v>10</v>
      </c>
      <c r="E452" s="69">
        <v>25</v>
      </c>
      <c r="F452" s="69">
        <v>84</v>
      </c>
      <c r="G452" s="69">
        <v>92</v>
      </c>
      <c r="H452" s="69">
        <v>14</v>
      </c>
      <c r="I452" s="70">
        <v>0.56000000000000005</v>
      </c>
      <c r="J452" s="70">
        <v>1.62</v>
      </c>
      <c r="K452" s="69">
        <v>6.9</v>
      </c>
      <c r="L452" s="69">
        <v>2.7</v>
      </c>
      <c r="M452" s="69" t="s">
        <v>958</v>
      </c>
      <c r="N452" s="69">
        <v>2000</v>
      </c>
      <c r="O452" s="69" t="s">
        <v>585</v>
      </c>
      <c r="P452" s="69">
        <v>749788</v>
      </c>
      <c r="Q452" s="92" t="s">
        <v>528</v>
      </c>
      <c r="R452" s="92" t="s">
        <v>202</v>
      </c>
      <c r="S452" s="92"/>
    </row>
    <row r="453" spans="1:19" x14ac:dyDescent="0.2">
      <c r="A453" s="92" t="s">
        <v>54</v>
      </c>
      <c r="B453" s="69">
        <v>9</v>
      </c>
      <c r="C453" s="69">
        <v>4</v>
      </c>
      <c r="D453" s="69">
        <v>8</v>
      </c>
      <c r="E453" s="69">
        <v>14</v>
      </c>
      <c r="F453" s="69">
        <v>22</v>
      </c>
      <c r="G453" s="69">
        <v>16</v>
      </c>
      <c r="H453" s="69">
        <v>3.1</v>
      </c>
      <c r="I453" s="70">
        <v>0.56000000000000005</v>
      </c>
      <c r="J453" s="70">
        <v>1.31</v>
      </c>
      <c r="K453" s="69">
        <v>4.5</v>
      </c>
      <c r="L453" s="69">
        <v>1.1000000000000001</v>
      </c>
      <c r="M453" s="69" t="s">
        <v>960</v>
      </c>
      <c r="N453" s="69">
        <v>2008</v>
      </c>
      <c r="O453" s="69" t="s">
        <v>485</v>
      </c>
      <c r="P453" s="69">
        <v>271064</v>
      </c>
      <c r="Q453" s="92" t="s">
        <v>271</v>
      </c>
      <c r="R453" s="92" t="s">
        <v>227</v>
      </c>
      <c r="S453" s="92"/>
    </row>
    <row r="454" spans="1:19" x14ac:dyDescent="0.2">
      <c r="A454" s="92" t="s">
        <v>30</v>
      </c>
      <c r="B454" s="69">
        <v>18</v>
      </c>
      <c r="C454" s="69">
        <v>9</v>
      </c>
      <c r="D454" s="69">
        <v>17</v>
      </c>
      <c r="E454" s="69">
        <v>31</v>
      </c>
      <c r="F454" s="69">
        <v>87</v>
      </c>
      <c r="G454" s="69">
        <v>91</v>
      </c>
      <c r="H454" s="69">
        <v>13.8</v>
      </c>
      <c r="I454" s="70">
        <v>0.56000000000000005</v>
      </c>
      <c r="J454" s="70">
        <v>1.31</v>
      </c>
      <c r="K454" s="69">
        <v>8.1</v>
      </c>
      <c r="L454" s="69">
        <v>2.2999999999999998</v>
      </c>
      <c r="M454" s="69" t="s">
        <v>968</v>
      </c>
      <c r="N454" s="69">
        <v>2000</v>
      </c>
      <c r="O454" s="69" t="s">
        <v>485</v>
      </c>
      <c r="P454" s="69">
        <v>304659</v>
      </c>
      <c r="Q454" s="92" t="s">
        <v>324</v>
      </c>
      <c r="R454" s="92" t="s">
        <v>72</v>
      </c>
      <c r="S454" s="92"/>
    </row>
    <row r="455" spans="1:19" x14ac:dyDescent="0.2">
      <c r="A455" s="92" t="s">
        <v>735</v>
      </c>
      <c r="B455" s="69">
        <v>7</v>
      </c>
      <c r="C455" s="69">
        <v>1</v>
      </c>
      <c r="D455" s="69">
        <v>6</v>
      </c>
      <c r="E455" s="69">
        <v>15</v>
      </c>
      <c r="F455" s="69">
        <v>38</v>
      </c>
      <c r="G455" s="69">
        <v>53</v>
      </c>
      <c r="H455" s="69">
        <v>8.9</v>
      </c>
      <c r="I455" s="70">
        <v>0.56000000000000005</v>
      </c>
      <c r="J455" s="70">
        <v>1.45</v>
      </c>
      <c r="K455" s="69">
        <v>10</v>
      </c>
      <c r="L455" s="69">
        <v>1</v>
      </c>
      <c r="M455" s="69" t="s">
        <v>960</v>
      </c>
      <c r="N455" s="69">
        <v>2006</v>
      </c>
      <c r="O455" s="69" t="s">
        <v>485</v>
      </c>
      <c r="P455" s="69">
        <v>900894</v>
      </c>
      <c r="Q455" s="92" t="s">
        <v>584</v>
      </c>
      <c r="R455" s="92" t="s">
        <v>469</v>
      </c>
      <c r="S455" s="92"/>
    </row>
    <row r="456" spans="1:19" x14ac:dyDescent="0.2">
      <c r="A456" s="92" t="s">
        <v>294</v>
      </c>
      <c r="B456" s="69">
        <v>12</v>
      </c>
      <c r="C456" s="69">
        <v>8</v>
      </c>
      <c r="D456" s="69">
        <v>13</v>
      </c>
      <c r="E456" s="69">
        <v>13</v>
      </c>
      <c r="F456" s="69">
        <v>21</v>
      </c>
      <c r="G456" s="69">
        <v>-15</v>
      </c>
      <c r="H456" s="69">
        <v>-3.1</v>
      </c>
      <c r="I456" s="70">
        <v>0.56999999999999995</v>
      </c>
      <c r="J456" s="70">
        <v>1.35</v>
      </c>
      <c r="K456" s="69">
        <v>6.7</v>
      </c>
      <c r="L456" s="69">
        <v>0.7</v>
      </c>
      <c r="M456" s="69" t="s">
        <v>960</v>
      </c>
      <c r="N456" s="69">
        <v>2010</v>
      </c>
      <c r="O456" s="69" t="s">
        <v>485</v>
      </c>
      <c r="P456" s="69">
        <v>809699</v>
      </c>
      <c r="Q456" s="92" t="s">
        <v>93</v>
      </c>
      <c r="R456" s="92" t="s">
        <v>180</v>
      </c>
      <c r="S456" s="87"/>
    </row>
    <row r="457" spans="1:19" x14ac:dyDescent="0.2">
      <c r="A457" s="92" t="s">
        <v>921</v>
      </c>
      <c r="B457" s="69">
        <v>9</v>
      </c>
      <c r="C457" s="69">
        <v>4</v>
      </c>
      <c r="D457" s="69">
        <v>9</v>
      </c>
      <c r="E457" s="69">
        <v>9</v>
      </c>
      <c r="F457" s="69">
        <v>27</v>
      </c>
      <c r="G457" s="69"/>
      <c r="H457" s="69"/>
      <c r="I457" s="70">
        <v>0.56999999999999995</v>
      </c>
      <c r="J457" s="70">
        <v>1.44</v>
      </c>
      <c r="K457" s="69">
        <v>7.4</v>
      </c>
      <c r="L457" s="69">
        <v>1</v>
      </c>
      <c r="M457" s="69" t="s">
        <v>968</v>
      </c>
      <c r="N457" s="69">
        <v>2013</v>
      </c>
      <c r="O457" s="69" t="s">
        <v>485</v>
      </c>
      <c r="P457" s="69">
        <v>467092</v>
      </c>
      <c r="Q457" s="92" t="s">
        <v>1096</v>
      </c>
      <c r="R457" s="92" t="s">
        <v>478</v>
      </c>
      <c r="S457" s="92"/>
    </row>
    <row r="458" spans="1:19" x14ac:dyDescent="0.2">
      <c r="A458" s="92" t="s">
        <v>626</v>
      </c>
      <c r="B458" s="69">
        <v>18</v>
      </c>
      <c r="C458" s="69">
        <v>10</v>
      </c>
      <c r="D458" s="69">
        <v>22</v>
      </c>
      <c r="E458" s="69">
        <v>23</v>
      </c>
      <c r="F458" s="69">
        <v>23</v>
      </c>
      <c r="G458" s="69">
        <v>34</v>
      </c>
      <c r="H458" s="69">
        <v>6</v>
      </c>
      <c r="I458" s="70">
        <v>0.56999999999999995</v>
      </c>
      <c r="J458" s="70">
        <v>1.35</v>
      </c>
      <c r="K458" s="69">
        <v>10.8</v>
      </c>
      <c r="L458" s="69">
        <v>0.5</v>
      </c>
      <c r="M458" s="69" t="s">
        <v>968</v>
      </c>
      <c r="N458" s="69">
        <v>2001</v>
      </c>
      <c r="O458" s="69" t="s">
        <v>485</v>
      </c>
      <c r="P458" s="69">
        <v>317990</v>
      </c>
      <c r="Q458" s="92" t="s">
        <v>268</v>
      </c>
      <c r="R458" s="92" t="s">
        <v>121</v>
      </c>
      <c r="S458" s="92"/>
    </row>
    <row r="459" spans="1:19" x14ac:dyDescent="0.2">
      <c r="A459" s="92" t="s">
        <v>241</v>
      </c>
      <c r="B459" s="69">
        <v>9</v>
      </c>
      <c r="C459" s="69">
        <v>3</v>
      </c>
      <c r="D459" s="69">
        <v>9</v>
      </c>
      <c r="E459" s="69">
        <v>16</v>
      </c>
      <c r="F459" s="69">
        <v>29</v>
      </c>
      <c r="G459" s="69">
        <v>20</v>
      </c>
      <c r="H459" s="69">
        <v>3.8</v>
      </c>
      <c r="I459" s="70">
        <v>0.56999999999999995</v>
      </c>
      <c r="J459" s="70">
        <v>1.66</v>
      </c>
      <c r="K459" s="69">
        <v>5</v>
      </c>
      <c r="L459" s="69">
        <v>1.3</v>
      </c>
      <c r="M459" s="69" t="s">
        <v>960</v>
      </c>
      <c r="N459" s="69">
        <v>2000</v>
      </c>
      <c r="O459" s="69" t="s">
        <v>485</v>
      </c>
      <c r="P459" s="69">
        <v>722454</v>
      </c>
      <c r="Q459" s="92" t="s">
        <v>61</v>
      </c>
      <c r="R459" s="92" t="s">
        <v>227</v>
      </c>
      <c r="S459" s="92"/>
    </row>
    <row r="460" spans="1:19" x14ac:dyDescent="0.2">
      <c r="A460" s="92" t="s">
        <v>541</v>
      </c>
      <c r="B460" s="69">
        <v>24</v>
      </c>
      <c r="C460" s="69">
        <v>19</v>
      </c>
      <c r="D460" s="69">
        <v>38</v>
      </c>
      <c r="E460" s="69">
        <v>27</v>
      </c>
      <c r="F460" s="69">
        <v>8</v>
      </c>
      <c r="G460" s="69">
        <v>23</v>
      </c>
      <c r="H460" s="69">
        <v>4.3</v>
      </c>
      <c r="I460" s="70">
        <v>0.56999999999999995</v>
      </c>
      <c r="J460" s="70">
        <v>1.36</v>
      </c>
      <c r="K460" s="69">
        <v>17</v>
      </c>
      <c r="L460" s="69">
        <v>0.1</v>
      </c>
      <c r="M460" s="69" t="s">
        <v>968</v>
      </c>
      <c r="N460" s="69">
        <v>2001</v>
      </c>
      <c r="O460" s="69" t="s">
        <v>485</v>
      </c>
      <c r="P460" s="69">
        <v>174672</v>
      </c>
      <c r="Q460" s="92" t="s">
        <v>268</v>
      </c>
      <c r="R460" s="92" t="s">
        <v>277</v>
      </c>
      <c r="S460" s="92"/>
    </row>
    <row r="461" spans="1:19" x14ac:dyDescent="0.2">
      <c r="A461" s="92" t="s">
        <v>174</v>
      </c>
      <c r="B461" s="69">
        <v>9</v>
      </c>
      <c r="C461" s="69">
        <v>8</v>
      </c>
      <c r="D461" s="69">
        <v>15</v>
      </c>
      <c r="E461" s="69">
        <v>15</v>
      </c>
      <c r="F461" s="69">
        <v>36</v>
      </c>
      <c r="G461" s="69">
        <v>17</v>
      </c>
      <c r="H461" s="69">
        <v>3.2</v>
      </c>
      <c r="I461" s="70">
        <v>0.56999999999999995</v>
      </c>
      <c r="J461" s="70">
        <v>1.35</v>
      </c>
      <c r="K461" s="69">
        <v>11.6</v>
      </c>
      <c r="L461" s="69">
        <v>0.8</v>
      </c>
      <c r="M461" s="69" t="s">
        <v>976</v>
      </c>
      <c r="N461" s="69">
        <v>2000</v>
      </c>
      <c r="O461" s="69" t="s">
        <v>485</v>
      </c>
      <c r="P461" s="69">
        <v>365981</v>
      </c>
      <c r="Q461" s="92" t="s">
        <v>590</v>
      </c>
      <c r="R461" s="92" t="s">
        <v>170</v>
      </c>
      <c r="S461" s="87"/>
    </row>
    <row r="462" spans="1:19" x14ac:dyDescent="0.2">
      <c r="A462" s="92" t="s">
        <v>346</v>
      </c>
      <c r="B462" s="69">
        <v>5</v>
      </c>
      <c r="C462" s="69">
        <v>-3</v>
      </c>
      <c r="D462" s="69">
        <v>-1</v>
      </c>
      <c r="E462" s="69">
        <v>17</v>
      </c>
      <c r="F462" s="69">
        <v>61</v>
      </c>
      <c r="G462" s="69">
        <v>63</v>
      </c>
      <c r="H462" s="69">
        <v>10.3</v>
      </c>
      <c r="I462" s="70">
        <v>0.56999999999999995</v>
      </c>
      <c r="J462" s="70">
        <v>1.34</v>
      </c>
      <c r="K462" s="69">
        <v>10.199999999999999</v>
      </c>
      <c r="L462" s="69">
        <v>1.4</v>
      </c>
      <c r="M462" s="69" t="s">
        <v>960</v>
      </c>
      <c r="N462" s="69">
        <v>2011</v>
      </c>
      <c r="O462" s="69" t="s">
        <v>485</v>
      </c>
      <c r="P462" s="69">
        <v>891036</v>
      </c>
      <c r="Q462" s="92" t="s">
        <v>324</v>
      </c>
      <c r="R462" s="92" t="s">
        <v>65</v>
      </c>
      <c r="S462" s="92"/>
    </row>
    <row r="463" spans="1:19" x14ac:dyDescent="0.2">
      <c r="A463" s="92" t="s">
        <v>583</v>
      </c>
      <c r="B463" s="69">
        <v>45</v>
      </c>
      <c r="C463" s="69">
        <v>21</v>
      </c>
      <c r="D463" s="69">
        <v>47</v>
      </c>
      <c r="E463" s="69">
        <v>81</v>
      </c>
      <c r="F463" s="69">
        <v>34</v>
      </c>
      <c r="G463" s="69">
        <v>41</v>
      </c>
      <c r="H463" s="69">
        <v>7.1</v>
      </c>
      <c r="I463" s="70">
        <v>0.56999999999999995</v>
      </c>
      <c r="J463" s="70">
        <v>1.35</v>
      </c>
      <c r="K463" s="69">
        <v>19.2</v>
      </c>
      <c r="L463" s="69">
        <v>0.5</v>
      </c>
      <c r="M463" s="69" t="s">
        <v>968</v>
      </c>
      <c r="N463" s="69">
        <v>2007</v>
      </c>
      <c r="O463" s="69" t="s">
        <v>485</v>
      </c>
      <c r="P463" s="69">
        <v>780007</v>
      </c>
      <c r="Q463" s="92" t="s">
        <v>268</v>
      </c>
      <c r="R463" s="92" t="s">
        <v>98</v>
      </c>
      <c r="S463" s="92"/>
    </row>
    <row r="464" spans="1:19" x14ac:dyDescent="0.2">
      <c r="A464" s="92" t="s">
        <v>21</v>
      </c>
      <c r="B464" s="69">
        <v>23</v>
      </c>
      <c r="C464" s="69">
        <v>4</v>
      </c>
      <c r="D464" s="69">
        <v>14</v>
      </c>
      <c r="E464" s="69">
        <v>32</v>
      </c>
      <c r="F464" s="69">
        <v>48</v>
      </c>
      <c r="G464" s="69">
        <v>49</v>
      </c>
      <c r="H464" s="69">
        <v>8.3000000000000007</v>
      </c>
      <c r="I464" s="70">
        <v>0.57999999999999996</v>
      </c>
      <c r="J464" s="70">
        <v>1.38</v>
      </c>
      <c r="K464" s="69">
        <v>11.5</v>
      </c>
      <c r="L464" s="69">
        <v>1</v>
      </c>
      <c r="M464" s="69" t="s">
        <v>960</v>
      </c>
      <c r="N464" s="69">
        <v>2000</v>
      </c>
      <c r="O464" s="69" t="s">
        <v>485</v>
      </c>
      <c r="P464" s="69">
        <v>353235</v>
      </c>
      <c r="Q464" s="92" t="s">
        <v>268</v>
      </c>
      <c r="R464" s="92" t="s">
        <v>207</v>
      </c>
      <c r="S464" s="87"/>
    </row>
    <row r="465" spans="1:19" x14ac:dyDescent="0.2">
      <c r="A465" s="92" t="s">
        <v>851</v>
      </c>
      <c r="B465" s="69">
        <v>11</v>
      </c>
      <c r="C465" s="69">
        <v>2</v>
      </c>
      <c r="D465" s="69">
        <v>10</v>
      </c>
      <c r="E465" s="69">
        <v>20</v>
      </c>
      <c r="F465" s="69">
        <v>58</v>
      </c>
      <c r="G465" s="69">
        <v>69</v>
      </c>
      <c r="H465" s="69">
        <v>11.1</v>
      </c>
      <c r="I465" s="70">
        <v>0.57999999999999996</v>
      </c>
      <c r="J465" s="70">
        <v>1.65</v>
      </c>
      <c r="K465" s="69">
        <v>9.3000000000000007</v>
      </c>
      <c r="L465" s="69">
        <v>1.5</v>
      </c>
      <c r="M465" s="69" t="s">
        <v>958</v>
      </c>
      <c r="N465" s="69">
        <v>2005</v>
      </c>
      <c r="O465" s="69" t="s">
        <v>585</v>
      </c>
      <c r="P465" s="69">
        <v>891804</v>
      </c>
      <c r="Q465" s="92" t="s">
        <v>323</v>
      </c>
      <c r="R465" s="92" t="s">
        <v>565</v>
      </c>
      <c r="S465" s="92"/>
    </row>
    <row r="466" spans="1:19" x14ac:dyDescent="0.2">
      <c r="A466" s="92" t="s">
        <v>589</v>
      </c>
      <c r="B466" s="69">
        <v>9</v>
      </c>
      <c r="C466" s="69">
        <v>3</v>
      </c>
      <c r="D466" s="69">
        <v>8</v>
      </c>
      <c r="E466" s="69">
        <v>14</v>
      </c>
      <c r="F466" s="69">
        <v>24</v>
      </c>
      <c r="G466" s="69">
        <v>20</v>
      </c>
      <c r="H466" s="69">
        <v>3.7</v>
      </c>
      <c r="I466" s="70">
        <v>0.57999999999999996</v>
      </c>
      <c r="J466" s="70">
        <v>1.47</v>
      </c>
      <c r="K466" s="69">
        <v>5.0999999999999996</v>
      </c>
      <c r="L466" s="69">
        <v>1.1000000000000001</v>
      </c>
      <c r="M466" s="69" t="s">
        <v>960</v>
      </c>
      <c r="N466" s="69">
        <v>2002</v>
      </c>
      <c r="O466" s="69" t="s">
        <v>485</v>
      </c>
      <c r="P466" s="69">
        <v>543892</v>
      </c>
      <c r="Q466" s="92" t="s">
        <v>588</v>
      </c>
      <c r="R466" s="92" t="s">
        <v>469</v>
      </c>
      <c r="S466" s="92"/>
    </row>
    <row r="467" spans="1:19" x14ac:dyDescent="0.2">
      <c r="A467" s="92" t="s">
        <v>62</v>
      </c>
      <c r="B467" s="69">
        <v>8</v>
      </c>
      <c r="C467" s="69">
        <v>-1</v>
      </c>
      <c r="D467" s="69">
        <v>8</v>
      </c>
      <c r="E467" s="69">
        <v>27</v>
      </c>
      <c r="F467" s="69">
        <v>63</v>
      </c>
      <c r="G467" s="69">
        <v>34</v>
      </c>
      <c r="H467" s="69">
        <v>6.1</v>
      </c>
      <c r="I467" s="70">
        <v>0.57999999999999996</v>
      </c>
      <c r="J467" s="70">
        <v>1.37</v>
      </c>
      <c r="K467" s="69">
        <v>14.1</v>
      </c>
      <c r="L467" s="69">
        <v>1</v>
      </c>
      <c r="M467" s="69" t="s">
        <v>960</v>
      </c>
      <c r="N467" s="69">
        <v>2000</v>
      </c>
      <c r="O467" s="69" t="s">
        <v>485</v>
      </c>
      <c r="P467" s="69">
        <v>151001</v>
      </c>
      <c r="Q467" s="92" t="s">
        <v>590</v>
      </c>
      <c r="R467" s="92" t="s">
        <v>59</v>
      </c>
      <c r="S467" s="87"/>
    </row>
    <row r="468" spans="1:19" x14ac:dyDescent="0.2">
      <c r="A468" s="92" t="s">
        <v>33</v>
      </c>
      <c r="B468" s="69">
        <v>11</v>
      </c>
      <c r="C468" s="69">
        <v>1</v>
      </c>
      <c r="D468" s="69">
        <v>7</v>
      </c>
      <c r="E468" s="69">
        <v>18</v>
      </c>
      <c r="F468" s="69">
        <v>59</v>
      </c>
      <c r="G468" s="69">
        <v>55</v>
      </c>
      <c r="H468" s="69">
        <v>9.1999999999999993</v>
      </c>
      <c r="I468" s="70">
        <v>0.57999999999999996</v>
      </c>
      <c r="J468" s="70">
        <v>1.72</v>
      </c>
      <c r="K468" s="69">
        <v>11.4</v>
      </c>
      <c r="L468" s="69">
        <v>1.2</v>
      </c>
      <c r="M468" s="69" t="s">
        <v>958</v>
      </c>
      <c r="N468" s="69">
        <v>2000</v>
      </c>
      <c r="O468" s="69" t="s">
        <v>585</v>
      </c>
      <c r="P468" s="69">
        <v>857276</v>
      </c>
      <c r="Q468" s="92" t="s">
        <v>528</v>
      </c>
      <c r="R468" s="92" t="s">
        <v>580</v>
      </c>
      <c r="S468" s="87" t="s">
        <v>959</v>
      </c>
    </row>
    <row r="469" spans="1:19" x14ac:dyDescent="0.2">
      <c r="A469" s="92" t="s">
        <v>852</v>
      </c>
      <c r="B469" s="69">
        <v>13</v>
      </c>
      <c r="C469" s="69">
        <v>-2</v>
      </c>
      <c r="D469" s="69">
        <v>10</v>
      </c>
      <c r="E469" s="69">
        <v>27</v>
      </c>
      <c r="F469" s="69">
        <v>60</v>
      </c>
      <c r="G469" s="69">
        <v>73</v>
      </c>
      <c r="H469" s="69">
        <v>11.5</v>
      </c>
      <c r="I469" s="70">
        <v>0.57999999999999996</v>
      </c>
      <c r="J469" s="70">
        <v>1.6</v>
      </c>
      <c r="K469" s="69">
        <v>11.1</v>
      </c>
      <c r="L469" s="69">
        <v>1.3</v>
      </c>
      <c r="M469" s="69" t="s">
        <v>960</v>
      </c>
      <c r="N469" s="69">
        <v>2007</v>
      </c>
      <c r="O469" s="69" t="s">
        <v>485</v>
      </c>
      <c r="P469" s="69">
        <v>668269</v>
      </c>
      <c r="Q469" s="92" t="s">
        <v>596</v>
      </c>
      <c r="R469" s="92" t="s">
        <v>580</v>
      </c>
      <c r="S469" s="92"/>
    </row>
    <row r="470" spans="1:19" x14ac:dyDescent="0.2">
      <c r="A470" s="92" t="s">
        <v>809</v>
      </c>
      <c r="B470" s="69">
        <v>17</v>
      </c>
      <c r="C470" s="69">
        <v>-3</v>
      </c>
      <c r="D470" s="69">
        <v>8</v>
      </c>
      <c r="E470" s="69">
        <v>29</v>
      </c>
      <c r="F470" s="69">
        <v>92</v>
      </c>
      <c r="G470" s="69">
        <v>145</v>
      </c>
      <c r="H470" s="69">
        <v>19.7</v>
      </c>
      <c r="I470" s="70">
        <v>0.57999999999999996</v>
      </c>
      <c r="J470" s="70">
        <v>1.6</v>
      </c>
      <c r="K470" s="69">
        <v>14.1</v>
      </c>
      <c r="L470" s="69">
        <v>1.5</v>
      </c>
      <c r="M470" s="69" t="s">
        <v>958</v>
      </c>
      <c r="N470" s="69">
        <v>2008</v>
      </c>
      <c r="O470" s="69" t="s">
        <v>485</v>
      </c>
      <c r="P470" s="69">
        <v>420463</v>
      </c>
      <c r="Q470" s="92" t="s">
        <v>596</v>
      </c>
      <c r="R470" s="92" t="s">
        <v>559</v>
      </c>
      <c r="S470" s="87"/>
    </row>
    <row r="471" spans="1:19" x14ac:dyDescent="0.2">
      <c r="A471" s="92" t="s">
        <v>900</v>
      </c>
      <c r="B471" s="69">
        <v>57</v>
      </c>
      <c r="C471" s="69">
        <v>15</v>
      </c>
      <c r="D471" s="69">
        <v>56</v>
      </c>
      <c r="E471" s="69">
        <v>96</v>
      </c>
      <c r="F471" s="69">
        <v>44</v>
      </c>
      <c r="G471" s="69">
        <v>43</v>
      </c>
      <c r="H471" s="69">
        <v>7.4</v>
      </c>
      <c r="I471" s="70">
        <v>0.57999999999999996</v>
      </c>
      <c r="J471" s="70">
        <v>1.73</v>
      </c>
      <c r="K471" s="69">
        <v>23</v>
      </c>
      <c r="L471" s="69">
        <v>0.6</v>
      </c>
      <c r="M471" s="69" t="s">
        <v>958</v>
      </c>
      <c r="N471" s="69">
        <v>2013</v>
      </c>
      <c r="O471" s="69" t="s">
        <v>485</v>
      </c>
      <c r="P471" s="69">
        <v>481671</v>
      </c>
      <c r="Q471" s="92" t="s">
        <v>697</v>
      </c>
      <c r="R471" s="92" t="s">
        <v>180</v>
      </c>
      <c r="S471" s="87"/>
    </row>
    <row r="472" spans="1:19" x14ac:dyDescent="0.2">
      <c r="A472" s="92" t="s">
        <v>804</v>
      </c>
      <c r="B472" s="69">
        <v>10</v>
      </c>
      <c r="C472" s="69">
        <v>1</v>
      </c>
      <c r="D472" s="69">
        <v>6</v>
      </c>
      <c r="E472" s="69">
        <v>24</v>
      </c>
      <c r="F472" s="69">
        <v>78</v>
      </c>
      <c r="G472" s="69">
        <v>82</v>
      </c>
      <c r="H472" s="69">
        <v>12.7</v>
      </c>
      <c r="I472" s="70">
        <v>0.57999999999999996</v>
      </c>
      <c r="J472" s="70">
        <v>1.6</v>
      </c>
      <c r="K472" s="69">
        <v>8.6</v>
      </c>
      <c r="L472" s="69">
        <v>2</v>
      </c>
      <c r="M472" s="69" t="s">
        <v>960</v>
      </c>
      <c r="N472" s="69">
        <v>2001</v>
      </c>
      <c r="O472" s="69" t="s">
        <v>485</v>
      </c>
      <c r="P472" s="69">
        <v>764951</v>
      </c>
      <c r="Q472" s="92" t="s">
        <v>596</v>
      </c>
      <c r="R472" s="92" t="s">
        <v>38</v>
      </c>
      <c r="S472" s="92"/>
    </row>
    <row r="473" spans="1:19" x14ac:dyDescent="0.2">
      <c r="A473" s="92" t="s">
        <v>517</v>
      </c>
      <c r="B473" s="69">
        <v>13</v>
      </c>
      <c r="C473" s="69">
        <v>-2</v>
      </c>
      <c r="D473" s="69">
        <v>7</v>
      </c>
      <c r="E473" s="69">
        <v>22</v>
      </c>
      <c r="F473" s="69">
        <v>72</v>
      </c>
      <c r="G473" s="69">
        <v>93</v>
      </c>
      <c r="H473" s="69">
        <v>14.1</v>
      </c>
      <c r="I473" s="70">
        <v>0.59</v>
      </c>
      <c r="J473" s="70">
        <v>1.41</v>
      </c>
      <c r="K473" s="69">
        <v>11.8</v>
      </c>
      <c r="L473" s="69">
        <v>1.4</v>
      </c>
      <c r="M473" s="69" t="s">
        <v>958</v>
      </c>
      <c r="N473" s="69">
        <v>2000</v>
      </c>
      <c r="O473" s="69" t="s">
        <v>585</v>
      </c>
      <c r="P473" s="69">
        <v>344739</v>
      </c>
      <c r="Q473" s="92" t="s">
        <v>516</v>
      </c>
      <c r="R473" s="92" t="s">
        <v>515</v>
      </c>
      <c r="S473" s="87" t="s">
        <v>959</v>
      </c>
    </row>
    <row r="474" spans="1:19" x14ac:dyDescent="0.2">
      <c r="A474" s="92" t="s">
        <v>187</v>
      </c>
      <c r="B474" s="69">
        <v>22</v>
      </c>
      <c r="C474" s="69">
        <v>4</v>
      </c>
      <c r="D474" s="69">
        <v>21</v>
      </c>
      <c r="E474" s="69">
        <v>27</v>
      </c>
      <c r="F474" s="69">
        <v>54</v>
      </c>
      <c r="G474" s="69">
        <v>96</v>
      </c>
      <c r="H474" s="69">
        <v>14.4</v>
      </c>
      <c r="I474" s="70">
        <v>0.59</v>
      </c>
      <c r="J474" s="70">
        <v>1.5</v>
      </c>
      <c r="K474" s="69">
        <v>15.7</v>
      </c>
      <c r="L474" s="69">
        <v>0.8</v>
      </c>
      <c r="M474" s="69" t="s">
        <v>966</v>
      </c>
      <c r="N474" s="69">
        <v>2001</v>
      </c>
      <c r="O474" s="69" t="s">
        <v>485</v>
      </c>
      <c r="P474" s="69">
        <v>147348</v>
      </c>
      <c r="Q474" s="92" t="s">
        <v>586</v>
      </c>
      <c r="R474" s="92" t="s">
        <v>180</v>
      </c>
      <c r="S474" s="92"/>
    </row>
    <row r="475" spans="1:19" x14ac:dyDescent="0.2">
      <c r="A475" s="92" t="s">
        <v>76</v>
      </c>
      <c r="B475" s="69">
        <v>13</v>
      </c>
      <c r="C475" s="69">
        <v>0</v>
      </c>
      <c r="D475" s="69">
        <v>10</v>
      </c>
      <c r="E475" s="69">
        <v>24</v>
      </c>
      <c r="F475" s="69">
        <v>65</v>
      </c>
      <c r="G475" s="69">
        <v>59</v>
      </c>
      <c r="H475" s="69">
        <v>9.6999999999999993</v>
      </c>
      <c r="I475" s="70">
        <v>0.59</v>
      </c>
      <c r="J475" s="70">
        <v>1.5</v>
      </c>
      <c r="K475" s="69">
        <v>12.1</v>
      </c>
      <c r="L475" s="69">
        <v>1.2</v>
      </c>
      <c r="M475" s="69" t="s">
        <v>966</v>
      </c>
      <c r="N475" s="69">
        <v>2001</v>
      </c>
      <c r="O475" s="69" t="s">
        <v>485</v>
      </c>
      <c r="P475" s="69">
        <v>219006</v>
      </c>
      <c r="Q475" s="92" t="s">
        <v>586</v>
      </c>
      <c r="R475" s="92" t="s">
        <v>580</v>
      </c>
      <c r="S475" s="87"/>
    </row>
    <row r="476" spans="1:19" x14ac:dyDescent="0.2">
      <c r="A476" s="92" t="s">
        <v>1073</v>
      </c>
      <c r="B476" s="69">
        <v>4</v>
      </c>
      <c r="C476" s="69">
        <v>3</v>
      </c>
      <c r="D476" s="69">
        <v>14</v>
      </c>
      <c r="E476" s="69">
        <v>15</v>
      </c>
      <c r="F476" s="69">
        <v>24</v>
      </c>
      <c r="G476" s="69">
        <v>33</v>
      </c>
      <c r="H476" s="69">
        <v>5.8</v>
      </c>
      <c r="I476" s="70">
        <v>0.59</v>
      </c>
      <c r="J476" s="70">
        <v>1.42</v>
      </c>
      <c r="K476" s="69">
        <v>12.7</v>
      </c>
      <c r="L476" s="69">
        <v>0.4</v>
      </c>
      <c r="M476" s="69" t="s">
        <v>960</v>
      </c>
      <c r="N476" s="69">
        <v>2001</v>
      </c>
      <c r="O476" s="69" t="s">
        <v>485</v>
      </c>
      <c r="P476" s="69">
        <v>353821</v>
      </c>
      <c r="Q476" s="92" t="s">
        <v>268</v>
      </c>
      <c r="R476" s="92" t="s">
        <v>157</v>
      </c>
      <c r="S476" s="92"/>
    </row>
    <row r="477" spans="1:19" x14ac:dyDescent="0.2">
      <c r="A477" s="92" t="s">
        <v>135</v>
      </c>
      <c r="B477" s="69">
        <v>16</v>
      </c>
      <c r="C477" s="69">
        <v>7</v>
      </c>
      <c r="D477" s="69">
        <v>21</v>
      </c>
      <c r="E477" s="69">
        <v>26</v>
      </c>
      <c r="F477" s="69">
        <v>33</v>
      </c>
      <c r="G477" s="69">
        <v>53</v>
      </c>
      <c r="H477" s="69">
        <v>8.9</v>
      </c>
      <c r="I477" s="70">
        <v>0.59</v>
      </c>
      <c r="J477" s="70">
        <v>2</v>
      </c>
      <c r="K477" s="69">
        <v>12.6</v>
      </c>
      <c r="L477" s="69">
        <v>0.6</v>
      </c>
      <c r="M477" s="69" t="s">
        <v>966</v>
      </c>
      <c r="N477" s="69">
        <v>2002</v>
      </c>
      <c r="O477" s="69" t="s">
        <v>485</v>
      </c>
      <c r="P477" s="69">
        <v>501981</v>
      </c>
      <c r="Q477" s="92" t="s">
        <v>621</v>
      </c>
      <c r="R477" s="92" t="s">
        <v>121</v>
      </c>
      <c r="S477" s="87"/>
    </row>
    <row r="478" spans="1:19" x14ac:dyDescent="0.2">
      <c r="A478" s="92" t="s">
        <v>300</v>
      </c>
      <c r="B478" s="69">
        <v>-3</v>
      </c>
      <c r="C478" s="69">
        <v>3</v>
      </c>
      <c r="D478" s="69">
        <v>16</v>
      </c>
      <c r="E478" s="69">
        <v>5</v>
      </c>
      <c r="F478" s="69">
        <v>4</v>
      </c>
      <c r="G478" s="69">
        <v>33</v>
      </c>
      <c r="H478" s="69">
        <v>5.8</v>
      </c>
      <c r="I478" s="70">
        <v>0.59</v>
      </c>
      <c r="J478" s="70">
        <v>2.4900000000000002</v>
      </c>
      <c r="K478" s="69">
        <v>19.600000000000001</v>
      </c>
      <c r="L478" s="69">
        <v>0</v>
      </c>
      <c r="M478" s="69" t="s">
        <v>958</v>
      </c>
      <c r="N478" s="69">
        <v>2000</v>
      </c>
      <c r="O478" s="69" t="s">
        <v>585</v>
      </c>
      <c r="P478" s="69">
        <v>249995</v>
      </c>
      <c r="Q478" s="92" t="s">
        <v>657</v>
      </c>
      <c r="R478" s="92" t="s">
        <v>276</v>
      </c>
      <c r="S478" s="92"/>
    </row>
    <row r="479" spans="1:19" x14ac:dyDescent="0.2">
      <c r="A479" s="92" t="s">
        <v>49</v>
      </c>
      <c r="B479" s="69">
        <v>10</v>
      </c>
      <c r="C479" s="69">
        <v>1</v>
      </c>
      <c r="D479" s="69">
        <v>9</v>
      </c>
      <c r="E479" s="69">
        <v>24</v>
      </c>
      <c r="F479" s="69">
        <v>61</v>
      </c>
      <c r="G479" s="69">
        <v>48</v>
      </c>
      <c r="H479" s="69">
        <v>8.1</v>
      </c>
      <c r="I479" s="70">
        <v>0.59</v>
      </c>
      <c r="J479" s="70">
        <v>1.4</v>
      </c>
      <c r="K479" s="69">
        <v>9.8000000000000007</v>
      </c>
      <c r="L479" s="69">
        <v>1.4</v>
      </c>
      <c r="M479" s="69" t="s">
        <v>960</v>
      </c>
      <c r="N479" s="69">
        <v>2000</v>
      </c>
      <c r="O479" s="69" t="s">
        <v>485</v>
      </c>
      <c r="P479" s="69">
        <v>473470</v>
      </c>
      <c r="Q479" s="92" t="s">
        <v>590</v>
      </c>
      <c r="R479" s="92" t="s">
        <v>38</v>
      </c>
      <c r="S479" s="92"/>
    </row>
    <row r="480" spans="1:19" x14ac:dyDescent="0.2">
      <c r="A480" s="92" t="s">
        <v>83</v>
      </c>
      <c r="B480" s="69">
        <v>20</v>
      </c>
      <c r="C480" s="69">
        <v>10</v>
      </c>
      <c r="D480" s="69">
        <v>19</v>
      </c>
      <c r="E480" s="69">
        <v>32</v>
      </c>
      <c r="F480" s="69">
        <v>95</v>
      </c>
      <c r="G480" s="69">
        <v>105</v>
      </c>
      <c r="H480" s="69">
        <v>15.4</v>
      </c>
      <c r="I480" s="70">
        <v>0.59</v>
      </c>
      <c r="J480" s="70">
        <v>1.42</v>
      </c>
      <c r="K480" s="69">
        <v>8.1999999999999993</v>
      </c>
      <c r="L480" s="69">
        <v>2.5</v>
      </c>
      <c r="M480" s="69" t="s">
        <v>968</v>
      </c>
      <c r="N480" s="69">
        <v>2000</v>
      </c>
      <c r="O480" s="69" t="s">
        <v>485</v>
      </c>
      <c r="P480" s="69">
        <v>616797</v>
      </c>
      <c r="Q480" s="92" t="s">
        <v>590</v>
      </c>
      <c r="R480" s="92" t="s">
        <v>72</v>
      </c>
      <c r="S480" s="87"/>
    </row>
    <row r="481" spans="1:19" x14ac:dyDescent="0.2">
      <c r="A481" s="92" t="s">
        <v>671</v>
      </c>
      <c r="B481" s="69">
        <v>5</v>
      </c>
      <c r="C481" s="69">
        <v>-1</v>
      </c>
      <c r="D481" s="69">
        <v>5</v>
      </c>
      <c r="E481" s="69">
        <v>22</v>
      </c>
      <c r="F481" s="69">
        <v>63</v>
      </c>
      <c r="G481" s="69">
        <v>41</v>
      </c>
      <c r="H481" s="69">
        <v>7.2</v>
      </c>
      <c r="I481" s="70">
        <v>0.59</v>
      </c>
      <c r="J481" s="70">
        <v>1.4</v>
      </c>
      <c r="K481" s="69">
        <v>12.4</v>
      </c>
      <c r="L481" s="69">
        <v>1.1000000000000001</v>
      </c>
      <c r="M481" s="69" t="s">
        <v>960</v>
      </c>
      <c r="N481" s="69">
        <v>2004</v>
      </c>
      <c r="O481" s="69" t="s">
        <v>485</v>
      </c>
      <c r="P481" s="69">
        <v>155788</v>
      </c>
      <c r="Q481" s="92" t="s">
        <v>268</v>
      </c>
      <c r="R481" s="92" t="s">
        <v>38</v>
      </c>
      <c r="S481" s="87"/>
    </row>
    <row r="482" spans="1:19" x14ac:dyDescent="0.2">
      <c r="A482" s="92" t="s">
        <v>598</v>
      </c>
      <c r="B482" s="69">
        <v>18</v>
      </c>
      <c r="C482" s="69">
        <v>5</v>
      </c>
      <c r="D482" s="69">
        <v>17</v>
      </c>
      <c r="E482" s="69">
        <v>20</v>
      </c>
      <c r="F482" s="69">
        <v>30</v>
      </c>
      <c r="G482" s="69">
        <v>45</v>
      </c>
      <c r="H482" s="69">
        <v>7.8</v>
      </c>
      <c r="I482" s="70">
        <v>0.6</v>
      </c>
      <c r="J482" s="70">
        <v>1.54</v>
      </c>
      <c r="K482" s="69">
        <v>8.3000000000000007</v>
      </c>
      <c r="L482" s="69">
        <v>0.9</v>
      </c>
      <c r="M482" s="69" t="s">
        <v>968</v>
      </c>
      <c r="N482" s="69">
        <v>2008</v>
      </c>
      <c r="O482" s="69" t="s">
        <v>485</v>
      </c>
      <c r="P482" s="69">
        <v>909333</v>
      </c>
      <c r="Q482" s="92" t="s">
        <v>597</v>
      </c>
      <c r="R482" s="92" t="s">
        <v>478</v>
      </c>
      <c r="S482" s="87"/>
    </row>
    <row r="483" spans="1:19" x14ac:dyDescent="0.2">
      <c r="A483" s="92" t="s">
        <v>904</v>
      </c>
      <c r="B483" s="69">
        <v>17</v>
      </c>
      <c r="C483" s="69">
        <v>8</v>
      </c>
      <c r="D483" s="69">
        <v>18</v>
      </c>
      <c r="E483" s="69">
        <v>27</v>
      </c>
      <c r="F483" s="69">
        <v>83</v>
      </c>
      <c r="G483" s="69">
        <v>83</v>
      </c>
      <c r="H483" s="69">
        <v>12.8</v>
      </c>
      <c r="I483" s="70">
        <v>0.6</v>
      </c>
      <c r="J483" s="70">
        <v>1.81</v>
      </c>
      <c r="K483" s="69">
        <v>7.7</v>
      </c>
      <c r="L483" s="69">
        <v>2.2999999999999998</v>
      </c>
      <c r="M483" s="69" t="s">
        <v>966</v>
      </c>
      <c r="N483" s="69">
        <v>2013</v>
      </c>
      <c r="O483" s="69" t="s">
        <v>485</v>
      </c>
      <c r="P483" s="69">
        <v>553339</v>
      </c>
      <c r="Q483" s="92" t="s">
        <v>708</v>
      </c>
      <c r="R483" s="92" t="s">
        <v>72</v>
      </c>
      <c r="S483" s="87"/>
    </row>
    <row r="484" spans="1:19" x14ac:dyDescent="0.2">
      <c r="A484" s="92" t="s">
        <v>297</v>
      </c>
      <c r="B484" s="69">
        <v>8</v>
      </c>
      <c r="C484" s="69">
        <v>2</v>
      </c>
      <c r="D484" s="69">
        <v>7</v>
      </c>
      <c r="E484" s="69">
        <v>12</v>
      </c>
      <c r="F484" s="69"/>
      <c r="G484" s="69"/>
      <c r="H484" s="69"/>
      <c r="I484" s="70">
        <v>0.6</v>
      </c>
      <c r="J484" s="70">
        <v>1.54</v>
      </c>
      <c r="K484" s="69"/>
      <c r="L484" s="69"/>
      <c r="M484" s="69" t="s">
        <v>958</v>
      </c>
      <c r="N484" s="69">
        <v>2013</v>
      </c>
      <c r="O484" s="69" t="s">
        <v>485</v>
      </c>
      <c r="P484" s="69">
        <v>365684</v>
      </c>
      <c r="Q484" s="92" t="s">
        <v>271</v>
      </c>
      <c r="R484" s="92" t="s">
        <v>478</v>
      </c>
      <c r="S484" s="87"/>
    </row>
    <row r="485" spans="1:19" x14ac:dyDescent="0.2">
      <c r="A485" s="92" t="s">
        <v>235</v>
      </c>
      <c r="B485" s="69">
        <v>3</v>
      </c>
      <c r="C485" s="69">
        <v>-3</v>
      </c>
      <c r="D485" s="69">
        <v>5</v>
      </c>
      <c r="E485" s="69">
        <v>13</v>
      </c>
      <c r="F485" s="69">
        <v>27</v>
      </c>
      <c r="G485" s="69">
        <v>16</v>
      </c>
      <c r="H485" s="69">
        <v>3</v>
      </c>
      <c r="I485" s="70">
        <v>0.6</v>
      </c>
      <c r="J485" s="70">
        <v>1.5</v>
      </c>
      <c r="K485" s="69">
        <v>16.2</v>
      </c>
      <c r="L485" s="69">
        <v>0.4</v>
      </c>
      <c r="M485" s="69" t="s">
        <v>960</v>
      </c>
      <c r="N485" s="69">
        <v>2010</v>
      </c>
      <c r="O485" s="69" t="s">
        <v>485</v>
      </c>
      <c r="P485" s="69">
        <v>167171</v>
      </c>
      <c r="Q485" s="92" t="s">
        <v>228</v>
      </c>
      <c r="R485" s="92" t="s">
        <v>180</v>
      </c>
      <c r="S485" s="92"/>
    </row>
    <row r="486" spans="1:19" x14ac:dyDescent="0.2">
      <c r="A486" s="92" t="s">
        <v>281</v>
      </c>
      <c r="B486" s="69">
        <v>8</v>
      </c>
      <c r="C486" s="69">
        <v>0</v>
      </c>
      <c r="D486" s="69">
        <v>6</v>
      </c>
      <c r="E486" s="69">
        <v>19</v>
      </c>
      <c r="F486" s="69">
        <v>58</v>
      </c>
      <c r="G486" s="69">
        <v>96</v>
      </c>
      <c r="H486" s="69">
        <v>14.4</v>
      </c>
      <c r="I486" s="70">
        <v>0.6</v>
      </c>
      <c r="J486" s="70">
        <v>1.53</v>
      </c>
      <c r="K486" s="69">
        <v>9.8000000000000007</v>
      </c>
      <c r="L486" s="69">
        <v>1.4</v>
      </c>
      <c r="M486" s="69" t="s">
        <v>958</v>
      </c>
      <c r="N486" s="69">
        <v>2004</v>
      </c>
      <c r="O486" s="69" t="s">
        <v>585</v>
      </c>
      <c r="P486" s="69">
        <v>339184</v>
      </c>
      <c r="Q486" s="92" t="s">
        <v>472</v>
      </c>
      <c r="R486" s="92" t="s">
        <v>515</v>
      </c>
      <c r="S486" s="92"/>
    </row>
    <row r="487" spans="1:19" x14ac:dyDescent="0.2">
      <c r="A487" s="92" t="s">
        <v>473</v>
      </c>
      <c r="B487" s="69">
        <v>9</v>
      </c>
      <c r="C487" s="69">
        <v>-3</v>
      </c>
      <c r="D487" s="69">
        <v>4</v>
      </c>
      <c r="E487" s="69">
        <v>18</v>
      </c>
      <c r="F487" s="69">
        <v>74</v>
      </c>
      <c r="G487" s="69">
        <v>120</v>
      </c>
      <c r="H487" s="69">
        <v>17</v>
      </c>
      <c r="I487" s="70">
        <v>0.6</v>
      </c>
      <c r="J487" s="70">
        <v>1.53</v>
      </c>
      <c r="K487" s="69">
        <v>14.7</v>
      </c>
      <c r="L487" s="69">
        <v>1.2</v>
      </c>
      <c r="M487" s="69" t="s">
        <v>958</v>
      </c>
      <c r="N487" s="69">
        <v>2003</v>
      </c>
      <c r="O487" s="69" t="s">
        <v>585</v>
      </c>
      <c r="P487" s="69">
        <v>152181</v>
      </c>
      <c r="Q487" s="92" t="s">
        <v>472</v>
      </c>
      <c r="R487" s="92" t="s">
        <v>515</v>
      </c>
      <c r="S487" s="87"/>
    </row>
    <row r="488" spans="1:19" x14ac:dyDescent="0.2">
      <c r="A488" s="92" t="s">
        <v>786</v>
      </c>
      <c r="B488" s="69">
        <v>4</v>
      </c>
      <c r="C488" s="69">
        <v>1</v>
      </c>
      <c r="D488" s="69">
        <v>3</v>
      </c>
      <c r="E488" s="69">
        <v>6</v>
      </c>
      <c r="F488" s="69"/>
      <c r="G488" s="69"/>
      <c r="H488" s="69"/>
      <c r="I488" s="70">
        <v>0.6</v>
      </c>
      <c r="J488" s="70">
        <v>1.92</v>
      </c>
      <c r="K488" s="69"/>
      <c r="L488" s="69"/>
      <c r="M488" s="69" t="s">
        <v>958</v>
      </c>
      <c r="N488" s="69">
        <v>2012</v>
      </c>
      <c r="O488" s="69" t="s">
        <v>485</v>
      </c>
      <c r="P488" s="69">
        <v>997288</v>
      </c>
      <c r="Q488" s="92" t="s">
        <v>787</v>
      </c>
      <c r="R488" s="92" t="s">
        <v>227</v>
      </c>
      <c r="S488" s="92"/>
    </row>
    <row r="489" spans="1:19" x14ac:dyDescent="0.2">
      <c r="A489" s="92" t="s">
        <v>466</v>
      </c>
      <c r="B489" s="69">
        <v>15</v>
      </c>
      <c r="C489" s="69">
        <v>-5</v>
      </c>
      <c r="D489" s="69">
        <v>5</v>
      </c>
      <c r="E489" s="69">
        <v>25</v>
      </c>
      <c r="F489" s="69">
        <v>92</v>
      </c>
      <c r="G489" s="69">
        <v>122</v>
      </c>
      <c r="H489" s="69">
        <v>17.3</v>
      </c>
      <c r="I489" s="70">
        <v>0.6</v>
      </c>
      <c r="J489" s="70">
        <v>1.54</v>
      </c>
      <c r="K489" s="69">
        <v>14.7</v>
      </c>
      <c r="L489" s="69">
        <v>1.4</v>
      </c>
      <c r="M489" s="69" t="s">
        <v>958</v>
      </c>
      <c r="N489" s="69">
        <v>2008</v>
      </c>
      <c r="O489" s="69" t="s">
        <v>585</v>
      </c>
      <c r="P489" s="69">
        <v>272898</v>
      </c>
      <c r="Q489" s="92" t="s">
        <v>472</v>
      </c>
      <c r="R489" s="92" t="s">
        <v>515</v>
      </c>
      <c r="S489" s="92"/>
    </row>
    <row r="490" spans="1:19" x14ac:dyDescent="0.2">
      <c r="A490" s="92" t="s">
        <v>403</v>
      </c>
      <c r="B490" s="69">
        <v>1</v>
      </c>
      <c r="C490" s="69">
        <v>2</v>
      </c>
      <c r="D490" s="69">
        <v>2</v>
      </c>
      <c r="E490" s="69">
        <v>-7</v>
      </c>
      <c r="F490" s="69">
        <v>-12</v>
      </c>
      <c r="G490" s="69">
        <v>-19</v>
      </c>
      <c r="H490" s="69">
        <v>-4</v>
      </c>
      <c r="I490" s="70">
        <v>0.61</v>
      </c>
      <c r="J490" s="70">
        <v>1.61</v>
      </c>
      <c r="K490" s="69">
        <v>13.1</v>
      </c>
      <c r="L490" s="69">
        <v>-0.3</v>
      </c>
      <c r="M490" s="69" t="s">
        <v>968</v>
      </c>
      <c r="N490" s="69">
        <v>2009</v>
      </c>
      <c r="O490" s="69" t="s">
        <v>485</v>
      </c>
      <c r="P490" s="69">
        <v>303230</v>
      </c>
      <c r="Q490" s="92" t="s">
        <v>636</v>
      </c>
      <c r="R490" s="92" t="s">
        <v>109</v>
      </c>
      <c r="S490" s="87"/>
    </row>
    <row r="491" spans="1:19" x14ac:dyDescent="0.2">
      <c r="A491" s="92" t="s">
        <v>240</v>
      </c>
      <c r="B491" s="69">
        <v>9</v>
      </c>
      <c r="C491" s="69">
        <v>3</v>
      </c>
      <c r="D491" s="69">
        <v>10</v>
      </c>
      <c r="E491" s="69">
        <v>18</v>
      </c>
      <c r="F491" s="69">
        <v>36</v>
      </c>
      <c r="G491" s="69">
        <v>26</v>
      </c>
      <c r="H491" s="69">
        <v>4.8</v>
      </c>
      <c r="I491" s="70">
        <v>0.61</v>
      </c>
      <c r="J491" s="70">
        <v>1.83</v>
      </c>
      <c r="K491" s="69">
        <v>6.5</v>
      </c>
      <c r="L491" s="69">
        <v>1.3</v>
      </c>
      <c r="M491" s="69" t="s">
        <v>960</v>
      </c>
      <c r="N491" s="69">
        <v>2000</v>
      </c>
      <c r="O491" s="69" t="s">
        <v>485</v>
      </c>
      <c r="P491" s="69">
        <v>794115</v>
      </c>
      <c r="Q491" s="92" t="s">
        <v>61</v>
      </c>
      <c r="R491" s="92" t="s">
        <v>227</v>
      </c>
      <c r="S491" s="87"/>
    </row>
    <row r="492" spans="1:19" x14ac:dyDescent="0.2">
      <c r="A492" s="92" t="s">
        <v>56</v>
      </c>
      <c r="B492" s="69">
        <v>14</v>
      </c>
      <c r="C492" s="69">
        <v>3</v>
      </c>
      <c r="D492" s="69">
        <v>9</v>
      </c>
      <c r="E492" s="69">
        <v>23</v>
      </c>
      <c r="F492" s="69">
        <v>62</v>
      </c>
      <c r="G492" s="69">
        <v>56</v>
      </c>
      <c r="H492" s="69">
        <v>9.3000000000000007</v>
      </c>
      <c r="I492" s="70">
        <v>0.61</v>
      </c>
      <c r="J492" s="70">
        <v>1.46</v>
      </c>
      <c r="K492" s="69">
        <v>8.9</v>
      </c>
      <c r="L492" s="69">
        <v>1.6</v>
      </c>
      <c r="M492" s="69" t="s">
        <v>958</v>
      </c>
      <c r="N492" s="69">
        <v>2000</v>
      </c>
      <c r="O492" s="69" t="s">
        <v>585</v>
      </c>
      <c r="P492" s="69">
        <v>273078</v>
      </c>
      <c r="Q492" s="92" t="s">
        <v>516</v>
      </c>
      <c r="R492" s="92" t="s">
        <v>38</v>
      </c>
      <c r="S492" s="87" t="s">
        <v>959</v>
      </c>
    </row>
    <row r="493" spans="1:19" x14ac:dyDescent="0.2">
      <c r="A493" s="92" t="s">
        <v>532</v>
      </c>
      <c r="B493" s="69">
        <v>10</v>
      </c>
      <c r="C493" s="69">
        <v>1</v>
      </c>
      <c r="D493" s="69">
        <v>5</v>
      </c>
      <c r="E493" s="69">
        <v>18</v>
      </c>
      <c r="F493" s="69">
        <v>40</v>
      </c>
      <c r="G493" s="69">
        <v>30</v>
      </c>
      <c r="H493" s="69">
        <v>5.4</v>
      </c>
      <c r="I493" s="70">
        <v>0.61</v>
      </c>
      <c r="J493" s="70">
        <v>1.47</v>
      </c>
      <c r="K493" s="69">
        <v>10.4</v>
      </c>
      <c r="L493" s="69">
        <v>0.9</v>
      </c>
      <c r="M493" s="69" t="s">
        <v>958</v>
      </c>
      <c r="N493" s="69">
        <v>2007</v>
      </c>
      <c r="O493" s="69" t="s">
        <v>585</v>
      </c>
      <c r="P493" s="69">
        <v>102897</v>
      </c>
      <c r="Q493" s="92" t="s">
        <v>377</v>
      </c>
      <c r="R493" s="92" t="s">
        <v>38</v>
      </c>
      <c r="S493" s="92"/>
    </row>
    <row r="494" spans="1:19" x14ac:dyDescent="0.2">
      <c r="A494" s="92" t="s">
        <v>298</v>
      </c>
      <c r="B494" s="69">
        <v>16</v>
      </c>
      <c r="C494" s="69">
        <v>9</v>
      </c>
      <c r="D494" s="69">
        <v>22</v>
      </c>
      <c r="E494" s="69">
        <v>23</v>
      </c>
      <c r="F494" s="69">
        <v>33</v>
      </c>
      <c r="G494" s="69">
        <v>36</v>
      </c>
      <c r="H494" s="69">
        <v>6.3</v>
      </c>
      <c r="I494" s="70">
        <v>0.61</v>
      </c>
      <c r="J494" s="70">
        <v>2.58</v>
      </c>
      <c r="K494" s="69">
        <v>12.7</v>
      </c>
      <c r="L494" s="69">
        <v>0.6</v>
      </c>
      <c r="M494" s="69" t="s">
        <v>958</v>
      </c>
      <c r="N494" s="69">
        <v>2006</v>
      </c>
      <c r="O494" s="69" t="s">
        <v>585</v>
      </c>
      <c r="P494" s="69">
        <v>184291</v>
      </c>
      <c r="Q494" s="92" t="s">
        <v>657</v>
      </c>
      <c r="R494" s="92" t="s">
        <v>121</v>
      </c>
      <c r="S494" s="87"/>
    </row>
    <row r="495" spans="1:19" x14ac:dyDescent="0.2">
      <c r="A495" s="92" t="s">
        <v>110</v>
      </c>
      <c r="B495" s="69">
        <v>17</v>
      </c>
      <c r="C495" s="69">
        <v>7</v>
      </c>
      <c r="D495" s="69">
        <v>16</v>
      </c>
      <c r="E495" s="69">
        <v>28</v>
      </c>
      <c r="F495" s="69">
        <v>76</v>
      </c>
      <c r="G495" s="69">
        <v>73</v>
      </c>
      <c r="H495" s="69">
        <v>11.6</v>
      </c>
      <c r="I495" s="70">
        <v>0.61</v>
      </c>
      <c r="J495" s="70">
        <v>1.45</v>
      </c>
      <c r="K495" s="69">
        <v>7.3</v>
      </c>
      <c r="L495" s="69">
        <v>2.2999999999999998</v>
      </c>
      <c r="M495" s="69" t="s">
        <v>968</v>
      </c>
      <c r="N495" s="69">
        <v>2000</v>
      </c>
      <c r="O495" s="69" t="s">
        <v>485</v>
      </c>
      <c r="P495" s="69">
        <v>294322</v>
      </c>
      <c r="Q495" s="92" t="s">
        <v>590</v>
      </c>
      <c r="R495" s="92" t="s">
        <v>109</v>
      </c>
      <c r="S495" s="87"/>
    </row>
    <row r="496" spans="1:19" x14ac:dyDescent="0.2">
      <c r="A496" s="92" t="s">
        <v>104</v>
      </c>
      <c r="B496" s="69">
        <v>17</v>
      </c>
      <c r="C496" s="69">
        <v>9</v>
      </c>
      <c r="D496" s="69">
        <v>18</v>
      </c>
      <c r="E496" s="69">
        <v>21</v>
      </c>
      <c r="F496" s="69">
        <v>42</v>
      </c>
      <c r="G496" s="69">
        <v>66</v>
      </c>
      <c r="H496" s="69">
        <v>10.6</v>
      </c>
      <c r="I496" s="70">
        <v>0.61</v>
      </c>
      <c r="J496" s="70">
        <v>1.46</v>
      </c>
      <c r="K496" s="69">
        <v>14.1</v>
      </c>
      <c r="L496" s="69">
        <v>0.8</v>
      </c>
      <c r="M496" s="69" t="s">
        <v>968</v>
      </c>
      <c r="N496" s="69">
        <v>2000</v>
      </c>
      <c r="O496" s="69" t="s">
        <v>485</v>
      </c>
      <c r="P496" s="69">
        <v>401810</v>
      </c>
      <c r="Q496" s="92" t="s">
        <v>590</v>
      </c>
      <c r="R496" s="92" t="s">
        <v>98</v>
      </c>
      <c r="S496" s="92"/>
    </row>
    <row r="497" spans="1:19" x14ac:dyDescent="0.2">
      <c r="A497" s="92" t="s">
        <v>112</v>
      </c>
      <c r="B497" s="69">
        <v>14</v>
      </c>
      <c r="C497" s="69">
        <v>8</v>
      </c>
      <c r="D497" s="69">
        <v>16</v>
      </c>
      <c r="E497" s="69">
        <v>24</v>
      </c>
      <c r="F497" s="69">
        <v>68</v>
      </c>
      <c r="G497" s="69">
        <v>81</v>
      </c>
      <c r="H497" s="69">
        <v>12.7</v>
      </c>
      <c r="I497" s="70">
        <v>0.61</v>
      </c>
      <c r="J497" s="70">
        <v>1.82</v>
      </c>
      <c r="K497" s="69">
        <v>7.7</v>
      </c>
      <c r="L497" s="69">
        <v>2</v>
      </c>
      <c r="M497" s="69" t="s">
        <v>958</v>
      </c>
      <c r="N497" s="69">
        <v>2000</v>
      </c>
      <c r="O497" s="69" t="s">
        <v>585</v>
      </c>
      <c r="P497" s="69">
        <v>964767</v>
      </c>
      <c r="Q497" s="92" t="s">
        <v>528</v>
      </c>
      <c r="R497" s="92" t="s">
        <v>109</v>
      </c>
      <c r="S497" s="92"/>
    </row>
    <row r="498" spans="1:19" x14ac:dyDescent="0.2">
      <c r="A498" s="92" t="s">
        <v>711</v>
      </c>
      <c r="B498" s="69">
        <v>35</v>
      </c>
      <c r="C498" s="69">
        <v>17</v>
      </c>
      <c r="D498" s="69">
        <v>31</v>
      </c>
      <c r="E498" s="69">
        <v>58</v>
      </c>
      <c r="F498" s="69">
        <v>36</v>
      </c>
      <c r="G498" s="69">
        <v>24</v>
      </c>
      <c r="H498" s="69">
        <v>4.5</v>
      </c>
      <c r="I498" s="70">
        <v>0.61</v>
      </c>
      <c r="J498" s="70">
        <v>1.84</v>
      </c>
      <c r="K498" s="69">
        <v>16.399999999999999</v>
      </c>
      <c r="L498" s="69">
        <v>0.6</v>
      </c>
      <c r="M498" s="69" t="s">
        <v>958</v>
      </c>
      <c r="N498" s="69">
        <v>2001</v>
      </c>
      <c r="O498" s="69" t="s">
        <v>485</v>
      </c>
      <c r="P498" s="69">
        <v>362327</v>
      </c>
      <c r="Q498" s="92" t="s">
        <v>697</v>
      </c>
      <c r="R498" s="92" t="s">
        <v>98</v>
      </c>
      <c r="S498" s="92"/>
    </row>
    <row r="499" spans="1:19" x14ac:dyDescent="0.2">
      <c r="A499" s="92" t="s">
        <v>898</v>
      </c>
      <c r="B499" s="69">
        <v>10</v>
      </c>
      <c r="C499" s="69">
        <v>4</v>
      </c>
      <c r="D499" s="69">
        <v>8</v>
      </c>
      <c r="E499" s="69">
        <v>24</v>
      </c>
      <c r="F499" s="69">
        <v>73</v>
      </c>
      <c r="G499" s="69">
        <v>102</v>
      </c>
      <c r="H499" s="69">
        <v>15</v>
      </c>
      <c r="I499" s="70">
        <v>0.61</v>
      </c>
      <c r="J499" s="70">
        <v>1.82</v>
      </c>
      <c r="K499" s="69">
        <v>10.4</v>
      </c>
      <c r="L499" s="69">
        <v>1.7</v>
      </c>
      <c r="M499" s="69" t="s">
        <v>958</v>
      </c>
      <c r="N499" s="69">
        <v>2013</v>
      </c>
      <c r="O499" s="69" t="s">
        <v>485</v>
      </c>
      <c r="P499" s="69">
        <v>445841</v>
      </c>
      <c r="Q499" s="92" t="s">
        <v>697</v>
      </c>
      <c r="R499" s="92" t="s">
        <v>207</v>
      </c>
      <c r="S499" s="92"/>
    </row>
    <row r="500" spans="1:19" x14ac:dyDescent="0.2">
      <c r="A500" s="92" t="s">
        <v>1116</v>
      </c>
      <c r="B500" s="69">
        <v>23</v>
      </c>
      <c r="C500" s="69">
        <v>11</v>
      </c>
      <c r="D500" s="69">
        <v>20</v>
      </c>
      <c r="E500" s="69">
        <v>34</v>
      </c>
      <c r="F500" s="69">
        <v>77</v>
      </c>
      <c r="G500" s="69">
        <v>76</v>
      </c>
      <c r="H500" s="69">
        <v>11.9</v>
      </c>
      <c r="I500" s="70">
        <v>0.61</v>
      </c>
      <c r="J500" s="70">
        <v>1.82</v>
      </c>
      <c r="K500" s="69">
        <v>10.6</v>
      </c>
      <c r="L500" s="69">
        <v>1.6</v>
      </c>
      <c r="M500" s="69" t="s">
        <v>958</v>
      </c>
      <c r="N500" s="69">
        <v>2000</v>
      </c>
      <c r="O500" s="69" t="s">
        <v>585</v>
      </c>
      <c r="P500" s="69">
        <v>785618</v>
      </c>
      <c r="Q500" s="92" t="s">
        <v>528</v>
      </c>
      <c r="R500" s="92" t="s">
        <v>197</v>
      </c>
      <c r="S500" s="92"/>
    </row>
    <row r="501" spans="1:19" x14ac:dyDescent="0.2">
      <c r="A501" s="92" t="s">
        <v>487</v>
      </c>
      <c r="B501" s="69">
        <v>7</v>
      </c>
      <c r="C501" s="69">
        <v>0</v>
      </c>
      <c r="D501" s="69">
        <v>6</v>
      </c>
      <c r="E501" s="69">
        <v>13</v>
      </c>
      <c r="F501" s="69">
        <v>33</v>
      </c>
      <c r="G501" s="69">
        <v>57</v>
      </c>
      <c r="H501" s="69">
        <v>9.4</v>
      </c>
      <c r="I501" s="70">
        <v>0.61</v>
      </c>
      <c r="J501" s="70">
        <v>1.55</v>
      </c>
      <c r="K501" s="69">
        <v>9.9</v>
      </c>
      <c r="L501" s="69">
        <v>0.9</v>
      </c>
      <c r="M501" s="69" t="s">
        <v>960</v>
      </c>
      <c r="N501" s="69">
        <v>2006</v>
      </c>
      <c r="O501" s="69" t="s">
        <v>485</v>
      </c>
      <c r="P501" s="69">
        <v>917898</v>
      </c>
      <c r="Q501" s="92" t="s">
        <v>271</v>
      </c>
      <c r="R501" s="92" t="s">
        <v>469</v>
      </c>
      <c r="S501" s="92"/>
    </row>
    <row r="502" spans="1:19" x14ac:dyDescent="0.2">
      <c r="A502" s="92" t="s">
        <v>333</v>
      </c>
      <c r="B502" s="69">
        <v>7</v>
      </c>
      <c r="C502" s="69">
        <v>0</v>
      </c>
      <c r="D502" s="69">
        <v>6</v>
      </c>
      <c r="E502" s="69">
        <v>13</v>
      </c>
      <c r="F502" s="69">
        <v>35</v>
      </c>
      <c r="G502" s="69"/>
      <c r="H502" s="69"/>
      <c r="I502" s="70">
        <v>0.61</v>
      </c>
      <c r="J502" s="70">
        <v>1.56</v>
      </c>
      <c r="K502" s="69">
        <v>9.9</v>
      </c>
      <c r="L502" s="69">
        <v>0.9</v>
      </c>
      <c r="M502" s="69" t="s">
        <v>960</v>
      </c>
      <c r="N502" s="69">
        <v>2010</v>
      </c>
      <c r="O502" s="69" t="s">
        <v>485</v>
      </c>
      <c r="P502" s="69">
        <v>515148</v>
      </c>
      <c r="Q502" s="92" t="s">
        <v>271</v>
      </c>
      <c r="R502" s="92" t="s">
        <v>478</v>
      </c>
      <c r="S502" s="87" t="s">
        <v>959</v>
      </c>
    </row>
    <row r="503" spans="1:19" x14ac:dyDescent="0.2">
      <c r="A503" s="92" t="s">
        <v>648</v>
      </c>
      <c r="B503" s="69">
        <v>4</v>
      </c>
      <c r="C503" s="69">
        <v>-1</v>
      </c>
      <c r="D503" s="69">
        <v>3</v>
      </c>
      <c r="E503" s="69">
        <v>8</v>
      </c>
      <c r="F503" s="69">
        <v>36</v>
      </c>
      <c r="G503" s="69"/>
      <c r="H503" s="69"/>
      <c r="I503" s="70">
        <v>0.61</v>
      </c>
      <c r="J503" s="70">
        <v>1.55</v>
      </c>
      <c r="K503" s="69">
        <v>10.7</v>
      </c>
      <c r="L503" s="69">
        <v>0.9</v>
      </c>
      <c r="M503" s="69" t="s">
        <v>958</v>
      </c>
      <c r="N503" s="69">
        <v>2011</v>
      </c>
      <c r="O503" s="69" t="s">
        <v>485</v>
      </c>
      <c r="P503" s="69">
        <v>690636</v>
      </c>
      <c r="Q503" s="92" t="s">
        <v>271</v>
      </c>
      <c r="R503" s="92" t="s">
        <v>478</v>
      </c>
      <c r="S503" s="87"/>
    </row>
    <row r="504" spans="1:19" x14ac:dyDescent="0.2">
      <c r="A504" s="92" t="s">
        <v>31</v>
      </c>
      <c r="B504" s="69">
        <v>4</v>
      </c>
      <c r="C504" s="69">
        <v>4</v>
      </c>
      <c r="D504" s="69">
        <v>30</v>
      </c>
      <c r="E504" s="69">
        <v>11</v>
      </c>
      <c r="F504" s="69">
        <v>11</v>
      </c>
      <c r="G504" s="69">
        <v>24</v>
      </c>
      <c r="H504" s="69">
        <v>4.4000000000000004</v>
      </c>
      <c r="I504" s="70">
        <v>0.61</v>
      </c>
      <c r="J504" s="70">
        <v>1.46</v>
      </c>
      <c r="K504" s="69">
        <v>20.7</v>
      </c>
      <c r="L504" s="69">
        <v>0.1</v>
      </c>
      <c r="M504" s="69" t="s">
        <v>968</v>
      </c>
      <c r="N504" s="69">
        <v>2000</v>
      </c>
      <c r="O504" s="69" t="s">
        <v>485</v>
      </c>
      <c r="P504" s="69">
        <v>376319</v>
      </c>
      <c r="Q504" s="92" t="s">
        <v>324</v>
      </c>
      <c r="R504" s="92" t="s">
        <v>157</v>
      </c>
      <c r="S504" s="87"/>
    </row>
    <row r="505" spans="1:19" x14ac:dyDescent="0.2">
      <c r="A505" s="92" t="s">
        <v>688</v>
      </c>
      <c r="B505" s="69">
        <v>16</v>
      </c>
      <c r="C505" s="69">
        <v>9</v>
      </c>
      <c r="D505" s="69">
        <v>20</v>
      </c>
      <c r="E505" s="69">
        <v>19</v>
      </c>
      <c r="F505" s="69"/>
      <c r="G505" s="69"/>
      <c r="H505" s="69"/>
      <c r="I505" s="70">
        <v>0.61</v>
      </c>
      <c r="J505" s="70">
        <v>2.82</v>
      </c>
      <c r="K505" s="69"/>
      <c r="L505" s="69"/>
      <c r="M505" s="69" t="s">
        <v>958</v>
      </c>
      <c r="N505" s="69">
        <v>2011</v>
      </c>
      <c r="O505" s="69" t="s">
        <v>485</v>
      </c>
      <c r="P505" s="69">
        <v>948117</v>
      </c>
      <c r="Q505" s="92" t="s">
        <v>299</v>
      </c>
      <c r="R505" s="92" t="s">
        <v>227</v>
      </c>
      <c r="S505" s="87"/>
    </row>
    <row r="506" spans="1:19" x14ac:dyDescent="0.2">
      <c r="A506" s="92" t="s">
        <v>729</v>
      </c>
      <c r="B506" s="69">
        <v>9</v>
      </c>
      <c r="C506" s="69">
        <v>2</v>
      </c>
      <c r="D506" s="69">
        <v>7</v>
      </c>
      <c r="E506" s="69">
        <v>16</v>
      </c>
      <c r="F506" s="69">
        <v>45</v>
      </c>
      <c r="G506" s="69">
        <v>80</v>
      </c>
      <c r="H506" s="69">
        <v>12.5</v>
      </c>
      <c r="I506" s="70">
        <v>0.61</v>
      </c>
      <c r="J506" s="70">
        <v>1.59</v>
      </c>
      <c r="K506" s="69">
        <v>7.5</v>
      </c>
      <c r="L506" s="69">
        <v>1.6</v>
      </c>
      <c r="M506" s="69" t="s">
        <v>971</v>
      </c>
      <c r="N506" s="69">
        <v>2006</v>
      </c>
      <c r="O506" s="69" t="s">
        <v>485</v>
      </c>
      <c r="P506" s="69">
        <v>793406</v>
      </c>
      <c r="Q506" s="92" t="s">
        <v>584</v>
      </c>
      <c r="R506" s="92" t="s">
        <v>478</v>
      </c>
      <c r="S506" s="92"/>
    </row>
    <row r="507" spans="1:19" x14ac:dyDescent="0.2">
      <c r="A507" s="92" t="s">
        <v>977</v>
      </c>
      <c r="B507" s="69">
        <v>11</v>
      </c>
      <c r="C507" s="69">
        <v>2</v>
      </c>
      <c r="D507" s="69">
        <v>11</v>
      </c>
      <c r="E507" s="69">
        <v>20</v>
      </c>
      <c r="F507" s="69">
        <v>52</v>
      </c>
      <c r="G507" s="69"/>
      <c r="H507" s="69"/>
      <c r="I507" s="70">
        <v>0.62</v>
      </c>
      <c r="J507" s="70">
        <v>1.7</v>
      </c>
      <c r="K507" s="69">
        <v>11.1</v>
      </c>
      <c r="L507" s="69">
        <v>1.1000000000000001</v>
      </c>
      <c r="M507" s="69" t="s">
        <v>958</v>
      </c>
      <c r="N507" s="69">
        <v>2013</v>
      </c>
      <c r="O507" s="69" t="s">
        <v>485</v>
      </c>
      <c r="P507" s="69">
        <v>694828</v>
      </c>
      <c r="Q507" s="92" t="s">
        <v>299</v>
      </c>
      <c r="R507" s="92" t="s">
        <v>227</v>
      </c>
      <c r="S507" s="92"/>
    </row>
    <row r="508" spans="1:19" x14ac:dyDescent="0.2">
      <c r="A508" s="92" t="s">
        <v>951</v>
      </c>
      <c r="B508" s="69">
        <v>10</v>
      </c>
      <c r="C508" s="69">
        <v>4</v>
      </c>
      <c r="D508" s="69">
        <v>11</v>
      </c>
      <c r="E508" s="69">
        <v>26</v>
      </c>
      <c r="F508" s="69">
        <v>75</v>
      </c>
      <c r="G508" s="69">
        <v>42</v>
      </c>
      <c r="H508" s="69">
        <v>7.3</v>
      </c>
      <c r="I508" s="70">
        <v>0.62</v>
      </c>
      <c r="J508" s="70">
        <v>1.85</v>
      </c>
      <c r="K508" s="69">
        <v>10.5</v>
      </c>
      <c r="L508" s="69">
        <v>1.6</v>
      </c>
      <c r="M508" s="69" t="s">
        <v>960</v>
      </c>
      <c r="N508" s="69">
        <v>2000</v>
      </c>
      <c r="O508" s="69" t="s">
        <v>485</v>
      </c>
      <c r="P508" s="69">
        <v>543306</v>
      </c>
      <c r="Q508" s="92" t="s">
        <v>61</v>
      </c>
      <c r="R508" s="92" t="s">
        <v>207</v>
      </c>
      <c r="S508" s="87"/>
    </row>
    <row r="509" spans="1:19" x14ac:dyDescent="0.2">
      <c r="A509" s="87" t="s">
        <v>663</v>
      </c>
      <c r="B509" s="69">
        <v>12</v>
      </c>
      <c r="C509" s="69">
        <v>7</v>
      </c>
      <c r="D509" s="69">
        <v>10</v>
      </c>
      <c r="E509" s="69">
        <v>25</v>
      </c>
      <c r="F509" s="69">
        <v>76</v>
      </c>
      <c r="G509" s="69">
        <v>90</v>
      </c>
      <c r="H509" s="69">
        <v>13.6</v>
      </c>
      <c r="I509" s="85">
        <v>0.62</v>
      </c>
      <c r="J509" s="85">
        <v>1.85</v>
      </c>
      <c r="K509" s="69">
        <v>11</v>
      </c>
      <c r="L509" s="69">
        <v>1.5</v>
      </c>
      <c r="M509" s="86" t="s">
        <v>968</v>
      </c>
      <c r="N509" s="11">
        <v>2009</v>
      </c>
      <c r="O509" s="86" t="s">
        <v>485</v>
      </c>
      <c r="P509" s="86">
        <v>889261</v>
      </c>
      <c r="Q509" s="87" t="s">
        <v>61</v>
      </c>
      <c r="R509" s="87" t="s">
        <v>72</v>
      </c>
      <c r="S509" s="87"/>
    </row>
    <row r="510" spans="1:19" x14ac:dyDescent="0.2">
      <c r="A510" s="92" t="s">
        <v>950</v>
      </c>
      <c r="B510" s="69">
        <v>17</v>
      </c>
      <c r="C510" s="69">
        <v>11</v>
      </c>
      <c r="D510" s="69">
        <v>22</v>
      </c>
      <c r="E510" s="69">
        <v>25</v>
      </c>
      <c r="F510" s="69">
        <v>46</v>
      </c>
      <c r="G510" s="69">
        <v>51</v>
      </c>
      <c r="H510" s="69">
        <v>8.6</v>
      </c>
      <c r="I510" s="70">
        <v>0.62</v>
      </c>
      <c r="J510" s="70">
        <v>1.86</v>
      </c>
      <c r="K510" s="69">
        <v>14.5</v>
      </c>
      <c r="L510" s="69">
        <v>0.8</v>
      </c>
      <c r="M510" s="69" t="s">
        <v>976</v>
      </c>
      <c r="N510" s="69">
        <v>2005</v>
      </c>
      <c r="O510" s="69" t="s">
        <v>485</v>
      </c>
      <c r="P510" s="69">
        <v>944637</v>
      </c>
      <c r="Q510" s="92" t="s">
        <v>61</v>
      </c>
      <c r="R510" s="92" t="s">
        <v>170</v>
      </c>
      <c r="S510" s="92"/>
    </row>
    <row r="511" spans="1:19" x14ac:dyDescent="0.2">
      <c r="A511" s="92" t="s">
        <v>106</v>
      </c>
      <c r="B511" s="69">
        <v>19</v>
      </c>
      <c r="C511" s="69">
        <v>10</v>
      </c>
      <c r="D511" s="69">
        <v>17</v>
      </c>
      <c r="E511" s="69">
        <v>29</v>
      </c>
      <c r="F511" s="69">
        <v>85</v>
      </c>
      <c r="G511" s="69">
        <v>95</v>
      </c>
      <c r="H511" s="69">
        <v>14.3</v>
      </c>
      <c r="I511" s="70">
        <v>0.62</v>
      </c>
      <c r="J511" s="70">
        <v>1.85</v>
      </c>
      <c r="K511" s="69">
        <v>9.1</v>
      </c>
      <c r="L511" s="69">
        <v>2</v>
      </c>
      <c r="M511" s="69" t="s">
        <v>968</v>
      </c>
      <c r="N511" s="69">
        <v>2000</v>
      </c>
      <c r="O511" s="69" t="s">
        <v>485</v>
      </c>
      <c r="P511" s="69">
        <v>686626</v>
      </c>
      <c r="Q511" s="92" t="s">
        <v>61</v>
      </c>
      <c r="R511" s="92" t="s">
        <v>72</v>
      </c>
      <c r="S511" s="87"/>
    </row>
    <row r="512" spans="1:19" x14ac:dyDescent="0.2">
      <c r="A512" s="92" t="s">
        <v>236</v>
      </c>
      <c r="B512" s="69">
        <v>3</v>
      </c>
      <c r="C512" s="69">
        <v>-2</v>
      </c>
      <c r="D512" s="69">
        <v>4</v>
      </c>
      <c r="E512" s="69">
        <v>13</v>
      </c>
      <c r="F512" s="69">
        <v>41</v>
      </c>
      <c r="G512" s="69">
        <v>37</v>
      </c>
      <c r="H512" s="69">
        <v>6.4</v>
      </c>
      <c r="I512" s="70">
        <v>0.62</v>
      </c>
      <c r="J512" s="70">
        <v>1.58</v>
      </c>
      <c r="K512" s="69">
        <v>9.8000000000000007</v>
      </c>
      <c r="L512" s="69">
        <v>1</v>
      </c>
      <c r="M512" s="69" t="s">
        <v>960</v>
      </c>
      <c r="N512" s="69">
        <v>2010</v>
      </c>
      <c r="O512" s="69" t="s">
        <v>485</v>
      </c>
      <c r="P512" s="69">
        <v>238832</v>
      </c>
      <c r="Q512" s="92" t="s">
        <v>228</v>
      </c>
      <c r="R512" s="92" t="s">
        <v>38</v>
      </c>
      <c r="S512" s="87"/>
    </row>
    <row r="513" spans="1:19" x14ac:dyDescent="0.2">
      <c r="A513" s="92" t="s">
        <v>774</v>
      </c>
      <c r="B513" s="69">
        <v>14</v>
      </c>
      <c r="C513" s="69">
        <v>6</v>
      </c>
      <c r="D513" s="69">
        <v>16</v>
      </c>
      <c r="E513" s="69">
        <v>27</v>
      </c>
      <c r="F513" s="69"/>
      <c r="G513" s="69"/>
      <c r="H513" s="69"/>
      <c r="I513" s="70">
        <v>0.62</v>
      </c>
      <c r="J513" s="70">
        <v>2.48</v>
      </c>
      <c r="K513" s="69"/>
      <c r="L513" s="69"/>
      <c r="M513" s="69" t="s">
        <v>958</v>
      </c>
      <c r="N513" s="69">
        <v>2012</v>
      </c>
      <c r="O513" s="69" t="s">
        <v>585</v>
      </c>
      <c r="P513" s="69">
        <v>392423</v>
      </c>
      <c r="Q513" s="92" t="s">
        <v>685</v>
      </c>
      <c r="R513" s="92" t="s">
        <v>109</v>
      </c>
      <c r="S513" s="92"/>
    </row>
    <row r="514" spans="1:19" x14ac:dyDescent="0.2">
      <c r="A514" s="92" t="s">
        <v>250</v>
      </c>
      <c r="B514" s="69">
        <v>5</v>
      </c>
      <c r="C514" s="69">
        <v>2</v>
      </c>
      <c r="D514" s="69">
        <v>5</v>
      </c>
      <c r="E514" s="69">
        <v>12</v>
      </c>
      <c r="F514" s="69">
        <v>29</v>
      </c>
      <c r="G514" s="69">
        <v>30</v>
      </c>
      <c r="H514" s="69">
        <v>5.3</v>
      </c>
      <c r="I514" s="70">
        <v>0.62</v>
      </c>
      <c r="J514" s="70">
        <v>1.69</v>
      </c>
      <c r="K514" s="69">
        <v>4.9000000000000004</v>
      </c>
      <c r="L514" s="69">
        <v>1.3</v>
      </c>
      <c r="M514" s="69" t="s">
        <v>958</v>
      </c>
      <c r="N514" s="69">
        <v>2005</v>
      </c>
      <c r="O514" s="69" t="s">
        <v>585</v>
      </c>
      <c r="P514" s="69">
        <v>855973</v>
      </c>
      <c r="Q514" s="92" t="s">
        <v>518</v>
      </c>
      <c r="R514" s="92" t="s">
        <v>227</v>
      </c>
      <c r="S514" s="87"/>
    </row>
    <row r="515" spans="1:19" x14ac:dyDescent="0.2">
      <c r="A515" s="92" t="s">
        <v>582</v>
      </c>
      <c r="B515" s="69">
        <v>19</v>
      </c>
      <c r="C515" s="69">
        <v>10</v>
      </c>
      <c r="D515" s="69">
        <v>19</v>
      </c>
      <c r="E515" s="69">
        <v>22</v>
      </c>
      <c r="F515" s="69">
        <v>25</v>
      </c>
      <c r="G515" s="69">
        <v>36</v>
      </c>
      <c r="H515" s="69">
        <v>6.3</v>
      </c>
      <c r="I515" s="70">
        <v>0.62</v>
      </c>
      <c r="J515" s="70">
        <v>1.5</v>
      </c>
      <c r="K515" s="69">
        <v>11.8</v>
      </c>
      <c r="L515" s="69">
        <v>0.5</v>
      </c>
      <c r="M515" s="69" t="s">
        <v>968</v>
      </c>
      <c r="N515" s="69">
        <v>2001</v>
      </c>
      <c r="O515" s="69" t="s">
        <v>485</v>
      </c>
      <c r="P515" s="69">
        <v>389650</v>
      </c>
      <c r="Q515" s="92" t="s">
        <v>268</v>
      </c>
      <c r="R515" s="92" t="s">
        <v>98</v>
      </c>
      <c r="S515" s="92"/>
    </row>
    <row r="516" spans="1:19" x14ac:dyDescent="0.2">
      <c r="A516" s="92" t="s">
        <v>1109</v>
      </c>
      <c r="B516" s="69">
        <v>9</v>
      </c>
      <c r="C516" s="69">
        <v>3</v>
      </c>
      <c r="D516" s="69">
        <v>7</v>
      </c>
      <c r="E516" s="69">
        <v>22</v>
      </c>
      <c r="F516" s="69">
        <v>70</v>
      </c>
      <c r="G516" s="69"/>
      <c r="H516" s="69"/>
      <c r="I516" s="70">
        <v>0.62</v>
      </c>
      <c r="J516" s="70">
        <v>1.5</v>
      </c>
      <c r="K516" s="69">
        <v>8.4</v>
      </c>
      <c r="L516" s="69">
        <v>1.9</v>
      </c>
      <c r="M516" s="69" t="s">
        <v>958</v>
      </c>
      <c r="N516" s="69">
        <v>2014</v>
      </c>
      <c r="O516" s="69" t="s">
        <v>585</v>
      </c>
      <c r="P516" s="69">
        <v>341362</v>
      </c>
      <c r="Q516" s="92" t="s">
        <v>1110</v>
      </c>
      <c r="R516" s="92" t="s">
        <v>109</v>
      </c>
      <c r="S516" s="92"/>
    </row>
    <row r="517" spans="1:19" x14ac:dyDescent="0.2">
      <c r="A517" s="92" t="s">
        <v>571</v>
      </c>
      <c r="B517" s="69">
        <v>19</v>
      </c>
      <c r="C517" s="69">
        <v>9</v>
      </c>
      <c r="D517" s="69">
        <v>18</v>
      </c>
      <c r="E517" s="69">
        <v>26</v>
      </c>
      <c r="F517" s="69">
        <v>53</v>
      </c>
      <c r="G517" s="69">
        <v>54</v>
      </c>
      <c r="H517" s="69">
        <v>9</v>
      </c>
      <c r="I517" s="70">
        <v>0.62</v>
      </c>
      <c r="J517" s="70">
        <v>1.5</v>
      </c>
      <c r="K517" s="69">
        <v>8.6</v>
      </c>
      <c r="L517" s="69">
        <v>1.4</v>
      </c>
      <c r="M517" s="69" t="s">
        <v>960</v>
      </c>
      <c r="N517" s="69">
        <v>2010</v>
      </c>
      <c r="O517" s="69" t="s">
        <v>485</v>
      </c>
      <c r="P517" s="69">
        <v>523050</v>
      </c>
      <c r="Q517" s="92" t="s">
        <v>93</v>
      </c>
      <c r="R517" s="92" t="s">
        <v>109</v>
      </c>
      <c r="S517" s="87"/>
    </row>
    <row r="518" spans="1:19" x14ac:dyDescent="0.2">
      <c r="A518" s="92" t="s">
        <v>859</v>
      </c>
      <c r="B518" s="69">
        <v>18</v>
      </c>
      <c r="C518" s="69">
        <v>7</v>
      </c>
      <c r="D518" s="69">
        <v>18</v>
      </c>
      <c r="E518" s="69">
        <v>19</v>
      </c>
      <c r="F518" s="69"/>
      <c r="G518" s="69"/>
      <c r="H518" s="69"/>
      <c r="I518" s="70">
        <v>0.62</v>
      </c>
      <c r="J518" s="70">
        <v>1.5</v>
      </c>
      <c r="K518" s="69"/>
      <c r="L518" s="69"/>
      <c r="M518" s="69" t="s">
        <v>958</v>
      </c>
      <c r="N518" s="69">
        <v>2011</v>
      </c>
      <c r="O518" s="69" t="s">
        <v>585</v>
      </c>
      <c r="P518" s="69">
        <v>357830</v>
      </c>
      <c r="Q518" s="92" t="s">
        <v>987</v>
      </c>
      <c r="R518" s="92" t="s">
        <v>98</v>
      </c>
      <c r="S518" s="92"/>
    </row>
    <row r="519" spans="1:19" x14ac:dyDescent="0.2">
      <c r="A519" s="92" t="s">
        <v>807</v>
      </c>
      <c r="B519" s="69">
        <v>2</v>
      </c>
      <c r="C519" s="69">
        <v>-1</v>
      </c>
      <c r="D519" s="69">
        <v>2</v>
      </c>
      <c r="E519" s="69">
        <v>4</v>
      </c>
      <c r="F519" s="69"/>
      <c r="G519" s="69"/>
      <c r="H519" s="69"/>
      <c r="I519" s="70">
        <v>0.62</v>
      </c>
      <c r="J519" s="70">
        <v>1.5</v>
      </c>
      <c r="K519" s="69"/>
      <c r="L519" s="69"/>
      <c r="M519" s="69" t="s">
        <v>958</v>
      </c>
      <c r="N519" s="69">
        <v>2012</v>
      </c>
      <c r="O519" s="69" t="s">
        <v>585</v>
      </c>
      <c r="P519" s="69">
        <v>190199</v>
      </c>
      <c r="Q519" s="92" t="s">
        <v>987</v>
      </c>
      <c r="R519" s="92" t="s">
        <v>180</v>
      </c>
      <c r="S519" s="87"/>
    </row>
    <row r="520" spans="1:19" x14ac:dyDescent="0.2">
      <c r="A520" s="92" t="s">
        <v>396</v>
      </c>
      <c r="B520" s="69">
        <v>13</v>
      </c>
      <c r="C520" s="69">
        <v>-1</v>
      </c>
      <c r="D520" s="69">
        <v>7</v>
      </c>
      <c r="E520" s="69">
        <v>21</v>
      </c>
      <c r="F520" s="69">
        <v>42</v>
      </c>
      <c r="G520" s="69">
        <v>46</v>
      </c>
      <c r="H520" s="69">
        <v>7.9</v>
      </c>
      <c r="I520" s="70">
        <v>0.62</v>
      </c>
      <c r="J520" s="70">
        <v>1.5</v>
      </c>
      <c r="K520" s="69">
        <v>13.4</v>
      </c>
      <c r="L520" s="69">
        <v>0.8</v>
      </c>
      <c r="M520" s="69" t="s">
        <v>966</v>
      </c>
      <c r="N520" s="69">
        <v>2007</v>
      </c>
      <c r="O520" s="69" t="s">
        <v>485</v>
      </c>
      <c r="P520" s="69">
        <v>354290</v>
      </c>
      <c r="Q520" s="92" t="s">
        <v>393</v>
      </c>
      <c r="R520" s="92" t="s">
        <v>580</v>
      </c>
      <c r="S520" s="87"/>
    </row>
    <row r="521" spans="1:19" x14ac:dyDescent="0.2">
      <c r="A521" s="92" t="s">
        <v>395</v>
      </c>
      <c r="B521" s="69">
        <v>13</v>
      </c>
      <c r="C521" s="69">
        <v>0</v>
      </c>
      <c r="D521" s="69">
        <v>9</v>
      </c>
      <c r="E521" s="69">
        <v>22</v>
      </c>
      <c r="F521" s="69">
        <v>25</v>
      </c>
      <c r="G521" s="69">
        <v>29</v>
      </c>
      <c r="H521" s="69">
        <v>5.3</v>
      </c>
      <c r="I521" s="70">
        <v>0.62</v>
      </c>
      <c r="J521" s="70">
        <v>1.5</v>
      </c>
      <c r="K521" s="69">
        <v>15.4</v>
      </c>
      <c r="L521" s="69">
        <v>0.4</v>
      </c>
      <c r="M521" s="69" t="s">
        <v>966</v>
      </c>
      <c r="N521" s="69">
        <v>2007</v>
      </c>
      <c r="O521" s="69" t="s">
        <v>485</v>
      </c>
      <c r="P521" s="69">
        <v>318469</v>
      </c>
      <c r="Q521" s="92" t="s">
        <v>393</v>
      </c>
      <c r="R521" s="92" t="s">
        <v>180</v>
      </c>
      <c r="S521" s="92"/>
    </row>
    <row r="522" spans="1:19" x14ac:dyDescent="0.2">
      <c r="A522" s="92" t="s">
        <v>96</v>
      </c>
      <c r="B522" s="69">
        <v>18</v>
      </c>
      <c r="C522" s="69">
        <v>9</v>
      </c>
      <c r="D522" s="69">
        <v>18</v>
      </c>
      <c r="E522" s="69">
        <v>28</v>
      </c>
      <c r="F522" s="69">
        <v>77</v>
      </c>
      <c r="G522" s="69">
        <v>74</v>
      </c>
      <c r="H522" s="69">
        <v>11.7</v>
      </c>
      <c r="I522" s="70">
        <v>0.62</v>
      </c>
      <c r="J522" s="70">
        <v>1.5</v>
      </c>
      <c r="K522" s="69">
        <v>7.9</v>
      </c>
      <c r="L522" s="69">
        <v>2.1</v>
      </c>
      <c r="M522" s="69" t="s">
        <v>968</v>
      </c>
      <c r="N522" s="69">
        <v>2005</v>
      </c>
      <c r="O522" s="69" t="s">
        <v>485</v>
      </c>
      <c r="P522" s="69">
        <v>563254</v>
      </c>
      <c r="Q522" s="92" t="s">
        <v>606</v>
      </c>
      <c r="R522" s="92" t="s">
        <v>72</v>
      </c>
      <c r="S522" s="92"/>
    </row>
    <row r="523" spans="1:19" x14ac:dyDescent="0.2">
      <c r="A523" s="92" t="s">
        <v>304</v>
      </c>
      <c r="B523" s="69">
        <v>14</v>
      </c>
      <c r="C523" s="69">
        <v>20</v>
      </c>
      <c r="D523" s="69">
        <v>25</v>
      </c>
      <c r="E523" s="69">
        <v>18</v>
      </c>
      <c r="F523" s="69">
        <v>12</v>
      </c>
      <c r="G523" s="69"/>
      <c r="H523" s="69"/>
      <c r="I523" s="70">
        <v>0.62</v>
      </c>
      <c r="J523" s="70">
        <v>1.5</v>
      </c>
      <c r="K523" s="69">
        <v>19.7</v>
      </c>
      <c r="L523" s="69">
        <v>0.1</v>
      </c>
      <c r="M523" s="69" t="s">
        <v>958</v>
      </c>
      <c r="N523" s="69">
        <v>2011</v>
      </c>
      <c r="O523" s="69" t="s">
        <v>585</v>
      </c>
      <c r="P523" s="69">
        <v>620807</v>
      </c>
      <c r="Q523" s="92" t="s">
        <v>303</v>
      </c>
      <c r="R523" s="92" t="s">
        <v>275</v>
      </c>
      <c r="S523" s="87"/>
    </row>
    <row r="524" spans="1:19" x14ac:dyDescent="0.2">
      <c r="A524" s="92" t="s">
        <v>861</v>
      </c>
      <c r="B524" s="69">
        <v>10</v>
      </c>
      <c r="C524" s="69">
        <v>-1</v>
      </c>
      <c r="D524" s="69">
        <v>7</v>
      </c>
      <c r="E524" s="69">
        <v>18</v>
      </c>
      <c r="F524" s="69">
        <v>59</v>
      </c>
      <c r="G524" s="69">
        <v>76</v>
      </c>
      <c r="H524" s="69">
        <v>12</v>
      </c>
      <c r="I524" s="70">
        <v>0.62</v>
      </c>
      <c r="J524" s="70">
        <v>1.5</v>
      </c>
      <c r="K524" s="69">
        <v>13.1</v>
      </c>
      <c r="L524" s="69">
        <v>1.1000000000000001</v>
      </c>
      <c r="M524" s="69" t="s">
        <v>958</v>
      </c>
      <c r="N524" s="69">
        <v>2003</v>
      </c>
      <c r="O524" s="69" t="s">
        <v>585</v>
      </c>
      <c r="P524" s="69">
        <v>569988</v>
      </c>
      <c r="Q524" s="92" t="s">
        <v>853</v>
      </c>
      <c r="R524" s="92" t="s">
        <v>515</v>
      </c>
      <c r="S524" s="87"/>
    </row>
    <row r="525" spans="1:19" x14ac:dyDescent="0.2">
      <c r="A525" s="92" t="s">
        <v>186</v>
      </c>
      <c r="B525" s="69">
        <v>16</v>
      </c>
      <c r="C525" s="69">
        <v>7</v>
      </c>
      <c r="D525" s="69">
        <v>15</v>
      </c>
      <c r="E525" s="69">
        <v>23</v>
      </c>
      <c r="F525" s="69">
        <v>52</v>
      </c>
      <c r="G525" s="69">
        <v>44</v>
      </c>
      <c r="H525" s="69">
        <v>7.6</v>
      </c>
      <c r="I525" s="70">
        <v>0.63</v>
      </c>
      <c r="J525" s="70">
        <v>1.6</v>
      </c>
      <c r="K525" s="69">
        <v>6.2</v>
      </c>
      <c r="L525" s="69">
        <v>1.9</v>
      </c>
      <c r="M525" s="69" t="s">
        <v>966</v>
      </c>
      <c r="N525" s="69">
        <v>2001</v>
      </c>
      <c r="O525" s="69" t="s">
        <v>485</v>
      </c>
      <c r="P525" s="69">
        <v>290668</v>
      </c>
      <c r="Q525" s="92" t="s">
        <v>586</v>
      </c>
      <c r="R525" s="92" t="s">
        <v>109</v>
      </c>
      <c r="S525" s="87"/>
    </row>
    <row r="526" spans="1:19" x14ac:dyDescent="0.2">
      <c r="A526" s="92" t="s">
        <v>99</v>
      </c>
      <c r="B526" s="69">
        <v>15</v>
      </c>
      <c r="C526" s="69">
        <v>18</v>
      </c>
      <c r="D526" s="69">
        <v>21</v>
      </c>
      <c r="E526" s="69">
        <v>20</v>
      </c>
      <c r="F526" s="69">
        <v>24</v>
      </c>
      <c r="G526" s="69">
        <v>15</v>
      </c>
      <c r="H526" s="69">
        <v>2.9</v>
      </c>
      <c r="I526" s="70">
        <v>0.63</v>
      </c>
      <c r="J526" s="70">
        <v>1.78</v>
      </c>
      <c r="K526" s="69">
        <v>14.8</v>
      </c>
      <c r="L526" s="69">
        <v>0.4</v>
      </c>
      <c r="M526" s="69" t="s">
        <v>968</v>
      </c>
      <c r="N526" s="69">
        <v>2000</v>
      </c>
      <c r="O526" s="69" t="s">
        <v>485</v>
      </c>
      <c r="P526" s="69">
        <v>334409</v>
      </c>
      <c r="Q526" s="92" t="s">
        <v>264</v>
      </c>
      <c r="R526" s="92" t="s">
        <v>275</v>
      </c>
      <c r="S526" s="92"/>
    </row>
    <row r="527" spans="1:19" x14ac:dyDescent="0.2">
      <c r="A527" s="92" t="s">
        <v>60</v>
      </c>
      <c r="B527" s="69">
        <v>10</v>
      </c>
      <c r="C527" s="69">
        <v>-1</v>
      </c>
      <c r="D527" s="69">
        <v>6</v>
      </c>
      <c r="E527" s="69">
        <v>17</v>
      </c>
      <c r="F527" s="69">
        <v>58</v>
      </c>
      <c r="G527" s="69">
        <v>69</v>
      </c>
      <c r="H527" s="69">
        <v>11.1</v>
      </c>
      <c r="I527" s="70">
        <v>0.63</v>
      </c>
      <c r="J527" s="70">
        <v>1.62</v>
      </c>
      <c r="K527" s="69">
        <v>13.1</v>
      </c>
      <c r="L527" s="69">
        <v>1.1000000000000001</v>
      </c>
      <c r="M527" s="69" t="s">
        <v>958</v>
      </c>
      <c r="N527" s="69">
        <v>2007</v>
      </c>
      <c r="O527" s="69" t="s">
        <v>585</v>
      </c>
      <c r="P527" s="69">
        <v>119891</v>
      </c>
      <c r="Q527" s="92" t="s">
        <v>472</v>
      </c>
      <c r="R527" s="92" t="s">
        <v>515</v>
      </c>
      <c r="S527" s="87"/>
    </row>
    <row r="528" spans="1:19" x14ac:dyDescent="0.2">
      <c r="A528" s="92" t="s">
        <v>713</v>
      </c>
      <c r="B528" s="69">
        <v>21</v>
      </c>
      <c r="C528" s="69">
        <v>13</v>
      </c>
      <c r="D528" s="69">
        <v>25</v>
      </c>
      <c r="E528" s="69">
        <v>29</v>
      </c>
      <c r="F528" s="69">
        <v>23</v>
      </c>
      <c r="G528" s="69">
        <v>29</v>
      </c>
      <c r="H528" s="69">
        <v>5.2</v>
      </c>
      <c r="I528" s="70">
        <v>0.63</v>
      </c>
      <c r="J528" s="70">
        <v>1.91</v>
      </c>
      <c r="K528" s="69">
        <v>12.7</v>
      </c>
      <c r="L528" s="69">
        <v>0.5</v>
      </c>
      <c r="M528" s="69" t="s">
        <v>958</v>
      </c>
      <c r="N528" s="69">
        <v>2000</v>
      </c>
      <c r="O528" s="69" t="s">
        <v>485</v>
      </c>
      <c r="P528" s="69">
        <v>819029</v>
      </c>
      <c r="Q528" s="92" t="s">
        <v>697</v>
      </c>
      <c r="R528" s="92" t="s">
        <v>121</v>
      </c>
      <c r="S528" s="92" t="s">
        <v>959</v>
      </c>
    </row>
    <row r="529" spans="1:19" x14ac:dyDescent="0.2">
      <c r="A529" s="92" t="s">
        <v>479</v>
      </c>
      <c r="B529" s="69">
        <v>6</v>
      </c>
      <c r="C529" s="69">
        <v>2</v>
      </c>
      <c r="D529" s="69">
        <v>6</v>
      </c>
      <c r="E529" s="69">
        <v>8</v>
      </c>
      <c r="F529" s="69">
        <v>7</v>
      </c>
      <c r="G529" s="69">
        <v>-3</v>
      </c>
      <c r="H529" s="69">
        <v>-0.6</v>
      </c>
      <c r="I529" s="70">
        <v>0.63</v>
      </c>
      <c r="J529" s="70">
        <v>1.6</v>
      </c>
      <c r="K529" s="69">
        <v>4.7</v>
      </c>
      <c r="L529" s="69">
        <v>0.1</v>
      </c>
      <c r="M529" s="69" t="s">
        <v>960</v>
      </c>
      <c r="N529" s="69">
        <v>2004</v>
      </c>
      <c r="O529" s="69" t="s">
        <v>485</v>
      </c>
      <c r="P529" s="69">
        <v>808634</v>
      </c>
      <c r="Q529" s="92" t="s">
        <v>755</v>
      </c>
      <c r="R529" s="92" t="s">
        <v>478</v>
      </c>
      <c r="S529" s="92"/>
    </row>
    <row r="530" spans="1:19" x14ac:dyDescent="0.2">
      <c r="A530" s="92" t="s">
        <v>894</v>
      </c>
      <c r="B530" s="69">
        <v>13</v>
      </c>
      <c r="C530" s="69">
        <v>3</v>
      </c>
      <c r="D530" s="69">
        <v>12</v>
      </c>
      <c r="E530" s="69">
        <v>20</v>
      </c>
      <c r="F530" s="69">
        <v>23</v>
      </c>
      <c r="G530" s="69"/>
      <c r="H530" s="69"/>
      <c r="I530" s="70">
        <v>0.63</v>
      </c>
      <c r="J530" s="70">
        <v>1.62</v>
      </c>
      <c r="K530" s="69">
        <v>8.4</v>
      </c>
      <c r="L530" s="69">
        <v>0.7</v>
      </c>
      <c r="M530" s="69" t="s">
        <v>960</v>
      </c>
      <c r="N530" s="69">
        <v>2011</v>
      </c>
      <c r="O530" s="69" t="s">
        <v>485</v>
      </c>
      <c r="P530" s="69">
        <v>323832</v>
      </c>
      <c r="Q530" s="92" t="s">
        <v>93</v>
      </c>
      <c r="R530" s="92" t="s">
        <v>478</v>
      </c>
      <c r="S530" s="92"/>
    </row>
    <row r="531" spans="1:19" x14ac:dyDescent="0.2">
      <c r="A531" s="92" t="s">
        <v>574</v>
      </c>
      <c r="B531" s="69">
        <v>2</v>
      </c>
      <c r="C531" s="69">
        <v>2</v>
      </c>
      <c r="D531" s="69">
        <v>3</v>
      </c>
      <c r="E531" s="69">
        <v>6</v>
      </c>
      <c r="F531" s="69">
        <v>11</v>
      </c>
      <c r="G531" s="69"/>
      <c r="H531" s="69"/>
      <c r="I531" s="70">
        <v>0.64</v>
      </c>
      <c r="J531" s="70">
        <v>1.68</v>
      </c>
      <c r="K531" s="69">
        <v>9.1999999999999993</v>
      </c>
      <c r="L531" s="69">
        <v>0.2</v>
      </c>
      <c r="M531" s="69" t="s">
        <v>958</v>
      </c>
      <c r="N531" s="69">
        <v>2010</v>
      </c>
      <c r="O531" s="69" t="s">
        <v>585</v>
      </c>
      <c r="P531" s="69">
        <v>554634</v>
      </c>
      <c r="Q531" s="92" t="s">
        <v>569</v>
      </c>
      <c r="R531" s="92" t="s">
        <v>227</v>
      </c>
      <c r="S531" s="87"/>
    </row>
    <row r="532" spans="1:19" x14ac:dyDescent="0.2">
      <c r="A532" s="92" t="s">
        <v>1074</v>
      </c>
      <c r="B532" s="69">
        <v>-9</v>
      </c>
      <c r="C532" s="69">
        <v>1</v>
      </c>
      <c r="D532" s="69">
        <v>14</v>
      </c>
      <c r="E532" s="69">
        <v>1</v>
      </c>
      <c r="F532" s="69">
        <v>-16</v>
      </c>
      <c r="G532" s="69">
        <v>10</v>
      </c>
      <c r="H532" s="69">
        <v>2</v>
      </c>
      <c r="I532" s="70">
        <v>0.64</v>
      </c>
      <c r="J532" s="70">
        <v>2.59</v>
      </c>
      <c r="K532" s="69">
        <v>22.4</v>
      </c>
      <c r="L532" s="69">
        <v>-0.3</v>
      </c>
      <c r="M532" s="69" t="s">
        <v>958</v>
      </c>
      <c r="N532" s="69">
        <v>2011</v>
      </c>
      <c r="O532" s="69" t="s">
        <v>485</v>
      </c>
      <c r="P532" s="69">
        <v>473231</v>
      </c>
      <c r="Q532" s="92" t="s">
        <v>618</v>
      </c>
      <c r="R532" s="92" t="s">
        <v>276</v>
      </c>
      <c r="S532" s="92"/>
    </row>
    <row r="533" spans="1:19" x14ac:dyDescent="0.2">
      <c r="A533" s="92" t="s">
        <v>239</v>
      </c>
      <c r="B533" s="69">
        <v>7</v>
      </c>
      <c r="C533" s="69">
        <v>2</v>
      </c>
      <c r="D533" s="69">
        <v>8</v>
      </c>
      <c r="E533" s="69">
        <v>14</v>
      </c>
      <c r="F533" s="69">
        <v>27</v>
      </c>
      <c r="G533" s="69">
        <v>21</v>
      </c>
      <c r="H533" s="69">
        <v>3.9</v>
      </c>
      <c r="I533" s="70">
        <v>0.64</v>
      </c>
      <c r="J533" s="70">
        <v>1.83</v>
      </c>
      <c r="K533" s="69">
        <v>6.1</v>
      </c>
      <c r="L533" s="69">
        <v>0.9</v>
      </c>
      <c r="M533" s="69" t="s">
        <v>960</v>
      </c>
      <c r="N533" s="69">
        <v>2001</v>
      </c>
      <c r="O533" s="69" t="s">
        <v>485</v>
      </c>
      <c r="P533" s="69">
        <v>657460</v>
      </c>
      <c r="Q533" s="92" t="s">
        <v>596</v>
      </c>
      <c r="R533" s="92" t="s">
        <v>227</v>
      </c>
      <c r="S533" s="92"/>
    </row>
    <row r="534" spans="1:19" x14ac:dyDescent="0.2">
      <c r="A534" s="92" t="s">
        <v>808</v>
      </c>
      <c r="B534" s="69">
        <v>8</v>
      </c>
      <c r="C534" s="69">
        <v>1</v>
      </c>
      <c r="D534" s="69">
        <v>6</v>
      </c>
      <c r="E534" s="69">
        <v>16</v>
      </c>
      <c r="F534" s="69">
        <v>37</v>
      </c>
      <c r="G534" s="69">
        <v>53</v>
      </c>
      <c r="H534" s="69">
        <v>8.9</v>
      </c>
      <c r="I534" s="70">
        <v>0.64</v>
      </c>
      <c r="J534" s="70">
        <v>1.65</v>
      </c>
      <c r="K534" s="69">
        <v>7.4</v>
      </c>
      <c r="L534" s="69">
        <v>1.3</v>
      </c>
      <c r="M534" s="69" t="s">
        <v>960</v>
      </c>
      <c r="N534" s="69">
        <v>2012</v>
      </c>
      <c r="O534" s="69" t="s">
        <v>485</v>
      </c>
      <c r="P534" s="69">
        <v>830885</v>
      </c>
      <c r="Q534" s="92" t="s">
        <v>802</v>
      </c>
      <c r="R534" s="92" t="s">
        <v>469</v>
      </c>
      <c r="S534" s="92"/>
    </row>
    <row r="535" spans="1:19" x14ac:dyDescent="0.2">
      <c r="A535" s="92" t="s">
        <v>728</v>
      </c>
      <c r="B535" s="69">
        <v>17</v>
      </c>
      <c r="C535" s="69">
        <v>7</v>
      </c>
      <c r="D535" s="69">
        <v>16</v>
      </c>
      <c r="E535" s="69">
        <v>19</v>
      </c>
      <c r="F535" s="69">
        <v>31</v>
      </c>
      <c r="G535" s="69">
        <v>54</v>
      </c>
      <c r="H535" s="69">
        <v>9</v>
      </c>
      <c r="I535" s="70">
        <v>0.65</v>
      </c>
      <c r="J535" s="70">
        <v>1.7</v>
      </c>
      <c r="K535" s="69">
        <v>6.3</v>
      </c>
      <c r="L535" s="69">
        <v>1.2</v>
      </c>
      <c r="M535" s="69" t="s">
        <v>968</v>
      </c>
      <c r="N535" s="69">
        <v>2006</v>
      </c>
      <c r="O535" s="69" t="s">
        <v>485</v>
      </c>
      <c r="P535" s="69">
        <v>721746</v>
      </c>
      <c r="Q535" s="92" t="s">
        <v>584</v>
      </c>
      <c r="R535" s="92" t="s">
        <v>478</v>
      </c>
      <c r="S535" s="92"/>
    </row>
    <row r="536" spans="1:19" x14ac:dyDescent="0.2">
      <c r="A536" s="92" t="s">
        <v>916</v>
      </c>
      <c r="B536" s="69">
        <v>18</v>
      </c>
      <c r="C536" s="69">
        <v>9</v>
      </c>
      <c r="D536" s="69">
        <v>17</v>
      </c>
      <c r="E536" s="69">
        <v>27</v>
      </c>
      <c r="F536" s="69">
        <v>67</v>
      </c>
      <c r="G536" s="69">
        <v>67</v>
      </c>
      <c r="H536" s="69">
        <v>10.8</v>
      </c>
      <c r="I536" s="70">
        <v>0.65</v>
      </c>
      <c r="J536" s="70">
        <v>1.58</v>
      </c>
      <c r="K536" s="69">
        <v>10.7</v>
      </c>
      <c r="L536" s="69">
        <v>1.4</v>
      </c>
      <c r="M536" s="69" t="s">
        <v>960</v>
      </c>
      <c r="N536" s="69">
        <v>2002</v>
      </c>
      <c r="O536" s="69" t="s">
        <v>485</v>
      </c>
      <c r="P536" s="69">
        <v>360495</v>
      </c>
      <c r="Q536" s="92" t="s">
        <v>334</v>
      </c>
      <c r="R536" s="92" t="s">
        <v>72</v>
      </c>
      <c r="S536" s="92"/>
    </row>
    <row r="537" spans="1:19" x14ac:dyDescent="0.2">
      <c r="A537" s="92" t="s">
        <v>171</v>
      </c>
      <c r="B537" s="69">
        <v>11</v>
      </c>
      <c r="C537" s="69">
        <v>8</v>
      </c>
      <c r="D537" s="69">
        <v>16</v>
      </c>
      <c r="E537" s="69">
        <v>18</v>
      </c>
      <c r="F537" s="69">
        <v>36</v>
      </c>
      <c r="G537" s="69">
        <v>22</v>
      </c>
      <c r="H537" s="69">
        <v>4.0999999999999996</v>
      </c>
      <c r="I537" s="70">
        <v>0.65</v>
      </c>
      <c r="J537" s="70">
        <v>1.58</v>
      </c>
      <c r="K537" s="69">
        <v>13.4</v>
      </c>
      <c r="L537" s="69">
        <v>0.7</v>
      </c>
      <c r="M537" s="69" t="s">
        <v>976</v>
      </c>
      <c r="N537" s="69">
        <v>2000</v>
      </c>
      <c r="O537" s="69" t="s">
        <v>485</v>
      </c>
      <c r="P537" s="69">
        <v>652628</v>
      </c>
      <c r="Q537" s="92" t="s">
        <v>590</v>
      </c>
      <c r="R537" s="92" t="s">
        <v>170</v>
      </c>
      <c r="S537" s="87"/>
    </row>
    <row r="538" spans="1:19" x14ac:dyDescent="0.2">
      <c r="A538" s="92" t="s">
        <v>850</v>
      </c>
      <c r="B538" s="69">
        <v>9</v>
      </c>
      <c r="C538" s="69">
        <v>-4</v>
      </c>
      <c r="D538" s="69">
        <v>6</v>
      </c>
      <c r="E538" s="69">
        <v>25</v>
      </c>
      <c r="F538" s="69"/>
      <c r="G538" s="69"/>
      <c r="H538" s="69"/>
      <c r="I538" s="70">
        <v>0.65</v>
      </c>
      <c r="J538" s="70">
        <v>1.63</v>
      </c>
      <c r="K538" s="69"/>
      <c r="L538" s="69"/>
      <c r="M538" s="69" t="s">
        <v>960</v>
      </c>
      <c r="N538" s="69">
        <v>2012</v>
      </c>
      <c r="O538" s="69" t="s">
        <v>485</v>
      </c>
      <c r="P538" s="69">
        <v>849711</v>
      </c>
      <c r="Q538" s="92" t="s">
        <v>347</v>
      </c>
      <c r="R538" s="92" t="s">
        <v>180</v>
      </c>
      <c r="S538" s="87"/>
    </row>
    <row r="539" spans="1:19" x14ac:dyDescent="0.2">
      <c r="A539" s="92" t="s">
        <v>140</v>
      </c>
      <c r="B539" s="69">
        <v>11</v>
      </c>
      <c r="C539" s="69">
        <v>1</v>
      </c>
      <c r="D539" s="69">
        <v>11</v>
      </c>
      <c r="E539" s="69">
        <v>23</v>
      </c>
      <c r="F539" s="69">
        <v>47</v>
      </c>
      <c r="G539" s="69">
        <v>44</v>
      </c>
      <c r="H539" s="69">
        <v>7.6</v>
      </c>
      <c r="I539" s="70">
        <v>0.65</v>
      </c>
      <c r="J539" s="70">
        <v>1.63</v>
      </c>
      <c r="K539" s="69">
        <v>8.6</v>
      </c>
      <c r="L539" s="69">
        <v>1.5</v>
      </c>
      <c r="M539" s="69" t="s">
        <v>960</v>
      </c>
      <c r="N539" s="69">
        <v>2003</v>
      </c>
      <c r="O539" s="69" t="s">
        <v>485</v>
      </c>
      <c r="P539" s="69">
        <v>810465</v>
      </c>
      <c r="Q539" s="92" t="s">
        <v>320</v>
      </c>
      <c r="R539" s="92" t="s">
        <v>38</v>
      </c>
      <c r="S539" s="92" t="s">
        <v>959</v>
      </c>
    </row>
    <row r="540" spans="1:19" x14ac:dyDescent="0.2">
      <c r="A540" s="92" t="s">
        <v>624</v>
      </c>
      <c r="B540" s="69">
        <v>10</v>
      </c>
      <c r="C540" s="69">
        <v>-3</v>
      </c>
      <c r="D540" s="69">
        <v>2</v>
      </c>
      <c r="E540" s="69">
        <v>27</v>
      </c>
      <c r="F540" s="69">
        <v>73</v>
      </c>
      <c r="G540" s="69">
        <v>94</v>
      </c>
      <c r="H540" s="69">
        <v>14.2</v>
      </c>
      <c r="I540" s="70">
        <v>0.65</v>
      </c>
      <c r="J540" s="70">
        <v>1.98</v>
      </c>
      <c r="K540" s="69">
        <v>11.2</v>
      </c>
      <c r="L540" s="69">
        <v>1.5</v>
      </c>
      <c r="M540" s="69" t="s">
        <v>960</v>
      </c>
      <c r="N540" s="69">
        <v>2005</v>
      </c>
      <c r="O540" s="69" t="s">
        <v>485</v>
      </c>
      <c r="P540" s="69">
        <v>116293</v>
      </c>
      <c r="Q540" s="92" t="s">
        <v>61</v>
      </c>
      <c r="R540" s="92" t="s">
        <v>65</v>
      </c>
      <c r="S540" s="87"/>
    </row>
    <row r="541" spans="1:19" x14ac:dyDescent="0.2">
      <c r="A541" s="92" t="s">
        <v>570</v>
      </c>
      <c r="B541" s="69">
        <v>12</v>
      </c>
      <c r="C541" s="69">
        <v>5</v>
      </c>
      <c r="D541" s="69">
        <v>11</v>
      </c>
      <c r="E541" s="69">
        <v>21</v>
      </c>
      <c r="F541" s="69">
        <v>48</v>
      </c>
      <c r="G541" s="69">
        <v>55</v>
      </c>
      <c r="H541" s="69">
        <v>9.1999999999999993</v>
      </c>
      <c r="I541" s="70">
        <v>0.65</v>
      </c>
      <c r="J541" s="70">
        <v>1.87</v>
      </c>
      <c r="K541" s="69">
        <v>6.9</v>
      </c>
      <c r="L541" s="69">
        <v>1.7</v>
      </c>
      <c r="M541" s="69" t="s">
        <v>958</v>
      </c>
      <c r="N541" s="69">
        <v>2005</v>
      </c>
      <c r="O541" s="69" t="s">
        <v>485</v>
      </c>
      <c r="P541" s="69">
        <v>432096</v>
      </c>
      <c r="Q541" s="92" t="s">
        <v>534</v>
      </c>
      <c r="R541" s="92" t="s">
        <v>109</v>
      </c>
      <c r="S541" s="87"/>
    </row>
    <row r="542" spans="1:19" x14ac:dyDescent="0.2">
      <c r="A542" s="92" t="s">
        <v>183</v>
      </c>
      <c r="B542" s="69">
        <v>8</v>
      </c>
      <c r="C542" s="69">
        <v>-3</v>
      </c>
      <c r="D542" s="69">
        <v>2</v>
      </c>
      <c r="E542" s="69">
        <v>24</v>
      </c>
      <c r="F542" s="69">
        <v>59</v>
      </c>
      <c r="G542" s="69">
        <v>43</v>
      </c>
      <c r="H542" s="69">
        <v>7.4</v>
      </c>
      <c r="I542" s="70">
        <v>0.66</v>
      </c>
      <c r="J542" s="70">
        <v>1.6</v>
      </c>
      <c r="K542" s="69">
        <v>17.5</v>
      </c>
      <c r="L542" s="69">
        <v>0.8</v>
      </c>
      <c r="M542" s="69" t="s">
        <v>960</v>
      </c>
      <c r="N542" s="69">
        <v>2002</v>
      </c>
      <c r="O542" s="69" t="s">
        <v>485</v>
      </c>
      <c r="P542" s="69">
        <v>324665</v>
      </c>
      <c r="Q542" s="92" t="s">
        <v>334</v>
      </c>
      <c r="R542" s="92" t="s">
        <v>180</v>
      </c>
      <c r="S542" s="87"/>
    </row>
    <row r="543" spans="1:19" x14ac:dyDescent="0.2">
      <c r="A543" s="92" t="s">
        <v>656</v>
      </c>
      <c r="B543" s="69">
        <v>27</v>
      </c>
      <c r="C543" s="69">
        <v>10</v>
      </c>
      <c r="D543" s="69">
        <v>20</v>
      </c>
      <c r="E543" s="69">
        <v>35</v>
      </c>
      <c r="F543" s="69">
        <v>76</v>
      </c>
      <c r="G543" s="69">
        <v>106</v>
      </c>
      <c r="H543" s="69">
        <v>15.5</v>
      </c>
      <c r="I543" s="70">
        <v>0.66</v>
      </c>
      <c r="J543" s="70">
        <v>1.6</v>
      </c>
      <c r="K543" s="69">
        <v>6.7</v>
      </c>
      <c r="L543" s="69">
        <v>2.6</v>
      </c>
      <c r="M543" s="69" t="s">
        <v>971</v>
      </c>
      <c r="N543" s="69">
        <v>2009</v>
      </c>
      <c r="O543" s="69" t="s">
        <v>485</v>
      </c>
      <c r="P543" s="69">
        <v>724690</v>
      </c>
      <c r="Q543" s="92" t="s">
        <v>270</v>
      </c>
      <c r="R543" s="92" t="s">
        <v>207</v>
      </c>
      <c r="S543" s="87"/>
    </row>
    <row r="544" spans="1:19" x14ac:dyDescent="0.2">
      <c r="A544" s="92" t="s">
        <v>424</v>
      </c>
      <c r="B544" s="69">
        <v>13</v>
      </c>
      <c r="C544" s="69">
        <v>7</v>
      </c>
      <c r="D544" s="69">
        <v>12</v>
      </c>
      <c r="E544" s="69">
        <v>18</v>
      </c>
      <c r="F544" s="69">
        <v>36</v>
      </c>
      <c r="G544" s="69">
        <v>39</v>
      </c>
      <c r="H544" s="69">
        <v>6.8</v>
      </c>
      <c r="I544" s="70">
        <v>0.66</v>
      </c>
      <c r="J544" s="70">
        <v>1.77</v>
      </c>
      <c r="K544" s="69">
        <v>4.9000000000000004</v>
      </c>
      <c r="L544" s="69">
        <v>1.7</v>
      </c>
      <c r="M544" s="69" t="s">
        <v>968</v>
      </c>
      <c r="N544" s="69">
        <v>2004</v>
      </c>
      <c r="O544" s="69" t="s">
        <v>485</v>
      </c>
      <c r="P544" s="69">
        <v>302760</v>
      </c>
      <c r="Q544" s="92" t="s">
        <v>591</v>
      </c>
      <c r="R544" s="92" t="s">
        <v>227</v>
      </c>
      <c r="S544" s="92"/>
    </row>
    <row r="545" spans="1:19" x14ac:dyDescent="0.2">
      <c r="A545" s="92" t="s">
        <v>1091</v>
      </c>
      <c r="B545" s="69">
        <v>7</v>
      </c>
      <c r="C545" s="69">
        <v>0</v>
      </c>
      <c r="D545" s="69">
        <v>8</v>
      </c>
      <c r="E545" s="69">
        <v>23</v>
      </c>
      <c r="F545" s="69">
        <v>57</v>
      </c>
      <c r="G545" s="69">
        <v>25</v>
      </c>
      <c r="H545" s="69">
        <v>4.5</v>
      </c>
      <c r="I545" s="70">
        <v>0.66</v>
      </c>
      <c r="J545" s="70">
        <v>1.77</v>
      </c>
      <c r="K545" s="69">
        <v>12.4</v>
      </c>
      <c r="L545" s="69">
        <v>1</v>
      </c>
      <c r="M545" s="69" t="s">
        <v>960</v>
      </c>
      <c r="N545" s="69">
        <v>2011</v>
      </c>
      <c r="O545" s="69" t="s">
        <v>485</v>
      </c>
      <c r="P545" s="69">
        <v>125856</v>
      </c>
      <c r="Q545" s="92" t="s">
        <v>636</v>
      </c>
      <c r="R545" s="92" t="s">
        <v>59</v>
      </c>
      <c r="S545" s="87"/>
    </row>
    <row r="546" spans="1:19" x14ac:dyDescent="0.2">
      <c r="A546" s="92" t="s">
        <v>1117</v>
      </c>
      <c r="B546" s="69">
        <v>7</v>
      </c>
      <c r="C546" s="69">
        <v>1</v>
      </c>
      <c r="D546" s="69">
        <v>8</v>
      </c>
      <c r="E546" s="69">
        <v>19</v>
      </c>
      <c r="F546" s="69">
        <v>55</v>
      </c>
      <c r="G546" s="69">
        <v>37</v>
      </c>
      <c r="H546" s="69">
        <v>6.5</v>
      </c>
      <c r="I546" s="70">
        <v>0.66</v>
      </c>
      <c r="J546" s="70">
        <v>1.78</v>
      </c>
      <c r="K546" s="69">
        <v>10.5</v>
      </c>
      <c r="L546" s="69">
        <v>1.2</v>
      </c>
      <c r="M546" s="69" t="s">
        <v>960</v>
      </c>
      <c r="N546" s="69">
        <v>2011</v>
      </c>
      <c r="O546" s="69" t="s">
        <v>485</v>
      </c>
      <c r="P546" s="69">
        <v>707638</v>
      </c>
      <c r="Q546" s="92" t="s">
        <v>636</v>
      </c>
      <c r="R546" s="92" t="s">
        <v>38</v>
      </c>
      <c r="S546" s="92"/>
    </row>
    <row r="547" spans="1:19" x14ac:dyDescent="0.2">
      <c r="A547" s="92" t="s">
        <v>211</v>
      </c>
      <c r="B547" s="69">
        <v>22</v>
      </c>
      <c r="C547" s="69">
        <v>12</v>
      </c>
      <c r="D547" s="69">
        <v>17</v>
      </c>
      <c r="E547" s="69">
        <v>20</v>
      </c>
      <c r="F547" s="69">
        <v>-14</v>
      </c>
      <c r="G547" s="69">
        <v>11</v>
      </c>
      <c r="H547" s="69">
        <v>2.1</v>
      </c>
      <c r="I547" s="70">
        <v>0.66</v>
      </c>
      <c r="J547" s="70">
        <v>1.61</v>
      </c>
      <c r="K547" s="69">
        <v>19.899999999999999</v>
      </c>
      <c r="L547" s="69">
        <v>-0.2</v>
      </c>
      <c r="M547" s="69" t="s">
        <v>971</v>
      </c>
      <c r="N547" s="69">
        <v>2003</v>
      </c>
      <c r="O547" s="69" t="s">
        <v>485</v>
      </c>
      <c r="P547" s="69">
        <v>899120</v>
      </c>
      <c r="Q547" s="92" t="s">
        <v>270</v>
      </c>
      <c r="R547" s="92" t="s">
        <v>207</v>
      </c>
      <c r="S547" s="87"/>
    </row>
    <row r="548" spans="1:19" x14ac:dyDescent="0.2">
      <c r="A548" s="92" t="s">
        <v>789</v>
      </c>
      <c r="B548" s="69">
        <v>9</v>
      </c>
      <c r="C548" s="69">
        <v>0</v>
      </c>
      <c r="D548" s="69">
        <v>6</v>
      </c>
      <c r="E548" s="69">
        <v>20</v>
      </c>
      <c r="F548" s="69">
        <v>69</v>
      </c>
      <c r="G548" s="69">
        <v>86</v>
      </c>
      <c r="H548" s="69">
        <v>13.3</v>
      </c>
      <c r="I548" s="70">
        <v>0.67</v>
      </c>
      <c r="J548" s="70">
        <v>1.74</v>
      </c>
      <c r="K548" s="69">
        <v>14</v>
      </c>
      <c r="L548" s="69">
        <v>1.1000000000000001</v>
      </c>
      <c r="M548" s="69" t="s">
        <v>958</v>
      </c>
      <c r="N548" s="69">
        <v>2012</v>
      </c>
      <c r="O548" s="69" t="s">
        <v>585</v>
      </c>
      <c r="P548" s="69">
        <v>647487</v>
      </c>
      <c r="Q548" s="92" t="s">
        <v>649</v>
      </c>
      <c r="R548" s="92" t="s">
        <v>515</v>
      </c>
      <c r="S548" s="87"/>
    </row>
    <row r="549" spans="1:19" x14ac:dyDescent="0.2">
      <c r="A549" s="92" t="s">
        <v>265</v>
      </c>
      <c r="B549" s="69">
        <v>27</v>
      </c>
      <c r="C549" s="69">
        <v>11</v>
      </c>
      <c r="D549" s="69">
        <v>24</v>
      </c>
      <c r="E549" s="69">
        <v>30</v>
      </c>
      <c r="F549" s="69">
        <v>63</v>
      </c>
      <c r="G549" s="69">
        <v>121</v>
      </c>
      <c r="H549" s="69">
        <v>17.2</v>
      </c>
      <c r="I549" s="70">
        <v>0.67</v>
      </c>
      <c r="J549" s="70">
        <v>1.64</v>
      </c>
      <c r="K549" s="69">
        <v>9.6</v>
      </c>
      <c r="L549" s="69">
        <v>1.6</v>
      </c>
      <c r="M549" s="69" t="s">
        <v>971</v>
      </c>
      <c r="N549" s="69">
        <v>2007</v>
      </c>
      <c r="O549" s="69" t="s">
        <v>485</v>
      </c>
      <c r="P549" s="69">
        <v>800664</v>
      </c>
      <c r="Q549" s="92" t="s">
        <v>270</v>
      </c>
      <c r="R549" s="92" t="s">
        <v>109</v>
      </c>
      <c r="S549" s="87"/>
    </row>
    <row r="550" spans="1:19" x14ac:dyDescent="0.2">
      <c r="A550" s="92" t="s">
        <v>862</v>
      </c>
      <c r="B550" s="69">
        <v>14</v>
      </c>
      <c r="C550" s="69">
        <v>-3</v>
      </c>
      <c r="D550" s="69">
        <v>8</v>
      </c>
      <c r="E550" s="69">
        <v>25</v>
      </c>
      <c r="F550" s="69">
        <v>60</v>
      </c>
      <c r="G550" s="69">
        <v>99</v>
      </c>
      <c r="H550" s="69">
        <v>14.7</v>
      </c>
      <c r="I550" s="70">
        <v>0.67</v>
      </c>
      <c r="J550" s="70">
        <v>1.63</v>
      </c>
      <c r="K550" s="69">
        <v>15.2</v>
      </c>
      <c r="L550" s="69">
        <v>0.9</v>
      </c>
      <c r="M550" s="69" t="s">
        <v>958</v>
      </c>
      <c r="N550" s="69">
        <v>2011</v>
      </c>
      <c r="O550" s="69" t="s">
        <v>585</v>
      </c>
      <c r="P550" s="69">
        <v>524231</v>
      </c>
      <c r="Q550" s="92" t="s">
        <v>853</v>
      </c>
      <c r="R550" s="92" t="s">
        <v>559</v>
      </c>
      <c r="S550" s="87"/>
    </row>
    <row r="551" spans="1:19" x14ac:dyDescent="0.2">
      <c r="A551" s="92" t="s">
        <v>45</v>
      </c>
      <c r="B551" s="69">
        <v>7</v>
      </c>
      <c r="C551" s="69">
        <v>2</v>
      </c>
      <c r="D551" s="69">
        <v>5</v>
      </c>
      <c r="E551" s="69">
        <v>23</v>
      </c>
      <c r="F551" s="69">
        <v>57</v>
      </c>
      <c r="G551" s="69">
        <v>44</v>
      </c>
      <c r="H551" s="69">
        <v>7.5</v>
      </c>
      <c r="I551" s="70">
        <v>0.67</v>
      </c>
      <c r="J551" s="70">
        <v>1.9</v>
      </c>
      <c r="K551" s="69">
        <v>12.3</v>
      </c>
      <c r="L551" s="69">
        <v>1.1000000000000001</v>
      </c>
      <c r="M551" s="69" t="s">
        <v>968</v>
      </c>
      <c r="N551" s="69">
        <v>2000</v>
      </c>
      <c r="O551" s="69" t="s">
        <v>485</v>
      </c>
      <c r="P551" s="69">
        <v>155259</v>
      </c>
      <c r="Q551" s="92" t="s">
        <v>264</v>
      </c>
      <c r="R551" s="92" t="s">
        <v>38</v>
      </c>
      <c r="S551" s="87"/>
    </row>
    <row r="552" spans="1:19" x14ac:dyDescent="0.2">
      <c r="A552" s="92" t="s">
        <v>592</v>
      </c>
      <c r="B552" s="69">
        <v>3</v>
      </c>
      <c r="C552" s="69">
        <v>-3</v>
      </c>
      <c r="D552" s="69">
        <v>0</v>
      </c>
      <c r="E552" s="69">
        <v>19</v>
      </c>
      <c r="F552" s="69">
        <v>68</v>
      </c>
      <c r="G552" s="69">
        <v>46</v>
      </c>
      <c r="H552" s="69">
        <v>7.9</v>
      </c>
      <c r="I552" s="70">
        <v>0.67</v>
      </c>
      <c r="J552" s="70">
        <v>1.81</v>
      </c>
      <c r="K552" s="69">
        <v>13.2</v>
      </c>
      <c r="L552" s="69">
        <v>1.1000000000000001</v>
      </c>
      <c r="M552" s="69" t="s">
        <v>960</v>
      </c>
      <c r="N552" s="69">
        <v>2004</v>
      </c>
      <c r="O552" s="69" t="s">
        <v>485</v>
      </c>
      <c r="P552" s="69">
        <v>916122</v>
      </c>
      <c r="Q552" s="92" t="s">
        <v>591</v>
      </c>
      <c r="R552" s="92" t="s">
        <v>59</v>
      </c>
      <c r="S552" s="87"/>
    </row>
    <row r="553" spans="1:19" x14ac:dyDescent="0.2">
      <c r="A553" s="92" t="s">
        <v>535</v>
      </c>
      <c r="B553" s="69">
        <v>10</v>
      </c>
      <c r="C553" s="69">
        <v>3</v>
      </c>
      <c r="D553" s="69">
        <v>14</v>
      </c>
      <c r="E553" s="69">
        <v>18</v>
      </c>
      <c r="F553" s="69">
        <v>20</v>
      </c>
      <c r="G553" s="69">
        <v>17</v>
      </c>
      <c r="H553" s="69">
        <v>3.2</v>
      </c>
      <c r="I553" s="70">
        <v>0.67</v>
      </c>
      <c r="J553" s="70">
        <v>1.95</v>
      </c>
      <c r="K553" s="69">
        <v>16.5</v>
      </c>
      <c r="L553" s="69">
        <v>0.3</v>
      </c>
      <c r="M553" s="69" t="s">
        <v>958</v>
      </c>
      <c r="N553" s="69">
        <v>2005</v>
      </c>
      <c r="O553" s="69" t="s">
        <v>485</v>
      </c>
      <c r="P553" s="69">
        <v>539585</v>
      </c>
      <c r="Q553" s="92" t="s">
        <v>534</v>
      </c>
      <c r="R553" s="92" t="s">
        <v>157</v>
      </c>
      <c r="S553" s="87"/>
    </row>
    <row r="554" spans="1:19" x14ac:dyDescent="0.2">
      <c r="A554" s="92" t="s">
        <v>452</v>
      </c>
      <c r="B554" s="69">
        <v>23</v>
      </c>
      <c r="C554" s="69">
        <v>12</v>
      </c>
      <c r="D554" s="69">
        <v>27</v>
      </c>
      <c r="E554" s="69">
        <v>31</v>
      </c>
      <c r="F554" s="69">
        <v>18</v>
      </c>
      <c r="G554" s="69">
        <v>17</v>
      </c>
      <c r="H554" s="69">
        <v>3.2</v>
      </c>
      <c r="I554" s="70">
        <v>0.67</v>
      </c>
      <c r="J554" s="70">
        <v>1.63</v>
      </c>
      <c r="K554" s="69">
        <v>12.2</v>
      </c>
      <c r="L554" s="69">
        <v>0.3</v>
      </c>
      <c r="M554" s="69" t="s">
        <v>968</v>
      </c>
      <c r="N554" s="69">
        <v>2000</v>
      </c>
      <c r="O554" s="69" t="s">
        <v>485</v>
      </c>
      <c r="P554" s="69">
        <v>232991</v>
      </c>
      <c r="Q554" s="92" t="s">
        <v>324</v>
      </c>
      <c r="R554" s="92" t="s">
        <v>121</v>
      </c>
      <c r="S554" s="92"/>
    </row>
    <row r="555" spans="1:19" x14ac:dyDescent="0.2">
      <c r="A555" s="92" t="s">
        <v>435</v>
      </c>
      <c r="B555" s="69">
        <v>6</v>
      </c>
      <c r="C555" s="69">
        <v>1</v>
      </c>
      <c r="D555" s="69">
        <v>3</v>
      </c>
      <c r="E555" s="69">
        <v>19</v>
      </c>
      <c r="F555" s="69">
        <v>59</v>
      </c>
      <c r="G555" s="69">
        <v>48</v>
      </c>
      <c r="H555" s="69">
        <v>8.1999999999999993</v>
      </c>
      <c r="I555" s="70">
        <v>0.67</v>
      </c>
      <c r="J555" s="70">
        <v>1.81</v>
      </c>
      <c r="K555" s="69">
        <v>9.6999999999999993</v>
      </c>
      <c r="L555" s="69">
        <v>1.3</v>
      </c>
      <c r="M555" s="69" t="s">
        <v>960</v>
      </c>
      <c r="N555" s="69">
        <v>2004</v>
      </c>
      <c r="O555" s="69" t="s">
        <v>485</v>
      </c>
      <c r="P555" s="69">
        <v>732727</v>
      </c>
      <c r="Q555" s="92" t="s">
        <v>591</v>
      </c>
      <c r="R555" s="92" t="s">
        <v>38</v>
      </c>
      <c r="S555" s="92"/>
    </row>
    <row r="556" spans="1:19" x14ac:dyDescent="0.2">
      <c r="A556" s="92" t="s">
        <v>337</v>
      </c>
      <c r="B556" s="69">
        <v>19</v>
      </c>
      <c r="C556" s="69">
        <v>11</v>
      </c>
      <c r="D556" s="69">
        <v>13</v>
      </c>
      <c r="E556" s="69">
        <v>33</v>
      </c>
      <c r="F556" s="69">
        <v>83</v>
      </c>
      <c r="G556" s="69">
        <v>97</v>
      </c>
      <c r="H556" s="69">
        <v>14.5</v>
      </c>
      <c r="I556" s="70">
        <v>0.67</v>
      </c>
      <c r="J556" s="70">
        <v>1.81</v>
      </c>
      <c r="K556" s="69">
        <v>9.9</v>
      </c>
      <c r="L556" s="69">
        <v>1.8</v>
      </c>
      <c r="M556" s="69" t="s">
        <v>968</v>
      </c>
      <c r="N556" s="69">
        <v>2004</v>
      </c>
      <c r="O556" s="69" t="s">
        <v>485</v>
      </c>
      <c r="P556" s="69">
        <v>625236</v>
      </c>
      <c r="Q556" s="92" t="s">
        <v>591</v>
      </c>
      <c r="R556" s="92" t="s">
        <v>278</v>
      </c>
      <c r="S556" s="92"/>
    </row>
    <row r="557" spans="1:19" x14ac:dyDescent="0.2">
      <c r="A557" s="92" t="s">
        <v>437</v>
      </c>
      <c r="B557" s="69">
        <v>18</v>
      </c>
      <c r="C557" s="69">
        <v>9</v>
      </c>
      <c r="D557" s="69">
        <v>18</v>
      </c>
      <c r="E557" s="69">
        <v>29</v>
      </c>
      <c r="F557" s="69">
        <v>92</v>
      </c>
      <c r="G557" s="69">
        <v>91</v>
      </c>
      <c r="H557" s="69">
        <v>13.8</v>
      </c>
      <c r="I557" s="70">
        <v>0.67</v>
      </c>
      <c r="J557" s="70">
        <v>1.81</v>
      </c>
      <c r="K557" s="69">
        <v>8.8000000000000007</v>
      </c>
      <c r="L557" s="69">
        <v>2.2000000000000002</v>
      </c>
      <c r="M557" s="69" t="s">
        <v>968</v>
      </c>
      <c r="N557" s="69">
        <v>2004</v>
      </c>
      <c r="O557" s="69" t="s">
        <v>485</v>
      </c>
      <c r="P557" s="69">
        <v>768556</v>
      </c>
      <c r="Q557" s="92" t="s">
        <v>591</v>
      </c>
      <c r="R557" s="92" t="s">
        <v>72</v>
      </c>
      <c r="S557" s="87"/>
    </row>
    <row r="558" spans="1:19" x14ac:dyDescent="0.2">
      <c r="A558" s="92" t="s">
        <v>438</v>
      </c>
      <c r="B558" s="69">
        <v>17</v>
      </c>
      <c r="C558" s="69">
        <v>10</v>
      </c>
      <c r="D558" s="69">
        <v>15</v>
      </c>
      <c r="E558" s="69">
        <v>30</v>
      </c>
      <c r="F558" s="69">
        <v>84</v>
      </c>
      <c r="G558" s="69">
        <v>84</v>
      </c>
      <c r="H558" s="69">
        <v>13</v>
      </c>
      <c r="I558" s="70">
        <v>0.67</v>
      </c>
      <c r="J558" s="70">
        <v>1.81</v>
      </c>
      <c r="K558" s="69">
        <v>8.9</v>
      </c>
      <c r="L558" s="69">
        <v>2</v>
      </c>
      <c r="M558" s="69" t="s">
        <v>968</v>
      </c>
      <c r="N558" s="69">
        <v>2004</v>
      </c>
      <c r="O558" s="69" t="s">
        <v>485</v>
      </c>
      <c r="P558" s="69">
        <v>804385</v>
      </c>
      <c r="Q558" s="92" t="s">
        <v>591</v>
      </c>
      <c r="R558" s="92" t="s">
        <v>72</v>
      </c>
      <c r="S558" s="87"/>
    </row>
    <row r="559" spans="1:19" x14ac:dyDescent="0.2">
      <c r="A559" s="92" t="s">
        <v>427</v>
      </c>
      <c r="B559" s="69">
        <v>10</v>
      </c>
      <c r="C559" s="69">
        <v>5</v>
      </c>
      <c r="D559" s="69">
        <v>12</v>
      </c>
      <c r="E559" s="69">
        <v>20</v>
      </c>
      <c r="F559" s="69">
        <v>79</v>
      </c>
      <c r="G559" s="69">
        <v>41</v>
      </c>
      <c r="H559" s="69">
        <v>7.1</v>
      </c>
      <c r="I559" s="70">
        <v>0.67</v>
      </c>
      <c r="J559" s="70">
        <v>1.81</v>
      </c>
      <c r="K559" s="69">
        <v>9.9</v>
      </c>
      <c r="L559" s="69">
        <v>1.7</v>
      </c>
      <c r="M559" s="69" t="s">
        <v>968</v>
      </c>
      <c r="N559" s="69">
        <v>2004</v>
      </c>
      <c r="O559" s="69" t="s">
        <v>485</v>
      </c>
      <c r="P559" s="69">
        <v>410258</v>
      </c>
      <c r="Q559" s="92" t="s">
        <v>591</v>
      </c>
      <c r="R559" s="92" t="s">
        <v>207</v>
      </c>
      <c r="S559" s="92"/>
    </row>
    <row r="560" spans="1:19" x14ac:dyDescent="0.2">
      <c r="A560" s="92" t="s">
        <v>28</v>
      </c>
      <c r="B560" s="69">
        <v>14</v>
      </c>
      <c r="C560" s="69">
        <v>1</v>
      </c>
      <c r="D560" s="69">
        <v>9</v>
      </c>
      <c r="E560" s="69">
        <v>25</v>
      </c>
      <c r="F560" s="69">
        <v>65</v>
      </c>
      <c r="G560" s="69">
        <v>66</v>
      </c>
      <c r="H560" s="69">
        <v>10.6</v>
      </c>
      <c r="I560" s="70">
        <v>0.67</v>
      </c>
      <c r="J560" s="70">
        <v>1.63</v>
      </c>
      <c r="K560" s="69">
        <v>13.7</v>
      </c>
      <c r="L560" s="69">
        <v>1.1000000000000001</v>
      </c>
      <c r="M560" s="69" t="s">
        <v>958</v>
      </c>
      <c r="N560" s="69">
        <v>2002</v>
      </c>
      <c r="O560" s="69" t="s">
        <v>585</v>
      </c>
      <c r="P560" s="69">
        <v>484980</v>
      </c>
      <c r="Q560" s="92" t="s">
        <v>27</v>
      </c>
      <c r="R560" s="92" t="s">
        <v>580</v>
      </c>
      <c r="S560" s="92"/>
    </row>
    <row r="561" spans="1:19" x14ac:dyDescent="0.2">
      <c r="A561" s="92" t="s">
        <v>913</v>
      </c>
      <c r="B561" s="69">
        <v>-1</v>
      </c>
      <c r="C561" s="69">
        <v>2</v>
      </c>
      <c r="D561" s="69">
        <v>19</v>
      </c>
      <c r="E561" s="69">
        <v>6</v>
      </c>
      <c r="F561" s="69">
        <v>-1</v>
      </c>
      <c r="G561" s="69">
        <v>7</v>
      </c>
      <c r="H561" s="69">
        <v>1.3</v>
      </c>
      <c r="I561" s="70">
        <v>0.67</v>
      </c>
      <c r="J561" s="70">
        <v>2.0499999999999998</v>
      </c>
      <c r="K561" s="69">
        <v>20</v>
      </c>
      <c r="L561" s="69">
        <v>-0.1</v>
      </c>
      <c r="M561" s="69" t="s">
        <v>966</v>
      </c>
      <c r="N561" s="69">
        <v>2013</v>
      </c>
      <c r="O561" s="69" t="s">
        <v>485</v>
      </c>
      <c r="P561" s="69">
        <v>589168</v>
      </c>
      <c r="Q561" s="92" t="s">
        <v>708</v>
      </c>
      <c r="R561" s="92" t="s">
        <v>157</v>
      </c>
      <c r="S561" s="87"/>
    </row>
    <row r="562" spans="1:19" x14ac:dyDescent="0.2">
      <c r="A562" s="92" t="s">
        <v>51</v>
      </c>
      <c r="B562" s="69">
        <v>10</v>
      </c>
      <c r="C562" s="69">
        <v>1</v>
      </c>
      <c r="D562" s="69">
        <v>10</v>
      </c>
      <c r="E562" s="69">
        <v>18</v>
      </c>
      <c r="F562" s="69">
        <v>52</v>
      </c>
      <c r="G562" s="69">
        <v>54</v>
      </c>
      <c r="H562" s="69">
        <v>9</v>
      </c>
      <c r="I562" s="70">
        <v>0.68</v>
      </c>
      <c r="J562" s="70">
        <v>1.7</v>
      </c>
      <c r="K562" s="69">
        <v>8.3000000000000007</v>
      </c>
      <c r="L562" s="69">
        <v>1.5</v>
      </c>
      <c r="M562" s="69" t="s">
        <v>960</v>
      </c>
      <c r="N562" s="69">
        <v>2006</v>
      </c>
      <c r="O562" s="69" t="s">
        <v>485</v>
      </c>
      <c r="P562" s="69">
        <v>367698</v>
      </c>
      <c r="Q562" s="92" t="s">
        <v>584</v>
      </c>
      <c r="R562" s="92" t="s">
        <v>38</v>
      </c>
      <c r="S562" s="92"/>
    </row>
    <row r="563" spans="1:19" x14ac:dyDescent="0.2">
      <c r="A563" s="92" t="s">
        <v>184</v>
      </c>
      <c r="B563" s="69">
        <v>18</v>
      </c>
      <c r="C563" s="69">
        <v>10</v>
      </c>
      <c r="D563" s="69">
        <v>14</v>
      </c>
      <c r="E563" s="69">
        <v>31</v>
      </c>
      <c r="F563" s="69">
        <v>87</v>
      </c>
      <c r="G563" s="69">
        <v>117</v>
      </c>
      <c r="H563" s="69">
        <v>16.8</v>
      </c>
      <c r="I563" s="70">
        <v>0.68</v>
      </c>
      <c r="J563" s="70">
        <v>2.09</v>
      </c>
      <c r="K563" s="69">
        <v>10.1</v>
      </c>
      <c r="L563" s="69">
        <v>1.9</v>
      </c>
      <c r="M563" s="69" t="s">
        <v>968</v>
      </c>
      <c r="N563" s="69">
        <v>2008</v>
      </c>
      <c r="O563" s="69" t="s">
        <v>485</v>
      </c>
      <c r="P563" s="69">
        <v>626945</v>
      </c>
      <c r="Q563" s="92" t="s">
        <v>61</v>
      </c>
      <c r="R563" s="92" t="s">
        <v>72</v>
      </c>
      <c r="S563" s="87"/>
    </row>
    <row r="564" spans="1:19" x14ac:dyDescent="0.2">
      <c r="A564" s="92" t="s">
        <v>548</v>
      </c>
      <c r="B564" s="69">
        <v>22</v>
      </c>
      <c r="C564" s="69">
        <v>12</v>
      </c>
      <c r="D564" s="69">
        <v>24</v>
      </c>
      <c r="E564" s="69">
        <v>27</v>
      </c>
      <c r="F564" s="69">
        <v>64</v>
      </c>
      <c r="G564" s="69">
        <v>79</v>
      </c>
      <c r="H564" s="69">
        <v>12.3</v>
      </c>
      <c r="I564" s="70">
        <v>0.68</v>
      </c>
      <c r="J564" s="70">
        <v>1.69</v>
      </c>
      <c r="K564" s="69">
        <v>14.8</v>
      </c>
      <c r="L564" s="69">
        <v>1.1000000000000001</v>
      </c>
      <c r="M564" s="69" t="s">
        <v>976</v>
      </c>
      <c r="N564" s="69">
        <v>2008</v>
      </c>
      <c r="O564" s="69" t="s">
        <v>485</v>
      </c>
      <c r="P564" s="69">
        <v>192146</v>
      </c>
      <c r="Q564" s="92" t="s">
        <v>584</v>
      </c>
      <c r="R564" s="92" t="s">
        <v>170</v>
      </c>
      <c r="S564" s="92"/>
    </row>
    <row r="565" spans="1:19" x14ac:dyDescent="0.2">
      <c r="A565" s="92" t="s">
        <v>712</v>
      </c>
      <c r="B565" s="69">
        <v>22</v>
      </c>
      <c r="C565" s="69">
        <v>-1</v>
      </c>
      <c r="D565" s="69">
        <v>8</v>
      </c>
      <c r="E565" s="69">
        <v>26</v>
      </c>
      <c r="F565" s="69"/>
      <c r="G565" s="69"/>
      <c r="H565" s="69"/>
      <c r="I565" s="70">
        <v>0.68</v>
      </c>
      <c r="J565" s="70">
        <v>1.75</v>
      </c>
      <c r="K565" s="69"/>
      <c r="L565" s="69"/>
      <c r="M565" s="69" t="s">
        <v>958</v>
      </c>
      <c r="N565" s="69">
        <v>2011</v>
      </c>
      <c r="O565" s="69" t="s">
        <v>585</v>
      </c>
      <c r="P565" s="69">
        <v>320176</v>
      </c>
      <c r="Q565" s="92" t="s">
        <v>649</v>
      </c>
      <c r="R565" s="92" t="s">
        <v>207</v>
      </c>
      <c r="S565" s="87"/>
    </row>
    <row r="566" spans="1:19" x14ac:dyDescent="0.2">
      <c r="A566" s="92" t="s">
        <v>50</v>
      </c>
      <c r="B566" s="69">
        <v>11</v>
      </c>
      <c r="C566" s="69">
        <v>1</v>
      </c>
      <c r="D566" s="69">
        <v>10</v>
      </c>
      <c r="E566" s="69">
        <v>27</v>
      </c>
      <c r="F566" s="69">
        <v>61</v>
      </c>
      <c r="G566" s="69">
        <v>45</v>
      </c>
      <c r="H566" s="69">
        <v>7.7</v>
      </c>
      <c r="I566" s="70">
        <v>0.68</v>
      </c>
      <c r="J566" s="70">
        <v>1.67</v>
      </c>
      <c r="K566" s="69">
        <v>11.7</v>
      </c>
      <c r="L566" s="69">
        <v>1.2</v>
      </c>
      <c r="M566" s="69" t="s">
        <v>960</v>
      </c>
      <c r="N566" s="69">
        <v>2000</v>
      </c>
      <c r="O566" s="69" t="s">
        <v>485</v>
      </c>
      <c r="P566" s="69">
        <v>222661</v>
      </c>
      <c r="Q566" s="92" t="s">
        <v>590</v>
      </c>
      <c r="R566" s="92" t="s">
        <v>38</v>
      </c>
      <c r="S566" s="92"/>
    </row>
    <row r="567" spans="1:19" x14ac:dyDescent="0.2">
      <c r="A567" s="92" t="s">
        <v>1015</v>
      </c>
      <c r="B567" s="69">
        <v>9</v>
      </c>
      <c r="C567" s="69">
        <v>4</v>
      </c>
      <c r="D567" s="69">
        <v>9</v>
      </c>
      <c r="E567" s="69">
        <v>17</v>
      </c>
      <c r="F567" s="69">
        <v>33</v>
      </c>
      <c r="G567" s="69">
        <v>30</v>
      </c>
      <c r="H567" s="69">
        <v>5.4</v>
      </c>
      <c r="I567" s="70">
        <v>0.68</v>
      </c>
      <c r="J567" s="70">
        <v>1.65</v>
      </c>
      <c r="K567" s="69">
        <v>5.0999999999999996</v>
      </c>
      <c r="L567" s="69">
        <v>1.5</v>
      </c>
      <c r="M567" s="69" t="s">
        <v>960</v>
      </c>
      <c r="N567" s="69">
        <v>2000</v>
      </c>
      <c r="O567" s="69" t="s">
        <v>485</v>
      </c>
      <c r="P567" s="69">
        <v>996348</v>
      </c>
      <c r="Q567" s="92" t="s">
        <v>610</v>
      </c>
      <c r="R567" s="92" t="s">
        <v>227</v>
      </c>
      <c r="S567" s="92"/>
    </row>
    <row r="568" spans="1:19" x14ac:dyDescent="0.2">
      <c r="A568" s="92" t="s">
        <v>177</v>
      </c>
      <c r="B568" s="69">
        <v>9</v>
      </c>
      <c r="C568" s="69">
        <v>9</v>
      </c>
      <c r="D568" s="69">
        <v>16</v>
      </c>
      <c r="E568" s="69">
        <v>16</v>
      </c>
      <c r="F568" s="69">
        <v>44</v>
      </c>
      <c r="G568" s="69">
        <v>28</v>
      </c>
      <c r="H568" s="69">
        <v>5.0999999999999996</v>
      </c>
      <c r="I568" s="70">
        <v>0.68</v>
      </c>
      <c r="J568" s="70">
        <v>1.66</v>
      </c>
      <c r="K568" s="69">
        <v>12.5</v>
      </c>
      <c r="L568" s="69">
        <v>0.8</v>
      </c>
      <c r="M568" s="69" t="s">
        <v>976</v>
      </c>
      <c r="N568" s="69">
        <v>2000</v>
      </c>
      <c r="O568" s="69" t="s">
        <v>485</v>
      </c>
      <c r="P568" s="69">
        <v>920439</v>
      </c>
      <c r="Q568" s="92" t="s">
        <v>93</v>
      </c>
      <c r="R568" s="92" t="s">
        <v>170</v>
      </c>
      <c r="S568" s="92"/>
    </row>
    <row r="569" spans="1:19" x14ac:dyDescent="0.2">
      <c r="A569" s="92" t="s">
        <v>111</v>
      </c>
      <c r="B569" s="69">
        <v>15</v>
      </c>
      <c r="C569" s="69">
        <v>9</v>
      </c>
      <c r="D569" s="69">
        <v>16</v>
      </c>
      <c r="E569" s="69">
        <v>24</v>
      </c>
      <c r="F569" s="69">
        <v>65</v>
      </c>
      <c r="G569" s="69">
        <v>61</v>
      </c>
      <c r="H569" s="69">
        <v>10</v>
      </c>
      <c r="I569" s="70">
        <v>0.68</v>
      </c>
      <c r="J569" s="70">
        <v>1.67</v>
      </c>
      <c r="K569" s="69">
        <v>7.7</v>
      </c>
      <c r="L569" s="69">
        <v>1.8</v>
      </c>
      <c r="M569" s="69" t="s">
        <v>960</v>
      </c>
      <c r="N569" s="69">
        <v>2002</v>
      </c>
      <c r="O569" s="69" t="s">
        <v>485</v>
      </c>
      <c r="P569" s="69">
        <v>526897</v>
      </c>
      <c r="Q569" s="92" t="s">
        <v>93</v>
      </c>
      <c r="R569" s="92" t="s">
        <v>109</v>
      </c>
      <c r="S569" s="92"/>
    </row>
    <row r="570" spans="1:19" x14ac:dyDescent="0.2">
      <c r="A570" s="92" t="s">
        <v>803</v>
      </c>
      <c r="B570" s="69">
        <v>15</v>
      </c>
      <c r="C570" s="69">
        <v>12</v>
      </c>
      <c r="D570" s="69">
        <v>17</v>
      </c>
      <c r="E570" s="69">
        <v>30</v>
      </c>
      <c r="F570" s="69"/>
      <c r="G570" s="69"/>
      <c r="H570" s="69"/>
      <c r="I570" s="70">
        <v>0.68</v>
      </c>
      <c r="J570" s="70">
        <v>1.3</v>
      </c>
      <c r="K570" s="69"/>
      <c r="L570" s="69"/>
      <c r="M570" s="69" t="s">
        <v>958</v>
      </c>
      <c r="N570" s="69">
        <v>2012</v>
      </c>
      <c r="O570" s="69" t="s">
        <v>585</v>
      </c>
      <c r="P570" s="69">
        <v>297689</v>
      </c>
      <c r="Q570" s="92" t="s">
        <v>987</v>
      </c>
      <c r="R570" s="92" t="s">
        <v>72</v>
      </c>
      <c r="S570" s="87"/>
    </row>
    <row r="571" spans="1:19" x14ac:dyDescent="0.2">
      <c r="A571" s="92" t="s">
        <v>434</v>
      </c>
      <c r="B571" s="69">
        <v>11</v>
      </c>
      <c r="C571" s="69">
        <v>1</v>
      </c>
      <c r="D571" s="69">
        <v>6</v>
      </c>
      <c r="E571" s="69">
        <v>26</v>
      </c>
      <c r="F571" s="69">
        <v>89</v>
      </c>
      <c r="G571" s="69">
        <v>60</v>
      </c>
      <c r="H571" s="69">
        <v>9.9</v>
      </c>
      <c r="I571" s="70">
        <v>0.68</v>
      </c>
      <c r="J571" s="70">
        <v>1.82</v>
      </c>
      <c r="K571" s="69">
        <v>10.4</v>
      </c>
      <c r="L571" s="69">
        <v>1.8</v>
      </c>
      <c r="M571" s="69" t="s">
        <v>960</v>
      </c>
      <c r="N571" s="69">
        <v>2004</v>
      </c>
      <c r="O571" s="69" t="s">
        <v>485</v>
      </c>
      <c r="P571" s="69">
        <v>696898</v>
      </c>
      <c r="Q571" s="92" t="s">
        <v>591</v>
      </c>
      <c r="R571" s="92" t="s">
        <v>38</v>
      </c>
      <c r="S571" s="92"/>
    </row>
    <row r="572" spans="1:19" x14ac:dyDescent="0.2">
      <c r="A572" s="92" t="s">
        <v>430</v>
      </c>
      <c r="B572" s="69">
        <v>10</v>
      </c>
      <c r="C572" s="69">
        <v>6</v>
      </c>
      <c r="D572" s="69">
        <v>11</v>
      </c>
      <c r="E572" s="69">
        <v>19</v>
      </c>
      <c r="F572" s="69">
        <v>37</v>
      </c>
      <c r="G572" s="69">
        <v>42</v>
      </c>
      <c r="H572" s="69">
        <v>7.3</v>
      </c>
      <c r="I572" s="70">
        <v>0.68</v>
      </c>
      <c r="J572" s="70">
        <v>1.82</v>
      </c>
      <c r="K572" s="69">
        <v>10.199999999999999</v>
      </c>
      <c r="L572" s="69">
        <v>0.8</v>
      </c>
      <c r="M572" s="69" t="s">
        <v>968</v>
      </c>
      <c r="N572" s="69">
        <v>2006</v>
      </c>
      <c r="O572" s="69" t="s">
        <v>485</v>
      </c>
      <c r="P572" s="69">
        <v>549261</v>
      </c>
      <c r="Q572" s="92" t="s">
        <v>591</v>
      </c>
      <c r="R572" s="92" t="s">
        <v>109</v>
      </c>
      <c r="S572" s="92"/>
    </row>
    <row r="573" spans="1:19" x14ac:dyDescent="0.2">
      <c r="A573" s="92" t="s">
        <v>660</v>
      </c>
      <c r="B573" s="69">
        <v>21</v>
      </c>
      <c r="C573" s="69">
        <v>21</v>
      </c>
      <c r="D573" s="69">
        <v>27</v>
      </c>
      <c r="E573" s="69">
        <v>28</v>
      </c>
      <c r="F573" s="69">
        <v>44</v>
      </c>
      <c r="G573" s="69">
        <v>29</v>
      </c>
      <c r="H573" s="69">
        <v>5.3</v>
      </c>
      <c r="I573" s="70">
        <v>0.68</v>
      </c>
      <c r="J573" s="70">
        <v>1.83</v>
      </c>
      <c r="K573" s="69">
        <v>16.899999999999999</v>
      </c>
      <c r="L573" s="69">
        <v>0.6</v>
      </c>
      <c r="M573" s="69" t="s">
        <v>968</v>
      </c>
      <c r="N573" s="69">
        <v>2009</v>
      </c>
      <c r="O573" s="69" t="s">
        <v>485</v>
      </c>
      <c r="P573" s="69">
        <v>391896</v>
      </c>
      <c r="Q573" s="92" t="s">
        <v>591</v>
      </c>
      <c r="R573" s="92" t="s">
        <v>275</v>
      </c>
      <c r="S573" s="92"/>
    </row>
    <row r="574" spans="1:19" x14ac:dyDescent="0.2">
      <c r="A574" s="92" t="s">
        <v>422</v>
      </c>
      <c r="B574" s="69">
        <v>15</v>
      </c>
      <c r="C574" s="69">
        <v>7</v>
      </c>
      <c r="D574" s="69">
        <v>10</v>
      </c>
      <c r="E574" s="69">
        <v>30</v>
      </c>
      <c r="F574" s="69">
        <v>76</v>
      </c>
      <c r="G574" s="69">
        <v>85</v>
      </c>
      <c r="H574" s="69">
        <v>13.1</v>
      </c>
      <c r="I574" s="70">
        <v>0.68</v>
      </c>
      <c r="J574" s="70">
        <v>1.83</v>
      </c>
      <c r="K574" s="69">
        <v>9</v>
      </c>
      <c r="L574" s="69">
        <v>1.9</v>
      </c>
      <c r="M574" s="69" t="s">
        <v>968</v>
      </c>
      <c r="N574" s="69">
        <v>2004</v>
      </c>
      <c r="O574" s="69" t="s">
        <v>485</v>
      </c>
      <c r="P574" s="69">
        <v>195271</v>
      </c>
      <c r="Q574" s="92" t="s">
        <v>591</v>
      </c>
      <c r="R574" s="92" t="s">
        <v>109</v>
      </c>
      <c r="S574" s="87"/>
    </row>
    <row r="575" spans="1:19" x14ac:dyDescent="0.2">
      <c r="A575" s="92" t="s">
        <v>1046</v>
      </c>
      <c r="B575" s="69">
        <v>3</v>
      </c>
      <c r="C575" s="69">
        <v>5</v>
      </c>
      <c r="D575" s="69">
        <v>8</v>
      </c>
      <c r="E575" s="69">
        <v>9</v>
      </c>
      <c r="F575" s="69">
        <v>44</v>
      </c>
      <c r="G575" s="69">
        <v>23</v>
      </c>
      <c r="H575" s="69">
        <v>4.2</v>
      </c>
      <c r="I575" s="70">
        <v>0.68</v>
      </c>
      <c r="J575" s="70">
        <v>1.84</v>
      </c>
      <c r="K575" s="69">
        <v>14.7</v>
      </c>
      <c r="L575" s="69">
        <v>0.7</v>
      </c>
      <c r="M575" s="69" t="s">
        <v>968</v>
      </c>
      <c r="N575" s="69">
        <v>2005</v>
      </c>
      <c r="O575" s="69" t="s">
        <v>485</v>
      </c>
      <c r="P575" s="69">
        <v>299693</v>
      </c>
      <c r="Q575" s="92" t="s">
        <v>591</v>
      </c>
      <c r="R575" s="92" t="s">
        <v>170</v>
      </c>
      <c r="S575" s="92"/>
    </row>
    <row r="576" spans="1:19" x14ac:dyDescent="0.2">
      <c r="A576" s="92" t="s">
        <v>426</v>
      </c>
      <c r="B576" s="69">
        <v>26</v>
      </c>
      <c r="C576" s="69">
        <v>13</v>
      </c>
      <c r="D576" s="69">
        <v>14</v>
      </c>
      <c r="E576" s="69">
        <v>37</v>
      </c>
      <c r="F576" s="69">
        <v>113</v>
      </c>
      <c r="G576" s="69">
        <v>123</v>
      </c>
      <c r="H576" s="69">
        <v>17.399999999999999</v>
      </c>
      <c r="I576" s="70">
        <v>0.68</v>
      </c>
      <c r="J576" s="70">
        <v>1.82</v>
      </c>
      <c r="K576" s="69">
        <v>9.3000000000000007</v>
      </c>
      <c r="L576" s="69">
        <v>2.5</v>
      </c>
      <c r="M576" s="69" t="s">
        <v>968</v>
      </c>
      <c r="N576" s="69">
        <v>2004</v>
      </c>
      <c r="O576" s="69" t="s">
        <v>485</v>
      </c>
      <c r="P576" s="69">
        <v>374421</v>
      </c>
      <c r="Q576" s="92" t="s">
        <v>591</v>
      </c>
      <c r="R576" s="92" t="s">
        <v>202</v>
      </c>
      <c r="S576" s="92"/>
    </row>
    <row r="577" spans="1:19" x14ac:dyDescent="0.2">
      <c r="A577" s="92" t="s">
        <v>593</v>
      </c>
      <c r="B577" s="69">
        <v>17</v>
      </c>
      <c r="C577" s="69">
        <v>13</v>
      </c>
      <c r="D577" s="69">
        <v>13</v>
      </c>
      <c r="E577" s="69">
        <v>25</v>
      </c>
      <c r="F577" s="69">
        <v>63</v>
      </c>
      <c r="G577" s="69">
        <v>73</v>
      </c>
      <c r="H577" s="69">
        <v>11.6</v>
      </c>
      <c r="I577" s="70">
        <v>0.68</v>
      </c>
      <c r="J577" s="70">
        <v>1.83</v>
      </c>
      <c r="K577" s="69">
        <v>10.5</v>
      </c>
      <c r="L577" s="69">
        <v>1.3</v>
      </c>
      <c r="M577" s="69" t="s">
        <v>968</v>
      </c>
      <c r="N577" s="69">
        <v>2004</v>
      </c>
      <c r="O577" s="69" t="s">
        <v>485</v>
      </c>
      <c r="P577" s="69">
        <v>446088</v>
      </c>
      <c r="Q577" s="92" t="s">
        <v>591</v>
      </c>
      <c r="R577" s="92" t="s">
        <v>197</v>
      </c>
      <c r="S577" s="92"/>
    </row>
    <row r="578" spans="1:19" x14ac:dyDescent="0.2">
      <c r="A578" s="92" t="s">
        <v>335</v>
      </c>
      <c r="B578" s="69">
        <v>15</v>
      </c>
      <c r="C578" s="69">
        <v>11</v>
      </c>
      <c r="D578" s="69">
        <v>15</v>
      </c>
      <c r="E578" s="69">
        <v>24</v>
      </c>
      <c r="F578" s="69">
        <v>25</v>
      </c>
      <c r="G578" s="69">
        <v>68</v>
      </c>
      <c r="H578" s="69">
        <v>10.9</v>
      </c>
      <c r="I578" s="70">
        <v>0.68</v>
      </c>
      <c r="J578" s="70">
        <v>2.09</v>
      </c>
      <c r="K578" s="69">
        <v>9.6999999999999993</v>
      </c>
      <c r="L578" s="69">
        <v>0.7</v>
      </c>
      <c r="M578" s="69" t="s">
        <v>968</v>
      </c>
      <c r="N578" s="69">
        <v>2010</v>
      </c>
      <c r="O578" s="69" t="s">
        <v>485</v>
      </c>
      <c r="P578" s="69">
        <v>843698</v>
      </c>
      <c r="Q578" s="92" t="s">
        <v>61</v>
      </c>
      <c r="R578" s="92" t="s">
        <v>207</v>
      </c>
      <c r="S578" s="92"/>
    </row>
    <row r="579" spans="1:19" x14ac:dyDescent="0.2">
      <c r="A579" s="92" t="s">
        <v>952</v>
      </c>
      <c r="B579" s="69">
        <v>40</v>
      </c>
      <c r="C579" s="69">
        <v>26</v>
      </c>
      <c r="D579" s="69">
        <v>16</v>
      </c>
      <c r="E579" s="69">
        <v>45</v>
      </c>
      <c r="F579" s="69">
        <v>216</v>
      </c>
      <c r="G579" s="69">
        <v>211</v>
      </c>
      <c r="H579" s="69">
        <v>25.4</v>
      </c>
      <c r="I579" s="70">
        <v>0.68</v>
      </c>
      <c r="J579" s="70">
        <v>2.09</v>
      </c>
      <c r="K579" s="69">
        <v>20.2</v>
      </c>
      <c r="L579" s="69">
        <v>1.9</v>
      </c>
      <c r="M579" s="69" t="s">
        <v>968</v>
      </c>
      <c r="N579" s="69">
        <v>2000</v>
      </c>
      <c r="O579" s="69" t="s">
        <v>485</v>
      </c>
      <c r="P579" s="69">
        <v>364158</v>
      </c>
      <c r="Q579" s="92" t="s">
        <v>61</v>
      </c>
      <c r="R579" s="92" t="s">
        <v>279</v>
      </c>
      <c r="S579" s="87"/>
    </row>
    <row r="580" spans="1:19" x14ac:dyDescent="0.2">
      <c r="A580" s="92" t="s">
        <v>953</v>
      </c>
      <c r="B580" s="69">
        <v>15</v>
      </c>
      <c r="C580" s="69">
        <v>13</v>
      </c>
      <c r="D580" s="69">
        <v>13</v>
      </c>
      <c r="E580" s="69">
        <v>29</v>
      </c>
      <c r="F580" s="69">
        <v>64</v>
      </c>
      <c r="G580" s="69">
        <v>63</v>
      </c>
      <c r="H580" s="69">
        <v>10.199999999999999</v>
      </c>
      <c r="I580" s="70">
        <v>0.68</v>
      </c>
      <c r="J580" s="70">
        <v>2.09</v>
      </c>
      <c r="K580" s="69">
        <v>10.6</v>
      </c>
      <c r="L580" s="69">
        <v>1.4</v>
      </c>
      <c r="M580" s="69" t="s">
        <v>968</v>
      </c>
      <c r="N580" s="69">
        <v>2000</v>
      </c>
      <c r="O580" s="69" t="s">
        <v>485</v>
      </c>
      <c r="P580" s="69">
        <v>614966</v>
      </c>
      <c r="Q580" s="92" t="s">
        <v>61</v>
      </c>
      <c r="R580" s="92" t="s">
        <v>197</v>
      </c>
      <c r="S580" s="92"/>
    </row>
    <row r="581" spans="1:19" x14ac:dyDescent="0.2">
      <c r="A581" s="92" t="s">
        <v>1118</v>
      </c>
      <c r="B581" s="69">
        <v>16</v>
      </c>
      <c r="C581" s="69">
        <v>9</v>
      </c>
      <c r="D581" s="69">
        <v>16</v>
      </c>
      <c r="E581" s="69">
        <v>23</v>
      </c>
      <c r="F581" s="69">
        <v>75</v>
      </c>
      <c r="G581" s="69">
        <v>72</v>
      </c>
      <c r="H581" s="69">
        <v>11.5</v>
      </c>
      <c r="I581" s="70">
        <v>0.68</v>
      </c>
      <c r="J581" s="70">
        <v>2.09</v>
      </c>
      <c r="K581" s="69">
        <v>8</v>
      </c>
      <c r="L581" s="69">
        <v>2.1</v>
      </c>
      <c r="M581" s="69" t="s">
        <v>968</v>
      </c>
      <c r="N581" s="69">
        <v>2014</v>
      </c>
      <c r="O581" s="69" t="s">
        <v>485</v>
      </c>
      <c r="P581" s="69">
        <v>488932</v>
      </c>
      <c r="Q581" s="92" t="s">
        <v>61</v>
      </c>
      <c r="R581" s="92" t="s">
        <v>109</v>
      </c>
      <c r="S581" s="92" t="s">
        <v>959</v>
      </c>
    </row>
    <row r="582" spans="1:19" x14ac:dyDescent="0.2">
      <c r="A582" s="92" t="s">
        <v>1119</v>
      </c>
      <c r="B582" s="69">
        <v>11</v>
      </c>
      <c r="C582" s="69">
        <v>5</v>
      </c>
      <c r="D582" s="69">
        <v>10</v>
      </c>
      <c r="E582" s="69">
        <v>21</v>
      </c>
      <c r="F582" s="69">
        <v>46</v>
      </c>
      <c r="G582" s="69">
        <v>7</v>
      </c>
      <c r="H582" s="69">
        <v>1.4</v>
      </c>
      <c r="I582" s="70">
        <v>0.68</v>
      </c>
      <c r="J582" s="70">
        <v>2.0699999999999998</v>
      </c>
      <c r="K582" s="69">
        <v>8.3000000000000007</v>
      </c>
      <c r="L582" s="69">
        <v>1.3</v>
      </c>
      <c r="M582" s="69" t="s">
        <v>960</v>
      </c>
      <c r="N582" s="69">
        <v>2007</v>
      </c>
      <c r="O582" s="69" t="s">
        <v>485</v>
      </c>
      <c r="P582" s="69">
        <v>118067</v>
      </c>
      <c r="Q582" s="92" t="s">
        <v>61</v>
      </c>
      <c r="R582" s="92" t="s">
        <v>109</v>
      </c>
      <c r="S582" s="92" t="s">
        <v>959</v>
      </c>
    </row>
    <row r="583" spans="1:19" x14ac:dyDescent="0.2">
      <c r="A583" s="92" t="s">
        <v>954</v>
      </c>
      <c r="B583" s="69">
        <v>26</v>
      </c>
      <c r="C583" s="69">
        <v>10</v>
      </c>
      <c r="D583" s="69">
        <v>17</v>
      </c>
      <c r="E583" s="69">
        <v>36</v>
      </c>
      <c r="F583" s="69">
        <v>104</v>
      </c>
      <c r="G583" s="69">
        <v>95</v>
      </c>
      <c r="H583" s="69">
        <v>14.3</v>
      </c>
      <c r="I583" s="70">
        <v>0.68</v>
      </c>
      <c r="J583" s="70">
        <v>2.09</v>
      </c>
      <c r="K583" s="69">
        <v>8.5</v>
      </c>
      <c r="L583" s="69">
        <v>2.6</v>
      </c>
      <c r="M583" s="69" t="s">
        <v>968</v>
      </c>
      <c r="N583" s="69">
        <v>2000</v>
      </c>
      <c r="O583" s="69" t="s">
        <v>485</v>
      </c>
      <c r="P583" s="69">
        <v>579136</v>
      </c>
      <c r="Q583" s="92" t="s">
        <v>61</v>
      </c>
      <c r="R583" s="92" t="s">
        <v>202</v>
      </c>
      <c r="S583" s="92"/>
    </row>
    <row r="584" spans="1:19" x14ac:dyDescent="0.2">
      <c r="A584" s="92" t="s">
        <v>1087</v>
      </c>
      <c r="B584" s="69">
        <v>22</v>
      </c>
      <c r="C584" s="69">
        <v>12</v>
      </c>
      <c r="D584" s="69">
        <v>23</v>
      </c>
      <c r="E584" s="69">
        <v>34</v>
      </c>
      <c r="F584" s="69">
        <v>13</v>
      </c>
      <c r="G584" s="69">
        <v>5</v>
      </c>
      <c r="H584" s="69">
        <v>1</v>
      </c>
      <c r="I584" s="70">
        <v>0.68</v>
      </c>
      <c r="J584" s="70">
        <v>2.0699999999999998</v>
      </c>
      <c r="K584" s="69">
        <v>14.4</v>
      </c>
      <c r="L584" s="69">
        <v>0.3</v>
      </c>
      <c r="M584" s="69" t="s">
        <v>968</v>
      </c>
      <c r="N584" s="69">
        <v>2010</v>
      </c>
      <c r="O584" s="69" t="s">
        <v>485</v>
      </c>
      <c r="P584" s="69">
        <v>807867</v>
      </c>
      <c r="Q584" s="92" t="s">
        <v>61</v>
      </c>
      <c r="R584" s="92" t="s">
        <v>121</v>
      </c>
      <c r="S584" s="87" t="s">
        <v>959</v>
      </c>
    </row>
    <row r="585" spans="1:19" x14ac:dyDescent="0.2">
      <c r="A585" s="92" t="s">
        <v>178</v>
      </c>
      <c r="B585" s="69">
        <v>13</v>
      </c>
      <c r="C585" s="69">
        <v>7</v>
      </c>
      <c r="D585" s="69">
        <v>16</v>
      </c>
      <c r="E585" s="69">
        <v>16</v>
      </c>
      <c r="F585" s="69">
        <v>44</v>
      </c>
      <c r="G585" s="69">
        <v>52</v>
      </c>
      <c r="H585" s="69">
        <v>8.6999999999999993</v>
      </c>
      <c r="I585" s="70">
        <v>0.68</v>
      </c>
      <c r="J585" s="70">
        <v>1.68</v>
      </c>
      <c r="K585" s="69">
        <v>11.4</v>
      </c>
      <c r="L585" s="69">
        <v>1</v>
      </c>
      <c r="M585" s="69" t="s">
        <v>976</v>
      </c>
      <c r="N585" s="69">
        <v>2006</v>
      </c>
      <c r="O585" s="69" t="s">
        <v>485</v>
      </c>
      <c r="P585" s="69">
        <v>757575</v>
      </c>
      <c r="Q585" s="92" t="s">
        <v>584</v>
      </c>
      <c r="R585" s="92" t="s">
        <v>170</v>
      </c>
      <c r="S585" s="92"/>
    </row>
    <row r="586" spans="1:19" x14ac:dyDescent="0.2">
      <c r="A586" s="92" t="s">
        <v>1092</v>
      </c>
      <c r="B586" s="69">
        <v>14</v>
      </c>
      <c r="C586" s="69">
        <v>8</v>
      </c>
      <c r="D586" s="69">
        <v>16</v>
      </c>
      <c r="E586" s="69">
        <v>23</v>
      </c>
      <c r="F586" s="69">
        <v>87</v>
      </c>
      <c r="G586" s="69">
        <v>87</v>
      </c>
      <c r="H586" s="69">
        <v>13.3</v>
      </c>
      <c r="I586" s="70">
        <v>0.69</v>
      </c>
      <c r="J586" s="70">
        <v>1.71</v>
      </c>
      <c r="K586" s="69">
        <v>9.8000000000000007</v>
      </c>
      <c r="L586" s="69">
        <v>2</v>
      </c>
      <c r="M586" s="69" t="s">
        <v>968</v>
      </c>
      <c r="N586" s="69">
        <v>2006</v>
      </c>
      <c r="O586" s="69" t="s">
        <v>485</v>
      </c>
      <c r="P586" s="69">
        <v>407775</v>
      </c>
      <c r="Q586" s="92" t="s">
        <v>584</v>
      </c>
      <c r="R586" s="92" t="s">
        <v>72</v>
      </c>
      <c r="S586" s="92"/>
    </row>
    <row r="587" spans="1:19" x14ac:dyDescent="0.2">
      <c r="A587" s="92" t="s">
        <v>189</v>
      </c>
      <c r="B587" s="69">
        <v>25</v>
      </c>
      <c r="C587" s="69">
        <v>6</v>
      </c>
      <c r="D587" s="69">
        <v>23</v>
      </c>
      <c r="E587" s="69">
        <v>32</v>
      </c>
      <c r="F587" s="69">
        <v>61</v>
      </c>
      <c r="G587" s="69">
        <v>109</v>
      </c>
      <c r="H587" s="69">
        <v>15.9</v>
      </c>
      <c r="I587" s="70">
        <v>0.69</v>
      </c>
      <c r="J587" s="70">
        <v>1.8</v>
      </c>
      <c r="K587" s="69">
        <v>14.7</v>
      </c>
      <c r="L587" s="69">
        <v>1</v>
      </c>
      <c r="M587" s="69" t="s">
        <v>966</v>
      </c>
      <c r="N587" s="69">
        <v>2004</v>
      </c>
      <c r="O587" s="69" t="s">
        <v>485</v>
      </c>
      <c r="P587" s="69">
        <v>821389</v>
      </c>
      <c r="Q587" s="92" t="s">
        <v>586</v>
      </c>
      <c r="R587" s="92" t="s">
        <v>180</v>
      </c>
      <c r="S587" s="92"/>
    </row>
    <row r="588" spans="1:19" x14ac:dyDescent="0.2">
      <c r="A588" s="92" t="s">
        <v>760</v>
      </c>
      <c r="B588" s="69">
        <v>8</v>
      </c>
      <c r="C588" s="69">
        <v>2</v>
      </c>
      <c r="D588" s="69">
        <v>11</v>
      </c>
      <c r="E588" s="69">
        <v>22</v>
      </c>
      <c r="F588" s="69">
        <v>54</v>
      </c>
      <c r="G588" s="69">
        <v>29</v>
      </c>
      <c r="H588" s="69">
        <v>5.2</v>
      </c>
      <c r="I588" s="70">
        <v>0.69</v>
      </c>
      <c r="J588" s="70">
        <v>1.69</v>
      </c>
      <c r="K588" s="69">
        <v>12.8</v>
      </c>
      <c r="L588" s="69">
        <v>0.9</v>
      </c>
      <c r="M588" s="69" t="s">
        <v>960</v>
      </c>
      <c r="N588" s="69">
        <v>2000</v>
      </c>
      <c r="O588" s="69" t="s">
        <v>485</v>
      </c>
      <c r="P588" s="69">
        <v>848770</v>
      </c>
      <c r="Q588" s="92" t="s">
        <v>93</v>
      </c>
      <c r="R588" s="92" t="s">
        <v>59</v>
      </c>
      <c r="S588" s="92"/>
    </row>
    <row r="589" spans="1:19" x14ac:dyDescent="0.2">
      <c r="A589" s="92" t="s">
        <v>305</v>
      </c>
      <c r="B589" s="69">
        <v>14</v>
      </c>
      <c r="C589" s="69">
        <v>-3</v>
      </c>
      <c r="D589" s="69">
        <v>9</v>
      </c>
      <c r="E589" s="69">
        <v>28</v>
      </c>
      <c r="F589" s="69">
        <v>106</v>
      </c>
      <c r="G589" s="69"/>
      <c r="H589" s="69"/>
      <c r="I589" s="70">
        <v>0.69</v>
      </c>
      <c r="J589" s="70">
        <v>1.7</v>
      </c>
      <c r="K589" s="69">
        <v>15.4</v>
      </c>
      <c r="L589" s="69">
        <v>1.5</v>
      </c>
      <c r="M589" s="69" t="s">
        <v>958</v>
      </c>
      <c r="N589" s="69">
        <v>2011</v>
      </c>
      <c r="O589" s="69" t="s">
        <v>585</v>
      </c>
      <c r="P589" s="69">
        <v>656637</v>
      </c>
      <c r="Q589" s="92" t="s">
        <v>303</v>
      </c>
      <c r="R589" s="92" t="s">
        <v>559</v>
      </c>
      <c r="S589" s="87"/>
    </row>
    <row r="590" spans="1:19" x14ac:dyDescent="0.2">
      <c r="A590" s="92" t="s">
        <v>100</v>
      </c>
      <c r="B590" s="69">
        <v>19</v>
      </c>
      <c r="C590" s="69">
        <v>12</v>
      </c>
      <c r="D590" s="69">
        <v>23</v>
      </c>
      <c r="E590" s="69">
        <v>26</v>
      </c>
      <c r="F590" s="69">
        <v>25</v>
      </c>
      <c r="G590" s="69">
        <v>32</v>
      </c>
      <c r="H590" s="69">
        <v>5.8</v>
      </c>
      <c r="I590" s="70">
        <v>0.69</v>
      </c>
      <c r="J590" s="70">
        <v>1.97</v>
      </c>
      <c r="K590" s="69">
        <v>12.1</v>
      </c>
      <c r="L590" s="69">
        <v>0.5</v>
      </c>
      <c r="M590" s="69" t="s">
        <v>968</v>
      </c>
      <c r="N590" s="69">
        <v>2000</v>
      </c>
      <c r="O590" s="69" t="s">
        <v>485</v>
      </c>
      <c r="P590" s="69">
        <v>477729</v>
      </c>
      <c r="Q590" s="92" t="s">
        <v>264</v>
      </c>
      <c r="R590" s="92" t="s">
        <v>98</v>
      </c>
      <c r="S590" s="92"/>
    </row>
    <row r="591" spans="1:19" x14ac:dyDescent="0.2">
      <c r="A591" s="92" t="s">
        <v>669</v>
      </c>
      <c r="B591" s="69">
        <v>21</v>
      </c>
      <c r="C591" s="69">
        <v>14</v>
      </c>
      <c r="D591" s="69">
        <v>21</v>
      </c>
      <c r="E591" s="69">
        <v>27</v>
      </c>
      <c r="F591" s="69">
        <v>29</v>
      </c>
      <c r="G591" s="69">
        <v>39</v>
      </c>
      <c r="H591" s="69">
        <v>6.9</v>
      </c>
      <c r="I591" s="70">
        <v>0.69</v>
      </c>
      <c r="J591" s="70">
        <v>2.1</v>
      </c>
      <c r="K591" s="69">
        <v>11.6</v>
      </c>
      <c r="L591" s="69">
        <v>0.6</v>
      </c>
      <c r="M591" s="69" t="s">
        <v>968</v>
      </c>
      <c r="N591" s="69">
        <v>2009</v>
      </c>
      <c r="O591" s="69" t="s">
        <v>485</v>
      </c>
      <c r="P591" s="69">
        <v>817601</v>
      </c>
      <c r="Q591" s="92" t="s">
        <v>61</v>
      </c>
      <c r="R591" s="92" t="s">
        <v>98</v>
      </c>
      <c r="S591" s="87"/>
    </row>
    <row r="592" spans="1:19" x14ac:dyDescent="0.2">
      <c r="A592" s="92" t="s">
        <v>423</v>
      </c>
      <c r="B592" s="69">
        <v>18</v>
      </c>
      <c r="C592" s="69">
        <v>13</v>
      </c>
      <c r="D592" s="69">
        <v>24</v>
      </c>
      <c r="E592" s="69">
        <v>27</v>
      </c>
      <c r="F592" s="69">
        <v>22</v>
      </c>
      <c r="G592" s="69">
        <v>31</v>
      </c>
      <c r="H592" s="69">
        <v>5.6</v>
      </c>
      <c r="I592" s="70">
        <v>0.69</v>
      </c>
      <c r="J592" s="70">
        <v>1.86</v>
      </c>
      <c r="K592" s="69">
        <v>11.9</v>
      </c>
      <c r="L592" s="69">
        <v>0.4</v>
      </c>
      <c r="M592" s="69" t="s">
        <v>968</v>
      </c>
      <c r="N592" s="69">
        <v>2004</v>
      </c>
      <c r="O592" s="69" t="s">
        <v>485</v>
      </c>
      <c r="P592" s="69">
        <v>231100</v>
      </c>
      <c r="Q592" s="92" t="s">
        <v>591</v>
      </c>
      <c r="R592" s="92" t="s">
        <v>121</v>
      </c>
      <c r="S592" s="87"/>
    </row>
    <row r="593" spans="1:19" x14ac:dyDescent="0.2">
      <c r="A593" s="92" t="s">
        <v>124</v>
      </c>
      <c r="B593" s="69">
        <v>5</v>
      </c>
      <c r="C593" s="69">
        <v>0</v>
      </c>
      <c r="D593" s="69">
        <v>6</v>
      </c>
      <c r="E593" s="69">
        <v>16</v>
      </c>
      <c r="F593" s="69">
        <v>75</v>
      </c>
      <c r="G593" s="69">
        <v>71</v>
      </c>
      <c r="H593" s="69">
        <v>11.3</v>
      </c>
      <c r="I593" s="70">
        <v>0.69</v>
      </c>
      <c r="J593" s="70">
        <v>1.69</v>
      </c>
      <c r="K593" s="69">
        <v>8.1</v>
      </c>
      <c r="L593" s="69">
        <v>2</v>
      </c>
      <c r="M593" s="69" t="s">
        <v>960</v>
      </c>
      <c r="N593" s="69">
        <v>2008</v>
      </c>
      <c r="O593" s="69" t="s">
        <v>485</v>
      </c>
      <c r="P593" s="69">
        <v>188482</v>
      </c>
      <c r="Q593" s="92" t="s">
        <v>597</v>
      </c>
      <c r="R593" s="92" t="s">
        <v>38</v>
      </c>
      <c r="S593" s="92"/>
    </row>
    <row r="594" spans="1:19" x14ac:dyDescent="0.2">
      <c r="A594" s="92" t="s">
        <v>659</v>
      </c>
      <c r="B594" s="69">
        <v>13</v>
      </c>
      <c r="C594" s="69">
        <v>11</v>
      </c>
      <c r="D594" s="69">
        <v>17</v>
      </c>
      <c r="E594" s="69">
        <v>15</v>
      </c>
      <c r="F594" s="69">
        <v>47</v>
      </c>
      <c r="G594" s="69">
        <v>47</v>
      </c>
      <c r="H594" s="69">
        <v>8.1</v>
      </c>
      <c r="I594" s="70">
        <v>0.69</v>
      </c>
      <c r="J594" s="70">
        <v>1.85</v>
      </c>
      <c r="K594" s="69">
        <v>16.3</v>
      </c>
      <c r="L594" s="69">
        <v>0.8</v>
      </c>
      <c r="M594" s="69" t="s">
        <v>968</v>
      </c>
      <c r="N594" s="69">
        <v>2004</v>
      </c>
      <c r="O594" s="69" t="s">
        <v>485</v>
      </c>
      <c r="P594" s="69">
        <v>159442</v>
      </c>
      <c r="Q594" s="92" t="s">
        <v>591</v>
      </c>
      <c r="R594" s="92" t="s">
        <v>170</v>
      </c>
      <c r="S594" s="87"/>
    </row>
    <row r="595" spans="1:19" x14ac:dyDescent="0.2">
      <c r="A595" s="92" t="s">
        <v>1120</v>
      </c>
      <c r="B595" s="69"/>
      <c r="C595" s="69"/>
      <c r="D595" s="69"/>
      <c r="E595" s="69"/>
      <c r="F595" s="69"/>
      <c r="G595" s="69"/>
      <c r="H595" s="69"/>
      <c r="I595" s="70">
        <v>0.69</v>
      </c>
      <c r="J595" s="70">
        <v>2.09</v>
      </c>
      <c r="K595" s="69"/>
      <c r="L595" s="69"/>
      <c r="M595" s="69" t="s">
        <v>960</v>
      </c>
      <c r="N595" s="69">
        <v>2014</v>
      </c>
      <c r="O595" s="69" t="s">
        <v>485</v>
      </c>
      <c r="P595" s="69">
        <v>529016</v>
      </c>
      <c r="Q595" s="92" t="s">
        <v>61</v>
      </c>
      <c r="R595" s="92" t="s">
        <v>59</v>
      </c>
      <c r="S595" s="92"/>
    </row>
    <row r="596" spans="1:19" x14ac:dyDescent="0.2">
      <c r="A596" s="92" t="s">
        <v>474</v>
      </c>
      <c r="B596" s="69">
        <v>26</v>
      </c>
      <c r="C596" s="69">
        <v>21</v>
      </c>
      <c r="D596" s="69">
        <v>37</v>
      </c>
      <c r="E596" s="69">
        <v>28</v>
      </c>
      <c r="F596" s="69">
        <v>8</v>
      </c>
      <c r="G596" s="69">
        <v>24</v>
      </c>
      <c r="H596" s="69">
        <v>4.4000000000000004</v>
      </c>
      <c r="I596" s="70">
        <v>0.69</v>
      </c>
      <c r="J596" s="70">
        <v>1.96</v>
      </c>
      <c r="K596" s="69">
        <v>16.2</v>
      </c>
      <c r="L596" s="69">
        <v>0.2</v>
      </c>
      <c r="M596" s="69" t="s">
        <v>968</v>
      </c>
      <c r="N596" s="69">
        <v>2006</v>
      </c>
      <c r="O596" s="69" t="s">
        <v>485</v>
      </c>
      <c r="P596" s="69">
        <v>235291</v>
      </c>
      <c r="Q596" s="92" t="s">
        <v>264</v>
      </c>
      <c r="R596" s="92" t="s">
        <v>277</v>
      </c>
      <c r="S596" s="87"/>
    </row>
    <row r="597" spans="1:19" x14ac:dyDescent="0.2">
      <c r="A597" s="92" t="s">
        <v>549</v>
      </c>
      <c r="B597" s="69">
        <v>10</v>
      </c>
      <c r="C597" s="69">
        <v>2</v>
      </c>
      <c r="D597" s="69">
        <v>9</v>
      </c>
      <c r="E597" s="69">
        <v>18</v>
      </c>
      <c r="F597" s="69">
        <v>58</v>
      </c>
      <c r="G597" s="69">
        <v>75</v>
      </c>
      <c r="H597" s="69">
        <v>11.8</v>
      </c>
      <c r="I597" s="70">
        <v>0.7</v>
      </c>
      <c r="J597" s="70">
        <v>1.75</v>
      </c>
      <c r="K597" s="69">
        <v>7.9</v>
      </c>
      <c r="L597" s="69">
        <v>1.8</v>
      </c>
      <c r="M597" s="69" t="s">
        <v>971</v>
      </c>
      <c r="N597" s="69">
        <v>2006</v>
      </c>
      <c r="O597" s="69" t="s">
        <v>485</v>
      </c>
      <c r="P597" s="69">
        <v>515262</v>
      </c>
      <c r="Q597" s="92" t="s">
        <v>584</v>
      </c>
      <c r="R597" s="92" t="s">
        <v>180</v>
      </c>
      <c r="S597" s="87"/>
    </row>
    <row r="598" spans="1:19" x14ac:dyDescent="0.2">
      <c r="A598" s="92" t="s">
        <v>1004</v>
      </c>
      <c r="B598" s="69">
        <v>14</v>
      </c>
      <c r="C598" s="69">
        <v>6</v>
      </c>
      <c r="D598" s="69">
        <v>15</v>
      </c>
      <c r="E598" s="69">
        <v>21</v>
      </c>
      <c r="F598" s="69"/>
      <c r="G598" s="69"/>
      <c r="H598" s="69"/>
      <c r="I598" s="70">
        <v>0.7</v>
      </c>
      <c r="J598" s="70">
        <v>1.92</v>
      </c>
      <c r="K598" s="69"/>
      <c r="L598" s="69"/>
      <c r="M598" s="69" t="s">
        <v>968</v>
      </c>
      <c r="N598" s="69">
        <v>2013</v>
      </c>
      <c r="O598" s="69" t="s">
        <v>485</v>
      </c>
      <c r="P598" s="69">
        <v>728824</v>
      </c>
      <c r="Q598" s="92" t="s">
        <v>636</v>
      </c>
      <c r="R598" s="92" t="s">
        <v>109</v>
      </c>
      <c r="S598" s="92"/>
    </row>
    <row r="599" spans="1:19" x14ac:dyDescent="0.2">
      <c r="A599" s="92" t="s">
        <v>454</v>
      </c>
      <c r="B599" s="69">
        <v>14</v>
      </c>
      <c r="C599" s="69">
        <v>7</v>
      </c>
      <c r="D599" s="69">
        <v>16</v>
      </c>
      <c r="E599" s="69">
        <v>23</v>
      </c>
      <c r="F599" s="69">
        <v>42</v>
      </c>
      <c r="G599" s="69">
        <v>50</v>
      </c>
      <c r="H599" s="69">
        <v>8.5</v>
      </c>
      <c r="I599" s="70">
        <v>0.7</v>
      </c>
      <c r="J599" s="70">
        <v>1.92</v>
      </c>
      <c r="K599" s="69">
        <v>7.3</v>
      </c>
      <c r="L599" s="69">
        <v>1.3</v>
      </c>
      <c r="M599" s="69" t="s">
        <v>968</v>
      </c>
      <c r="N599" s="69">
        <v>2002</v>
      </c>
      <c r="O599" s="69" t="s">
        <v>485</v>
      </c>
      <c r="P599" s="69">
        <v>303412</v>
      </c>
      <c r="Q599" s="92" t="s">
        <v>636</v>
      </c>
      <c r="R599" s="92" t="s">
        <v>109</v>
      </c>
      <c r="S599" s="87"/>
    </row>
    <row r="600" spans="1:19" x14ac:dyDescent="0.2">
      <c r="A600" s="92" t="s">
        <v>53</v>
      </c>
      <c r="B600" s="69">
        <v>13</v>
      </c>
      <c r="C600" s="69">
        <v>6</v>
      </c>
      <c r="D600" s="69">
        <v>11</v>
      </c>
      <c r="E600" s="69">
        <v>23</v>
      </c>
      <c r="F600" s="69">
        <v>51</v>
      </c>
      <c r="G600" s="69">
        <v>50</v>
      </c>
      <c r="H600" s="69">
        <v>8.4</v>
      </c>
      <c r="I600" s="70">
        <v>0.7</v>
      </c>
      <c r="J600" s="70">
        <v>1.73</v>
      </c>
      <c r="K600" s="69">
        <v>5.7</v>
      </c>
      <c r="L600" s="69">
        <v>2</v>
      </c>
      <c r="M600" s="69" t="s">
        <v>960</v>
      </c>
      <c r="N600" s="69">
        <v>2008</v>
      </c>
      <c r="O600" s="69" t="s">
        <v>485</v>
      </c>
      <c r="P600" s="69">
        <v>235234</v>
      </c>
      <c r="Q600" s="92" t="s">
        <v>271</v>
      </c>
      <c r="R600" s="92" t="s">
        <v>227</v>
      </c>
      <c r="S600" s="92"/>
    </row>
    <row r="601" spans="1:19" x14ac:dyDescent="0.2">
      <c r="A601" s="92" t="s">
        <v>545</v>
      </c>
      <c r="B601" s="69">
        <v>9</v>
      </c>
      <c r="C601" s="69">
        <v>-1</v>
      </c>
      <c r="D601" s="69">
        <v>6</v>
      </c>
      <c r="E601" s="69">
        <v>17</v>
      </c>
      <c r="F601" s="69">
        <v>56</v>
      </c>
      <c r="G601" s="69">
        <v>74</v>
      </c>
      <c r="H601" s="69">
        <v>11.8</v>
      </c>
      <c r="I601" s="70">
        <v>0.7</v>
      </c>
      <c r="J601" s="70">
        <v>1.72</v>
      </c>
      <c r="K601" s="69">
        <v>13.1</v>
      </c>
      <c r="L601" s="69">
        <v>1</v>
      </c>
      <c r="M601" s="69" t="s">
        <v>958</v>
      </c>
      <c r="N601" s="69">
        <v>2001</v>
      </c>
      <c r="O601" s="69" t="s">
        <v>585</v>
      </c>
      <c r="P601" s="69">
        <v>170423</v>
      </c>
      <c r="Q601" s="92" t="s">
        <v>544</v>
      </c>
      <c r="R601" s="92" t="s">
        <v>515</v>
      </c>
      <c r="S601" s="87"/>
    </row>
    <row r="602" spans="1:19" x14ac:dyDescent="0.2">
      <c r="A602" s="92" t="s">
        <v>1075</v>
      </c>
      <c r="B602" s="69">
        <v>9</v>
      </c>
      <c r="C602" s="69">
        <v>-1</v>
      </c>
      <c r="D602" s="69">
        <v>7</v>
      </c>
      <c r="E602" s="69">
        <v>13</v>
      </c>
      <c r="F602" s="69">
        <v>55</v>
      </c>
      <c r="G602" s="69">
        <v>69</v>
      </c>
      <c r="H602" s="69">
        <v>11.1</v>
      </c>
      <c r="I602" s="70">
        <v>0.7</v>
      </c>
      <c r="J602" s="70">
        <v>1.8</v>
      </c>
      <c r="K602" s="69">
        <v>15.2</v>
      </c>
      <c r="L602" s="69">
        <v>0.9</v>
      </c>
      <c r="M602" s="69" t="s">
        <v>958</v>
      </c>
      <c r="N602" s="69">
        <v>2001</v>
      </c>
      <c r="O602" s="69" t="s">
        <v>485</v>
      </c>
      <c r="P602" s="69">
        <v>524470</v>
      </c>
      <c r="Q602" s="92" t="s">
        <v>336</v>
      </c>
      <c r="R602" s="92" t="s">
        <v>515</v>
      </c>
      <c r="S602" s="92"/>
    </row>
    <row r="603" spans="1:19" x14ac:dyDescent="0.2">
      <c r="A603" s="92" t="s">
        <v>210</v>
      </c>
      <c r="B603" s="69">
        <v>15</v>
      </c>
      <c r="C603" s="69">
        <v>7</v>
      </c>
      <c r="D603" s="69">
        <v>14</v>
      </c>
      <c r="E603" s="69">
        <v>16</v>
      </c>
      <c r="F603" s="69">
        <v>-11</v>
      </c>
      <c r="G603" s="69">
        <v>-1</v>
      </c>
      <c r="H603" s="69">
        <v>-0.2</v>
      </c>
      <c r="I603" s="70">
        <v>0.7</v>
      </c>
      <c r="J603" s="70">
        <v>2.0099999999999998</v>
      </c>
      <c r="K603" s="69">
        <v>16.7</v>
      </c>
      <c r="L603" s="69">
        <v>-0.3</v>
      </c>
      <c r="M603" s="69" t="s">
        <v>968</v>
      </c>
      <c r="N603" s="69">
        <v>2000</v>
      </c>
      <c r="O603" s="69" t="s">
        <v>485</v>
      </c>
      <c r="P603" s="69">
        <v>262741</v>
      </c>
      <c r="Q603" s="92" t="s">
        <v>264</v>
      </c>
      <c r="R603" s="92" t="s">
        <v>207</v>
      </c>
      <c r="S603" s="87"/>
    </row>
    <row r="604" spans="1:19" x14ac:dyDescent="0.2">
      <c r="A604" s="92" t="s">
        <v>947</v>
      </c>
      <c r="B604" s="69">
        <v>18</v>
      </c>
      <c r="C604" s="69">
        <v>11</v>
      </c>
      <c r="D604" s="69">
        <v>13</v>
      </c>
      <c r="E604" s="69">
        <v>36</v>
      </c>
      <c r="F604" s="69">
        <v>63</v>
      </c>
      <c r="G604" s="69"/>
      <c r="H604" s="69"/>
      <c r="I604" s="70">
        <v>0.71</v>
      </c>
      <c r="J604" s="70">
        <v>1.75</v>
      </c>
      <c r="K604" s="69">
        <v>8.8000000000000007</v>
      </c>
      <c r="L604" s="69">
        <v>1.6</v>
      </c>
      <c r="M604" s="69" t="s">
        <v>958</v>
      </c>
      <c r="N604" s="69">
        <v>2011</v>
      </c>
      <c r="O604" s="69" t="s">
        <v>585</v>
      </c>
      <c r="P604" s="69">
        <v>456236</v>
      </c>
      <c r="Q604" s="92" t="s">
        <v>853</v>
      </c>
      <c r="R604" s="92" t="s">
        <v>207</v>
      </c>
      <c r="S604" s="87"/>
    </row>
    <row r="605" spans="1:19" x14ac:dyDescent="0.2">
      <c r="A605" s="92" t="s">
        <v>944</v>
      </c>
      <c r="B605" s="69">
        <v>12</v>
      </c>
      <c r="C605" s="69">
        <v>-1</v>
      </c>
      <c r="D605" s="69">
        <v>8</v>
      </c>
      <c r="E605" s="69">
        <v>20</v>
      </c>
      <c r="F605" s="69"/>
      <c r="G605" s="69"/>
      <c r="H605" s="69"/>
      <c r="I605" s="70">
        <v>0.71</v>
      </c>
      <c r="J605" s="70">
        <v>2.11</v>
      </c>
      <c r="K605" s="69"/>
      <c r="L605" s="69"/>
      <c r="M605" s="69" t="s">
        <v>958</v>
      </c>
      <c r="N605" s="69">
        <v>2013</v>
      </c>
      <c r="O605" s="69" t="s">
        <v>485</v>
      </c>
      <c r="P605" s="69">
        <v>677823</v>
      </c>
      <c r="Q605" s="92" t="s">
        <v>336</v>
      </c>
      <c r="R605" s="92" t="s">
        <v>218</v>
      </c>
      <c r="S605" s="87"/>
    </row>
    <row r="606" spans="1:19" x14ac:dyDescent="0.2">
      <c r="A606" s="92" t="s">
        <v>436</v>
      </c>
      <c r="B606" s="69">
        <v>49</v>
      </c>
      <c r="C606" s="69">
        <v>16</v>
      </c>
      <c r="D606" s="69">
        <v>50</v>
      </c>
      <c r="E606" s="69">
        <v>83</v>
      </c>
      <c r="F606" s="69">
        <v>33</v>
      </c>
      <c r="G606" s="69">
        <v>41</v>
      </c>
      <c r="H606" s="69">
        <v>7.1</v>
      </c>
      <c r="I606" s="70">
        <v>0.71</v>
      </c>
      <c r="J606" s="70">
        <v>1.93</v>
      </c>
      <c r="K606" s="69">
        <v>21.6</v>
      </c>
      <c r="L606" s="69">
        <v>0.5</v>
      </c>
      <c r="M606" s="69" t="s">
        <v>968</v>
      </c>
      <c r="N606" s="69">
        <v>2006</v>
      </c>
      <c r="O606" s="69" t="s">
        <v>485</v>
      </c>
      <c r="P606" s="69">
        <v>768499</v>
      </c>
      <c r="Q606" s="92" t="s">
        <v>591</v>
      </c>
      <c r="R606" s="92" t="s">
        <v>180</v>
      </c>
      <c r="S606" s="92"/>
    </row>
    <row r="607" spans="1:19" x14ac:dyDescent="0.2">
      <c r="A607" s="92" t="s">
        <v>158</v>
      </c>
      <c r="B607" s="69">
        <v>-1</v>
      </c>
      <c r="C607" s="69">
        <v>1</v>
      </c>
      <c r="D607" s="69">
        <v>17</v>
      </c>
      <c r="E607" s="69">
        <v>6</v>
      </c>
      <c r="F607" s="69">
        <v>0</v>
      </c>
      <c r="G607" s="69">
        <v>5</v>
      </c>
      <c r="H607" s="69">
        <v>1</v>
      </c>
      <c r="I607" s="70">
        <v>0.71</v>
      </c>
      <c r="J607" s="70">
        <v>2.0499999999999998</v>
      </c>
      <c r="K607" s="69">
        <v>18.7</v>
      </c>
      <c r="L607" s="69">
        <v>0</v>
      </c>
      <c r="M607" s="69" t="s">
        <v>968</v>
      </c>
      <c r="N607" s="69">
        <v>2000</v>
      </c>
      <c r="O607" s="69" t="s">
        <v>485</v>
      </c>
      <c r="P607" s="69">
        <v>983593</v>
      </c>
      <c r="Q607" s="92" t="s">
        <v>264</v>
      </c>
      <c r="R607" s="92" t="s">
        <v>157</v>
      </c>
      <c r="S607" s="92"/>
    </row>
    <row r="608" spans="1:19" x14ac:dyDescent="0.2">
      <c r="A608" s="92" t="s">
        <v>978</v>
      </c>
      <c r="B608" s="69">
        <v>5</v>
      </c>
      <c r="C608" s="69">
        <v>1</v>
      </c>
      <c r="D608" s="69">
        <v>12</v>
      </c>
      <c r="E608" s="69">
        <v>18</v>
      </c>
      <c r="F608" s="69">
        <v>22</v>
      </c>
      <c r="G608" s="69"/>
      <c r="H608" s="69"/>
      <c r="I608" s="70">
        <v>0.72</v>
      </c>
      <c r="J608" s="70">
        <v>1.76</v>
      </c>
      <c r="K608" s="69">
        <v>16.399999999999999</v>
      </c>
      <c r="L608" s="69">
        <v>0.3</v>
      </c>
      <c r="M608" s="69" t="s">
        <v>960</v>
      </c>
      <c r="N608" s="69">
        <v>2013</v>
      </c>
      <c r="O608" s="69" t="s">
        <v>485</v>
      </c>
      <c r="P608" s="69">
        <v>161620</v>
      </c>
      <c r="Q608" s="92" t="s">
        <v>889</v>
      </c>
      <c r="R608" s="92" t="s">
        <v>157</v>
      </c>
      <c r="S608" s="92"/>
    </row>
    <row r="609" spans="1:19" x14ac:dyDescent="0.2">
      <c r="A609" s="92" t="s">
        <v>875</v>
      </c>
      <c r="B609" s="69">
        <v>14</v>
      </c>
      <c r="C609" s="69">
        <v>7</v>
      </c>
      <c r="D609" s="69">
        <v>11</v>
      </c>
      <c r="E609" s="69">
        <v>29</v>
      </c>
      <c r="F609" s="69">
        <v>85</v>
      </c>
      <c r="G609" s="69">
        <v>84</v>
      </c>
      <c r="H609" s="69">
        <v>13</v>
      </c>
      <c r="I609" s="70">
        <v>0.72</v>
      </c>
      <c r="J609" s="70">
        <v>2.21</v>
      </c>
      <c r="K609" s="69">
        <v>8.5</v>
      </c>
      <c r="L609" s="69">
        <v>2.2000000000000002</v>
      </c>
      <c r="M609" s="69" t="s">
        <v>960</v>
      </c>
      <c r="N609" s="69">
        <v>2012</v>
      </c>
      <c r="O609" s="69" t="s">
        <v>485</v>
      </c>
      <c r="P609" s="69">
        <v>384511</v>
      </c>
      <c r="Q609" s="92" t="s">
        <v>61</v>
      </c>
      <c r="R609" s="92" t="s">
        <v>38</v>
      </c>
      <c r="S609" s="87"/>
    </row>
    <row r="610" spans="1:19" x14ac:dyDescent="0.2">
      <c r="A610" s="92" t="s">
        <v>194</v>
      </c>
      <c r="B610" s="69">
        <v>9</v>
      </c>
      <c r="C610" s="69">
        <v>3</v>
      </c>
      <c r="D610" s="69">
        <v>6</v>
      </c>
      <c r="E610" s="69">
        <v>12</v>
      </c>
      <c r="F610" s="69">
        <v>29</v>
      </c>
      <c r="G610" s="69">
        <v>31</v>
      </c>
      <c r="H610" s="69">
        <v>5.6</v>
      </c>
      <c r="I610" s="70">
        <v>0.72</v>
      </c>
      <c r="J610" s="70">
        <v>1.77</v>
      </c>
      <c r="K610" s="69">
        <v>4.3</v>
      </c>
      <c r="L610" s="69">
        <v>1.6</v>
      </c>
      <c r="M610" s="69" t="s">
        <v>968</v>
      </c>
      <c r="N610" s="69">
        <v>2002</v>
      </c>
      <c r="O610" s="69" t="s">
        <v>485</v>
      </c>
      <c r="P610" s="69">
        <v>999359</v>
      </c>
      <c r="Q610" s="92" t="s">
        <v>588</v>
      </c>
      <c r="R610" s="92" t="s">
        <v>227</v>
      </c>
      <c r="S610" s="87"/>
    </row>
    <row r="611" spans="1:19" x14ac:dyDescent="0.2">
      <c r="A611" s="92" t="s">
        <v>1023</v>
      </c>
      <c r="B611" s="69">
        <v>15</v>
      </c>
      <c r="C611" s="69">
        <v>-2</v>
      </c>
      <c r="D611" s="69">
        <v>4</v>
      </c>
      <c r="E611" s="69">
        <v>19</v>
      </c>
      <c r="F611" s="69">
        <v>41</v>
      </c>
      <c r="G611" s="69"/>
      <c r="H611" s="69"/>
      <c r="I611" s="70">
        <v>0.72</v>
      </c>
      <c r="J611" s="70">
        <v>2</v>
      </c>
      <c r="K611" s="69">
        <v>12.1</v>
      </c>
      <c r="L611" s="69">
        <v>0.9</v>
      </c>
      <c r="M611" s="69" t="s">
        <v>966</v>
      </c>
      <c r="N611" s="69">
        <v>2013</v>
      </c>
      <c r="O611" s="69" t="s">
        <v>485</v>
      </c>
      <c r="P611" s="69">
        <v>490763</v>
      </c>
      <c r="Q611" s="92" t="s">
        <v>1093</v>
      </c>
      <c r="R611" s="92" t="s">
        <v>207</v>
      </c>
      <c r="S611" s="87"/>
    </row>
    <row r="612" spans="1:19" x14ac:dyDescent="0.2">
      <c r="A612" s="92" t="s">
        <v>1024</v>
      </c>
      <c r="B612" s="69">
        <v>15</v>
      </c>
      <c r="C612" s="69">
        <v>7</v>
      </c>
      <c r="D612" s="69">
        <v>23</v>
      </c>
      <c r="E612" s="69">
        <v>21</v>
      </c>
      <c r="F612" s="69">
        <v>36</v>
      </c>
      <c r="G612" s="69">
        <v>45</v>
      </c>
      <c r="H612" s="69">
        <v>7.7</v>
      </c>
      <c r="I612" s="70">
        <v>0.72</v>
      </c>
      <c r="J612" s="70">
        <v>2</v>
      </c>
      <c r="K612" s="69">
        <v>10.9</v>
      </c>
      <c r="L612" s="69">
        <v>0.8</v>
      </c>
      <c r="M612" s="69" t="s">
        <v>966</v>
      </c>
      <c r="N612" s="69">
        <v>2013</v>
      </c>
      <c r="O612" s="69" t="s">
        <v>485</v>
      </c>
      <c r="P612" s="69">
        <v>419101</v>
      </c>
      <c r="Q612" s="92" t="s">
        <v>1093</v>
      </c>
      <c r="R612" s="92" t="s">
        <v>121</v>
      </c>
      <c r="S612" s="87"/>
    </row>
    <row r="613" spans="1:19" x14ac:dyDescent="0.2">
      <c r="A613" s="92" t="s">
        <v>1016</v>
      </c>
      <c r="B613" s="69">
        <v>7</v>
      </c>
      <c r="C613" s="69">
        <v>1</v>
      </c>
      <c r="D613" s="69">
        <v>4</v>
      </c>
      <c r="E613" s="69">
        <v>19</v>
      </c>
      <c r="F613" s="69">
        <v>69</v>
      </c>
      <c r="G613" s="69">
        <v>72</v>
      </c>
      <c r="H613" s="69">
        <v>11.5</v>
      </c>
      <c r="I613" s="70">
        <v>0.72</v>
      </c>
      <c r="J613" s="70">
        <v>2</v>
      </c>
      <c r="K613" s="69">
        <v>12.3</v>
      </c>
      <c r="L613" s="69">
        <v>1.2</v>
      </c>
      <c r="M613" s="69" t="s">
        <v>966</v>
      </c>
      <c r="N613" s="69">
        <v>2006</v>
      </c>
      <c r="O613" s="69" t="s">
        <v>485</v>
      </c>
      <c r="P613" s="69">
        <v>280867</v>
      </c>
      <c r="Q613" s="92" t="s">
        <v>1093</v>
      </c>
      <c r="R613" s="92" t="s">
        <v>38</v>
      </c>
      <c r="S613" s="87"/>
    </row>
    <row r="614" spans="1:19" x14ac:dyDescent="0.2">
      <c r="A614" s="92" t="s">
        <v>1017</v>
      </c>
      <c r="B614" s="69">
        <v>9</v>
      </c>
      <c r="C614" s="69">
        <v>-1</v>
      </c>
      <c r="D614" s="69">
        <v>5</v>
      </c>
      <c r="E614" s="69">
        <v>22</v>
      </c>
      <c r="F614" s="69">
        <v>61</v>
      </c>
      <c r="G614" s="69">
        <v>54</v>
      </c>
      <c r="H614" s="69">
        <v>9</v>
      </c>
      <c r="I614" s="70">
        <v>0.72</v>
      </c>
      <c r="J614" s="70">
        <v>2</v>
      </c>
      <c r="K614" s="69">
        <v>16.2</v>
      </c>
      <c r="L614" s="69">
        <v>0.8</v>
      </c>
      <c r="M614" s="69" t="s">
        <v>966</v>
      </c>
      <c r="N614" s="69">
        <v>2002</v>
      </c>
      <c r="O614" s="69" t="s">
        <v>485</v>
      </c>
      <c r="P614" s="69">
        <v>634386</v>
      </c>
      <c r="Q614" s="92" t="s">
        <v>1093</v>
      </c>
      <c r="R614" s="92" t="s">
        <v>180</v>
      </c>
      <c r="S614" s="92"/>
    </row>
    <row r="615" spans="1:19" x14ac:dyDescent="0.2">
      <c r="A615" s="92" t="s">
        <v>1025</v>
      </c>
      <c r="B615" s="69">
        <v>18</v>
      </c>
      <c r="C615" s="69">
        <v>8</v>
      </c>
      <c r="D615" s="69">
        <v>16</v>
      </c>
      <c r="E615" s="69">
        <v>28</v>
      </c>
      <c r="F615" s="69">
        <v>62</v>
      </c>
      <c r="G615" s="69">
        <v>78</v>
      </c>
      <c r="H615" s="69">
        <v>12.2</v>
      </c>
      <c r="I615" s="70">
        <v>0.72</v>
      </c>
      <c r="J615" s="70">
        <v>2</v>
      </c>
      <c r="K615" s="69">
        <v>7.6</v>
      </c>
      <c r="L615" s="69">
        <v>1.8</v>
      </c>
      <c r="M615" s="69" t="s">
        <v>966</v>
      </c>
      <c r="N615" s="69">
        <v>2013</v>
      </c>
      <c r="O615" s="69" t="s">
        <v>485</v>
      </c>
      <c r="P615" s="69">
        <v>562421</v>
      </c>
      <c r="Q615" s="92" t="s">
        <v>1093</v>
      </c>
      <c r="R615" s="92" t="s">
        <v>109</v>
      </c>
      <c r="S615" s="87"/>
    </row>
    <row r="616" spans="1:19" x14ac:dyDescent="0.2">
      <c r="A616" s="92" t="s">
        <v>1026</v>
      </c>
      <c r="B616" s="69">
        <v>-3</v>
      </c>
      <c r="C616" s="69">
        <v>-1</v>
      </c>
      <c r="D616" s="69">
        <v>-3</v>
      </c>
      <c r="E616" s="69">
        <v>13</v>
      </c>
      <c r="F616" s="69">
        <v>19</v>
      </c>
      <c r="G616" s="69">
        <v>10</v>
      </c>
      <c r="H616" s="69">
        <v>1.9</v>
      </c>
      <c r="I616" s="70">
        <v>0.72</v>
      </c>
      <c r="J616" s="70">
        <v>2</v>
      </c>
      <c r="K616" s="69">
        <v>15.2</v>
      </c>
      <c r="L616" s="69">
        <v>0.3</v>
      </c>
      <c r="M616" s="69" t="s">
        <v>966</v>
      </c>
      <c r="N616" s="69">
        <v>2013</v>
      </c>
      <c r="O616" s="69" t="s">
        <v>485</v>
      </c>
      <c r="P616" s="69">
        <v>454934</v>
      </c>
      <c r="Q616" s="92" t="s">
        <v>1093</v>
      </c>
      <c r="R616" s="92" t="s">
        <v>207</v>
      </c>
      <c r="S616" s="87"/>
    </row>
    <row r="617" spans="1:19" x14ac:dyDescent="0.2">
      <c r="A617" s="92" t="s">
        <v>1018</v>
      </c>
      <c r="B617" s="69">
        <v>11</v>
      </c>
      <c r="C617" s="69">
        <v>1</v>
      </c>
      <c r="D617" s="69">
        <v>8</v>
      </c>
      <c r="E617" s="69">
        <v>18</v>
      </c>
      <c r="F617" s="69">
        <v>44</v>
      </c>
      <c r="G617" s="69">
        <v>46</v>
      </c>
      <c r="H617" s="69">
        <v>7.9</v>
      </c>
      <c r="I617" s="70">
        <v>0.72</v>
      </c>
      <c r="J617" s="70">
        <v>2</v>
      </c>
      <c r="K617" s="69">
        <v>13.2</v>
      </c>
      <c r="L617" s="69">
        <v>0.8</v>
      </c>
      <c r="M617" s="69" t="s">
        <v>966</v>
      </c>
      <c r="N617" s="69">
        <v>2002</v>
      </c>
      <c r="O617" s="69" t="s">
        <v>485</v>
      </c>
      <c r="P617" s="69">
        <v>598557</v>
      </c>
      <c r="Q617" s="92" t="s">
        <v>1093</v>
      </c>
      <c r="R617" s="92" t="s">
        <v>580</v>
      </c>
      <c r="S617" s="87"/>
    </row>
    <row r="618" spans="1:19" x14ac:dyDescent="0.2">
      <c r="A618" s="92" t="s">
        <v>1019</v>
      </c>
      <c r="B618" s="69">
        <v>16</v>
      </c>
      <c r="C618" s="69">
        <v>3</v>
      </c>
      <c r="D618" s="69">
        <v>14</v>
      </c>
      <c r="E618" s="69">
        <v>22</v>
      </c>
      <c r="F618" s="69">
        <v>21</v>
      </c>
      <c r="G618" s="69">
        <v>31</v>
      </c>
      <c r="H618" s="69">
        <v>5.6</v>
      </c>
      <c r="I618" s="70">
        <v>0.72</v>
      </c>
      <c r="J618" s="70">
        <v>2</v>
      </c>
      <c r="K618" s="69">
        <v>15.1</v>
      </c>
      <c r="L618" s="69">
        <v>0.4</v>
      </c>
      <c r="M618" s="69" t="s">
        <v>966</v>
      </c>
      <c r="N618" s="69">
        <v>2002</v>
      </c>
      <c r="O618" s="69" t="s">
        <v>485</v>
      </c>
      <c r="P618" s="69">
        <v>562728</v>
      </c>
      <c r="Q618" s="92" t="s">
        <v>1093</v>
      </c>
      <c r="R618" s="92" t="s">
        <v>180</v>
      </c>
      <c r="S618" s="87"/>
    </row>
    <row r="619" spans="1:19" x14ac:dyDescent="0.2">
      <c r="A619" s="92" t="s">
        <v>1021</v>
      </c>
      <c r="B619" s="69">
        <v>8</v>
      </c>
      <c r="C619" s="69">
        <v>0</v>
      </c>
      <c r="D619" s="69">
        <v>8</v>
      </c>
      <c r="E619" s="69">
        <v>11</v>
      </c>
      <c r="F619" s="69">
        <v>17</v>
      </c>
      <c r="G619" s="69">
        <v>31</v>
      </c>
      <c r="H619" s="69">
        <v>5.6</v>
      </c>
      <c r="I619" s="70">
        <v>0.72</v>
      </c>
      <c r="J619" s="70">
        <v>2</v>
      </c>
      <c r="K619" s="69">
        <v>16.899999999999999</v>
      </c>
      <c r="L619" s="69">
        <v>0.3</v>
      </c>
      <c r="M619" s="69" t="s">
        <v>966</v>
      </c>
      <c r="N619" s="69">
        <v>2013</v>
      </c>
      <c r="O619" s="69" t="s">
        <v>485</v>
      </c>
      <c r="P619" s="69">
        <v>526590</v>
      </c>
      <c r="Q619" s="92" t="s">
        <v>1093</v>
      </c>
      <c r="R619" s="92" t="s">
        <v>207</v>
      </c>
      <c r="S619" s="87"/>
    </row>
    <row r="620" spans="1:19" x14ac:dyDescent="0.2">
      <c r="A620" s="92" t="s">
        <v>1020</v>
      </c>
      <c r="B620" s="69">
        <v>6</v>
      </c>
      <c r="C620" s="69">
        <v>-4</v>
      </c>
      <c r="D620" s="69">
        <v>3</v>
      </c>
      <c r="E620" s="69">
        <v>15</v>
      </c>
      <c r="F620" s="69">
        <v>81</v>
      </c>
      <c r="G620" s="69">
        <v>107</v>
      </c>
      <c r="H620" s="69">
        <v>15.7</v>
      </c>
      <c r="I620" s="70">
        <v>0.72</v>
      </c>
      <c r="J620" s="70">
        <v>2</v>
      </c>
      <c r="K620" s="69">
        <v>13.7</v>
      </c>
      <c r="L620" s="69">
        <v>1.3</v>
      </c>
      <c r="M620" s="69" t="s">
        <v>966</v>
      </c>
      <c r="N620" s="69">
        <v>2002</v>
      </c>
      <c r="O620" s="69" t="s">
        <v>485</v>
      </c>
      <c r="P620" s="69">
        <v>450981</v>
      </c>
      <c r="Q620" s="92" t="s">
        <v>1093</v>
      </c>
      <c r="R620" s="92" t="s">
        <v>515</v>
      </c>
      <c r="S620" s="92"/>
    </row>
    <row r="621" spans="1:19" x14ac:dyDescent="0.2">
      <c r="A621" s="92" t="s">
        <v>813</v>
      </c>
      <c r="B621" s="69">
        <v>4</v>
      </c>
      <c r="C621" s="69">
        <v>-1</v>
      </c>
      <c r="D621" s="69">
        <v>6</v>
      </c>
      <c r="E621" s="69">
        <v>18</v>
      </c>
      <c r="F621" s="69">
        <v>39</v>
      </c>
      <c r="G621" s="69">
        <v>23</v>
      </c>
      <c r="H621" s="69">
        <v>4.2</v>
      </c>
      <c r="I621" s="70">
        <v>0.72</v>
      </c>
      <c r="J621" s="70">
        <v>2.08</v>
      </c>
      <c r="K621" s="69">
        <v>15.8</v>
      </c>
      <c r="L621" s="69">
        <v>0.6</v>
      </c>
      <c r="M621" s="69" t="s">
        <v>960</v>
      </c>
      <c r="N621" s="69">
        <v>2000</v>
      </c>
      <c r="O621" s="69" t="s">
        <v>485</v>
      </c>
      <c r="P621" s="69">
        <v>570044</v>
      </c>
      <c r="Q621" s="92" t="s">
        <v>596</v>
      </c>
      <c r="R621" s="92" t="s">
        <v>180</v>
      </c>
      <c r="S621" s="87"/>
    </row>
    <row r="622" spans="1:19" x14ac:dyDescent="0.2">
      <c r="A622" s="92" t="s">
        <v>141</v>
      </c>
      <c r="B622" s="69">
        <v>17</v>
      </c>
      <c r="C622" s="69">
        <v>6</v>
      </c>
      <c r="D622" s="69">
        <v>16</v>
      </c>
      <c r="E622" s="69">
        <v>18</v>
      </c>
      <c r="F622" s="69">
        <v>28</v>
      </c>
      <c r="G622" s="69">
        <v>37</v>
      </c>
      <c r="H622" s="69">
        <v>6.6</v>
      </c>
      <c r="I622" s="70">
        <v>0.72</v>
      </c>
      <c r="J622" s="70">
        <v>1.92</v>
      </c>
      <c r="K622" s="69">
        <v>8.5</v>
      </c>
      <c r="L622" s="69">
        <v>0.9</v>
      </c>
      <c r="M622" s="69" t="s">
        <v>968</v>
      </c>
      <c r="N622" s="69">
        <v>2003</v>
      </c>
      <c r="O622" s="69" t="s">
        <v>485</v>
      </c>
      <c r="P622" s="69">
        <v>173435</v>
      </c>
      <c r="Q622" s="92" t="s">
        <v>320</v>
      </c>
      <c r="R622" s="92" t="s">
        <v>478</v>
      </c>
      <c r="S622" s="92"/>
    </row>
    <row r="623" spans="1:19" x14ac:dyDescent="0.2">
      <c r="A623" s="92" t="s">
        <v>1040</v>
      </c>
      <c r="B623" s="69">
        <v>10</v>
      </c>
      <c r="C623" s="69">
        <v>4</v>
      </c>
      <c r="D623" s="69">
        <v>13</v>
      </c>
      <c r="E623" s="69">
        <v>20</v>
      </c>
      <c r="F623" s="69">
        <v>62</v>
      </c>
      <c r="G623" s="69">
        <v>59</v>
      </c>
      <c r="H623" s="69">
        <v>9.6999999999999993</v>
      </c>
      <c r="I623" s="70">
        <v>0.72</v>
      </c>
      <c r="J623" s="70">
        <v>1.78</v>
      </c>
      <c r="K623" s="69">
        <v>7.9</v>
      </c>
      <c r="L623" s="69">
        <v>1.9</v>
      </c>
      <c r="M623" s="69" t="s">
        <v>971</v>
      </c>
      <c r="N623" s="69">
        <v>2003</v>
      </c>
      <c r="O623" s="69" t="s">
        <v>485</v>
      </c>
      <c r="P623" s="69">
        <v>175265</v>
      </c>
      <c r="Q623" s="92" t="s">
        <v>270</v>
      </c>
      <c r="R623" s="92" t="s">
        <v>109</v>
      </c>
      <c r="S623" s="87"/>
    </row>
    <row r="624" spans="1:19" x14ac:dyDescent="0.2">
      <c r="A624" s="92" t="s">
        <v>554</v>
      </c>
      <c r="B624" s="69">
        <v>10</v>
      </c>
      <c r="C624" s="69">
        <v>0</v>
      </c>
      <c r="D624" s="69">
        <v>9</v>
      </c>
      <c r="E624" s="69">
        <v>17</v>
      </c>
      <c r="F624" s="69">
        <v>49</v>
      </c>
      <c r="G624" s="69">
        <v>46</v>
      </c>
      <c r="H624" s="69">
        <v>7.9</v>
      </c>
      <c r="I624" s="70">
        <v>0.73</v>
      </c>
      <c r="J624" s="70">
        <v>1.83</v>
      </c>
      <c r="K624" s="69">
        <v>8.6999999999999993</v>
      </c>
      <c r="L624" s="69">
        <v>1.3</v>
      </c>
      <c r="M624" s="69" t="s">
        <v>960</v>
      </c>
      <c r="N624" s="69">
        <v>2006</v>
      </c>
      <c r="O624" s="69" t="s">
        <v>485</v>
      </c>
      <c r="P624" s="69">
        <v>865063</v>
      </c>
      <c r="Q624" s="92" t="s">
        <v>584</v>
      </c>
      <c r="R624" s="92" t="s">
        <v>38</v>
      </c>
      <c r="S624" s="92"/>
    </row>
    <row r="625" spans="1:19" x14ac:dyDescent="0.2">
      <c r="A625" s="92" t="s">
        <v>1098</v>
      </c>
      <c r="B625" s="69">
        <v>7</v>
      </c>
      <c r="C625" s="69">
        <v>0</v>
      </c>
      <c r="D625" s="69">
        <v>5</v>
      </c>
      <c r="E625" s="69">
        <v>23</v>
      </c>
      <c r="F625" s="69">
        <v>71</v>
      </c>
      <c r="G625" s="69">
        <v>34</v>
      </c>
      <c r="H625" s="69">
        <v>6</v>
      </c>
      <c r="I625" s="70">
        <v>0.73</v>
      </c>
      <c r="J625" s="70">
        <v>1.81</v>
      </c>
      <c r="K625" s="69">
        <v>14.6</v>
      </c>
      <c r="L625" s="69">
        <v>1.1000000000000001</v>
      </c>
      <c r="M625" s="69" t="s">
        <v>960</v>
      </c>
      <c r="N625" s="69">
        <v>2008</v>
      </c>
      <c r="O625" s="69" t="s">
        <v>485</v>
      </c>
      <c r="P625" s="69">
        <v>755090</v>
      </c>
      <c r="Q625" s="92" t="s">
        <v>334</v>
      </c>
      <c r="R625" s="92" t="s">
        <v>59</v>
      </c>
      <c r="S625" s="92"/>
    </row>
    <row r="626" spans="1:19" x14ac:dyDescent="0.2">
      <c r="A626" s="92" t="s">
        <v>1101</v>
      </c>
      <c r="B626" s="69">
        <v>11</v>
      </c>
      <c r="C626" s="69">
        <v>7</v>
      </c>
      <c r="D626" s="69">
        <v>10</v>
      </c>
      <c r="E626" s="69">
        <v>24</v>
      </c>
      <c r="F626" s="69">
        <v>39</v>
      </c>
      <c r="G626" s="69">
        <v>25</v>
      </c>
      <c r="H626" s="69">
        <v>4.5999999999999996</v>
      </c>
      <c r="I626" s="70">
        <v>0.73</v>
      </c>
      <c r="J626" s="70">
        <v>1.82</v>
      </c>
      <c r="K626" s="69">
        <v>14.2</v>
      </c>
      <c r="L626" s="69">
        <v>0.7</v>
      </c>
      <c r="M626" s="69" t="s">
        <v>960</v>
      </c>
      <c r="N626" s="69">
        <v>2008</v>
      </c>
      <c r="O626" s="69" t="s">
        <v>485</v>
      </c>
      <c r="P626" s="69">
        <v>989491</v>
      </c>
      <c r="Q626" s="92" t="s">
        <v>334</v>
      </c>
      <c r="R626" s="92" t="s">
        <v>109</v>
      </c>
      <c r="S626" s="92"/>
    </row>
    <row r="627" spans="1:19" x14ac:dyDescent="0.2">
      <c r="A627" s="92" t="s">
        <v>34</v>
      </c>
      <c r="B627" s="69">
        <v>13</v>
      </c>
      <c r="C627" s="69">
        <v>-2</v>
      </c>
      <c r="D627" s="69">
        <v>7</v>
      </c>
      <c r="E627" s="69">
        <v>29</v>
      </c>
      <c r="F627" s="69">
        <v>77</v>
      </c>
      <c r="G627" s="69">
        <v>54</v>
      </c>
      <c r="H627" s="69">
        <v>9</v>
      </c>
      <c r="I627" s="70">
        <v>0.73</v>
      </c>
      <c r="J627" s="70">
        <v>1.82</v>
      </c>
      <c r="K627" s="69">
        <v>18</v>
      </c>
      <c r="L627" s="69">
        <v>1</v>
      </c>
      <c r="M627" s="69" t="s">
        <v>960</v>
      </c>
      <c r="N627" s="69">
        <v>2005</v>
      </c>
      <c r="O627" s="69" t="s">
        <v>485</v>
      </c>
      <c r="P627" s="69">
        <v>390187</v>
      </c>
      <c r="Q627" s="92" t="s">
        <v>334</v>
      </c>
      <c r="R627" s="92" t="s">
        <v>580</v>
      </c>
      <c r="S627" s="87"/>
    </row>
    <row r="628" spans="1:19" x14ac:dyDescent="0.2">
      <c r="A628" s="92" t="s">
        <v>123</v>
      </c>
      <c r="B628" s="69">
        <v>8</v>
      </c>
      <c r="C628" s="69">
        <v>7</v>
      </c>
      <c r="D628" s="69">
        <v>15</v>
      </c>
      <c r="E628" s="69">
        <v>14</v>
      </c>
      <c r="F628" s="69">
        <v>37</v>
      </c>
      <c r="G628" s="69">
        <v>10</v>
      </c>
      <c r="H628" s="69">
        <v>2</v>
      </c>
      <c r="I628" s="70">
        <v>0.73</v>
      </c>
      <c r="J628" s="70">
        <v>1.8</v>
      </c>
      <c r="K628" s="69">
        <v>10.6</v>
      </c>
      <c r="L628" s="69">
        <v>0.9</v>
      </c>
      <c r="M628" s="69" t="s">
        <v>960</v>
      </c>
      <c r="N628" s="69">
        <v>2008</v>
      </c>
      <c r="O628" s="69" t="s">
        <v>485</v>
      </c>
      <c r="P628" s="69">
        <v>367631</v>
      </c>
      <c r="Q628" s="92" t="s">
        <v>597</v>
      </c>
      <c r="R628" s="92" t="s">
        <v>170</v>
      </c>
      <c r="S628" s="87"/>
    </row>
    <row r="629" spans="1:19" x14ac:dyDescent="0.2">
      <c r="A629" s="92" t="s">
        <v>280</v>
      </c>
      <c r="B629" s="69">
        <v>15</v>
      </c>
      <c r="C629" s="69">
        <v>12</v>
      </c>
      <c r="D629" s="69">
        <v>12</v>
      </c>
      <c r="E629" s="69">
        <v>30</v>
      </c>
      <c r="F629" s="69">
        <v>83</v>
      </c>
      <c r="G629" s="69">
        <v>109</v>
      </c>
      <c r="H629" s="69">
        <v>15.9</v>
      </c>
      <c r="I629" s="70">
        <v>0.73</v>
      </c>
      <c r="J629" s="70">
        <v>1.81</v>
      </c>
      <c r="K629" s="69">
        <v>11.1</v>
      </c>
      <c r="L629" s="69">
        <v>1.6</v>
      </c>
      <c r="M629" s="69" t="s">
        <v>968</v>
      </c>
      <c r="N629" s="69">
        <v>2005</v>
      </c>
      <c r="O629" s="69" t="s">
        <v>485</v>
      </c>
      <c r="P629" s="69">
        <v>384107</v>
      </c>
      <c r="Q629" s="92" t="s">
        <v>606</v>
      </c>
      <c r="R629" s="92" t="s">
        <v>72</v>
      </c>
      <c r="S629" s="87"/>
    </row>
    <row r="630" spans="1:19" x14ac:dyDescent="0.2">
      <c r="A630" s="92" t="s">
        <v>122</v>
      </c>
      <c r="B630" s="69">
        <v>17</v>
      </c>
      <c r="C630" s="69">
        <v>13</v>
      </c>
      <c r="D630" s="69">
        <v>25</v>
      </c>
      <c r="E630" s="69">
        <v>23</v>
      </c>
      <c r="F630" s="69">
        <v>9</v>
      </c>
      <c r="G630" s="69">
        <v>18</v>
      </c>
      <c r="H630" s="69">
        <v>3.4</v>
      </c>
      <c r="I630" s="70">
        <v>0.73</v>
      </c>
      <c r="J630" s="70">
        <v>2.11</v>
      </c>
      <c r="K630" s="69">
        <v>13.3</v>
      </c>
      <c r="L630" s="69">
        <v>0.2</v>
      </c>
      <c r="M630" s="69" t="s">
        <v>968</v>
      </c>
      <c r="N630" s="69">
        <v>2000</v>
      </c>
      <c r="O630" s="69" t="s">
        <v>485</v>
      </c>
      <c r="P630" s="69">
        <v>191080</v>
      </c>
      <c r="Q630" s="92" t="s">
        <v>264</v>
      </c>
      <c r="R630" s="92" t="s">
        <v>121</v>
      </c>
      <c r="S630" s="92"/>
    </row>
    <row r="631" spans="1:19" x14ac:dyDescent="0.2">
      <c r="A631" s="92" t="s">
        <v>876</v>
      </c>
      <c r="B631" s="69">
        <v>4</v>
      </c>
      <c r="C631" s="69">
        <v>1</v>
      </c>
      <c r="D631" s="69">
        <v>4</v>
      </c>
      <c r="E631" s="69">
        <v>7</v>
      </c>
      <c r="F631" s="69"/>
      <c r="G631" s="69"/>
      <c r="H631" s="69"/>
      <c r="I631" s="70">
        <v>0.73</v>
      </c>
      <c r="J631" s="70">
        <v>1.8</v>
      </c>
      <c r="K631" s="69"/>
      <c r="L631" s="69"/>
      <c r="M631" s="69" t="s">
        <v>958</v>
      </c>
      <c r="N631" s="69">
        <v>2012</v>
      </c>
      <c r="O631" s="69" t="s">
        <v>485</v>
      </c>
      <c r="P631" s="69">
        <v>961573</v>
      </c>
      <c r="Q631" s="92" t="s">
        <v>877</v>
      </c>
      <c r="R631" s="92" t="s">
        <v>227</v>
      </c>
      <c r="S631" s="92"/>
    </row>
    <row r="632" spans="1:19" x14ac:dyDescent="0.2">
      <c r="A632" s="92" t="s">
        <v>139</v>
      </c>
      <c r="B632" s="69">
        <v>10</v>
      </c>
      <c r="C632" s="69">
        <v>4</v>
      </c>
      <c r="D632" s="69">
        <v>8</v>
      </c>
      <c r="E632" s="69">
        <v>25</v>
      </c>
      <c r="F632" s="69">
        <v>83</v>
      </c>
      <c r="G632" s="69">
        <v>96</v>
      </c>
      <c r="H632" s="69">
        <v>14.4</v>
      </c>
      <c r="I632" s="70">
        <v>0.73</v>
      </c>
      <c r="J632" s="70">
        <v>1.81</v>
      </c>
      <c r="K632" s="69">
        <v>9.9</v>
      </c>
      <c r="L632" s="69">
        <v>1.8</v>
      </c>
      <c r="M632" s="69" t="s">
        <v>960</v>
      </c>
      <c r="N632" s="69">
        <v>2002</v>
      </c>
      <c r="O632" s="69" t="s">
        <v>485</v>
      </c>
      <c r="P632" s="69">
        <v>432153</v>
      </c>
      <c r="Q632" s="92" t="s">
        <v>334</v>
      </c>
      <c r="R632" s="92" t="s">
        <v>207</v>
      </c>
      <c r="S632" s="87"/>
    </row>
    <row r="633" spans="1:19" x14ac:dyDescent="0.2">
      <c r="A633" s="92" t="s">
        <v>607</v>
      </c>
      <c r="B633" s="69">
        <v>6</v>
      </c>
      <c r="C633" s="69">
        <v>-2</v>
      </c>
      <c r="D633" s="69">
        <v>5</v>
      </c>
      <c r="E633" s="69">
        <v>11</v>
      </c>
      <c r="F633" s="69">
        <v>67</v>
      </c>
      <c r="G633" s="69">
        <v>80</v>
      </c>
      <c r="H633" s="69">
        <v>12.4</v>
      </c>
      <c r="I633" s="70">
        <v>0.73</v>
      </c>
      <c r="J633" s="70">
        <v>1.82</v>
      </c>
      <c r="K633" s="69">
        <v>7.7</v>
      </c>
      <c r="L633" s="69">
        <v>2</v>
      </c>
      <c r="M633" s="69" t="s">
        <v>960</v>
      </c>
      <c r="N633" s="69">
        <v>2005</v>
      </c>
      <c r="O633" s="69" t="s">
        <v>485</v>
      </c>
      <c r="P633" s="69">
        <v>666495</v>
      </c>
      <c r="Q633" s="92" t="s">
        <v>606</v>
      </c>
      <c r="R633" s="92" t="s">
        <v>38</v>
      </c>
      <c r="S633" s="92"/>
    </row>
    <row r="634" spans="1:19" x14ac:dyDescent="0.2">
      <c r="A634" s="92" t="s">
        <v>196</v>
      </c>
      <c r="B634" s="69">
        <v>5</v>
      </c>
      <c r="C634" s="69">
        <v>-1</v>
      </c>
      <c r="D634" s="69">
        <v>5</v>
      </c>
      <c r="E634" s="69">
        <v>20</v>
      </c>
      <c r="F634" s="69">
        <v>50</v>
      </c>
      <c r="G634" s="69">
        <v>45</v>
      </c>
      <c r="H634" s="69">
        <v>7.7</v>
      </c>
      <c r="I634" s="70">
        <v>0.74</v>
      </c>
      <c r="J634" s="70">
        <v>1.83</v>
      </c>
      <c r="K634" s="69">
        <v>15.9</v>
      </c>
      <c r="L634" s="69">
        <v>0.8</v>
      </c>
      <c r="M634" s="69" t="s">
        <v>960</v>
      </c>
      <c r="N634" s="69">
        <v>2000</v>
      </c>
      <c r="O634" s="69" t="s">
        <v>485</v>
      </c>
      <c r="P634" s="69">
        <v>182584</v>
      </c>
      <c r="Q634" s="92" t="s">
        <v>195</v>
      </c>
      <c r="R634" s="92" t="s">
        <v>180</v>
      </c>
      <c r="S634" s="87"/>
    </row>
    <row r="635" spans="1:19" x14ac:dyDescent="0.2">
      <c r="A635" s="92" t="s">
        <v>267</v>
      </c>
      <c r="B635" s="69">
        <v>19</v>
      </c>
      <c r="C635" s="69">
        <v>13</v>
      </c>
      <c r="D635" s="69">
        <v>25</v>
      </c>
      <c r="E635" s="69">
        <v>17</v>
      </c>
      <c r="F635" s="69">
        <v>62</v>
      </c>
      <c r="G635" s="69">
        <v>69</v>
      </c>
      <c r="H635" s="69">
        <v>11.1</v>
      </c>
      <c r="I635" s="70">
        <v>0.74</v>
      </c>
      <c r="J635" s="70">
        <v>1.84</v>
      </c>
      <c r="K635" s="69">
        <v>14.3</v>
      </c>
      <c r="L635" s="69">
        <v>1.1000000000000001</v>
      </c>
      <c r="M635" s="69" t="s">
        <v>971</v>
      </c>
      <c r="N635" s="69">
        <v>2007</v>
      </c>
      <c r="O635" s="69" t="s">
        <v>485</v>
      </c>
      <c r="P635" s="69">
        <v>836494</v>
      </c>
      <c r="Q635" s="92" t="s">
        <v>270</v>
      </c>
      <c r="R635" s="92" t="s">
        <v>207</v>
      </c>
      <c r="S635" s="92"/>
    </row>
    <row r="636" spans="1:19" x14ac:dyDescent="0.2">
      <c r="A636" s="92" t="s">
        <v>118</v>
      </c>
      <c r="B636" s="69">
        <v>11</v>
      </c>
      <c r="C636" s="69">
        <v>5</v>
      </c>
      <c r="D636" s="69">
        <v>12</v>
      </c>
      <c r="E636" s="69">
        <v>21</v>
      </c>
      <c r="F636" s="69">
        <v>62</v>
      </c>
      <c r="G636" s="69">
        <v>57</v>
      </c>
      <c r="H636" s="69">
        <v>9.5</v>
      </c>
      <c r="I636" s="70">
        <v>0.74</v>
      </c>
      <c r="J636" s="70">
        <v>1.83</v>
      </c>
      <c r="K636" s="69">
        <v>7</v>
      </c>
      <c r="L636" s="69">
        <v>2</v>
      </c>
      <c r="M636" s="69" t="s">
        <v>968</v>
      </c>
      <c r="N636" s="69">
        <v>2006</v>
      </c>
      <c r="O636" s="69" t="s">
        <v>485</v>
      </c>
      <c r="P636" s="69">
        <v>717496</v>
      </c>
      <c r="Q636" s="92" t="s">
        <v>606</v>
      </c>
      <c r="R636" s="92" t="s">
        <v>109</v>
      </c>
      <c r="S636" s="87"/>
    </row>
    <row r="637" spans="1:19" x14ac:dyDescent="0.2">
      <c r="A637" s="92" t="s">
        <v>923</v>
      </c>
      <c r="B637" s="69">
        <v>14</v>
      </c>
      <c r="C637" s="69">
        <v>9</v>
      </c>
      <c r="D637" s="69">
        <v>9</v>
      </c>
      <c r="E637" s="69">
        <v>9</v>
      </c>
      <c r="F637" s="69">
        <v>-33</v>
      </c>
      <c r="G637" s="69">
        <v>-25</v>
      </c>
      <c r="H637" s="69">
        <v>-5.6</v>
      </c>
      <c r="I637" s="70">
        <v>0.74</v>
      </c>
      <c r="J637" s="70">
        <v>1.84</v>
      </c>
      <c r="K637" s="69">
        <v>22.8</v>
      </c>
      <c r="L637" s="69">
        <v>-0.5</v>
      </c>
      <c r="M637" s="69" t="s">
        <v>960</v>
      </c>
      <c r="N637" s="69">
        <v>2013</v>
      </c>
      <c r="O637" s="69" t="s">
        <v>485</v>
      </c>
      <c r="P637" s="69">
        <v>502922</v>
      </c>
      <c r="Q637" s="92" t="s">
        <v>1096</v>
      </c>
      <c r="R637" s="92" t="s">
        <v>207</v>
      </c>
      <c r="S637" s="87"/>
    </row>
    <row r="638" spans="1:19" x14ac:dyDescent="0.2">
      <c r="A638" s="92" t="s">
        <v>13</v>
      </c>
      <c r="B638" s="69">
        <v>9</v>
      </c>
      <c r="C638" s="69">
        <v>4</v>
      </c>
      <c r="D638" s="69">
        <v>11</v>
      </c>
      <c r="E638" s="69">
        <v>18</v>
      </c>
      <c r="F638" s="69">
        <v>44</v>
      </c>
      <c r="G638" s="69"/>
      <c r="H638" s="69"/>
      <c r="I638" s="70">
        <v>0.74</v>
      </c>
      <c r="J638" s="70">
        <v>2.37</v>
      </c>
      <c r="K638" s="69">
        <v>7.9</v>
      </c>
      <c r="L638" s="69">
        <v>1.3</v>
      </c>
      <c r="M638" s="69" t="s">
        <v>958</v>
      </c>
      <c r="N638" s="69">
        <v>2010</v>
      </c>
      <c r="O638" s="69" t="s">
        <v>485</v>
      </c>
      <c r="P638" s="69">
        <v>240663</v>
      </c>
      <c r="Q638" s="92" t="s">
        <v>14</v>
      </c>
      <c r="R638" s="92" t="s">
        <v>227</v>
      </c>
      <c r="S638" s="92"/>
    </row>
    <row r="639" spans="1:19" x14ac:dyDescent="0.2">
      <c r="A639" s="92" t="s">
        <v>603</v>
      </c>
      <c r="B639" s="69">
        <v>11</v>
      </c>
      <c r="C639" s="69">
        <v>7</v>
      </c>
      <c r="D639" s="69">
        <v>14</v>
      </c>
      <c r="E639" s="69">
        <v>22</v>
      </c>
      <c r="F639" s="69">
        <v>59</v>
      </c>
      <c r="G639" s="69">
        <v>59</v>
      </c>
      <c r="H639" s="69">
        <v>9.6999999999999993</v>
      </c>
      <c r="I639" s="70">
        <v>0.74</v>
      </c>
      <c r="J639" s="70">
        <v>1.83</v>
      </c>
      <c r="K639" s="69">
        <v>6.8</v>
      </c>
      <c r="L639" s="69">
        <v>2</v>
      </c>
      <c r="M639" s="69" t="s">
        <v>960</v>
      </c>
      <c r="N639" s="69">
        <v>2008</v>
      </c>
      <c r="O639" s="69" t="s">
        <v>485</v>
      </c>
      <c r="P639" s="69">
        <v>224311</v>
      </c>
      <c r="Q639" s="92" t="s">
        <v>597</v>
      </c>
      <c r="R639" s="92" t="s">
        <v>109</v>
      </c>
      <c r="S639" s="87" t="s">
        <v>959</v>
      </c>
    </row>
    <row r="640" spans="1:19" x14ac:dyDescent="0.2">
      <c r="A640" s="92" t="s">
        <v>237</v>
      </c>
      <c r="B640" s="69">
        <v>5</v>
      </c>
      <c r="C640" s="69">
        <v>-1</v>
      </c>
      <c r="D640" s="69">
        <v>6</v>
      </c>
      <c r="E640" s="69">
        <v>14</v>
      </c>
      <c r="F640" s="69">
        <v>31</v>
      </c>
      <c r="G640" s="69">
        <v>23</v>
      </c>
      <c r="H640" s="69">
        <v>4.3</v>
      </c>
      <c r="I640" s="70">
        <v>0.74</v>
      </c>
      <c r="J640" s="70">
        <v>1.92</v>
      </c>
      <c r="K640" s="69">
        <v>7</v>
      </c>
      <c r="L640" s="69">
        <v>1</v>
      </c>
      <c r="M640" s="69" t="s">
        <v>960</v>
      </c>
      <c r="N640" s="69">
        <v>2010</v>
      </c>
      <c r="O640" s="69" t="s">
        <v>485</v>
      </c>
      <c r="P640" s="69">
        <v>131342</v>
      </c>
      <c r="Q640" s="92" t="s">
        <v>228</v>
      </c>
      <c r="R640" s="92" t="s">
        <v>227</v>
      </c>
      <c r="S640" s="92"/>
    </row>
    <row r="641" spans="1:19" x14ac:dyDescent="0.2">
      <c r="A641" s="92" t="s">
        <v>15</v>
      </c>
      <c r="B641" s="69">
        <v>9</v>
      </c>
      <c r="C641" s="69">
        <v>3</v>
      </c>
      <c r="D641" s="69">
        <v>11</v>
      </c>
      <c r="E641" s="69">
        <v>19</v>
      </c>
      <c r="F641" s="69">
        <v>42</v>
      </c>
      <c r="G641" s="69"/>
      <c r="H641" s="69"/>
      <c r="I641" s="70">
        <v>0.74</v>
      </c>
      <c r="J641" s="70">
        <v>2.1800000000000002</v>
      </c>
      <c r="K641" s="69">
        <v>8.1999999999999993</v>
      </c>
      <c r="L641" s="69">
        <v>1.2</v>
      </c>
      <c r="M641" s="69" t="s">
        <v>958</v>
      </c>
      <c r="N641" s="69">
        <v>2010</v>
      </c>
      <c r="O641" s="69" t="s">
        <v>485</v>
      </c>
      <c r="P641" s="69">
        <v>276493</v>
      </c>
      <c r="Q641" s="92" t="s">
        <v>14</v>
      </c>
      <c r="R641" s="92" t="s">
        <v>227</v>
      </c>
      <c r="S641" s="92"/>
    </row>
    <row r="642" spans="1:19" x14ac:dyDescent="0.2">
      <c r="A642" s="92" t="s">
        <v>572</v>
      </c>
      <c r="B642" s="69">
        <v>22</v>
      </c>
      <c r="C642" s="69">
        <v>9</v>
      </c>
      <c r="D642" s="69">
        <v>20</v>
      </c>
      <c r="E642" s="69">
        <v>25</v>
      </c>
      <c r="F642" s="69">
        <v>51</v>
      </c>
      <c r="G642" s="69">
        <v>69</v>
      </c>
      <c r="H642" s="69">
        <v>11</v>
      </c>
      <c r="I642" s="70">
        <v>0.74</v>
      </c>
      <c r="J642" s="70">
        <v>1.84</v>
      </c>
      <c r="K642" s="69">
        <v>10.3</v>
      </c>
      <c r="L642" s="69">
        <v>1.1000000000000001</v>
      </c>
      <c r="M642" s="69" t="s">
        <v>960</v>
      </c>
      <c r="N642" s="69">
        <v>2010</v>
      </c>
      <c r="O642" s="69" t="s">
        <v>485</v>
      </c>
      <c r="P642" s="69">
        <v>558882</v>
      </c>
      <c r="Q642" s="92" t="s">
        <v>93</v>
      </c>
      <c r="R642" s="92" t="s">
        <v>207</v>
      </c>
      <c r="S642" s="92"/>
    </row>
    <row r="643" spans="1:19" x14ac:dyDescent="0.2">
      <c r="A643" s="92" t="s">
        <v>453</v>
      </c>
      <c r="B643" s="69">
        <v>7</v>
      </c>
      <c r="C643" s="69">
        <v>8</v>
      </c>
      <c r="D643" s="69">
        <v>13</v>
      </c>
      <c r="E643" s="69">
        <v>13</v>
      </c>
      <c r="F643" s="69">
        <v>36</v>
      </c>
      <c r="G643" s="69">
        <v>22</v>
      </c>
      <c r="H643" s="69">
        <v>4.0999999999999996</v>
      </c>
      <c r="I643" s="70">
        <v>0.75</v>
      </c>
      <c r="J643" s="70">
        <v>2.06</v>
      </c>
      <c r="K643" s="69">
        <v>11.3</v>
      </c>
      <c r="L643" s="69">
        <v>0.8</v>
      </c>
      <c r="M643" s="69" t="s">
        <v>976</v>
      </c>
      <c r="N643" s="69">
        <v>2009</v>
      </c>
      <c r="O643" s="69" t="s">
        <v>485</v>
      </c>
      <c r="P643" s="69">
        <v>174490</v>
      </c>
      <c r="Q643" s="92" t="s">
        <v>636</v>
      </c>
      <c r="R643" s="92" t="s">
        <v>170</v>
      </c>
      <c r="S643" s="92"/>
    </row>
    <row r="644" spans="1:19" x14ac:dyDescent="0.2">
      <c r="A644" s="92" t="s">
        <v>1097</v>
      </c>
      <c r="B644" s="69">
        <v>6</v>
      </c>
      <c r="C644" s="69">
        <v>-3</v>
      </c>
      <c r="D644" s="69">
        <v>0</v>
      </c>
      <c r="E644" s="69">
        <v>20</v>
      </c>
      <c r="F644" s="69">
        <v>68</v>
      </c>
      <c r="G644" s="69">
        <v>72</v>
      </c>
      <c r="H644" s="69">
        <v>11.4</v>
      </c>
      <c r="I644" s="70">
        <v>0.75</v>
      </c>
      <c r="J644" s="70">
        <v>1.86</v>
      </c>
      <c r="K644" s="69">
        <v>12.4</v>
      </c>
      <c r="L644" s="69">
        <v>1.3</v>
      </c>
      <c r="M644" s="69" t="s">
        <v>960</v>
      </c>
      <c r="N644" s="69">
        <v>2004</v>
      </c>
      <c r="O644" s="69" t="s">
        <v>485</v>
      </c>
      <c r="P644" s="69">
        <v>452755</v>
      </c>
      <c r="Q644" s="92" t="s">
        <v>334</v>
      </c>
      <c r="R644" s="92" t="s">
        <v>65</v>
      </c>
      <c r="S644" s="92"/>
    </row>
    <row r="645" spans="1:19" x14ac:dyDescent="0.2">
      <c r="A645" s="92" t="s">
        <v>996</v>
      </c>
      <c r="B645" s="69">
        <v>3</v>
      </c>
      <c r="C645" s="69">
        <v>2</v>
      </c>
      <c r="D645" s="69">
        <v>4</v>
      </c>
      <c r="E645" s="69">
        <v>6</v>
      </c>
      <c r="F645" s="69">
        <v>17</v>
      </c>
      <c r="G645" s="69"/>
      <c r="H645" s="69"/>
      <c r="I645" s="70">
        <v>0.75</v>
      </c>
      <c r="J645" s="70">
        <v>3.02</v>
      </c>
      <c r="K645" s="69">
        <v>3.9</v>
      </c>
      <c r="L645" s="69">
        <v>0.9</v>
      </c>
      <c r="M645" s="69" t="s">
        <v>958</v>
      </c>
      <c r="N645" s="69">
        <v>2011</v>
      </c>
      <c r="O645" s="69" t="s">
        <v>585</v>
      </c>
      <c r="P645" s="69">
        <v>322008</v>
      </c>
      <c r="Q645" s="92" t="s">
        <v>853</v>
      </c>
      <c r="R645" s="92" t="s">
        <v>227</v>
      </c>
      <c r="S645" s="92"/>
    </row>
    <row r="646" spans="1:19" x14ac:dyDescent="0.2">
      <c r="A646" s="92" t="s">
        <v>993</v>
      </c>
      <c r="B646" s="69">
        <v>10</v>
      </c>
      <c r="C646" s="69">
        <v>6</v>
      </c>
      <c r="D646" s="69">
        <v>10</v>
      </c>
      <c r="E646" s="69">
        <v>16</v>
      </c>
      <c r="F646" s="69">
        <v>35</v>
      </c>
      <c r="G646" s="69"/>
      <c r="H646" s="69"/>
      <c r="I646" s="70">
        <v>0.75</v>
      </c>
      <c r="J646" s="70">
        <v>3.01</v>
      </c>
      <c r="K646" s="69">
        <v>6.2</v>
      </c>
      <c r="L646" s="69">
        <v>1.3</v>
      </c>
      <c r="M646" s="69" t="s">
        <v>958</v>
      </c>
      <c r="N646" s="69">
        <v>2011</v>
      </c>
      <c r="O646" s="69" t="s">
        <v>585</v>
      </c>
      <c r="P646" s="69">
        <v>286179</v>
      </c>
      <c r="Q646" s="92" t="s">
        <v>853</v>
      </c>
      <c r="R646" s="92" t="s">
        <v>227</v>
      </c>
      <c r="S646" s="92"/>
    </row>
    <row r="647" spans="1:19" x14ac:dyDescent="0.2">
      <c r="A647" s="92" t="s">
        <v>997</v>
      </c>
      <c r="B647" s="69">
        <v>8</v>
      </c>
      <c r="C647" s="69">
        <v>5</v>
      </c>
      <c r="D647" s="69">
        <v>9</v>
      </c>
      <c r="E647" s="69">
        <v>16</v>
      </c>
      <c r="F647" s="69">
        <v>42</v>
      </c>
      <c r="G647" s="69"/>
      <c r="H647" s="69"/>
      <c r="I647" s="70">
        <v>0.75</v>
      </c>
      <c r="J647" s="70">
        <v>3.02</v>
      </c>
      <c r="K647" s="69">
        <v>6.7</v>
      </c>
      <c r="L647" s="69">
        <v>1.5</v>
      </c>
      <c r="M647" s="69" t="s">
        <v>958</v>
      </c>
      <c r="N647" s="69">
        <v>2011</v>
      </c>
      <c r="O647" s="69" t="s">
        <v>585</v>
      </c>
      <c r="P647" s="69">
        <v>250340</v>
      </c>
      <c r="Q647" s="92" t="s">
        <v>853</v>
      </c>
      <c r="R647" s="92" t="s">
        <v>227</v>
      </c>
      <c r="S647" s="87"/>
    </row>
    <row r="648" spans="1:19" x14ac:dyDescent="0.2">
      <c r="A648" s="92" t="s">
        <v>922</v>
      </c>
      <c r="B648" s="69">
        <v>10</v>
      </c>
      <c r="C648" s="69">
        <v>3</v>
      </c>
      <c r="D648" s="69">
        <v>9</v>
      </c>
      <c r="E648" s="69">
        <v>20</v>
      </c>
      <c r="F648" s="69">
        <v>64</v>
      </c>
      <c r="G648" s="69">
        <v>99</v>
      </c>
      <c r="H648" s="69">
        <v>14.8</v>
      </c>
      <c r="I648" s="70">
        <v>0.75</v>
      </c>
      <c r="J648" s="70">
        <v>1.85</v>
      </c>
      <c r="K648" s="69">
        <v>8.5</v>
      </c>
      <c r="L648" s="69">
        <v>1.8</v>
      </c>
      <c r="M648" s="69" t="s">
        <v>960</v>
      </c>
      <c r="N648" s="69">
        <v>2013</v>
      </c>
      <c r="O648" s="69" t="s">
        <v>485</v>
      </c>
      <c r="P648" s="69">
        <v>682070</v>
      </c>
      <c r="Q648" s="92" t="s">
        <v>1096</v>
      </c>
      <c r="R648" s="92" t="s">
        <v>38</v>
      </c>
      <c r="S648" s="92"/>
    </row>
    <row r="649" spans="1:19" x14ac:dyDescent="0.2">
      <c r="A649" s="92" t="s">
        <v>1041</v>
      </c>
      <c r="B649" s="69">
        <v>15</v>
      </c>
      <c r="C649" s="69">
        <v>12</v>
      </c>
      <c r="D649" s="69">
        <v>18</v>
      </c>
      <c r="E649" s="69">
        <v>17</v>
      </c>
      <c r="F649" s="69">
        <v>36</v>
      </c>
      <c r="G649" s="69"/>
      <c r="H649" s="69"/>
      <c r="I649" s="70">
        <v>0.75</v>
      </c>
      <c r="J649" s="70">
        <v>2.25</v>
      </c>
      <c r="K649" s="69">
        <v>13.3</v>
      </c>
      <c r="L649" s="69">
        <v>0.7</v>
      </c>
      <c r="M649" s="69" t="s">
        <v>958</v>
      </c>
      <c r="N649" s="69">
        <v>2013</v>
      </c>
      <c r="O649" s="69" t="s">
        <v>485</v>
      </c>
      <c r="P649" s="69">
        <v>178624</v>
      </c>
      <c r="Q649" s="92" t="s">
        <v>943</v>
      </c>
      <c r="R649" s="92" t="s">
        <v>98</v>
      </c>
      <c r="S649" s="87"/>
    </row>
    <row r="650" spans="1:19" x14ac:dyDescent="0.2">
      <c r="A650" s="92" t="s">
        <v>896</v>
      </c>
      <c r="B650" s="69">
        <v>17</v>
      </c>
      <c r="C650" s="69">
        <v>13</v>
      </c>
      <c r="D650" s="69">
        <v>14</v>
      </c>
      <c r="E650" s="69">
        <v>22</v>
      </c>
      <c r="F650" s="69">
        <v>65</v>
      </c>
      <c r="G650" s="69">
        <v>78</v>
      </c>
      <c r="H650" s="69">
        <v>12.2</v>
      </c>
      <c r="I650" s="70">
        <v>0.75</v>
      </c>
      <c r="J650" s="70">
        <v>1.86</v>
      </c>
      <c r="K650" s="69">
        <v>9.3000000000000007</v>
      </c>
      <c r="L650" s="69">
        <v>1.6</v>
      </c>
      <c r="M650" s="69" t="s">
        <v>968</v>
      </c>
      <c r="N650" s="69">
        <v>2006</v>
      </c>
      <c r="O650" s="69" t="s">
        <v>485</v>
      </c>
      <c r="P650" s="69">
        <v>401695</v>
      </c>
      <c r="Q650" s="92" t="s">
        <v>93</v>
      </c>
      <c r="R650" s="92" t="s">
        <v>197</v>
      </c>
      <c r="S650" s="92"/>
    </row>
    <row r="651" spans="1:19" x14ac:dyDescent="0.2">
      <c r="A651" s="92" t="s">
        <v>906</v>
      </c>
      <c r="B651" s="69">
        <v>15</v>
      </c>
      <c r="C651" s="69">
        <v>8</v>
      </c>
      <c r="D651" s="69">
        <v>17</v>
      </c>
      <c r="E651" s="69">
        <v>24</v>
      </c>
      <c r="F651" s="69">
        <v>60</v>
      </c>
      <c r="G651" s="69">
        <v>64</v>
      </c>
      <c r="H651" s="69">
        <v>10.3</v>
      </c>
      <c r="I651" s="70">
        <v>0.75</v>
      </c>
      <c r="J651" s="70">
        <v>1.86</v>
      </c>
      <c r="K651" s="69">
        <v>7</v>
      </c>
      <c r="L651" s="69">
        <v>1.9</v>
      </c>
      <c r="M651" s="69" t="s">
        <v>960</v>
      </c>
      <c r="N651" s="69">
        <v>2010</v>
      </c>
      <c r="O651" s="69" t="s">
        <v>485</v>
      </c>
      <c r="P651" s="69">
        <v>594713</v>
      </c>
      <c r="Q651" s="92" t="s">
        <v>93</v>
      </c>
      <c r="R651" s="92" t="s">
        <v>109</v>
      </c>
      <c r="S651" s="92" t="s">
        <v>959</v>
      </c>
    </row>
    <row r="652" spans="1:19" x14ac:dyDescent="0.2">
      <c r="A652" s="92" t="s">
        <v>125</v>
      </c>
      <c r="B652" s="69">
        <v>9</v>
      </c>
      <c r="C652" s="69">
        <v>0</v>
      </c>
      <c r="D652" s="69">
        <v>4</v>
      </c>
      <c r="E652" s="69">
        <v>21</v>
      </c>
      <c r="F652" s="69">
        <v>92</v>
      </c>
      <c r="G652" s="69">
        <v>113</v>
      </c>
      <c r="H652" s="69">
        <v>16.3</v>
      </c>
      <c r="I652" s="70">
        <v>0.75</v>
      </c>
      <c r="J652" s="70">
        <v>1.85</v>
      </c>
      <c r="K652" s="69">
        <v>9.3000000000000007</v>
      </c>
      <c r="L652" s="69">
        <v>2.1</v>
      </c>
      <c r="M652" s="69" t="s">
        <v>960</v>
      </c>
      <c r="N652" s="69">
        <v>2008</v>
      </c>
      <c r="O652" s="69" t="s">
        <v>485</v>
      </c>
      <c r="P652" s="69">
        <v>152652</v>
      </c>
      <c r="Q652" s="92" t="s">
        <v>597</v>
      </c>
      <c r="R652" s="92" t="s">
        <v>65</v>
      </c>
      <c r="S652" s="87"/>
    </row>
    <row r="653" spans="1:19" x14ac:dyDescent="0.2">
      <c r="A653" s="92" t="s">
        <v>431</v>
      </c>
      <c r="B653" s="69">
        <v>15</v>
      </c>
      <c r="C653" s="69">
        <v>5</v>
      </c>
      <c r="D653" s="69">
        <v>11</v>
      </c>
      <c r="E653" s="69">
        <v>25</v>
      </c>
      <c r="F653" s="69">
        <v>42</v>
      </c>
      <c r="G653" s="69">
        <v>-2</v>
      </c>
      <c r="H653" s="69">
        <v>-0.3</v>
      </c>
      <c r="I653" s="70">
        <v>0.75</v>
      </c>
      <c r="J653" s="70">
        <v>2.06</v>
      </c>
      <c r="K653" s="69">
        <v>8.3000000000000007</v>
      </c>
      <c r="L653" s="69">
        <v>1.1000000000000001</v>
      </c>
      <c r="M653" s="69" t="s">
        <v>968</v>
      </c>
      <c r="N653" s="69">
        <v>2004</v>
      </c>
      <c r="O653" s="69" t="s">
        <v>485</v>
      </c>
      <c r="P653" s="69">
        <v>553578</v>
      </c>
      <c r="Q653" s="92" t="s">
        <v>591</v>
      </c>
      <c r="R653" s="92" t="s">
        <v>207</v>
      </c>
      <c r="S653" s="92"/>
    </row>
    <row r="654" spans="1:19" x14ac:dyDescent="0.2">
      <c r="A654" s="92" t="s">
        <v>429</v>
      </c>
      <c r="B654" s="69">
        <v>17</v>
      </c>
      <c r="C654" s="69">
        <v>6</v>
      </c>
      <c r="D654" s="69">
        <v>18</v>
      </c>
      <c r="E654" s="69">
        <v>21</v>
      </c>
      <c r="F654" s="69">
        <v>25</v>
      </c>
      <c r="G654" s="69">
        <v>32</v>
      </c>
      <c r="H654" s="69">
        <v>5.7</v>
      </c>
      <c r="I654" s="70">
        <v>0.75</v>
      </c>
      <c r="J654" s="70">
        <v>2.06</v>
      </c>
      <c r="K654" s="69">
        <v>13.9</v>
      </c>
      <c r="L654" s="69">
        <v>0.4</v>
      </c>
      <c r="M654" s="69" t="s">
        <v>968</v>
      </c>
      <c r="N654" s="69">
        <v>2004</v>
      </c>
      <c r="O654" s="69" t="s">
        <v>485</v>
      </c>
      <c r="P654" s="69">
        <v>517748</v>
      </c>
      <c r="Q654" s="92" t="s">
        <v>591</v>
      </c>
      <c r="R654" s="92" t="s">
        <v>207</v>
      </c>
      <c r="S654" s="92"/>
    </row>
    <row r="655" spans="1:19" x14ac:dyDescent="0.2">
      <c r="A655" s="92" t="s">
        <v>924</v>
      </c>
      <c r="B655" s="69">
        <v>18</v>
      </c>
      <c r="C655" s="69">
        <v>10</v>
      </c>
      <c r="D655" s="69">
        <v>18</v>
      </c>
      <c r="E655" s="69">
        <v>28</v>
      </c>
      <c r="F655" s="69"/>
      <c r="G655" s="69"/>
      <c r="H655" s="69"/>
      <c r="I655" s="70">
        <v>0.75</v>
      </c>
      <c r="J655" s="70">
        <v>1.86</v>
      </c>
      <c r="K655" s="69"/>
      <c r="L655" s="69"/>
      <c r="M655" s="69" t="s">
        <v>968</v>
      </c>
      <c r="N655" s="69">
        <v>2013</v>
      </c>
      <c r="O655" s="69" t="s">
        <v>485</v>
      </c>
      <c r="P655" s="69">
        <v>359604</v>
      </c>
      <c r="Q655" s="92" t="s">
        <v>1096</v>
      </c>
      <c r="R655" s="92" t="s">
        <v>72</v>
      </c>
      <c r="S655" s="92"/>
    </row>
    <row r="656" spans="1:19" x14ac:dyDescent="0.2">
      <c r="A656" s="92" t="s">
        <v>764</v>
      </c>
      <c r="B656" s="69">
        <v>23</v>
      </c>
      <c r="C656" s="69">
        <v>12</v>
      </c>
      <c r="D656" s="69">
        <v>29</v>
      </c>
      <c r="E656" s="69">
        <v>24</v>
      </c>
      <c r="F656" s="69">
        <v>23</v>
      </c>
      <c r="G656" s="69">
        <v>29</v>
      </c>
      <c r="H656" s="69">
        <v>5.3</v>
      </c>
      <c r="I656" s="70">
        <v>0.76</v>
      </c>
      <c r="J656" s="70">
        <v>1.9</v>
      </c>
      <c r="K656" s="69">
        <v>11.3</v>
      </c>
      <c r="L656" s="69">
        <v>0.5</v>
      </c>
      <c r="M656" s="69" t="s">
        <v>968</v>
      </c>
      <c r="N656" s="69">
        <v>2000</v>
      </c>
      <c r="O656" s="69" t="s">
        <v>485</v>
      </c>
      <c r="P656" s="69">
        <v>992099</v>
      </c>
      <c r="Q656" s="92" t="s">
        <v>93</v>
      </c>
      <c r="R656" s="92" t="s">
        <v>98</v>
      </c>
      <c r="S656" s="92"/>
    </row>
    <row r="657" spans="1:19" x14ac:dyDescent="0.2">
      <c r="A657" s="92" t="s">
        <v>623</v>
      </c>
      <c r="B657" s="69">
        <v>-7</v>
      </c>
      <c r="C657" s="69">
        <v>0</v>
      </c>
      <c r="D657" s="69">
        <v>19</v>
      </c>
      <c r="E657" s="69">
        <v>2</v>
      </c>
      <c r="F657" s="69">
        <v>-14</v>
      </c>
      <c r="G657" s="69">
        <v>-1</v>
      </c>
      <c r="H657" s="69">
        <v>-0.1</v>
      </c>
      <c r="I657" s="70">
        <v>0.76</v>
      </c>
      <c r="J657" s="70">
        <v>2.38</v>
      </c>
      <c r="K657" s="69">
        <v>24.6</v>
      </c>
      <c r="L657" s="69">
        <v>-0.2</v>
      </c>
      <c r="M657" s="69" t="s">
        <v>968</v>
      </c>
      <c r="N657" s="69">
        <v>2008</v>
      </c>
      <c r="O657" s="69" t="s">
        <v>485</v>
      </c>
      <c r="P657" s="69">
        <v>770263</v>
      </c>
      <c r="Q657" s="92" t="s">
        <v>61</v>
      </c>
      <c r="R657" s="92" t="s">
        <v>276</v>
      </c>
      <c r="S657" s="92"/>
    </row>
    <row r="658" spans="1:19" x14ac:dyDescent="0.2">
      <c r="A658" s="92" t="s">
        <v>134</v>
      </c>
      <c r="B658" s="69">
        <v>48</v>
      </c>
      <c r="C658" s="69">
        <v>16</v>
      </c>
      <c r="D658" s="69">
        <v>52</v>
      </c>
      <c r="E658" s="69">
        <v>94</v>
      </c>
      <c r="F658" s="69">
        <v>38</v>
      </c>
      <c r="G658" s="69">
        <v>63</v>
      </c>
      <c r="H658" s="69">
        <v>10.3</v>
      </c>
      <c r="I658" s="70">
        <v>0.76</v>
      </c>
      <c r="J658" s="70">
        <v>1.9</v>
      </c>
      <c r="K658" s="69">
        <v>21.5</v>
      </c>
      <c r="L658" s="69">
        <v>0.5</v>
      </c>
      <c r="M658" s="69" t="s">
        <v>968</v>
      </c>
      <c r="N658" s="69">
        <v>2007</v>
      </c>
      <c r="O658" s="69" t="s">
        <v>485</v>
      </c>
      <c r="P658" s="69">
        <v>170894</v>
      </c>
      <c r="Q658" s="92" t="s">
        <v>606</v>
      </c>
      <c r="R658" s="92" t="s">
        <v>98</v>
      </c>
      <c r="S658" s="92"/>
    </row>
    <row r="659" spans="1:19" x14ac:dyDescent="0.2">
      <c r="A659" s="92" t="s">
        <v>447</v>
      </c>
      <c r="B659" s="69">
        <v>4</v>
      </c>
      <c r="C659" s="69">
        <v>1</v>
      </c>
      <c r="D659" s="69">
        <v>21</v>
      </c>
      <c r="E659" s="69">
        <v>10</v>
      </c>
      <c r="F659" s="69">
        <v>8</v>
      </c>
      <c r="G659" s="69">
        <v>22</v>
      </c>
      <c r="H659" s="69">
        <v>4.0999999999999996</v>
      </c>
      <c r="I659" s="70">
        <v>0.76</v>
      </c>
      <c r="J659" s="70">
        <v>2.1</v>
      </c>
      <c r="K659" s="69">
        <v>19.7</v>
      </c>
      <c r="L659" s="69">
        <v>0.1</v>
      </c>
      <c r="M659" s="69" t="s">
        <v>960</v>
      </c>
      <c r="N659" s="69">
        <v>2004</v>
      </c>
      <c r="O659" s="69" t="s">
        <v>485</v>
      </c>
      <c r="P659" s="69">
        <v>987784</v>
      </c>
      <c r="Q659" s="92" t="s">
        <v>591</v>
      </c>
      <c r="R659" s="92" t="s">
        <v>157</v>
      </c>
      <c r="S659" s="87"/>
    </row>
    <row r="660" spans="1:19" x14ac:dyDescent="0.2">
      <c r="A660" s="92" t="s">
        <v>721</v>
      </c>
      <c r="B660" s="69">
        <v>8</v>
      </c>
      <c r="C660" s="69">
        <v>3</v>
      </c>
      <c r="D660" s="69">
        <v>7</v>
      </c>
      <c r="E660" s="69">
        <v>12</v>
      </c>
      <c r="F660" s="69">
        <v>28</v>
      </c>
      <c r="G660" s="69">
        <v>31</v>
      </c>
      <c r="H660" s="69">
        <v>5.5</v>
      </c>
      <c r="I660" s="70">
        <v>0.76</v>
      </c>
      <c r="J660" s="70">
        <v>2.11</v>
      </c>
      <c r="K660" s="69">
        <v>5</v>
      </c>
      <c r="L660" s="69">
        <v>1.4</v>
      </c>
      <c r="M660" s="69" t="s">
        <v>958</v>
      </c>
      <c r="N660" s="69">
        <v>2011</v>
      </c>
      <c r="O660" s="69" t="s">
        <v>585</v>
      </c>
      <c r="P660" s="69">
        <v>172601</v>
      </c>
      <c r="Q660" s="92" t="s">
        <v>1088</v>
      </c>
      <c r="R660" s="92" t="s">
        <v>227</v>
      </c>
      <c r="S660" s="92"/>
    </row>
    <row r="661" spans="1:19" x14ac:dyDescent="0.2">
      <c r="A661" s="92" t="s">
        <v>983</v>
      </c>
      <c r="B661" s="69">
        <v>13</v>
      </c>
      <c r="C661" s="69">
        <v>19</v>
      </c>
      <c r="D661" s="69">
        <v>19</v>
      </c>
      <c r="E661" s="69">
        <v>17</v>
      </c>
      <c r="F661" s="69">
        <v>27</v>
      </c>
      <c r="G661" s="69">
        <v>17</v>
      </c>
      <c r="H661" s="69">
        <v>3.2</v>
      </c>
      <c r="I661" s="70">
        <v>0.76</v>
      </c>
      <c r="J661" s="70">
        <v>1.9</v>
      </c>
      <c r="K661" s="69">
        <v>19.100000000000001</v>
      </c>
      <c r="L661" s="69">
        <v>0.4</v>
      </c>
      <c r="M661" s="69" t="s">
        <v>968</v>
      </c>
      <c r="N661" s="69">
        <v>2000</v>
      </c>
      <c r="O661" s="69" t="s">
        <v>485</v>
      </c>
      <c r="P661" s="69">
        <v>233585</v>
      </c>
      <c r="Q661" s="92" t="s">
        <v>610</v>
      </c>
      <c r="R661" s="92" t="s">
        <v>275</v>
      </c>
      <c r="S661" s="92"/>
    </row>
    <row r="662" spans="1:19" x14ac:dyDescent="0.2">
      <c r="A662" s="92" t="s">
        <v>128</v>
      </c>
      <c r="B662" s="69">
        <v>19</v>
      </c>
      <c r="C662" s="69">
        <v>10</v>
      </c>
      <c r="D662" s="69">
        <v>28</v>
      </c>
      <c r="E662" s="69">
        <v>26</v>
      </c>
      <c r="F662" s="69">
        <v>23</v>
      </c>
      <c r="G662" s="69">
        <v>34</v>
      </c>
      <c r="H662" s="69">
        <v>6.1</v>
      </c>
      <c r="I662" s="70">
        <v>0.76</v>
      </c>
      <c r="J662" s="70">
        <v>1.9</v>
      </c>
      <c r="K662" s="69">
        <v>12.9</v>
      </c>
      <c r="L662" s="69">
        <v>0.4</v>
      </c>
      <c r="M662" s="69" t="s">
        <v>968</v>
      </c>
      <c r="N662" s="69">
        <v>2000</v>
      </c>
      <c r="O662" s="69" t="s">
        <v>485</v>
      </c>
      <c r="P662" s="69">
        <v>305243</v>
      </c>
      <c r="Q662" s="92" t="s">
        <v>610</v>
      </c>
      <c r="R662" s="92" t="s">
        <v>121</v>
      </c>
      <c r="S662" s="92"/>
    </row>
    <row r="663" spans="1:19" x14ac:dyDescent="0.2">
      <c r="A663" s="92" t="s">
        <v>175</v>
      </c>
      <c r="B663" s="69">
        <v>7</v>
      </c>
      <c r="C663" s="69">
        <v>8</v>
      </c>
      <c r="D663" s="69">
        <v>15</v>
      </c>
      <c r="E663" s="69">
        <v>13</v>
      </c>
      <c r="F663" s="69">
        <v>39</v>
      </c>
      <c r="G663" s="69">
        <v>18</v>
      </c>
      <c r="H663" s="69">
        <v>3.3</v>
      </c>
      <c r="I663" s="70">
        <v>0.76</v>
      </c>
      <c r="J663" s="70">
        <v>1.9</v>
      </c>
      <c r="K663" s="69">
        <v>12.5</v>
      </c>
      <c r="L663" s="69">
        <v>0.8</v>
      </c>
      <c r="M663" s="69" t="s">
        <v>976</v>
      </c>
      <c r="N663" s="69">
        <v>2000</v>
      </c>
      <c r="O663" s="69" t="s">
        <v>485</v>
      </c>
      <c r="P663" s="69">
        <v>275495</v>
      </c>
      <c r="Q663" s="92" t="s">
        <v>610</v>
      </c>
      <c r="R663" s="92" t="s">
        <v>170</v>
      </c>
      <c r="S663" s="92"/>
    </row>
    <row r="664" spans="1:19" x14ac:dyDescent="0.2">
      <c r="A664" s="92" t="s">
        <v>573</v>
      </c>
      <c r="B664" s="69">
        <v>23</v>
      </c>
      <c r="C664" s="69">
        <v>18</v>
      </c>
      <c r="D664" s="69">
        <v>24</v>
      </c>
      <c r="E664" s="69">
        <v>28</v>
      </c>
      <c r="F664" s="69">
        <v>45</v>
      </c>
      <c r="G664" s="69">
        <v>44</v>
      </c>
      <c r="H664" s="69">
        <v>7.6</v>
      </c>
      <c r="I664" s="70">
        <v>0.76</v>
      </c>
      <c r="J664" s="70">
        <v>1.9</v>
      </c>
      <c r="K664" s="69">
        <v>13.2</v>
      </c>
      <c r="L664" s="69">
        <v>0.8</v>
      </c>
      <c r="M664" s="69" t="s">
        <v>968</v>
      </c>
      <c r="N664" s="69">
        <v>2010</v>
      </c>
      <c r="O664" s="69" t="s">
        <v>485</v>
      </c>
      <c r="P664" s="69">
        <v>666370</v>
      </c>
      <c r="Q664" s="92" t="s">
        <v>93</v>
      </c>
      <c r="R664" s="92" t="s">
        <v>275</v>
      </c>
      <c r="S664" s="92"/>
    </row>
    <row r="665" spans="1:19" x14ac:dyDescent="0.2">
      <c r="A665" s="92" t="s">
        <v>127</v>
      </c>
      <c r="B665" s="69">
        <v>25</v>
      </c>
      <c r="C665" s="69">
        <v>20</v>
      </c>
      <c r="D665" s="69">
        <v>35</v>
      </c>
      <c r="E665" s="69">
        <v>27</v>
      </c>
      <c r="F665" s="69">
        <v>-2</v>
      </c>
      <c r="G665" s="69">
        <v>10</v>
      </c>
      <c r="H665" s="69">
        <v>1.9</v>
      </c>
      <c r="I665" s="70">
        <v>0.76</v>
      </c>
      <c r="J665" s="70">
        <v>1.9</v>
      </c>
      <c r="K665" s="69">
        <v>17.600000000000001</v>
      </c>
      <c r="L665" s="69">
        <v>-0.1</v>
      </c>
      <c r="M665" s="69" t="s">
        <v>968</v>
      </c>
      <c r="N665" s="69">
        <v>2000</v>
      </c>
      <c r="O665" s="69" t="s">
        <v>485</v>
      </c>
      <c r="P665" s="69">
        <v>956268</v>
      </c>
      <c r="Q665" s="92" t="s">
        <v>93</v>
      </c>
      <c r="R665" s="92" t="s">
        <v>277</v>
      </c>
      <c r="S665" s="87"/>
    </row>
    <row r="666" spans="1:19" x14ac:dyDescent="0.2">
      <c r="A666" s="92" t="s">
        <v>433</v>
      </c>
      <c r="B666" s="69">
        <v>30</v>
      </c>
      <c r="C666" s="69">
        <v>22</v>
      </c>
      <c r="D666" s="69">
        <v>41</v>
      </c>
      <c r="E666" s="69">
        <v>35</v>
      </c>
      <c r="F666" s="69">
        <v>7</v>
      </c>
      <c r="G666" s="69">
        <v>23</v>
      </c>
      <c r="H666" s="69">
        <v>4.3</v>
      </c>
      <c r="I666" s="70">
        <v>0.76</v>
      </c>
      <c r="J666" s="70">
        <v>2.09</v>
      </c>
      <c r="K666" s="69">
        <v>17.7</v>
      </c>
      <c r="L666" s="69">
        <v>0.1</v>
      </c>
      <c r="M666" s="69" t="s">
        <v>968</v>
      </c>
      <c r="N666" s="69">
        <v>2004</v>
      </c>
      <c r="O666" s="69" t="s">
        <v>485</v>
      </c>
      <c r="P666" s="69">
        <v>661066</v>
      </c>
      <c r="Q666" s="92" t="s">
        <v>591</v>
      </c>
      <c r="R666" s="92" t="s">
        <v>277</v>
      </c>
      <c r="S666" s="87"/>
    </row>
    <row r="667" spans="1:19" x14ac:dyDescent="0.2">
      <c r="A667" s="92" t="s">
        <v>425</v>
      </c>
      <c r="B667" s="69">
        <v>30</v>
      </c>
      <c r="C667" s="69">
        <v>19</v>
      </c>
      <c r="D667" s="69">
        <v>9</v>
      </c>
      <c r="E667" s="69">
        <v>1</v>
      </c>
      <c r="F667" s="69">
        <v>-50</v>
      </c>
      <c r="G667" s="69">
        <v>-32</v>
      </c>
      <c r="H667" s="69">
        <v>-7.4</v>
      </c>
      <c r="I667" s="70">
        <v>0.76</v>
      </c>
      <c r="J667" s="70">
        <v>2.08</v>
      </c>
      <c r="K667" s="69">
        <v>28.4</v>
      </c>
      <c r="L667" s="69">
        <v>-0.7</v>
      </c>
      <c r="M667" s="69" t="s">
        <v>968</v>
      </c>
      <c r="N667" s="69">
        <v>2004</v>
      </c>
      <c r="O667" s="69" t="s">
        <v>485</v>
      </c>
      <c r="P667" s="69">
        <v>338590</v>
      </c>
      <c r="Q667" s="92" t="s">
        <v>591</v>
      </c>
      <c r="R667" s="92" t="s">
        <v>207</v>
      </c>
      <c r="S667" s="92"/>
    </row>
    <row r="668" spans="1:19" x14ac:dyDescent="0.2">
      <c r="A668" s="92" t="s">
        <v>428</v>
      </c>
      <c r="B668" s="69">
        <v>11</v>
      </c>
      <c r="C668" s="69">
        <v>10</v>
      </c>
      <c r="D668" s="69">
        <v>10</v>
      </c>
      <c r="E668" s="69">
        <v>8</v>
      </c>
      <c r="F668" s="69">
        <v>-30</v>
      </c>
      <c r="G668" s="69">
        <v>-16</v>
      </c>
      <c r="H668" s="69">
        <v>-3.4</v>
      </c>
      <c r="I668" s="70">
        <v>0.76</v>
      </c>
      <c r="J668" s="70">
        <v>2.0699999999999998</v>
      </c>
      <c r="K668" s="69">
        <v>23</v>
      </c>
      <c r="L668" s="69">
        <v>-0.5</v>
      </c>
      <c r="M668" s="69" t="s">
        <v>968</v>
      </c>
      <c r="N668" s="69">
        <v>2004</v>
      </c>
      <c r="O668" s="69" t="s">
        <v>485</v>
      </c>
      <c r="P668" s="69">
        <v>481911</v>
      </c>
      <c r="Q668" s="92" t="s">
        <v>591</v>
      </c>
      <c r="R668" s="92" t="s">
        <v>207</v>
      </c>
      <c r="S668" s="92"/>
    </row>
    <row r="669" spans="1:19" x14ac:dyDescent="0.2">
      <c r="A669" s="92" t="s">
        <v>1077</v>
      </c>
      <c r="B669" s="69">
        <v>11</v>
      </c>
      <c r="C669" s="69">
        <v>1</v>
      </c>
      <c r="D669" s="69">
        <v>9</v>
      </c>
      <c r="E669" s="69">
        <v>21</v>
      </c>
      <c r="F669" s="69">
        <v>52</v>
      </c>
      <c r="G669" s="69">
        <v>57</v>
      </c>
      <c r="H669" s="69">
        <v>9.4</v>
      </c>
      <c r="I669" s="70">
        <v>0.76</v>
      </c>
      <c r="J669" s="70">
        <v>2</v>
      </c>
      <c r="K669" s="69">
        <v>15.9</v>
      </c>
      <c r="L669" s="69">
        <v>0.8</v>
      </c>
      <c r="M669" s="69" t="s">
        <v>960</v>
      </c>
      <c r="N669" s="69">
        <v>2005</v>
      </c>
      <c r="O669" s="69" t="s">
        <v>485</v>
      </c>
      <c r="P669" s="69">
        <v>170951</v>
      </c>
      <c r="Q669" s="92" t="s">
        <v>336</v>
      </c>
      <c r="R669" s="92" t="s">
        <v>580</v>
      </c>
      <c r="S669" s="92"/>
    </row>
    <row r="670" spans="1:19" x14ac:dyDescent="0.2">
      <c r="A670" s="92" t="s">
        <v>555</v>
      </c>
      <c r="B670" s="69">
        <v>32</v>
      </c>
      <c r="C670" s="69">
        <v>24</v>
      </c>
      <c r="D670" s="69">
        <v>47</v>
      </c>
      <c r="E670" s="69">
        <v>37</v>
      </c>
      <c r="F670" s="69">
        <v>-6</v>
      </c>
      <c r="G670" s="69">
        <v>1</v>
      </c>
      <c r="H670" s="69">
        <v>0.2</v>
      </c>
      <c r="I670" s="70">
        <v>0.76</v>
      </c>
      <c r="J670" s="70">
        <v>2.38</v>
      </c>
      <c r="K670" s="69">
        <v>22.7</v>
      </c>
      <c r="L670" s="69">
        <v>-0.1</v>
      </c>
      <c r="M670" s="69" t="s">
        <v>968</v>
      </c>
      <c r="N670" s="69">
        <v>2008</v>
      </c>
      <c r="O670" s="69" t="s">
        <v>485</v>
      </c>
      <c r="P670" s="69">
        <v>806091</v>
      </c>
      <c r="Q670" s="92" t="s">
        <v>61</v>
      </c>
      <c r="R670" s="92" t="s">
        <v>180</v>
      </c>
      <c r="S670" s="87"/>
    </row>
    <row r="671" spans="1:19" x14ac:dyDescent="0.2">
      <c r="A671" s="92" t="s">
        <v>575</v>
      </c>
      <c r="B671" s="69">
        <v>11</v>
      </c>
      <c r="C671" s="69">
        <v>2</v>
      </c>
      <c r="D671" s="69">
        <v>12</v>
      </c>
      <c r="E671" s="69">
        <v>22</v>
      </c>
      <c r="F671" s="69">
        <v>54</v>
      </c>
      <c r="G671" s="69">
        <v>45</v>
      </c>
      <c r="H671" s="69">
        <v>7.7</v>
      </c>
      <c r="I671" s="70">
        <v>0.76</v>
      </c>
      <c r="J671" s="70">
        <v>1.89</v>
      </c>
      <c r="K671" s="69">
        <v>9.3000000000000007</v>
      </c>
      <c r="L671" s="69">
        <v>1.3</v>
      </c>
      <c r="M671" s="69" t="s">
        <v>960</v>
      </c>
      <c r="N671" s="69">
        <v>2010</v>
      </c>
      <c r="O671" s="69" t="s">
        <v>485</v>
      </c>
      <c r="P671" s="69">
        <v>773861</v>
      </c>
      <c r="Q671" s="92" t="s">
        <v>93</v>
      </c>
      <c r="R671" s="92" t="s">
        <v>38</v>
      </c>
      <c r="S671" s="87"/>
    </row>
    <row r="672" spans="1:19" x14ac:dyDescent="0.2">
      <c r="A672" s="92" t="s">
        <v>730</v>
      </c>
      <c r="B672" s="69">
        <v>15</v>
      </c>
      <c r="C672" s="69">
        <v>6</v>
      </c>
      <c r="D672" s="69">
        <v>16</v>
      </c>
      <c r="E672" s="69">
        <v>23</v>
      </c>
      <c r="F672" s="69">
        <v>55</v>
      </c>
      <c r="G672" s="69">
        <v>78</v>
      </c>
      <c r="H672" s="69">
        <v>12.2</v>
      </c>
      <c r="I672" s="70">
        <v>0.77</v>
      </c>
      <c r="J672" s="70">
        <v>1.95</v>
      </c>
      <c r="K672" s="69">
        <v>7.2</v>
      </c>
      <c r="L672" s="69">
        <v>1.9</v>
      </c>
      <c r="M672" s="69" t="s">
        <v>968</v>
      </c>
      <c r="N672" s="69">
        <v>2006</v>
      </c>
      <c r="O672" s="69" t="s">
        <v>485</v>
      </c>
      <c r="P672" s="69">
        <v>848069</v>
      </c>
      <c r="Q672" s="92" t="s">
        <v>584</v>
      </c>
      <c r="R672" s="92" t="s">
        <v>197</v>
      </c>
      <c r="S672" s="92"/>
    </row>
    <row r="673" spans="1:19" x14ac:dyDescent="0.2">
      <c r="A673" s="92" t="s">
        <v>1094</v>
      </c>
      <c r="B673" s="69">
        <v>32</v>
      </c>
      <c r="C673" s="69">
        <v>8</v>
      </c>
      <c r="D673" s="69">
        <v>27</v>
      </c>
      <c r="E673" s="69">
        <v>38</v>
      </c>
      <c r="F673" s="69"/>
      <c r="G673" s="69"/>
      <c r="H673" s="69"/>
      <c r="I673" s="70">
        <v>0.77</v>
      </c>
      <c r="J673" s="70">
        <v>1.93</v>
      </c>
      <c r="K673" s="69"/>
      <c r="L673" s="69"/>
      <c r="M673" s="69" t="s">
        <v>960</v>
      </c>
      <c r="N673" s="69">
        <v>2014</v>
      </c>
      <c r="O673" s="69" t="s">
        <v>485</v>
      </c>
      <c r="P673" s="69">
        <v>413021</v>
      </c>
      <c r="Q673" s="92" t="s">
        <v>334</v>
      </c>
      <c r="R673" s="92" t="s">
        <v>121</v>
      </c>
      <c r="S673" s="92"/>
    </row>
    <row r="674" spans="1:19" x14ac:dyDescent="0.2">
      <c r="A674" s="92" t="s">
        <v>605</v>
      </c>
      <c r="B674" s="69">
        <v>20</v>
      </c>
      <c r="C674" s="69">
        <v>16</v>
      </c>
      <c r="D674" s="69">
        <v>24</v>
      </c>
      <c r="E674" s="69">
        <v>29</v>
      </c>
      <c r="F674" s="69">
        <v>18</v>
      </c>
      <c r="G674" s="69">
        <v>15</v>
      </c>
      <c r="H674" s="69">
        <v>2.8</v>
      </c>
      <c r="I674" s="70">
        <v>0.77</v>
      </c>
      <c r="J674" s="70">
        <v>1.91</v>
      </c>
      <c r="K674" s="69">
        <v>16.5</v>
      </c>
      <c r="L674" s="69">
        <v>0.3</v>
      </c>
      <c r="M674" s="69" t="s">
        <v>960</v>
      </c>
      <c r="N674" s="69">
        <v>2007</v>
      </c>
      <c r="O674" s="69" t="s">
        <v>485</v>
      </c>
      <c r="P674" s="69">
        <v>670091</v>
      </c>
      <c r="Q674" s="92" t="s">
        <v>334</v>
      </c>
      <c r="R674" s="92" t="s">
        <v>121</v>
      </c>
      <c r="S674" s="92"/>
    </row>
    <row r="675" spans="1:19" x14ac:dyDescent="0.2">
      <c r="A675" s="92" t="s">
        <v>600</v>
      </c>
      <c r="B675" s="69">
        <v>10</v>
      </c>
      <c r="C675" s="69">
        <v>7</v>
      </c>
      <c r="D675" s="69">
        <v>12</v>
      </c>
      <c r="E675" s="69">
        <v>20</v>
      </c>
      <c r="F675" s="69">
        <v>52</v>
      </c>
      <c r="G675" s="69">
        <v>39</v>
      </c>
      <c r="H675" s="69">
        <v>6.8</v>
      </c>
      <c r="I675" s="70">
        <v>0.77</v>
      </c>
      <c r="J675" s="70">
        <v>1.92</v>
      </c>
      <c r="K675" s="69">
        <v>7.9</v>
      </c>
      <c r="L675" s="69">
        <v>1.5</v>
      </c>
      <c r="M675" s="69" t="s">
        <v>960</v>
      </c>
      <c r="N675" s="69">
        <v>2008</v>
      </c>
      <c r="O675" s="69" t="s">
        <v>485</v>
      </c>
      <c r="P675" s="69">
        <v>439299</v>
      </c>
      <c r="Q675" s="92" t="s">
        <v>597</v>
      </c>
      <c r="R675" s="92" t="s">
        <v>207</v>
      </c>
      <c r="S675" s="92" t="s">
        <v>959</v>
      </c>
    </row>
    <row r="676" spans="1:19" x14ac:dyDescent="0.2">
      <c r="A676" s="92" t="s">
        <v>553</v>
      </c>
      <c r="B676" s="69">
        <v>15</v>
      </c>
      <c r="C676" s="69">
        <v>6</v>
      </c>
      <c r="D676" s="69">
        <v>15</v>
      </c>
      <c r="E676" s="69">
        <v>21</v>
      </c>
      <c r="F676" s="69">
        <v>40</v>
      </c>
      <c r="G676" s="69">
        <v>37</v>
      </c>
      <c r="H676" s="69">
        <v>6.5</v>
      </c>
      <c r="I676" s="70">
        <v>0.77</v>
      </c>
      <c r="J676" s="70">
        <v>1.92</v>
      </c>
      <c r="K676" s="69">
        <v>11.8</v>
      </c>
      <c r="L676" s="69">
        <v>0.9</v>
      </c>
      <c r="M676" s="69" t="s">
        <v>960</v>
      </c>
      <c r="N676" s="69">
        <v>2003</v>
      </c>
      <c r="O676" s="69" t="s">
        <v>485</v>
      </c>
      <c r="P676" s="69">
        <v>603985</v>
      </c>
      <c r="Q676" s="92" t="s">
        <v>625</v>
      </c>
      <c r="R676" s="92" t="s">
        <v>170</v>
      </c>
      <c r="S676" s="92"/>
    </row>
    <row r="677" spans="1:19" x14ac:dyDescent="0.2">
      <c r="A677" s="92" t="s">
        <v>955</v>
      </c>
      <c r="B677" s="69">
        <v>11</v>
      </c>
      <c r="C677" s="69">
        <v>2</v>
      </c>
      <c r="D677" s="69">
        <v>12</v>
      </c>
      <c r="E677" s="69">
        <v>18</v>
      </c>
      <c r="F677" s="69">
        <v>10</v>
      </c>
      <c r="G677" s="69">
        <v>3</v>
      </c>
      <c r="H677" s="69">
        <v>0.6</v>
      </c>
      <c r="I677" s="70">
        <v>0.77</v>
      </c>
      <c r="J677" s="70">
        <v>2.39</v>
      </c>
      <c r="K677" s="69">
        <v>18</v>
      </c>
      <c r="L677" s="69">
        <v>0</v>
      </c>
      <c r="M677" s="69" t="s">
        <v>960</v>
      </c>
      <c r="N677" s="69">
        <v>2001</v>
      </c>
      <c r="O677" s="69" t="s">
        <v>485</v>
      </c>
      <c r="P677" s="69">
        <v>779538</v>
      </c>
      <c r="Q677" s="92" t="s">
        <v>61</v>
      </c>
      <c r="R677" s="92" t="s">
        <v>157</v>
      </c>
      <c r="S677" s="87"/>
    </row>
    <row r="678" spans="1:19" x14ac:dyDescent="0.2">
      <c r="A678" s="92" t="s">
        <v>956</v>
      </c>
      <c r="B678" s="69">
        <v>18</v>
      </c>
      <c r="C678" s="69">
        <v>18</v>
      </c>
      <c r="D678" s="69">
        <v>18</v>
      </c>
      <c r="E678" s="69">
        <v>26</v>
      </c>
      <c r="F678" s="69">
        <v>43</v>
      </c>
      <c r="G678" s="69">
        <v>36</v>
      </c>
      <c r="H678" s="69">
        <v>6.3</v>
      </c>
      <c r="I678" s="70">
        <v>0.77</v>
      </c>
      <c r="J678" s="70">
        <v>2.39</v>
      </c>
      <c r="K678" s="69">
        <v>14.7</v>
      </c>
      <c r="L678" s="69">
        <v>0.7</v>
      </c>
      <c r="M678" s="69" t="s">
        <v>968</v>
      </c>
      <c r="N678" s="69">
        <v>2005</v>
      </c>
      <c r="O678" s="69" t="s">
        <v>485</v>
      </c>
      <c r="P678" s="69">
        <v>908806</v>
      </c>
      <c r="Q678" s="92" t="s">
        <v>61</v>
      </c>
      <c r="R678" s="92" t="s">
        <v>275</v>
      </c>
      <c r="S678" s="92"/>
    </row>
    <row r="679" spans="1:19" x14ac:dyDescent="0.2">
      <c r="A679" s="92" t="s">
        <v>719</v>
      </c>
      <c r="B679" s="69">
        <v>14</v>
      </c>
      <c r="C679" s="69">
        <v>6</v>
      </c>
      <c r="D679" s="69">
        <v>13</v>
      </c>
      <c r="E679" s="69">
        <v>22</v>
      </c>
      <c r="F679" s="69"/>
      <c r="G679" s="69"/>
      <c r="H679" s="69"/>
      <c r="I679" s="70">
        <v>0.77</v>
      </c>
      <c r="J679" s="70">
        <v>2.88</v>
      </c>
      <c r="K679" s="69"/>
      <c r="L679" s="69"/>
      <c r="M679" s="69" t="s">
        <v>958</v>
      </c>
      <c r="N679" s="69">
        <v>2011</v>
      </c>
      <c r="O679" s="69" t="s">
        <v>485</v>
      </c>
      <c r="P679" s="69">
        <v>356006</v>
      </c>
      <c r="Q679" s="92" t="s">
        <v>720</v>
      </c>
      <c r="R679" s="92" t="s">
        <v>227</v>
      </c>
      <c r="S679" s="92"/>
    </row>
    <row r="680" spans="1:19" x14ac:dyDescent="0.2">
      <c r="A680" s="92" t="s">
        <v>552</v>
      </c>
      <c r="B680" s="69">
        <v>12</v>
      </c>
      <c r="C680" s="69">
        <v>4</v>
      </c>
      <c r="D680" s="69">
        <v>12</v>
      </c>
      <c r="E680" s="69">
        <v>17</v>
      </c>
      <c r="F680" s="69">
        <v>50</v>
      </c>
      <c r="G680" s="69">
        <v>49</v>
      </c>
      <c r="H680" s="69">
        <v>8.1999999999999993</v>
      </c>
      <c r="I680" s="70">
        <v>0.77</v>
      </c>
      <c r="J680" s="70">
        <v>1.91</v>
      </c>
      <c r="K680" s="69">
        <v>6.9</v>
      </c>
      <c r="L680" s="69">
        <v>1.8</v>
      </c>
      <c r="M680" s="69" t="s">
        <v>960</v>
      </c>
      <c r="N680" s="69">
        <v>2003</v>
      </c>
      <c r="O680" s="69" t="s">
        <v>485</v>
      </c>
      <c r="P680" s="69">
        <v>532325</v>
      </c>
      <c r="Q680" s="92" t="s">
        <v>625</v>
      </c>
      <c r="R680" s="92" t="s">
        <v>109</v>
      </c>
      <c r="S680" s="87"/>
    </row>
    <row r="681" spans="1:19" x14ac:dyDescent="0.2">
      <c r="A681" s="92" t="s">
        <v>788</v>
      </c>
      <c r="B681" s="69">
        <v>13</v>
      </c>
      <c r="C681" s="69">
        <v>4</v>
      </c>
      <c r="D681" s="69">
        <v>14</v>
      </c>
      <c r="E681" s="69">
        <v>21</v>
      </c>
      <c r="F681" s="69"/>
      <c r="G681" s="69"/>
      <c r="H681" s="69"/>
      <c r="I681" s="70">
        <v>0.77</v>
      </c>
      <c r="J681" s="70">
        <v>2.57</v>
      </c>
      <c r="K681" s="69"/>
      <c r="L681" s="69"/>
      <c r="M681" s="69" t="s">
        <v>958</v>
      </c>
      <c r="N681" s="69">
        <v>2012</v>
      </c>
      <c r="O681" s="69" t="s">
        <v>485</v>
      </c>
      <c r="P681" s="69">
        <v>961458</v>
      </c>
      <c r="Q681" s="92" t="s">
        <v>787</v>
      </c>
      <c r="R681" s="92" t="s">
        <v>565</v>
      </c>
      <c r="S681" s="87"/>
    </row>
    <row r="682" spans="1:19" x14ac:dyDescent="0.2">
      <c r="A682" s="92" t="s">
        <v>107</v>
      </c>
      <c r="B682" s="69">
        <v>40</v>
      </c>
      <c r="C682" s="69">
        <v>21</v>
      </c>
      <c r="D682" s="69">
        <v>38</v>
      </c>
      <c r="E682" s="69">
        <v>67</v>
      </c>
      <c r="F682" s="69">
        <v>21</v>
      </c>
      <c r="G682" s="69">
        <v>25</v>
      </c>
      <c r="H682" s="69">
        <v>4.5</v>
      </c>
      <c r="I682" s="70">
        <v>0.78</v>
      </c>
      <c r="J682" s="70">
        <v>1.96</v>
      </c>
      <c r="K682" s="69">
        <v>20.399999999999999</v>
      </c>
      <c r="L682" s="69">
        <v>0.3</v>
      </c>
      <c r="M682" s="69" t="s">
        <v>958</v>
      </c>
      <c r="N682" s="69">
        <v>2005</v>
      </c>
      <c r="O682" s="69" t="s">
        <v>585</v>
      </c>
      <c r="P682" s="69">
        <v>722983</v>
      </c>
      <c r="Q682" s="92" t="s">
        <v>27</v>
      </c>
      <c r="R682" s="92" t="s">
        <v>180</v>
      </c>
      <c r="S682" s="87"/>
    </row>
    <row r="683" spans="1:19" x14ac:dyDescent="0.2">
      <c r="A683" s="92" t="s">
        <v>243</v>
      </c>
      <c r="B683" s="69">
        <v>16</v>
      </c>
      <c r="C683" s="69">
        <v>9</v>
      </c>
      <c r="D683" s="69">
        <v>18</v>
      </c>
      <c r="E683" s="69">
        <v>29</v>
      </c>
      <c r="F683" s="69">
        <v>99</v>
      </c>
      <c r="G683" s="69">
        <v>91</v>
      </c>
      <c r="H683" s="69">
        <v>13.8</v>
      </c>
      <c r="I683" s="70">
        <v>0.78</v>
      </c>
      <c r="J683" s="70">
        <v>2.17</v>
      </c>
      <c r="K683" s="69">
        <v>10</v>
      </c>
      <c r="L683" s="69">
        <v>2.1</v>
      </c>
      <c r="M683" s="69" t="s">
        <v>968</v>
      </c>
      <c r="N683" s="69">
        <v>2011</v>
      </c>
      <c r="O683" s="69" t="s">
        <v>485</v>
      </c>
      <c r="P683" s="69">
        <v>197517</v>
      </c>
      <c r="Q683" s="92" t="s">
        <v>636</v>
      </c>
      <c r="R683" s="92" t="s">
        <v>72</v>
      </c>
      <c r="S683" s="92"/>
    </row>
    <row r="684" spans="1:19" x14ac:dyDescent="0.2">
      <c r="A684" s="92" t="s">
        <v>724</v>
      </c>
      <c r="B684" s="69">
        <v>14</v>
      </c>
      <c r="C684" s="69">
        <v>5</v>
      </c>
      <c r="D684" s="69">
        <v>13</v>
      </c>
      <c r="E684" s="69">
        <v>22</v>
      </c>
      <c r="F684" s="69">
        <v>68</v>
      </c>
      <c r="G684" s="69">
        <v>76</v>
      </c>
      <c r="H684" s="69">
        <v>12</v>
      </c>
      <c r="I684" s="70">
        <v>0.79</v>
      </c>
      <c r="J684" s="70">
        <v>2.2200000000000002</v>
      </c>
      <c r="K684" s="69">
        <v>8.6999999999999993</v>
      </c>
      <c r="L684" s="69">
        <v>1.9</v>
      </c>
      <c r="M684" s="69" t="s">
        <v>958</v>
      </c>
      <c r="N684" s="69">
        <v>2011</v>
      </c>
      <c r="O684" s="69" t="s">
        <v>585</v>
      </c>
      <c r="P684" s="69">
        <v>339002</v>
      </c>
      <c r="Q684" s="92" t="s">
        <v>1088</v>
      </c>
      <c r="R684" s="92" t="s">
        <v>109</v>
      </c>
      <c r="S684" s="87"/>
    </row>
    <row r="685" spans="1:19" x14ac:dyDescent="0.2">
      <c r="A685" s="92" t="s">
        <v>602</v>
      </c>
      <c r="B685" s="69">
        <v>18</v>
      </c>
      <c r="C685" s="69">
        <v>9</v>
      </c>
      <c r="D685" s="69">
        <v>24</v>
      </c>
      <c r="E685" s="69">
        <v>26</v>
      </c>
      <c r="F685" s="69">
        <v>15</v>
      </c>
      <c r="G685" s="69">
        <v>21</v>
      </c>
      <c r="H685" s="69">
        <v>3.8</v>
      </c>
      <c r="I685" s="70">
        <v>0.79</v>
      </c>
      <c r="J685" s="70">
        <v>1.97</v>
      </c>
      <c r="K685" s="69">
        <v>12.4</v>
      </c>
      <c r="L685" s="69">
        <v>0.3</v>
      </c>
      <c r="M685" s="69" t="s">
        <v>968</v>
      </c>
      <c r="N685" s="69">
        <v>2008</v>
      </c>
      <c r="O685" s="69" t="s">
        <v>485</v>
      </c>
      <c r="P685" s="69">
        <v>295972</v>
      </c>
      <c r="Q685" s="92" t="s">
        <v>597</v>
      </c>
      <c r="R685" s="92" t="s">
        <v>121</v>
      </c>
      <c r="S685" s="87"/>
    </row>
    <row r="686" spans="1:19" x14ac:dyDescent="0.2">
      <c r="A686" s="92" t="s">
        <v>1099</v>
      </c>
      <c r="B686" s="69">
        <v>-1</v>
      </c>
      <c r="C686" s="69">
        <v>-6</v>
      </c>
      <c r="D686" s="69">
        <v>-2</v>
      </c>
      <c r="E686" s="69">
        <v>8</v>
      </c>
      <c r="F686" s="69">
        <v>26</v>
      </c>
      <c r="G686" s="69">
        <v>24</v>
      </c>
      <c r="H686" s="69">
        <v>4.4000000000000004</v>
      </c>
      <c r="I686" s="70">
        <v>0.79</v>
      </c>
      <c r="J686" s="70">
        <v>1.97</v>
      </c>
      <c r="K686" s="69">
        <v>10.1</v>
      </c>
      <c r="L686" s="69">
        <v>0.7</v>
      </c>
      <c r="M686" s="69" t="s">
        <v>958</v>
      </c>
      <c r="N686" s="69">
        <v>2014</v>
      </c>
      <c r="O686" s="69" t="s">
        <v>585</v>
      </c>
      <c r="P686" s="69">
        <v>305532</v>
      </c>
      <c r="Q686" s="92" t="s">
        <v>1100</v>
      </c>
      <c r="R686" s="92" t="s">
        <v>227</v>
      </c>
      <c r="S686" s="87" t="s">
        <v>959</v>
      </c>
    </row>
    <row r="687" spans="1:19" x14ac:dyDescent="0.2">
      <c r="A687" s="92" t="s">
        <v>665</v>
      </c>
      <c r="B687" s="69">
        <v>0</v>
      </c>
      <c r="C687" s="69">
        <v>-1</v>
      </c>
      <c r="D687" s="69">
        <v>-1</v>
      </c>
      <c r="E687" s="69">
        <v>0</v>
      </c>
      <c r="F687" s="69">
        <v>-6</v>
      </c>
      <c r="G687" s="69">
        <v>-9</v>
      </c>
      <c r="H687" s="69">
        <v>-1.8</v>
      </c>
      <c r="I687" s="70">
        <v>0.79</v>
      </c>
      <c r="J687" s="70">
        <v>1.97</v>
      </c>
      <c r="K687" s="69">
        <v>7.6</v>
      </c>
      <c r="L687" s="69">
        <v>-0.4</v>
      </c>
      <c r="M687" s="69" t="s">
        <v>958</v>
      </c>
      <c r="N687" s="69">
        <v>2009</v>
      </c>
      <c r="O687" s="69" t="s">
        <v>585</v>
      </c>
      <c r="P687" s="69">
        <v>191494</v>
      </c>
      <c r="Q687" s="92" t="s">
        <v>27</v>
      </c>
      <c r="R687" s="92" t="s">
        <v>227</v>
      </c>
      <c r="S687" s="92"/>
    </row>
    <row r="688" spans="1:19" x14ac:dyDescent="0.2">
      <c r="A688" s="92" t="s">
        <v>620</v>
      </c>
      <c r="B688" s="69">
        <v>22</v>
      </c>
      <c r="C688" s="69">
        <v>12</v>
      </c>
      <c r="D688" s="69">
        <v>27</v>
      </c>
      <c r="E688" s="69">
        <v>28</v>
      </c>
      <c r="F688" s="69">
        <v>26</v>
      </c>
      <c r="G688" s="69">
        <v>34</v>
      </c>
      <c r="H688" s="69">
        <v>6</v>
      </c>
      <c r="I688" s="70">
        <v>0.79</v>
      </c>
      <c r="J688" s="70">
        <v>1.99</v>
      </c>
      <c r="K688" s="69">
        <v>13</v>
      </c>
      <c r="L688" s="69">
        <v>0.5</v>
      </c>
      <c r="M688" s="69" t="s">
        <v>958</v>
      </c>
      <c r="N688" s="69">
        <v>2006</v>
      </c>
      <c r="O688" s="69" t="s">
        <v>585</v>
      </c>
      <c r="P688" s="69">
        <v>534099</v>
      </c>
      <c r="Q688" s="92" t="s">
        <v>27</v>
      </c>
      <c r="R688" s="92" t="s">
        <v>121</v>
      </c>
      <c r="S688" s="87"/>
    </row>
    <row r="689" spans="1:19" x14ac:dyDescent="0.2">
      <c r="A689" s="92" t="s">
        <v>247</v>
      </c>
      <c r="B689" s="69">
        <v>13</v>
      </c>
      <c r="C689" s="69">
        <v>12</v>
      </c>
      <c r="D689" s="69">
        <v>10</v>
      </c>
      <c r="E689" s="69">
        <v>25</v>
      </c>
      <c r="F689" s="69">
        <v>71</v>
      </c>
      <c r="G689" s="69">
        <v>90</v>
      </c>
      <c r="H689" s="69">
        <v>13.6</v>
      </c>
      <c r="I689" s="70">
        <v>0.8</v>
      </c>
      <c r="J689" s="70">
        <v>2.2200000000000002</v>
      </c>
      <c r="K689" s="69">
        <v>9.6999999999999993</v>
      </c>
      <c r="L689" s="69">
        <v>1.6</v>
      </c>
      <c r="M689" s="69" t="s">
        <v>968</v>
      </c>
      <c r="N689" s="69">
        <v>2011</v>
      </c>
      <c r="O689" s="69" t="s">
        <v>485</v>
      </c>
      <c r="P689" s="69">
        <v>882530</v>
      </c>
      <c r="Q689" s="92" t="s">
        <v>636</v>
      </c>
      <c r="R689" s="92" t="s">
        <v>72</v>
      </c>
      <c r="S689" s="92"/>
    </row>
    <row r="690" spans="1:19" x14ac:dyDescent="0.2">
      <c r="A690" s="92" t="s">
        <v>212</v>
      </c>
      <c r="B690" s="69">
        <v>8</v>
      </c>
      <c r="C690" s="69">
        <v>1</v>
      </c>
      <c r="D690" s="69">
        <v>5</v>
      </c>
      <c r="E690" s="69">
        <v>19</v>
      </c>
      <c r="F690" s="69">
        <v>57</v>
      </c>
      <c r="G690" s="69">
        <v>74</v>
      </c>
      <c r="H690" s="69">
        <v>11.7</v>
      </c>
      <c r="I690" s="70">
        <v>0.8</v>
      </c>
      <c r="J690" s="70">
        <v>2</v>
      </c>
      <c r="K690" s="69">
        <v>8.5</v>
      </c>
      <c r="L690" s="69">
        <v>1.5</v>
      </c>
      <c r="M690" s="69" t="s">
        <v>960</v>
      </c>
      <c r="N690" s="69">
        <v>2001</v>
      </c>
      <c r="O690" s="69" t="s">
        <v>485</v>
      </c>
      <c r="P690" s="69">
        <v>202002</v>
      </c>
      <c r="Q690" s="92" t="s">
        <v>36</v>
      </c>
      <c r="R690" s="92" t="s">
        <v>207</v>
      </c>
      <c r="S690" s="92"/>
    </row>
    <row r="691" spans="1:19" x14ac:dyDescent="0.2">
      <c r="A691" s="92" t="s">
        <v>192</v>
      </c>
      <c r="B691" s="69">
        <v>1</v>
      </c>
      <c r="C691" s="69">
        <v>-2</v>
      </c>
      <c r="D691" s="69">
        <v>0</v>
      </c>
      <c r="E691" s="69">
        <v>13</v>
      </c>
      <c r="F691" s="69">
        <v>54</v>
      </c>
      <c r="G691" s="69">
        <v>50</v>
      </c>
      <c r="H691" s="69">
        <v>8.5</v>
      </c>
      <c r="I691" s="70">
        <v>0.8</v>
      </c>
      <c r="J691" s="70">
        <v>2</v>
      </c>
      <c r="K691" s="69">
        <v>17.600000000000001</v>
      </c>
      <c r="L691" s="69">
        <v>0.7</v>
      </c>
      <c r="M691" s="69" t="s">
        <v>960</v>
      </c>
      <c r="N691" s="69">
        <v>2001</v>
      </c>
      <c r="O691" s="69" t="s">
        <v>485</v>
      </c>
      <c r="P691" s="69">
        <v>273664</v>
      </c>
      <c r="Q691" s="92" t="s">
        <v>36</v>
      </c>
      <c r="R691" s="92" t="s">
        <v>180</v>
      </c>
      <c r="S691" s="92"/>
    </row>
    <row r="692" spans="1:19" x14ac:dyDescent="0.2">
      <c r="A692" s="92" t="s">
        <v>667</v>
      </c>
      <c r="B692" s="69">
        <v>7</v>
      </c>
      <c r="C692" s="69">
        <v>-2</v>
      </c>
      <c r="D692" s="69">
        <v>4</v>
      </c>
      <c r="E692" s="69">
        <v>23</v>
      </c>
      <c r="F692" s="69">
        <v>67</v>
      </c>
      <c r="G692" s="69">
        <v>96</v>
      </c>
      <c r="H692" s="69">
        <v>14.4</v>
      </c>
      <c r="I692" s="70">
        <v>0.8</v>
      </c>
      <c r="J692" s="70">
        <v>2</v>
      </c>
      <c r="K692" s="69">
        <v>12.4</v>
      </c>
      <c r="L692" s="69">
        <v>1.3</v>
      </c>
      <c r="M692" s="69" t="s">
        <v>960</v>
      </c>
      <c r="N692" s="69">
        <v>2009</v>
      </c>
      <c r="O692" s="69" t="s">
        <v>485</v>
      </c>
      <c r="P692" s="69">
        <v>356063</v>
      </c>
      <c r="Q692" s="92" t="s">
        <v>36</v>
      </c>
      <c r="R692" s="92" t="s">
        <v>65</v>
      </c>
      <c r="S692" s="87"/>
    </row>
    <row r="693" spans="1:19" x14ac:dyDescent="0.2">
      <c r="A693" s="92" t="s">
        <v>315</v>
      </c>
      <c r="B693" s="69">
        <v>1</v>
      </c>
      <c r="C693" s="69">
        <v>-5</v>
      </c>
      <c r="D693" s="69">
        <v>1</v>
      </c>
      <c r="E693" s="69">
        <v>11</v>
      </c>
      <c r="F693" s="69">
        <v>54</v>
      </c>
      <c r="G693" s="69"/>
      <c r="H693" s="69"/>
      <c r="I693" s="70">
        <v>0.8</v>
      </c>
      <c r="J693" s="70">
        <v>2</v>
      </c>
      <c r="K693" s="69">
        <v>12.4</v>
      </c>
      <c r="L693" s="69">
        <v>1.1000000000000001</v>
      </c>
      <c r="M693" s="69" t="s">
        <v>960</v>
      </c>
      <c r="N693" s="69">
        <v>2011</v>
      </c>
      <c r="O693" s="69" t="s">
        <v>485</v>
      </c>
      <c r="P693" s="69">
        <v>724633</v>
      </c>
      <c r="Q693" s="92" t="s">
        <v>36</v>
      </c>
      <c r="R693" s="92" t="s">
        <v>38</v>
      </c>
      <c r="S693" s="87"/>
    </row>
    <row r="694" spans="1:19" x14ac:dyDescent="0.2">
      <c r="A694" s="92" t="s">
        <v>476</v>
      </c>
      <c r="B694" s="69">
        <v>4</v>
      </c>
      <c r="C694" s="69">
        <v>-7</v>
      </c>
      <c r="D694" s="69">
        <v>0</v>
      </c>
      <c r="E694" s="69">
        <v>17</v>
      </c>
      <c r="F694" s="69">
        <v>73</v>
      </c>
      <c r="G694" s="69">
        <v>127</v>
      </c>
      <c r="H694" s="69">
        <v>17.8</v>
      </c>
      <c r="I694" s="70">
        <v>0.8</v>
      </c>
      <c r="J694" s="70">
        <v>2</v>
      </c>
      <c r="K694" s="69">
        <v>13.8</v>
      </c>
      <c r="L694" s="69">
        <v>1.3</v>
      </c>
      <c r="M694" s="69" t="s">
        <v>960</v>
      </c>
      <c r="N694" s="69">
        <v>2006</v>
      </c>
      <c r="O694" s="69" t="s">
        <v>485</v>
      </c>
      <c r="P694" s="69">
        <v>785493</v>
      </c>
      <c r="Q694" s="92" t="s">
        <v>36</v>
      </c>
      <c r="R694" s="92" t="s">
        <v>580</v>
      </c>
      <c r="S694" s="87"/>
    </row>
    <row r="695" spans="1:19" x14ac:dyDescent="0.2">
      <c r="A695" s="92" t="s">
        <v>37</v>
      </c>
      <c r="B695" s="69">
        <v>4</v>
      </c>
      <c r="C695" s="69">
        <v>-6</v>
      </c>
      <c r="D695" s="69">
        <v>2</v>
      </c>
      <c r="E695" s="69">
        <v>10</v>
      </c>
      <c r="F695" s="69">
        <v>63</v>
      </c>
      <c r="G695" s="69">
        <v>87</v>
      </c>
      <c r="H695" s="69">
        <v>13.4</v>
      </c>
      <c r="I695" s="70">
        <v>0.8</v>
      </c>
      <c r="J695" s="70">
        <v>2</v>
      </c>
      <c r="K695" s="69">
        <v>16.600000000000001</v>
      </c>
      <c r="L695" s="69">
        <v>0.9</v>
      </c>
      <c r="M695" s="69" t="s">
        <v>960</v>
      </c>
      <c r="N695" s="69">
        <v>2001</v>
      </c>
      <c r="O695" s="69" t="s">
        <v>485</v>
      </c>
      <c r="P695" s="69">
        <v>237834</v>
      </c>
      <c r="Q695" s="92" t="s">
        <v>36</v>
      </c>
      <c r="R695" s="92" t="s">
        <v>580</v>
      </c>
      <c r="S695" s="92"/>
    </row>
    <row r="696" spans="1:19" x14ac:dyDescent="0.2">
      <c r="A696" s="92" t="s">
        <v>741</v>
      </c>
      <c r="B696" s="69">
        <v>6</v>
      </c>
      <c r="C696" s="69">
        <v>2</v>
      </c>
      <c r="D696" s="69">
        <v>7</v>
      </c>
      <c r="E696" s="69">
        <v>14</v>
      </c>
      <c r="F696" s="69"/>
      <c r="G696" s="69"/>
      <c r="H696" s="69"/>
      <c r="I696" s="70">
        <v>0.8</v>
      </c>
      <c r="J696" s="70">
        <v>2.31</v>
      </c>
      <c r="K696" s="69"/>
      <c r="L696" s="69"/>
      <c r="M696" s="69" t="s">
        <v>958</v>
      </c>
      <c r="N696" s="69">
        <v>2011</v>
      </c>
      <c r="O696" s="69" t="s">
        <v>585</v>
      </c>
      <c r="P696" s="69">
        <v>615310</v>
      </c>
      <c r="Q696" s="92" t="s">
        <v>740</v>
      </c>
      <c r="R696" s="92" t="s">
        <v>227</v>
      </c>
      <c r="S696" s="87"/>
    </row>
    <row r="697" spans="1:19" x14ac:dyDescent="0.2">
      <c r="A697" s="92" t="s">
        <v>1022</v>
      </c>
      <c r="B697" s="69">
        <v>6</v>
      </c>
      <c r="C697" s="69">
        <v>4</v>
      </c>
      <c r="D697" s="69">
        <v>7</v>
      </c>
      <c r="E697" s="69">
        <v>17</v>
      </c>
      <c r="F697" s="69"/>
      <c r="G697" s="69"/>
      <c r="H697" s="69"/>
      <c r="I697" s="70">
        <v>0.8</v>
      </c>
      <c r="J697" s="70">
        <v>2</v>
      </c>
      <c r="K697" s="69"/>
      <c r="L697" s="69"/>
      <c r="M697" s="69" t="s">
        <v>958</v>
      </c>
      <c r="N697" s="69">
        <v>2012</v>
      </c>
      <c r="O697" s="69" t="s">
        <v>585</v>
      </c>
      <c r="P697" s="69">
        <v>333518</v>
      </c>
      <c r="Q697" s="92" t="s">
        <v>987</v>
      </c>
      <c r="R697" s="92" t="s">
        <v>227</v>
      </c>
      <c r="S697" s="92"/>
    </row>
    <row r="698" spans="1:19" x14ac:dyDescent="0.2">
      <c r="A698" s="92" t="s">
        <v>814</v>
      </c>
      <c r="B698" s="69">
        <v>4</v>
      </c>
      <c r="C698" s="69">
        <v>8</v>
      </c>
      <c r="D698" s="69">
        <v>8</v>
      </c>
      <c r="E698" s="69">
        <v>21</v>
      </c>
      <c r="F698" s="69"/>
      <c r="G698" s="69"/>
      <c r="H698" s="69"/>
      <c r="I698" s="70">
        <v>0.8</v>
      </c>
      <c r="J698" s="70">
        <v>2</v>
      </c>
      <c r="K698" s="69"/>
      <c r="L698" s="69"/>
      <c r="M698" s="69" t="s">
        <v>958</v>
      </c>
      <c r="N698" s="69">
        <v>2012</v>
      </c>
      <c r="O698" s="69" t="s">
        <v>585</v>
      </c>
      <c r="P698" s="69">
        <v>226027</v>
      </c>
      <c r="Q698" s="92" t="s">
        <v>987</v>
      </c>
      <c r="R698" s="92" t="s">
        <v>278</v>
      </c>
      <c r="S698" s="92"/>
    </row>
    <row r="699" spans="1:19" x14ac:dyDescent="0.2">
      <c r="A699" s="92" t="s">
        <v>142</v>
      </c>
      <c r="B699" s="69">
        <v>1</v>
      </c>
      <c r="C699" s="69">
        <v>-1</v>
      </c>
      <c r="D699" s="69">
        <v>5</v>
      </c>
      <c r="E699" s="69">
        <v>9</v>
      </c>
      <c r="F699" s="69">
        <v>32</v>
      </c>
      <c r="G699" s="69">
        <v>28</v>
      </c>
      <c r="H699" s="69">
        <v>5</v>
      </c>
      <c r="I699" s="70">
        <v>0.8</v>
      </c>
      <c r="J699" s="70">
        <v>2.0699999999999998</v>
      </c>
      <c r="K699" s="69">
        <v>9.1</v>
      </c>
      <c r="L699" s="69">
        <v>1</v>
      </c>
      <c r="M699" s="69" t="s">
        <v>960</v>
      </c>
      <c r="N699" s="69">
        <v>2000</v>
      </c>
      <c r="O699" s="69" t="s">
        <v>485</v>
      </c>
      <c r="P699" s="69">
        <v>475897</v>
      </c>
      <c r="Q699" s="92" t="s">
        <v>320</v>
      </c>
      <c r="R699" s="92" t="s">
        <v>38</v>
      </c>
      <c r="S699" s="87"/>
    </row>
    <row r="700" spans="1:19" x14ac:dyDescent="0.2">
      <c r="A700" s="92" t="s">
        <v>248</v>
      </c>
      <c r="B700" s="69">
        <v>9</v>
      </c>
      <c r="C700" s="69">
        <v>9</v>
      </c>
      <c r="D700" s="69">
        <v>16</v>
      </c>
      <c r="E700" s="69">
        <v>16</v>
      </c>
      <c r="F700" s="69">
        <v>46</v>
      </c>
      <c r="G700" s="69">
        <v>40</v>
      </c>
      <c r="H700" s="69">
        <v>6.9</v>
      </c>
      <c r="I700" s="70">
        <v>0.8</v>
      </c>
      <c r="J700" s="70">
        <v>2.0699999999999998</v>
      </c>
      <c r="K700" s="69">
        <v>12.9</v>
      </c>
      <c r="L700" s="69">
        <v>0.9</v>
      </c>
      <c r="M700" s="69" t="s">
        <v>976</v>
      </c>
      <c r="N700" s="69">
        <v>2000</v>
      </c>
      <c r="O700" s="69" t="s">
        <v>485</v>
      </c>
      <c r="P700" s="69">
        <v>910109</v>
      </c>
      <c r="Q700" s="92" t="s">
        <v>320</v>
      </c>
      <c r="R700" s="92" t="s">
        <v>170</v>
      </c>
      <c r="S700" s="92"/>
    </row>
    <row r="701" spans="1:19" x14ac:dyDescent="0.2">
      <c r="A701" s="92" t="s">
        <v>855</v>
      </c>
      <c r="B701" s="69">
        <v>29</v>
      </c>
      <c r="C701" s="69">
        <v>2</v>
      </c>
      <c r="D701" s="69">
        <v>45</v>
      </c>
      <c r="E701" s="69">
        <v>19</v>
      </c>
      <c r="F701" s="69">
        <v>21</v>
      </c>
      <c r="G701" s="69">
        <v>6</v>
      </c>
      <c r="H701" s="69">
        <v>1.3</v>
      </c>
      <c r="I701" s="70">
        <v>0.8</v>
      </c>
      <c r="J701" s="70">
        <v>2.0099999999999998</v>
      </c>
      <c r="K701" s="69">
        <v>29.3</v>
      </c>
      <c r="L701" s="69">
        <v>0.3</v>
      </c>
      <c r="M701" s="69" t="s">
        <v>960</v>
      </c>
      <c r="N701" s="69">
        <v>2011</v>
      </c>
      <c r="O701" s="69" t="s">
        <v>485</v>
      </c>
      <c r="P701" s="69">
        <v>121608</v>
      </c>
      <c r="Q701" s="92" t="s">
        <v>347</v>
      </c>
      <c r="R701" s="92" t="s">
        <v>180</v>
      </c>
      <c r="S701" s="92" t="s">
        <v>959</v>
      </c>
    </row>
    <row r="702" spans="1:19" x14ac:dyDescent="0.2">
      <c r="A702" s="92" t="s">
        <v>52</v>
      </c>
      <c r="B702" s="69">
        <v>12</v>
      </c>
      <c r="C702" s="69">
        <v>5</v>
      </c>
      <c r="D702" s="69">
        <v>12</v>
      </c>
      <c r="E702" s="69">
        <v>22</v>
      </c>
      <c r="F702" s="69">
        <v>49</v>
      </c>
      <c r="G702" s="69">
        <v>46</v>
      </c>
      <c r="H702" s="69">
        <v>7.8</v>
      </c>
      <c r="I702" s="70">
        <v>0.8</v>
      </c>
      <c r="J702" s="70">
        <v>2.0099999999999998</v>
      </c>
      <c r="K702" s="69">
        <v>9.1999999999999993</v>
      </c>
      <c r="L702" s="69">
        <v>1.2</v>
      </c>
      <c r="M702" s="69" t="s">
        <v>960</v>
      </c>
      <c r="N702" s="69">
        <v>2008</v>
      </c>
      <c r="O702" s="69" t="s">
        <v>485</v>
      </c>
      <c r="P702" s="69">
        <v>199406</v>
      </c>
      <c r="Q702" s="92" t="s">
        <v>271</v>
      </c>
      <c r="R702" s="92" t="s">
        <v>109</v>
      </c>
      <c r="S702" s="92" t="s">
        <v>959</v>
      </c>
    </row>
    <row r="703" spans="1:19" x14ac:dyDescent="0.2">
      <c r="A703" s="92" t="s">
        <v>173</v>
      </c>
      <c r="B703" s="69">
        <v>9</v>
      </c>
      <c r="C703" s="69">
        <v>-1</v>
      </c>
      <c r="D703" s="69">
        <v>3</v>
      </c>
      <c r="E703" s="69">
        <v>20</v>
      </c>
      <c r="F703" s="69">
        <v>57</v>
      </c>
      <c r="G703" s="69">
        <v>49</v>
      </c>
      <c r="H703" s="69">
        <v>8.3000000000000007</v>
      </c>
      <c r="I703" s="70">
        <v>0.8</v>
      </c>
      <c r="J703" s="70">
        <v>2</v>
      </c>
      <c r="K703" s="69">
        <v>13.6</v>
      </c>
      <c r="L703" s="69">
        <v>0.9</v>
      </c>
      <c r="M703" s="69" t="s">
        <v>960</v>
      </c>
      <c r="N703" s="69">
        <v>2007</v>
      </c>
      <c r="O703" s="69" t="s">
        <v>485</v>
      </c>
      <c r="P703" s="69">
        <v>371294</v>
      </c>
      <c r="Q703" s="92" t="s">
        <v>271</v>
      </c>
      <c r="R703" s="92" t="s">
        <v>38</v>
      </c>
      <c r="S703" s="92"/>
    </row>
    <row r="704" spans="1:19" x14ac:dyDescent="0.2">
      <c r="A704" s="92" t="s">
        <v>486</v>
      </c>
      <c r="B704" s="69">
        <v>12</v>
      </c>
      <c r="C704" s="69">
        <v>5</v>
      </c>
      <c r="D704" s="69">
        <v>11</v>
      </c>
      <c r="E704" s="69">
        <v>22</v>
      </c>
      <c r="F704" s="69">
        <v>53</v>
      </c>
      <c r="G704" s="69">
        <v>46</v>
      </c>
      <c r="H704" s="69">
        <v>7.9</v>
      </c>
      <c r="I704" s="70">
        <v>0.8</v>
      </c>
      <c r="J704" s="70">
        <v>2.02</v>
      </c>
      <c r="K704" s="69">
        <v>8.9</v>
      </c>
      <c r="L704" s="69">
        <v>1.3</v>
      </c>
      <c r="M704" s="69" t="s">
        <v>960</v>
      </c>
      <c r="N704" s="69">
        <v>2006</v>
      </c>
      <c r="O704" s="69" t="s">
        <v>485</v>
      </c>
      <c r="P704" s="69">
        <v>882068</v>
      </c>
      <c r="Q704" s="92" t="s">
        <v>271</v>
      </c>
      <c r="R704" s="92" t="s">
        <v>109</v>
      </c>
      <c r="S704" s="92"/>
    </row>
    <row r="705" spans="1:19" x14ac:dyDescent="0.2">
      <c r="A705" s="92" t="s">
        <v>1082</v>
      </c>
      <c r="B705" s="69">
        <v>16</v>
      </c>
      <c r="C705" s="69">
        <v>20</v>
      </c>
      <c r="D705" s="69">
        <v>23</v>
      </c>
      <c r="E705" s="69">
        <v>16</v>
      </c>
      <c r="F705" s="69">
        <v>36</v>
      </c>
      <c r="G705" s="69"/>
      <c r="H705" s="69"/>
      <c r="I705" s="70">
        <v>0.8</v>
      </c>
      <c r="J705" s="70">
        <v>2.42</v>
      </c>
      <c r="K705" s="69">
        <v>16.100000000000001</v>
      </c>
      <c r="L705" s="69">
        <v>0.5</v>
      </c>
      <c r="M705" s="69" t="s">
        <v>958</v>
      </c>
      <c r="N705" s="69">
        <v>2013</v>
      </c>
      <c r="O705" s="69" t="s">
        <v>485</v>
      </c>
      <c r="P705" s="69">
        <v>673699</v>
      </c>
      <c r="Q705" s="92" t="s">
        <v>943</v>
      </c>
      <c r="R705" s="92" t="s">
        <v>275</v>
      </c>
      <c r="S705" s="92"/>
    </row>
    <row r="706" spans="1:19" x14ac:dyDescent="0.2">
      <c r="A706" s="92" t="s">
        <v>714</v>
      </c>
      <c r="B706" s="69">
        <v>9</v>
      </c>
      <c r="C706" s="69">
        <v>5</v>
      </c>
      <c r="D706" s="69">
        <v>10</v>
      </c>
      <c r="E706" s="69">
        <v>16</v>
      </c>
      <c r="F706" s="69">
        <v>44</v>
      </c>
      <c r="G706" s="69"/>
      <c r="H706" s="69"/>
      <c r="I706" s="70">
        <v>0.81</v>
      </c>
      <c r="J706" s="70">
        <v>2.2200000000000002</v>
      </c>
      <c r="K706" s="69">
        <v>7</v>
      </c>
      <c r="L706" s="69">
        <v>1.6</v>
      </c>
      <c r="M706" s="69" t="s">
        <v>958</v>
      </c>
      <c r="N706" s="69">
        <v>2011</v>
      </c>
      <c r="O706" s="69" t="s">
        <v>585</v>
      </c>
      <c r="P706" s="69">
        <v>208439</v>
      </c>
      <c r="Q706" s="92" t="s">
        <v>569</v>
      </c>
      <c r="R706" s="92" t="s">
        <v>109</v>
      </c>
      <c r="S706" s="87"/>
    </row>
    <row r="707" spans="1:19" x14ac:dyDescent="0.2">
      <c r="A707" s="92" t="s">
        <v>771</v>
      </c>
      <c r="B707" s="69">
        <v>10</v>
      </c>
      <c r="C707" s="69">
        <v>1</v>
      </c>
      <c r="D707" s="69">
        <v>10</v>
      </c>
      <c r="E707" s="69">
        <v>22</v>
      </c>
      <c r="F707" s="69"/>
      <c r="G707" s="69"/>
      <c r="H707" s="69"/>
      <c r="I707" s="70">
        <v>0.81</v>
      </c>
      <c r="J707" s="70">
        <v>2.36</v>
      </c>
      <c r="K707" s="69"/>
      <c r="L707" s="69"/>
      <c r="M707" s="69" t="s">
        <v>958</v>
      </c>
      <c r="N707" s="69">
        <v>2012</v>
      </c>
      <c r="O707" s="69" t="s">
        <v>585</v>
      </c>
      <c r="P707" s="69">
        <v>482919</v>
      </c>
      <c r="Q707" s="92" t="s">
        <v>740</v>
      </c>
      <c r="R707" s="92" t="s">
        <v>109</v>
      </c>
      <c r="S707" s="92"/>
    </row>
    <row r="708" spans="1:19" x14ac:dyDescent="0.2">
      <c r="A708" s="92" t="s">
        <v>739</v>
      </c>
      <c r="B708" s="69">
        <v>10</v>
      </c>
      <c r="C708" s="69">
        <v>2</v>
      </c>
      <c r="D708" s="69">
        <v>11</v>
      </c>
      <c r="E708" s="69">
        <v>21</v>
      </c>
      <c r="F708" s="69"/>
      <c r="G708" s="69"/>
      <c r="H708" s="69"/>
      <c r="I708" s="70">
        <v>0.81</v>
      </c>
      <c r="J708" s="70">
        <v>2.3199999999999998</v>
      </c>
      <c r="K708" s="69"/>
      <c r="L708" s="69"/>
      <c r="M708" s="69" t="s">
        <v>958</v>
      </c>
      <c r="N708" s="69">
        <v>2011</v>
      </c>
      <c r="O708" s="69" t="s">
        <v>585</v>
      </c>
      <c r="P708" s="69">
        <v>727057</v>
      </c>
      <c r="Q708" s="92" t="s">
        <v>740</v>
      </c>
      <c r="R708" s="92" t="s">
        <v>227</v>
      </c>
      <c r="S708" s="87"/>
    </row>
    <row r="709" spans="1:19" x14ac:dyDescent="0.2">
      <c r="A709" s="92" t="s">
        <v>945</v>
      </c>
      <c r="B709" s="69">
        <v>1</v>
      </c>
      <c r="C709" s="69">
        <v>1</v>
      </c>
      <c r="D709" s="69">
        <v>2</v>
      </c>
      <c r="E709" s="69">
        <v>-1</v>
      </c>
      <c r="F709" s="69"/>
      <c r="G709" s="69"/>
      <c r="H709" s="69"/>
      <c r="I709" s="70">
        <v>0.81</v>
      </c>
      <c r="J709" s="70">
        <v>2.35</v>
      </c>
      <c r="K709" s="69"/>
      <c r="L709" s="69"/>
      <c r="M709" s="69" t="s">
        <v>958</v>
      </c>
      <c r="N709" s="69">
        <v>2012</v>
      </c>
      <c r="O709" s="69" t="s">
        <v>585</v>
      </c>
      <c r="P709" s="69">
        <v>925628</v>
      </c>
      <c r="Q709" s="92" t="s">
        <v>917</v>
      </c>
      <c r="R709" s="92" t="s">
        <v>478</v>
      </c>
      <c r="S709" s="87"/>
    </row>
    <row r="710" spans="1:19" x14ac:dyDescent="0.2">
      <c r="A710" s="92" t="s">
        <v>143</v>
      </c>
      <c r="B710" s="69">
        <v>6</v>
      </c>
      <c r="C710" s="69">
        <v>8</v>
      </c>
      <c r="D710" s="69">
        <v>14</v>
      </c>
      <c r="E710" s="69">
        <v>11</v>
      </c>
      <c r="F710" s="69">
        <v>35</v>
      </c>
      <c r="G710" s="69">
        <v>22</v>
      </c>
      <c r="H710" s="69">
        <v>4</v>
      </c>
      <c r="I710" s="70">
        <v>0.81</v>
      </c>
      <c r="J710" s="70">
        <v>2.08</v>
      </c>
      <c r="K710" s="69">
        <v>12.4</v>
      </c>
      <c r="L710" s="69">
        <v>0.7</v>
      </c>
      <c r="M710" s="69" t="s">
        <v>976</v>
      </c>
      <c r="N710" s="69">
        <v>2006</v>
      </c>
      <c r="O710" s="69" t="s">
        <v>485</v>
      </c>
      <c r="P710" s="69">
        <v>866897</v>
      </c>
      <c r="Q710" s="92" t="s">
        <v>320</v>
      </c>
      <c r="R710" s="92" t="s">
        <v>170</v>
      </c>
      <c r="S710" s="92"/>
    </row>
    <row r="711" spans="1:19" x14ac:dyDescent="0.2">
      <c r="A711" s="92" t="s">
        <v>1006</v>
      </c>
      <c r="B711" s="69">
        <v>16</v>
      </c>
      <c r="C711" s="69">
        <v>7</v>
      </c>
      <c r="D711" s="69">
        <v>13</v>
      </c>
      <c r="E711" s="69">
        <v>18</v>
      </c>
      <c r="F711" s="69"/>
      <c r="G711" s="69"/>
      <c r="H711" s="69"/>
      <c r="I711" s="70">
        <v>0.81</v>
      </c>
      <c r="J711" s="70">
        <v>2.12</v>
      </c>
      <c r="K711" s="69"/>
      <c r="L711" s="69"/>
      <c r="M711" s="69" t="s">
        <v>960</v>
      </c>
      <c r="N711" s="69">
        <v>2012</v>
      </c>
      <c r="O711" s="69" t="s">
        <v>485</v>
      </c>
      <c r="P711" s="69">
        <v>906792</v>
      </c>
      <c r="Q711" s="92" t="s">
        <v>802</v>
      </c>
      <c r="R711" s="92" t="s">
        <v>478</v>
      </c>
      <c r="S711" s="92"/>
    </row>
    <row r="712" spans="1:19" x14ac:dyDescent="0.2">
      <c r="A712" s="92" t="s">
        <v>318</v>
      </c>
      <c r="B712" s="69">
        <v>13</v>
      </c>
      <c r="C712" s="69">
        <v>6</v>
      </c>
      <c r="D712" s="69">
        <v>14</v>
      </c>
      <c r="E712" s="69">
        <v>14</v>
      </c>
      <c r="F712" s="69">
        <v>27</v>
      </c>
      <c r="G712" s="69">
        <v>31</v>
      </c>
      <c r="H712" s="69">
        <v>5.5</v>
      </c>
      <c r="I712" s="70">
        <v>0.81</v>
      </c>
      <c r="J712" s="70">
        <v>2.04</v>
      </c>
      <c r="K712" s="69">
        <v>8.3000000000000007</v>
      </c>
      <c r="L712" s="69">
        <v>0.8</v>
      </c>
      <c r="M712" s="69" t="s">
        <v>958</v>
      </c>
      <c r="N712" s="69">
        <v>2006</v>
      </c>
      <c r="O712" s="69" t="s">
        <v>585</v>
      </c>
      <c r="P712" s="69">
        <v>602094</v>
      </c>
      <c r="Q712" s="92" t="s">
        <v>27</v>
      </c>
      <c r="R712" s="92" t="s">
        <v>98</v>
      </c>
      <c r="S712" s="87"/>
    </row>
    <row r="713" spans="1:19" x14ac:dyDescent="0.2">
      <c r="A713" s="92" t="s">
        <v>238</v>
      </c>
      <c r="B713" s="69">
        <v>14</v>
      </c>
      <c r="C713" s="69">
        <v>12</v>
      </c>
      <c r="D713" s="69">
        <v>17</v>
      </c>
      <c r="E713" s="69">
        <v>18</v>
      </c>
      <c r="F713" s="69">
        <v>21</v>
      </c>
      <c r="G713" s="69"/>
      <c r="H713" s="69"/>
      <c r="I713" s="70">
        <v>0.81</v>
      </c>
      <c r="J713" s="70">
        <v>2.0299999999999998</v>
      </c>
      <c r="K713" s="69">
        <v>13.8</v>
      </c>
      <c r="L713" s="69">
        <v>0.4</v>
      </c>
      <c r="M713" s="69" t="s">
        <v>958</v>
      </c>
      <c r="N713" s="69">
        <v>2010</v>
      </c>
      <c r="O713" s="69" t="s">
        <v>585</v>
      </c>
      <c r="P713" s="69">
        <v>660290</v>
      </c>
      <c r="Q713" s="92" t="s">
        <v>27</v>
      </c>
      <c r="R713" s="92" t="s">
        <v>275</v>
      </c>
      <c r="S713" s="92"/>
    </row>
    <row r="714" spans="1:19" x14ac:dyDescent="0.2">
      <c r="A714" s="92" t="s">
        <v>167</v>
      </c>
      <c r="B714" s="69">
        <v>-1</v>
      </c>
      <c r="C714" s="69">
        <v>2</v>
      </c>
      <c r="D714" s="69">
        <v>6</v>
      </c>
      <c r="E714" s="69">
        <v>10</v>
      </c>
      <c r="F714" s="69">
        <v>-5</v>
      </c>
      <c r="G714" s="69">
        <v>-4</v>
      </c>
      <c r="H714" s="69">
        <v>-0.8</v>
      </c>
      <c r="I714" s="70">
        <v>0.81</v>
      </c>
      <c r="J714" s="70">
        <v>2.0299999999999998</v>
      </c>
      <c r="K714" s="69">
        <v>17.7</v>
      </c>
      <c r="L714" s="69">
        <v>-0.2</v>
      </c>
      <c r="M714" s="69" t="s">
        <v>958</v>
      </c>
      <c r="N714" s="69">
        <v>2005</v>
      </c>
      <c r="O714" s="69" t="s">
        <v>585</v>
      </c>
      <c r="P714" s="69">
        <v>286948</v>
      </c>
      <c r="Q714" s="92" t="s">
        <v>27</v>
      </c>
      <c r="R714" s="92" t="s">
        <v>157</v>
      </c>
      <c r="S714" s="92"/>
    </row>
    <row r="715" spans="1:19" x14ac:dyDescent="0.2">
      <c r="A715" s="92" t="s">
        <v>604</v>
      </c>
      <c r="B715" s="69">
        <v>10</v>
      </c>
      <c r="C715" s="69">
        <v>7</v>
      </c>
      <c r="D715" s="69">
        <v>12</v>
      </c>
      <c r="E715" s="69">
        <v>21</v>
      </c>
      <c r="F715" s="69">
        <v>92</v>
      </c>
      <c r="G715" s="69">
        <v>99</v>
      </c>
      <c r="H715" s="69">
        <v>14.7</v>
      </c>
      <c r="I715" s="70">
        <v>0.81</v>
      </c>
      <c r="J715" s="70">
        <v>2.0299999999999998</v>
      </c>
      <c r="K715" s="69">
        <v>9.8000000000000007</v>
      </c>
      <c r="L715" s="69">
        <v>2</v>
      </c>
      <c r="M715" s="69" t="s">
        <v>968</v>
      </c>
      <c r="N715" s="69">
        <v>2008</v>
      </c>
      <c r="O715" s="69" t="s">
        <v>485</v>
      </c>
      <c r="P715" s="69">
        <v>116822</v>
      </c>
      <c r="Q715" s="92" t="s">
        <v>597</v>
      </c>
      <c r="R715" s="92" t="s">
        <v>278</v>
      </c>
      <c r="S715" s="92"/>
    </row>
    <row r="716" spans="1:19" x14ac:dyDescent="0.2">
      <c r="A716" s="92" t="s">
        <v>1130</v>
      </c>
      <c r="B716" s="69"/>
      <c r="C716" s="69"/>
      <c r="D716" s="69"/>
      <c r="E716" s="69"/>
      <c r="F716" s="69"/>
      <c r="G716" s="69"/>
      <c r="H716" s="69"/>
      <c r="I716" s="70">
        <v>0.82</v>
      </c>
      <c r="J716" s="70">
        <v>2.25</v>
      </c>
      <c r="K716" s="69"/>
      <c r="L716" s="69"/>
      <c r="M716" s="69" t="s">
        <v>960</v>
      </c>
      <c r="N716" s="69">
        <v>2014</v>
      </c>
      <c r="O716" s="69" t="s">
        <v>485</v>
      </c>
      <c r="P716" s="69">
        <v>819904</v>
      </c>
      <c r="Q716" s="92" t="s">
        <v>636</v>
      </c>
      <c r="R716" s="92" t="s">
        <v>121</v>
      </c>
      <c r="S716" s="87"/>
    </row>
    <row r="717" spans="1:19" x14ac:dyDescent="0.2">
      <c r="A717" s="92" t="s">
        <v>162</v>
      </c>
      <c r="B717" s="69">
        <v>3</v>
      </c>
      <c r="C717" s="69">
        <v>1</v>
      </c>
      <c r="D717" s="69">
        <v>2</v>
      </c>
      <c r="E717" s="69">
        <v>3</v>
      </c>
      <c r="F717" s="69">
        <v>21</v>
      </c>
      <c r="G717" s="69">
        <v>33</v>
      </c>
      <c r="H717" s="69">
        <v>5.8</v>
      </c>
      <c r="I717" s="70">
        <v>0.82</v>
      </c>
      <c r="J717" s="70">
        <v>2.5</v>
      </c>
      <c r="K717" s="69">
        <v>8.8000000000000007</v>
      </c>
      <c r="L717" s="69">
        <v>0.5</v>
      </c>
      <c r="M717" s="69" t="s">
        <v>958</v>
      </c>
      <c r="N717" s="69">
        <v>2003</v>
      </c>
      <c r="O717" s="69" t="s">
        <v>585</v>
      </c>
      <c r="P717" s="69">
        <v>552984</v>
      </c>
      <c r="Q717" s="92" t="s">
        <v>943</v>
      </c>
      <c r="R717" s="92" t="s">
        <v>157</v>
      </c>
      <c r="S717" s="87"/>
    </row>
    <row r="718" spans="1:19" x14ac:dyDescent="0.2">
      <c r="A718" s="92" t="s">
        <v>168</v>
      </c>
      <c r="B718" s="69">
        <v>22</v>
      </c>
      <c r="C718" s="69">
        <v>6</v>
      </c>
      <c r="D718" s="69">
        <v>21</v>
      </c>
      <c r="E718" s="69">
        <v>31</v>
      </c>
      <c r="F718" s="69">
        <v>30</v>
      </c>
      <c r="G718" s="69">
        <v>0</v>
      </c>
      <c r="H718" s="69">
        <v>0</v>
      </c>
      <c r="I718" s="70">
        <v>0.82</v>
      </c>
      <c r="J718" s="70">
        <v>2.5099999999999998</v>
      </c>
      <c r="K718" s="69">
        <v>15.3</v>
      </c>
      <c r="L718" s="69">
        <v>0.5</v>
      </c>
      <c r="M718" s="69" t="s">
        <v>958</v>
      </c>
      <c r="N718" s="69">
        <v>2004</v>
      </c>
      <c r="O718" s="69" t="s">
        <v>585</v>
      </c>
      <c r="P718" s="69">
        <v>872382</v>
      </c>
      <c r="Q718" s="92" t="s">
        <v>943</v>
      </c>
      <c r="R718" s="92" t="s">
        <v>157</v>
      </c>
      <c r="S718" s="92"/>
    </row>
    <row r="719" spans="1:19" x14ac:dyDescent="0.2">
      <c r="A719" s="92" t="s">
        <v>244</v>
      </c>
      <c r="B719" s="69">
        <v>8</v>
      </c>
      <c r="C719" s="69">
        <v>6</v>
      </c>
      <c r="D719" s="69">
        <v>13</v>
      </c>
      <c r="E719" s="69">
        <v>13</v>
      </c>
      <c r="F719" s="69">
        <v>53</v>
      </c>
      <c r="G719" s="69">
        <v>109</v>
      </c>
      <c r="H719" s="69">
        <v>15.8</v>
      </c>
      <c r="I719" s="70">
        <v>0.82</v>
      </c>
      <c r="J719" s="70">
        <v>2.2999999999999998</v>
      </c>
      <c r="K719" s="69">
        <v>12.9</v>
      </c>
      <c r="L719" s="69">
        <v>0.9</v>
      </c>
      <c r="M719" s="69" t="s">
        <v>968</v>
      </c>
      <c r="N719" s="69">
        <v>2011</v>
      </c>
      <c r="O719" s="69" t="s">
        <v>485</v>
      </c>
      <c r="P719" s="69">
        <v>233346</v>
      </c>
      <c r="Q719" s="92" t="s">
        <v>636</v>
      </c>
      <c r="R719" s="92" t="s">
        <v>207</v>
      </c>
      <c r="S719" s="92"/>
    </row>
    <row r="720" spans="1:19" x14ac:dyDescent="0.2">
      <c r="A720" s="92" t="s">
        <v>456</v>
      </c>
      <c r="B720" s="69">
        <v>44</v>
      </c>
      <c r="C720" s="69">
        <v>17</v>
      </c>
      <c r="D720" s="69">
        <v>48</v>
      </c>
      <c r="E720" s="69">
        <v>82</v>
      </c>
      <c r="F720" s="69">
        <v>42</v>
      </c>
      <c r="G720" s="69">
        <v>44</v>
      </c>
      <c r="H720" s="69">
        <v>7.5</v>
      </c>
      <c r="I720" s="70">
        <v>0.83</v>
      </c>
      <c r="J720" s="70">
        <v>2.31</v>
      </c>
      <c r="K720" s="69">
        <v>22</v>
      </c>
      <c r="L720" s="69">
        <v>0.5</v>
      </c>
      <c r="M720" s="69" t="s">
        <v>968</v>
      </c>
      <c r="N720" s="69">
        <v>2006</v>
      </c>
      <c r="O720" s="69" t="s">
        <v>485</v>
      </c>
      <c r="P720" s="69">
        <v>233460</v>
      </c>
      <c r="Q720" s="92" t="s">
        <v>636</v>
      </c>
      <c r="R720" s="92" t="s">
        <v>180</v>
      </c>
      <c r="S720" s="92"/>
    </row>
    <row r="721" spans="1:19" x14ac:dyDescent="0.2">
      <c r="A721" s="92" t="s">
        <v>791</v>
      </c>
      <c r="B721" s="69">
        <v>27</v>
      </c>
      <c r="C721" s="69">
        <v>20</v>
      </c>
      <c r="D721" s="69">
        <v>40</v>
      </c>
      <c r="E721" s="69">
        <v>32</v>
      </c>
      <c r="F721" s="69">
        <v>7</v>
      </c>
      <c r="G721" s="69">
        <v>23</v>
      </c>
      <c r="H721" s="69">
        <v>4.3</v>
      </c>
      <c r="I721" s="70">
        <v>0.83</v>
      </c>
      <c r="J721" s="70">
        <v>2.31</v>
      </c>
      <c r="K721" s="69">
        <v>18.3</v>
      </c>
      <c r="L721" s="69">
        <v>0.1</v>
      </c>
      <c r="M721" s="69" t="s">
        <v>968</v>
      </c>
      <c r="N721" s="69">
        <v>2008</v>
      </c>
      <c r="O721" s="69" t="s">
        <v>485</v>
      </c>
      <c r="P721" s="69">
        <v>204891</v>
      </c>
      <c r="Q721" s="92" t="s">
        <v>636</v>
      </c>
      <c r="R721" s="92" t="s">
        <v>277</v>
      </c>
      <c r="S721" s="92"/>
    </row>
    <row r="722" spans="1:19" x14ac:dyDescent="0.2">
      <c r="A722" s="92" t="s">
        <v>910</v>
      </c>
      <c r="B722" s="69">
        <v>2</v>
      </c>
      <c r="C722" s="69">
        <v>2</v>
      </c>
      <c r="D722" s="69">
        <v>1</v>
      </c>
      <c r="E722" s="69">
        <v>9</v>
      </c>
      <c r="F722" s="69">
        <v>41</v>
      </c>
      <c r="G722" s="69"/>
      <c r="H722" s="69"/>
      <c r="I722" s="70">
        <v>0.83</v>
      </c>
      <c r="J722" s="70">
        <v>2.46</v>
      </c>
      <c r="K722" s="69">
        <v>8.6</v>
      </c>
      <c r="L722" s="69">
        <v>1.1000000000000001</v>
      </c>
      <c r="M722" s="69" t="s">
        <v>958</v>
      </c>
      <c r="N722" s="69">
        <v>2011</v>
      </c>
      <c r="O722" s="69" t="s">
        <v>585</v>
      </c>
      <c r="P722" s="69">
        <v>874032</v>
      </c>
      <c r="Q722" s="92" t="s">
        <v>911</v>
      </c>
      <c r="R722" s="92" t="s">
        <v>227</v>
      </c>
      <c r="S722" s="92"/>
    </row>
    <row r="723" spans="1:19" x14ac:dyDescent="0.2">
      <c r="A723" s="92" t="s">
        <v>926</v>
      </c>
      <c r="B723" s="69">
        <v>2</v>
      </c>
      <c r="C723" s="69">
        <v>-3</v>
      </c>
      <c r="D723" s="69">
        <v>-2</v>
      </c>
      <c r="E723" s="69">
        <v>16</v>
      </c>
      <c r="F723" s="69">
        <v>53</v>
      </c>
      <c r="G723" s="69">
        <v>71</v>
      </c>
      <c r="H723" s="69">
        <v>11.4</v>
      </c>
      <c r="I723" s="70">
        <v>0.83</v>
      </c>
      <c r="J723" s="70">
        <v>2.1</v>
      </c>
      <c r="K723" s="69">
        <v>10.4</v>
      </c>
      <c r="L723" s="69">
        <v>1.3</v>
      </c>
      <c r="M723" s="69" t="s">
        <v>960</v>
      </c>
      <c r="N723" s="69">
        <v>2013</v>
      </c>
      <c r="O723" s="69" t="s">
        <v>485</v>
      </c>
      <c r="P723" s="69">
        <v>538751</v>
      </c>
      <c r="Q723" s="92" t="s">
        <v>1096</v>
      </c>
      <c r="R723" s="92" t="s">
        <v>38</v>
      </c>
      <c r="S723" s="92"/>
    </row>
    <row r="724" spans="1:19" x14ac:dyDescent="0.2">
      <c r="A724" s="92" t="s">
        <v>455</v>
      </c>
      <c r="B724" s="69">
        <v>22</v>
      </c>
      <c r="C724" s="69">
        <v>8</v>
      </c>
      <c r="D724" s="69">
        <v>21</v>
      </c>
      <c r="E724" s="69">
        <v>21</v>
      </c>
      <c r="F724" s="69">
        <v>31</v>
      </c>
      <c r="G724" s="69">
        <v>73</v>
      </c>
      <c r="H724" s="69">
        <v>11.6</v>
      </c>
      <c r="I724" s="70">
        <v>0.83</v>
      </c>
      <c r="J724" s="70">
        <v>2.3199999999999998</v>
      </c>
      <c r="K724" s="69">
        <v>13.3</v>
      </c>
      <c r="L724" s="69">
        <v>0.6</v>
      </c>
      <c r="M724" s="69" t="s">
        <v>968</v>
      </c>
      <c r="N724" s="69">
        <v>2008</v>
      </c>
      <c r="O724" s="69" t="s">
        <v>485</v>
      </c>
      <c r="P724" s="69">
        <v>169060</v>
      </c>
      <c r="Q724" s="92" t="s">
        <v>636</v>
      </c>
      <c r="R724" s="92" t="s">
        <v>98</v>
      </c>
      <c r="S724" s="92"/>
    </row>
    <row r="725" spans="1:19" x14ac:dyDescent="0.2">
      <c r="A725" s="92" t="s">
        <v>182</v>
      </c>
      <c r="B725" s="69">
        <v>33</v>
      </c>
      <c r="C725" s="69">
        <v>8</v>
      </c>
      <c r="D725" s="69">
        <v>45</v>
      </c>
      <c r="E725" s="69">
        <v>26</v>
      </c>
      <c r="F725" s="69">
        <v>33</v>
      </c>
      <c r="G725" s="69">
        <v>27</v>
      </c>
      <c r="H725" s="69">
        <v>4.9000000000000004</v>
      </c>
      <c r="I725" s="70">
        <v>0.83</v>
      </c>
      <c r="J725" s="70">
        <v>2.5</v>
      </c>
      <c r="K725" s="69">
        <v>27.4</v>
      </c>
      <c r="L725" s="69">
        <v>0.4</v>
      </c>
      <c r="M725" s="69" t="s">
        <v>958</v>
      </c>
      <c r="N725" s="69">
        <v>2006</v>
      </c>
      <c r="O725" s="69" t="s">
        <v>585</v>
      </c>
      <c r="P725" s="69">
        <v>333690</v>
      </c>
      <c r="Q725" s="92" t="s">
        <v>943</v>
      </c>
      <c r="R725" s="92" t="s">
        <v>180</v>
      </c>
      <c r="S725" s="92"/>
    </row>
    <row r="726" spans="1:19" x14ac:dyDescent="0.2">
      <c r="A726" s="92" t="s">
        <v>742</v>
      </c>
      <c r="B726" s="69">
        <v>18</v>
      </c>
      <c r="C726" s="69">
        <v>13</v>
      </c>
      <c r="D726" s="69">
        <v>22</v>
      </c>
      <c r="E726" s="69">
        <v>25</v>
      </c>
      <c r="F726" s="69"/>
      <c r="G726" s="69"/>
      <c r="H726" s="69"/>
      <c r="I726" s="70">
        <v>0.83</v>
      </c>
      <c r="J726" s="70">
        <v>2.4700000000000002</v>
      </c>
      <c r="K726" s="69"/>
      <c r="L726" s="69"/>
      <c r="M726" s="69" t="s">
        <v>958</v>
      </c>
      <c r="N726" s="69">
        <v>2011</v>
      </c>
      <c r="O726" s="69" t="s">
        <v>585</v>
      </c>
      <c r="P726" s="69">
        <v>691220</v>
      </c>
      <c r="Q726" s="92" t="s">
        <v>740</v>
      </c>
      <c r="R726" s="92" t="s">
        <v>227</v>
      </c>
      <c r="S726" s="92"/>
    </row>
    <row r="727" spans="1:19" x14ac:dyDescent="0.2">
      <c r="A727" s="92" t="s">
        <v>161</v>
      </c>
      <c r="B727" s="69">
        <v>-3</v>
      </c>
      <c r="C727" s="69">
        <v>0</v>
      </c>
      <c r="D727" s="69">
        <v>13</v>
      </c>
      <c r="E727" s="69">
        <v>5</v>
      </c>
      <c r="F727" s="69">
        <v>-3</v>
      </c>
      <c r="G727" s="69">
        <v>14</v>
      </c>
      <c r="H727" s="69">
        <v>2.7</v>
      </c>
      <c r="I727" s="70">
        <v>0.83</v>
      </c>
      <c r="J727" s="70">
        <v>2.52</v>
      </c>
      <c r="K727" s="69">
        <v>18.100000000000001</v>
      </c>
      <c r="L727" s="69">
        <v>-0.1</v>
      </c>
      <c r="M727" s="69" t="s">
        <v>958</v>
      </c>
      <c r="N727" s="69">
        <v>2002</v>
      </c>
      <c r="O727" s="69" t="s">
        <v>585</v>
      </c>
      <c r="P727" s="69">
        <v>442483</v>
      </c>
      <c r="Q727" s="92" t="s">
        <v>943</v>
      </c>
      <c r="R727" s="92" t="s">
        <v>157</v>
      </c>
      <c r="S727" s="92"/>
    </row>
    <row r="728" spans="1:19" x14ac:dyDescent="0.2">
      <c r="A728" s="92" t="s">
        <v>1080</v>
      </c>
      <c r="B728" s="69">
        <v>2</v>
      </c>
      <c r="C728" s="69">
        <v>1</v>
      </c>
      <c r="D728" s="69">
        <v>2</v>
      </c>
      <c r="E728" s="69">
        <v>6</v>
      </c>
      <c r="F728" s="69"/>
      <c r="G728" s="69"/>
      <c r="H728" s="69"/>
      <c r="I728" s="70">
        <v>0.83</v>
      </c>
      <c r="J728" s="70">
        <v>2.08</v>
      </c>
      <c r="K728" s="69"/>
      <c r="L728" s="69"/>
      <c r="M728" s="69" t="s">
        <v>958</v>
      </c>
      <c r="N728" s="69">
        <v>2012</v>
      </c>
      <c r="O728" s="69" t="s">
        <v>585</v>
      </c>
      <c r="P728" s="69">
        <v>187898</v>
      </c>
      <c r="Q728" s="92" t="s">
        <v>518</v>
      </c>
      <c r="R728" s="92" t="s">
        <v>227</v>
      </c>
      <c r="S728" s="92"/>
    </row>
    <row r="729" spans="1:19" x14ac:dyDescent="0.2">
      <c r="A729" s="92" t="s">
        <v>159</v>
      </c>
      <c r="B729" s="69">
        <v>-13</v>
      </c>
      <c r="C729" s="69">
        <v>-2</v>
      </c>
      <c r="D729" s="69">
        <v>12</v>
      </c>
      <c r="E729" s="69">
        <v>-3</v>
      </c>
      <c r="F729" s="69">
        <v>-13</v>
      </c>
      <c r="G729" s="69">
        <v>21</v>
      </c>
      <c r="H729" s="69">
        <v>3.8</v>
      </c>
      <c r="I729" s="70">
        <v>0.83</v>
      </c>
      <c r="J729" s="70">
        <v>2.5099999999999998</v>
      </c>
      <c r="K729" s="69">
        <v>24.4</v>
      </c>
      <c r="L729" s="69">
        <v>-0.2</v>
      </c>
      <c r="M729" s="69" t="s">
        <v>958</v>
      </c>
      <c r="N729" s="69">
        <v>2002</v>
      </c>
      <c r="O729" s="69" t="s">
        <v>585</v>
      </c>
      <c r="P729" s="69">
        <v>834788</v>
      </c>
      <c r="Q729" s="92" t="s">
        <v>943</v>
      </c>
      <c r="R729" s="92" t="s">
        <v>276</v>
      </c>
      <c r="S729" s="92"/>
    </row>
    <row r="730" spans="1:19" x14ac:dyDescent="0.2">
      <c r="A730" s="92" t="s">
        <v>765</v>
      </c>
      <c r="B730" s="69">
        <v>19</v>
      </c>
      <c r="C730" s="69">
        <v>3</v>
      </c>
      <c r="D730" s="69">
        <v>10</v>
      </c>
      <c r="E730" s="69">
        <v>33</v>
      </c>
      <c r="F730" s="69">
        <v>45</v>
      </c>
      <c r="G730" s="69">
        <v>44</v>
      </c>
      <c r="H730" s="69">
        <v>7.6</v>
      </c>
      <c r="I730" s="70">
        <v>0.83</v>
      </c>
      <c r="J730" s="70">
        <v>2.09</v>
      </c>
      <c r="K730" s="69">
        <v>11.3</v>
      </c>
      <c r="L730" s="69">
        <v>1</v>
      </c>
      <c r="M730" s="69" t="s">
        <v>960</v>
      </c>
      <c r="N730" s="69">
        <v>2004</v>
      </c>
      <c r="O730" s="69" t="s">
        <v>485</v>
      </c>
      <c r="P730" s="69">
        <v>252353</v>
      </c>
      <c r="Q730" s="92" t="s">
        <v>588</v>
      </c>
      <c r="R730" s="92" t="s">
        <v>207</v>
      </c>
      <c r="S730" s="92"/>
    </row>
    <row r="731" spans="1:19" x14ac:dyDescent="0.2">
      <c r="A731" s="92" t="s">
        <v>457</v>
      </c>
      <c r="B731" s="69">
        <v>13</v>
      </c>
      <c r="C731" s="69">
        <v>7</v>
      </c>
      <c r="D731" s="69">
        <v>17</v>
      </c>
      <c r="E731" s="69">
        <v>20</v>
      </c>
      <c r="F731" s="69">
        <v>23</v>
      </c>
      <c r="G731" s="69">
        <v>31</v>
      </c>
      <c r="H731" s="69">
        <v>5.5</v>
      </c>
      <c r="I731" s="70">
        <v>0.84</v>
      </c>
      <c r="J731" s="70">
        <v>2.33</v>
      </c>
      <c r="K731" s="69">
        <v>10.6</v>
      </c>
      <c r="L731" s="69">
        <v>0.5</v>
      </c>
      <c r="M731" s="69" t="s">
        <v>968</v>
      </c>
      <c r="N731" s="69">
        <v>2001</v>
      </c>
      <c r="O731" s="69" t="s">
        <v>485</v>
      </c>
      <c r="P731" s="69">
        <v>166173</v>
      </c>
      <c r="Q731" s="92" t="s">
        <v>636</v>
      </c>
      <c r="R731" s="92" t="s">
        <v>98</v>
      </c>
      <c r="S731" s="92"/>
    </row>
    <row r="732" spans="1:19" x14ac:dyDescent="0.2">
      <c r="A732" s="92" t="s">
        <v>193</v>
      </c>
      <c r="B732" s="69">
        <v>8</v>
      </c>
      <c r="C732" s="69">
        <v>2</v>
      </c>
      <c r="D732" s="69">
        <v>5</v>
      </c>
      <c r="E732" s="69">
        <v>20</v>
      </c>
      <c r="F732" s="69">
        <v>61</v>
      </c>
      <c r="G732" s="69">
        <v>40</v>
      </c>
      <c r="H732" s="69">
        <v>7</v>
      </c>
      <c r="I732" s="70">
        <v>0.84</v>
      </c>
      <c r="J732" s="70">
        <v>2.13</v>
      </c>
      <c r="K732" s="69">
        <v>9.6</v>
      </c>
      <c r="L732" s="69">
        <v>1.4</v>
      </c>
      <c r="M732" s="69" t="s">
        <v>960</v>
      </c>
      <c r="N732" s="69">
        <v>2002</v>
      </c>
      <c r="O732" s="69" t="s">
        <v>485</v>
      </c>
      <c r="P732" s="69">
        <v>579722</v>
      </c>
      <c r="Q732" s="92" t="s">
        <v>588</v>
      </c>
      <c r="R732" s="92" t="s">
        <v>59</v>
      </c>
      <c r="S732" s="92"/>
    </row>
    <row r="733" spans="1:19" x14ac:dyDescent="0.2">
      <c r="A733" s="92" t="s">
        <v>722</v>
      </c>
      <c r="B733" s="69">
        <v>21</v>
      </c>
      <c r="C733" s="69">
        <v>12</v>
      </c>
      <c r="D733" s="69">
        <v>27</v>
      </c>
      <c r="E733" s="69">
        <v>24</v>
      </c>
      <c r="F733" s="69"/>
      <c r="G733" s="69"/>
      <c r="H733" s="69"/>
      <c r="I733" s="70">
        <v>0.84</v>
      </c>
      <c r="J733" s="70">
        <v>3.17</v>
      </c>
      <c r="K733" s="69"/>
      <c r="L733" s="69"/>
      <c r="M733" s="69" t="s">
        <v>958</v>
      </c>
      <c r="N733" s="69">
        <v>2011</v>
      </c>
      <c r="O733" s="69" t="s">
        <v>485</v>
      </c>
      <c r="P733" s="69">
        <v>391839</v>
      </c>
      <c r="Q733" s="92" t="s">
        <v>720</v>
      </c>
      <c r="R733" s="92" t="s">
        <v>121</v>
      </c>
      <c r="S733" s="92"/>
    </row>
    <row r="734" spans="1:19" x14ac:dyDescent="0.2">
      <c r="A734" s="92" t="s">
        <v>73</v>
      </c>
      <c r="B734" s="69">
        <v>6</v>
      </c>
      <c r="C734" s="69">
        <v>5</v>
      </c>
      <c r="D734" s="69">
        <v>7</v>
      </c>
      <c r="E734" s="69">
        <v>18</v>
      </c>
      <c r="F734" s="69">
        <v>92</v>
      </c>
      <c r="G734" s="69">
        <v>97</v>
      </c>
      <c r="H734" s="69">
        <v>14.6</v>
      </c>
      <c r="I734" s="70">
        <v>0.84</v>
      </c>
      <c r="J734" s="70">
        <v>2.13</v>
      </c>
      <c r="K734" s="69">
        <v>11.2</v>
      </c>
      <c r="L734" s="69">
        <v>1.7</v>
      </c>
      <c r="M734" s="69" t="s">
        <v>968</v>
      </c>
      <c r="N734" s="69">
        <v>2004</v>
      </c>
      <c r="O734" s="69" t="s">
        <v>485</v>
      </c>
      <c r="P734" s="69">
        <v>107201</v>
      </c>
      <c r="Q734" s="92" t="s">
        <v>755</v>
      </c>
      <c r="R734" s="92" t="s">
        <v>72</v>
      </c>
      <c r="S734" s="92"/>
    </row>
    <row r="735" spans="1:19" x14ac:dyDescent="0.2">
      <c r="A735" s="92" t="s">
        <v>815</v>
      </c>
      <c r="B735" s="69">
        <v>6</v>
      </c>
      <c r="C735" s="69">
        <v>2</v>
      </c>
      <c r="D735" s="69">
        <v>6</v>
      </c>
      <c r="E735" s="69">
        <v>10</v>
      </c>
      <c r="F735" s="69"/>
      <c r="G735" s="69"/>
      <c r="H735" s="69"/>
      <c r="I735" s="70">
        <v>0.84</v>
      </c>
      <c r="J735" s="70">
        <v>2.21</v>
      </c>
      <c r="K735" s="69"/>
      <c r="L735" s="69"/>
      <c r="M735" s="69" t="s">
        <v>960</v>
      </c>
      <c r="N735" s="69">
        <v>2012</v>
      </c>
      <c r="O735" s="69" t="s">
        <v>485</v>
      </c>
      <c r="P735" s="69">
        <v>799304</v>
      </c>
      <c r="Q735" s="92" t="s">
        <v>802</v>
      </c>
      <c r="R735" s="92" t="s">
        <v>478</v>
      </c>
      <c r="S735" s="92"/>
    </row>
    <row r="736" spans="1:19" x14ac:dyDescent="0.2">
      <c r="A736" s="92" t="s">
        <v>979</v>
      </c>
      <c r="B736" s="69">
        <v>-7</v>
      </c>
      <c r="C736" s="69">
        <v>1</v>
      </c>
      <c r="D736" s="69">
        <v>15</v>
      </c>
      <c r="E736" s="69">
        <v>5</v>
      </c>
      <c r="F736" s="69">
        <v>0</v>
      </c>
      <c r="G736" s="69"/>
      <c r="H736" s="69"/>
      <c r="I736" s="70">
        <v>0.85</v>
      </c>
      <c r="J736" s="70">
        <v>2.14</v>
      </c>
      <c r="K736" s="69">
        <v>21</v>
      </c>
      <c r="L736" s="69">
        <v>0</v>
      </c>
      <c r="M736" s="69" t="s">
        <v>960</v>
      </c>
      <c r="N736" s="69">
        <v>2013</v>
      </c>
      <c r="O736" s="69" t="s">
        <v>485</v>
      </c>
      <c r="P736" s="69">
        <v>125799</v>
      </c>
      <c r="Q736" s="92" t="s">
        <v>889</v>
      </c>
      <c r="R736" s="92" t="s">
        <v>276</v>
      </c>
      <c r="S736" s="92"/>
    </row>
    <row r="737" spans="1:19" x14ac:dyDescent="0.2">
      <c r="A737" s="92" t="s">
        <v>242</v>
      </c>
      <c r="B737" s="69">
        <v>22</v>
      </c>
      <c r="C737" s="69">
        <v>12</v>
      </c>
      <c r="D737" s="69">
        <v>27</v>
      </c>
      <c r="E737" s="69">
        <v>29</v>
      </c>
      <c r="F737" s="69">
        <v>20</v>
      </c>
      <c r="G737" s="69">
        <v>28</v>
      </c>
      <c r="H737" s="69">
        <v>5</v>
      </c>
      <c r="I737" s="70">
        <v>0.85</v>
      </c>
      <c r="J737" s="70">
        <v>2.39</v>
      </c>
      <c r="K737" s="69">
        <v>11.9</v>
      </c>
      <c r="L737" s="69">
        <v>0.4</v>
      </c>
      <c r="M737" s="69" t="s">
        <v>968</v>
      </c>
      <c r="N737" s="69">
        <v>2011</v>
      </c>
      <c r="O737" s="69" t="s">
        <v>485</v>
      </c>
      <c r="P737" s="69">
        <v>161687</v>
      </c>
      <c r="Q737" s="92" t="s">
        <v>636</v>
      </c>
      <c r="R737" s="92" t="s">
        <v>121</v>
      </c>
      <c r="S737" s="92"/>
    </row>
    <row r="738" spans="1:19" x14ac:dyDescent="0.2">
      <c r="A738" s="92" t="s">
        <v>751</v>
      </c>
      <c r="B738" s="69">
        <v>10</v>
      </c>
      <c r="C738" s="69">
        <v>4</v>
      </c>
      <c r="D738" s="69">
        <v>11</v>
      </c>
      <c r="E738" s="69">
        <v>17</v>
      </c>
      <c r="F738" s="69"/>
      <c r="G738" s="69"/>
      <c r="H738" s="69"/>
      <c r="I738" s="70">
        <v>0.85</v>
      </c>
      <c r="J738" s="70">
        <v>2.73</v>
      </c>
      <c r="K738" s="69"/>
      <c r="L738" s="69"/>
      <c r="M738" s="69" t="s">
        <v>958</v>
      </c>
      <c r="N738" s="69">
        <v>2012</v>
      </c>
      <c r="O738" s="69" t="s">
        <v>485</v>
      </c>
      <c r="P738" s="69">
        <v>982116</v>
      </c>
      <c r="Q738" s="92" t="s">
        <v>750</v>
      </c>
      <c r="R738" s="92" t="s">
        <v>227</v>
      </c>
      <c r="S738" s="92"/>
    </row>
    <row r="739" spans="1:19" x14ac:dyDescent="0.2">
      <c r="A739" s="92" t="s">
        <v>857</v>
      </c>
      <c r="B739" s="69">
        <v>-7</v>
      </c>
      <c r="C739" s="69">
        <v>1</v>
      </c>
      <c r="D739" s="69">
        <v>16</v>
      </c>
      <c r="E739" s="69">
        <v>3</v>
      </c>
      <c r="F739" s="69">
        <v>1</v>
      </c>
      <c r="G739" s="69">
        <v>9</v>
      </c>
      <c r="H739" s="69">
        <v>1.7</v>
      </c>
      <c r="I739" s="70">
        <v>0.85</v>
      </c>
      <c r="J739" s="70">
        <v>2</v>
      </c>
      <c r="K739" s="69">
        <v>20.3</v>
      </c>
      <c r="L739" s="69">
        <v>0</v>
      </c>
      <c r="M739" s="69" t="s">
        <v>960</v>
      </c>
      <c r="N739" s="69">
        <v>2011</v>
      </c>
      <c r="O739" s="69" t="s">
        <v>485</v>
      </c>
      <c r="P739" s="69">
        <v>949941</v>
      </c>
      <c r="Q739" s="92" t="s">
        <v>347</v>
      </c>
      <c r="R739" s="92" t="s">
        <v>157</v>
      </c>
      <c r="S739" s="92" t="s">
        <v>959</v>
      </c>
    </row>
    <row r="740" spans="1:19" x14ac:dyDescent="0.2">
      <c r="A740" s="92" t="s">
        <v>833</v>
      </c>
      <c r="B740" s="69">
        <v>19</v>
      </c>
      <c r="C740" s="69">
        <v>12</v>
      </c>
      <c r="D740" s="69">
        <v>26</v>
      </c>
      <c r="E740" s="69">
        <v>22</v>
      </c>
      <c r="F740" s="69">
        <v>19</v>
      </c>
      <c r="G740" s="69"/>
      <c r="H740" s="69"/>
      <c r="I740" s="70">
        <v>0.85</v>
      </c>
      <c r="J740" s="70">
        <v>2.14</v>
      </c>
      <c r="K740" s="69">
        <v>12.4</v>
      </c>
      <c r="L740" s="69">
        <v>0.4</v>
      </c>
      <c r="M740" s="69" t="s">
        <v>960</v>
      </c>
      <c r="N740" s="69">
        <v>2012</v>
      </c>
      <c r="O740" s="69" t="s">
        <v>485</v>
      </c>
      <c r="P740" s="69">
        <v>533919</v>
      </c>
      <c r="Q740" s="92" t="s">
        <v>12</v>
      </c>
      <c r="R740" s="92" t="s">
        <v>121</v>
      </c>
      <c r="S740" s="92"/>
    </row>
    <row r="741" spans="1:19" x14ac:dyDescent="0.2">
      <c r="A741" s="92" t="s">
        <v>213</v>
      </c>
      <c r="B741" s="69">
        <v>22</v>
      </c>
      <c r="C741" s="69">
        <v>4</v>
      </c>
      <c r="D741" s="69">
        <v>13</v>
      </c>
      <c r="E741" s="69">
        <v>36</v>
      </c>
      <c r="F741" s="69">
        <v>52</v>
      </c>
      <c r="G741" s="69">
        <v>51</v>
      </c>
      <c r="H741" s="69">
        <v>8.6</v>
      </c>
      <c r="I741" s="70">
        <v>0.85</v>
      </c>
      <c r="J741" s="70">
        <v>2.15</v>
      </c>
      <c r="K741" s="69">
        <v>11.8</v>
      </c>
      <c r="L741" s="69">
        <v>1.1000000000000001</v>
      </c>
      <c r="M741" s="69" t="s">
        <v>960</v>
      </c>
      <c r="N741" s="69">
        <v>2004</v>
      </c>
      <c r="O741" s="69" t="s">
        <v>485</v>
      </c>
      <c r="P741" s="69">
        <v>665315</v>
      </c>
      <c r="Q741" s="92" t="s">
        <v>755</v>
      </c>
      <c r="R741" s="92" t="s">
        <v>207</v>
      </c>
      <c r="S741" s="92"/>
    </row>
    <row r="742" spans="1:19" x14ac:dyDescent="0.2">
      <c r="A742" s="92" t="s">
        <v>536</v>
      </c>
      <c r="B742" s="69">
        <v>8</v>
      </c>
      <c r="C742" s="69">
        <v>-3</v>
      </c>
      <c r="D742" s="69">
        <v>1</v>
      </c>
      <c r="E742" s="69">
        <v>26</v>
      </c>
      <c r="F742" s="69">
        <v>64</v>
      </c>
      <c r="G742" s="69">
        <v>75</v>
      </c>
      <c r="H742" s="69">
        <v>11.8</v>
      </c>
      <c r="I742" s="70">
        <v>0.85</v>
      </c>
      <c r="J742" s="70">
        <v>2.15</v>
      </c>
      <c r="K742" s="69">
        <v>12</v>
      </c>
      <c r="L742" s="69">
        <v>1.2</v>
      </c>
      <c r="M742" s="69" t="s">
        <v>960</v>
      </c>
      <c r="N742" s="69">
        <v>2004</v>
      </c>
      <c r="O742" s="69" t="s">
        <v>485</v>
      </c>
      <c r="P742" s="69">
        <v>920371</v>
      </c>
      <c r="Q742" s="92" t="s">
        <v>755</v>
      </c>
      <c r="R742" s="92" t="s">
        <v>65</v>
      </c>
      <c r="S742" s="92"/>
    </row>
    <row r="743" spans="1:19" x14ac:dyDescent="0.2">
      <c r="A743" s="92" t="s">
        <v>832</v>
      </c>
      <c r="B743" s="69">
        <v>10</v>
      </c>
      <c r="C743" s="69">
        <v>4</v>
      </c>
      <c r="D743" s="69">
        <v>9</v>
      </c>
      <c r="E743" s="69">
        <v>15</v>
      </c>
      <c r="F743" s="69">
        <v>17</v>
      </c>
      <c r="G743" s="69">
        <v>34</v>
      </c>
      <c r="H743" s="69">
        <v>6.1</v>
      </c>
      <c r="I743" s="70">
        <v>0.85</v>
      </c>
      <c r="J743" s="70">
        <v>2.15</v>
      </c>
      <c r="K743" s="69">
        <v>6.3</v>
      </c>
      <c r="L743" s="69">
        <v>0.6</v>
      </c>
      <c r="M743" s="69" t="s">
        <v>960</v>
      </c>
      <c r="N743" s="69">
        <v>2012</v>
      </c>
      <c r="O743" s="69" t="s">
        <v>485</v>
      </c>
      <c r="P743" s="69">
        <v>717314</v>
      </c>
      <c r="Q743" s="92" t="s">
        <v>12</v>
      </c>
      <c r="R743" s="92" t="s">
        <v>227</v>
      </c>
      <c r="S743" s="92"/>
    </row>
    <row r="744" spans="1:19" x14ac:dyDescent="0.2">
      <c r="A744" s="92" t="s">
        <v>927</v>
      </c>
      <c r="B744" s="69">
        <v>29</v>
      </c>
      <c r="C744" s="69">
        <v>21</v>
      </c>
      <c r="D744" s="69">
        <v>40</v>
      </c>
      <c r="E744" s="69">
        <v>31</v>
      </c>
      <c r="F744" s="69">
        <v>-3</v>
      </c>
      <c r="G744" s="69"/>
      <c r="H744" s="69"/>
      <c r="I744" s="70">
        <v>0.86</v>
      </c>
      <c r="J744" s="70">
        <v>2.1800000000000002</v>
      </c>
      <c r="K744" s="69">
        <v>21</v>
      </c>
      <c r="L744" s="69">
        <v>0</v>
      </c>
      <c r="M744" s="69" t="s">
        <v>960</v>
      </c>
      <c r="N744" s="69">
        <v>2013</v>
      </c>
      <c r="O744" s="69" t="s">
        <v>485</v>
      </c>
      <c r="P744" s="69">
        <v>825398</v>
      </c>
      <c r="Q744" s="92" t="s">
        <v>1096</v>
      </c>
      <c r="R744" s="92" t="s">
        <v>180</v>
      </c>
      <c r="S744" s="92"/>
    </row>
    <row r="745" spans="1:19" x14ac:dyDescent="0.2">
      <c r="A745" s="92" t="s">
        <v>752</v>
      </c>
      <c r="B745" s="69">
        <v>12</v>
      </c>
      <c r="C745" s="69">
        <v>5</v>
      </c>
      <c r="D745" s="69">
        <v>13</v>
      </c>
      <c r="E745" s="69">
        <v>21</v>
      </c>
      <c r="F745" s="69"/>
      <c r="G745" s="69"/>
      <c r="H745" s="69"/>
      <c r="I745" s="70">
        <v>0.86</v>
      </c>
      <c r="J745" s="70">
        <v>2.75</v>
      </c>
      <c r="K745" s="69"/>
      <c r="L745" s="69"/>
      <c r="M745" s="69" t="s">
        <v>958</v>
      </c>
      <c r="N745" s="69">
        <v>2012</v>
      </c>
      <c r="O745" s="69" t="s">
        <v>485</v>
      </c>
      <c r="P745" s="69">
        <v>946285</v>
      </c>
      <c r="Q745" s="92" t="s">
        <v>750</v>
      </c>
      <c r="R745" s="92" t="s">
        <v>227</v>
      </c>
      <c r="S745" s="92"/>
    </row>
    <row r="746" spans="1:19" x14ac:dyDescent="0.2">
      <c r="A746" s="92" t="s">
        <v>249</v>
      </c>
      <c r="B746" s="69">
        <v>19</v>
      </c>
      <c r="C746" s="69">
        <v>11</v>
      </c>
      <c r="D746" s="69">
        <v>15</v>
      </c>
      <c r="E746" s="69">
        <v>18</v>
      </c>
      <c r="F746" s="69">
        <v>-4</v>
      </c>
      <c r="G746" s="69">
        <v>7</v>
      </c>
      <c r="H746" s="69">
        <v>1.5</v>
      </c>
      <c r="I746" s="70">
        <v>0.86</v>
      </c>
      <c r="J746" s="70">
        <v>2.37</v>
      </c>
      <c r="K746" s="69">
        <v>13.6</v>
      </c>
      <c r="L746" s="69">
        <v>-0.1</v>
      </c>
      <c r="M746" s="69" t="s">
        <v>968</v>
      </c>
      <c r="N746" s="69">
        <v>2011</v>
      </c>
      <c r="O746" s="69" t="s">
        <v>485</v>
      </c>
      <c r="P746" s="69">
        <v>918367</v>
      </c>
      <c r="Q746" s="92" t="s">
        <v>636</v>
      </c>
      <c r="R746" s="92" t="s">
        <v>207</v>
      </c>
      <c r="S746" s="92"/>
    </row>
    <row r="747" spans="1:19" x14ac:dyDescent="0.2">
      <c r="A747" s="92" t="s">
        <v>102</v>
      </c>
      <c r="B747" s="69">
        <v>44</v>
      </c>
      <c r="C747" s="69">
        <v>15</v>
      </c>
      <c r="D747" s="69">
        <v>42</v>
      </c>
      <c r="E747" s="69">
        <v>75</v>
      </c>
      <c r="F747" s="69">
        <v>26</v>
      </c>
      <c r="G747" s="69">
        <v>26</v>
      </c>
      <c r="H747" s="69">
        <v>4.7</v>
      </c>
      <c r="I747" s="70">
        <v>0.87</v>
      </c>
      <c r="J747" s="70">
        <v>2.21</v>
      </c>
      <c r="K747" s="69">
        <v>20.7</v>
      </c>
      <c r="L747" s="69">
        <v>0.4</v>
      </c>
      <c r="M747" s="69" t="s">
        <v>960</v>
      </c>
      <c r="N747" s="69">
        <v>2003</v>
      </c>
      <c r="O747" s="69" t="s">
        <v>485</v>
      </c>
      <c r="P747" s="69">
        <v>220186</v>
      </c>
      <c r="Q747" s="92" t="s">
        <v>334</v>
      </c>
      <c r="R747" s="92" t="s">
        <v>180</v>
      </c>
      <c r="S747" s="92"/>
    </row>
    <row r="748" spans="1:19" x14ac:dyDescent="0.2">
      <c r="A748" s="92" t="s">
        <v>160</v>
      </c>
      <c r="B748" s="69">
        <v>-5</v>
      </c>
      <c r="C748" s="69">
        <v>1</v>
      </c>
      <c r="D748" s="69">
        <v>10</v>
      </c>
      <c r="E748" s="69">
        <v>-1</v>
      </c>
      <c r="F748" s="69">
        <v>-32</v>
      </c>
      <c r="G748" s="69">
        <v>-3</v>
      </c>
      <c r="H748" s="69">
        <v>-0.7</v>
      </c>
      <c r="I748" s="70">
        <v>0.87</v>
      </c>
      <c r="J748" s="70">
        <v>2.21</v>
      </c>
      <c r="K748" s="69">
        <v>24.1</v>
      </c>
      <c r="L748" s="69">
        <v>-0.5</v>
      </c>
      <c r="M748" s="69" t="s">
        <v>960</v>
      </c>
      <c r="N748" s="69">
        <v>2002</v>
      </c>
      <c r="O748" s="69" t="s">
        <v>485</v>
      </c>
      <c r="P748" s="69">
        <v>396325</v>
      </c>
      <c r="Q748" s="92" t="s">
        <v>334</v>
      </c>
      <c r="R748" s="92" t="s">
        <v>276</v>
      </c>
      <c r="S748" s="92"/>
    </row>
    <row r="749" spans="1:19" x14ac:dyDescent="0.2">
      <c r="A749" s="92" t="s">
        <v>723</v>
      </c>
      <c r="B749" s="69">
        <v>15</v>
      </c>
      <c r="C749" s="69">
        <v>7</v>
      </c>
      <c r="D749" s="69">
        <v>17</v>
      </c>
      <c r="E749" s="69">
        <v>22</v>
      </c>
      <c r="F749" s="69">
        <v>42</v>
      </c>
      <c r="G749" s="69">
        <v>55</v>
      </c>
      <c r="H749" s="69">
        <v>9.1999999999999993</v>
      </c>
      <c r="I749" s="70">
        <v>0.87</v>
      </c>
      <c r="J749" s="70">
        <v>2.48</v>
      </c>
      <c r="K749" s="69">
        <v>9.4</v>
      </c>
      <c r="L749" s="69">
        <v>1.2</v>
      </c>
      <c r="M749" s="69" t="s">
        <v>958</v>
      </c>
      <c r="N749" s="69">
        <v>2011</v>
      </c>
      <c r="O749" s="69" t="s">
        <v>585</v>
      </c>
      <c r="P749" s="69">
        <v>374835</v>
      </c>
      <c r="Q749" s="92" t="s">
        <v>1088</v>
      </c>
      <c r="R749" s="92" t="s">
        <v>109</v>
      </c>
      <c r="S749" s="92"/>
    </row>
    <row r="750" spans="1:19" x14ac:dyDescent="0.2">
      <c r="A750" s="92" t="s">
        <v>538</v>
      </c>
      <c r="B750" s="69">
        <v>8</v>
      </c>
      <c r="C750" s="69">
        <v>0</v>
      </c>
      <c r="D750" s="69">
        <v>3</v>
      </c>
      <c r="E750" s="69">
        <v>23</v>
      </c>
      <c r="F750" s="69">
        <v>68</v>
      </c>
      <c r="G750" s="69">
        <v>83</v>
      </c>
      <c r="H750" s="69">
        <v>12.9</v>
      </c>
      <c r="I750" s="70">
        <v>0.87</v>
      </c>
      <c r="J750" s="70">
        <v>2.2000000000000002</v>
      </c>
      <c r="K750" s="69">
        <v>11.2</v>
      </c>
      <c r="L750" s="69">
        <v>1.4</v>
      </c>
      <c r="M750" s="69" t="s">
        <v>960</v>
      </c>
      <c r="N750" s="69">
        <v>2007</v>
      </c>
      <c r="O750" s="69" t="s">
        <v>485</v>
      </c>
      <c r="P750" s="69">
        <v>904490</v>
      </c>
      <c r="Q750" s="92" t="s">
        <v>773</v>
      </c>
      <c r="R750" s="92" t="s">
        <v>65</v>
      </c>
      <c r="S750" s="92"/>
    </row>
    <row r="751" spans="1:19" x14ac:dyDescent="0.2">
      <c r="A751" s="92" t="s">
        <v>1078</v>
      </c>
      <c r="B751" s="69">
        <v>5</v>
      </c>
      <c r="C751" s="69">
        <v>5</v>
      </c>
      <c r="D751" s="69">
        <v>6</v>
      </c>
      <c r="E751" s="69">
        <v>2</v>
      </c>
      <c r="F751" s="69">
        <v>10</v>
      </c>
      <c r="G751" s="69"/>
      <c r="H751" s="69"/>
      <c r="I751" s="70">
        <v>0.87</v>
      </c>
      <c r="J751" s="70">
        <v>2.23</v>
      </c>
      <c r="K751" s="69">
        <v>4.5</v>
      </c>
      <c r="L751" s="69">
        <v>0.4</v>
      </c>
      <c r="M751" s="69" t="s">
        <v>958</v>
      </c>
      <c r="N751" s="69">
        <v>2011</v>
      </c>
      <c r="O751" s="69" t="s">
        <v>485</v>
      </c>
      <c r="P751" s="69">
        <v>272831</v>
      </c>
      <c r="Q751" s="92" t="s">
        <v>336</v>
      </c>
      <c r="R751" s="92" t="s">
        <v>109</v>
      </c>
      <c r="S751" s="92"/>
    </row>
    <row r="752" spans="1:19" x14ac:dyDescent="0.2">
      <c r="A752" s="92" t="s">
        <v>181</v>
      </c>
      <c r="B752" s="69">
        <v>28</v>
      </c>
      <c r="C752" s="69">
        <v>21</v>
      </c>
      <c r="D752" s="69">
        <v>41</v>
      </c>
      <c r="E752" s="69">
        <v>30</v>
      </c>
      <c r="F752" s="69">
        <v>-13</v>
      </c>
      <c r="G752" s="69">
        <v>1</v>
      </c>
      <c r="H752" s="69">
        <v>0.2</v>
      </c>
      <c r="I752" s="70">
        <v>0.87</v>
      </c>
      <c r="J752" s="70">
        <v>2.2000000000000002</v>
      </c>
      <c r="K752" s="69">
        <v>20.8</v>
      </c>
      <c r="L752" s="69">
        <v>-0.2</v>
      </c>
      <c r="M752" s="69" t="s">
        <v>960</v>
      </c>
      <c r="N752" s="69">
        <v>2005</v>
      </c>
      <c r="O752" s="69" t="s">
        <v>485</v>
      </c>
      <c r="P752" s="69">
        <v>135129</v>
      </c>
      <c r="Q752" s="92" t="s">
        <v>334</v>
      </c>
      <c r="R752" s="92" t="s">
        <v>180</v>
      </c>
      <c r="S752" s="92"/>
    </row>
    <row r="753" spans="1:19" x14ac:dyDescent="0.2">
      <c r="A753" s="92" t="s">
        <v>103</v>
      </c>
      <c r="B753" s="69">
        <v>13</v>
      </c>
      <c r="C753" s="69">
        <v>18</v>
      </c>
      <c r="D753" s="69">
        <v>21</v>
      </c>
      <c r="E753" s="69">
        <v>16</v>
      </c>
      <c r="F753" s="69">
        <v>20</v>
      </c>
      <c r="G753" s="69">
        <v>-1</v>
      </c>
      <c r="H753" s="69">
        <v>-0.2</v>
      </c>
      <c r="I753" s="70">
        <v>0.87</v>
      </c>
      <c r="J753" s="70">
        <v>2.21</v>
      </c>
      <c r="K753" s="69">
        <v>19.2</v>
      </c>
      <c r="L753" s="69">
        <v>0.3</v>
      </c>
      <c r="M753" s="69" t="s">
        <v>960</v>
      </c>
      <c r="N753" s="69">
        <v>2002</v>
      </c>
      <c r="O753" s="69" t="s">
        <v>485</v>
      </c>
      <c r="P753" s="69">
        <v>118182</v>
      </c>
      <c r="Q753" s="92" t="s">
        <v>334</v>
      </c>
      <c r="R753" s="92" t="s">
        <v>275</v>
      </c>
      <c r="S753" s="92"/>
    </row>
    <row r="754" spans="1:19" x14ac:dyDescent="0.2">
      <c r="A754" s="92" t="s">
        <v>1131</v>
      </c>
      <c r="B754" s="69">
        <v>19</v>
      </c>
      <c r="C754" s="69">
        <v>11</v>
      </c>
      <c r="D754" s="69">
        <v>24</v>
      </c>
      <c r="E754" s="69">
        <v>26</v>
      </c>
      <c r="F754" s="69">
        <v>5</v>
      </c>
      <c r="G754" s="69"/>
      <c r="H754" s="69"/>
      <c r="I754" s="70">
        <v>0.87</v>
      </c>
      <c r="J754" s="70">
        <v>2.2200000000000002</v>
      </c>
      <c r="K754" s="69">
        <v>14.6</v>
      </c>
      <c r="L754" s="69">
        <v>0</v>
      </c>
      <c r="M754" s="69" t="s">
        <v>960</v>
      </c>
      <c r="N754" s="69">
        <v>2013</v>
      </c>
      <c r="O754" s="69" t="s">
        <v>485</v>
      </c>
      <c r="P754" s="69">
        <v>745828</v>
      </c>
      <c r="Q754" s="92" t="s">
        <v>334</v>
      </c>
      <c r="R754" s="92" t="s">
        <v>121</v>
      </c>
      <c r="S754" s="92"/>
    </row>
    <row r="755" spans="1:19" x14ac:dyDescent="0.2">
      <c r="A755" s="92" t="s">
        <v>668</v>
      </c>
      <c r="B755" s="69">
        <v>5</v>
      </c>
      <c r="C755" s="69">
        <v>-2</v>
      </c>
      <c r="D755" s="69">
        <v>3</v>
      </c>
      <c r="E755" s="69">
        <v>12</v>
      </c>
      <c r="F755" s="69">
        <v>16</v>
      </c>
      <c r="G755" s="69">
        <v>11</v>
      </c>
      <c r="H755" s="69">
        <v>2.2000000000000002</v>
      </c>
      <c r="I755" s="70">
        <v>0.87</v>
      </c>
      <c r="J755" s="70">
        <v>2.21</v>
      </c>
      <c r="K755" s="69">
        <v>10</v>
      </c>
      <c r="L755" s="69">
        <v>0.4</v>
      </c>
      <c r="M755" s="69" t="s">
        <v>958</v>
      </c>
      <c r="N755" s="69">
        <v>2009</v>
      </c>
      <c r="O755" s="69" t="s">
        <v>585</v>
      </c>
      <c r="P755" s="69">
        <v>592295</v>
      </c>
      <c r="Q755" s="92" t="s">
        <v>544</v>
      </c>
      <c r="R755" s="92" t="s">
        <v>218</v>
      </c>
      <c r="S755" s="92"/>
    </row>
    <row r="756" spans="1:19" x14ac:dyDescent="0.2">
      <c r="A756" s="92" t="s">
        <v>458</v>
      </c>
      <c r="B756" s="69">
        <v>20</v>
      </c>
      <c r="C756" s="69">
        <v>14</v>
      </c>
      <c r="D756" s="69">
        <v>23</v>
      </c>
      <c r="E756" s="69">
        <v>27</v>
      </c>
      <c r="F756" s="69">
        <v>45</v>
      </c>
      <c r="G756" s="69">
        <v>45</v>
      </c>
      <c r="H756" s="69">
        <v>7.8</v>
      </c>
      <c r="I756" s="70">
        <v>0.88</v>
      </c>
      <c r="J756" s="70">
        <v>2.3199999999999998</v>
      </c>
      <c r="K756" s="69">
        <v>12</v>
      </c>
      <c r="L756" s="69">
        <v>0.9</v>
      </c>
      <c r="M756" s="69" t="s">
        <v>968</v>
      </c>
      <c r="N756" s="69">
        <v>2006</v>
      </c>
      <c r="O756" s="69" t="s">
        <v>485</v>
      </c>
      <c r="P756" s="69">
        <v>197632</v>
      </c>
      <c r="Q756" s="92" t="s">
        <v>636</v>
      </c>
      <c r="R756" s="92" t="s">
        <v>275</v>
      </c>
      <c r="S756" s="92"/>
    </row>
    <row r="757" spans="1:19" x14ac:dyDescent="0.2">
      <c r="A757" s="92" t="s">
        <v>863</v>
      </c>
      <c r="B757" s="69">
        <v>-5</v>
      </c>
      <c r="C757" s="69">
        <v>1</v>
      </c>
      <c r="D757" s="69">
        <v>16</v>
      </c>
      <c r="E757" s="69">
        <v>1</v>
      </c>
      <c r="F757" s="69">
        <v>-16</v>
      </c>
      <c r="G757" s="69">
        <v>1</v>
      </c>
      <c r="H757" s="69">
        <v>0.3</v>
      </c>
      <c r="I757" s="70">
        <v>0.88</v>
      </c>
      <c r="J757" s="70">
        <v>2.2200000000000002</v>
      </c>
      <c r="K757" s="69">
        <v>21.6</v>
      </c>
      <c r="L757" s="69">
        <v>-0.3</v>
      </c>
      <c r="M757" s="69" t="s">
        <v>958</v>
      </c>
      <c r="N757" s="69">
        <v>2005</v>
      </c>
      <c r="O757" s="69" t="s">
        <v>585</v>
      </c>
      <c r="P757" s="69">
        <v>649491</v>
      </c>
      <c r="Q757" s="92" t="s">
        <v>853</v>
      </c>
      <c r="R757" s="92" t="s">
        <v>276</v>
      </c>
      <c r="S757" s="92"/>
    </row>
    <row r="758" spans="1:19" x14ac:dyDescent="0.2">
      <c r="A758" s="92" t="s">
        <v>748</v>
      </c>
      <c r="B758" s="69">
        <v>1</v>
      </c>
      <c r="C758" s="69">
        <v>1</v>
      </c>
      <c r="D758" s="69">
        <v>17</v>
      </c>
      <c r="E758" s="69">
        <v>7</v>
      </c>
      <c r="F758" s="69">
        <v>-4</v>
      </c>
      <c r="G758" s="69">
        <v>10</v>
      </c>
      <c r="H758" s="69">
        <v>1.9</v>
      </c>
      <c r="I758" s="70">
        <v>0.88</v>
      </c>
      <c r="J758" s="70">
        <v>2.48</v>
      </c>
      <c r="K758" s="69">
        <v>18.2</v>
      </c>
      <c r="L758" s="69">
        <v>-0.2</v>
      </c>
      <c r="M758" s="69" t="s">
        <v>960</v>
      </c>
      <c r="N758" s="69">
        <v>2011</v>
      </c>
      <c r="O758" s="69" t="s">
        <v>485</v>
      </c>
      <c r="P758" s="69">
        <v>990028</v>
      </c>
      <c r="Q758" s="92" t="s">
        <v>636</v>
      </c>
      <c r="R758" s="92" t="s">
        <v>157</v>
      </c>
      <c r="S758" s="92"/>
    </row>
    <row r="759" spans="1:19" x14ac:dyDescent="0.2">
      <c r="A759" s="92" t="s">
        <v>301</v>
      </c>
      <c r="B759" s="69">
        <v>15</v>
      </c>
      <c r="C759" s="69">
        <v>7</v>
      </c>
      <c r="D759" s="69">
        <v>13</v>
      </c>
      <c r="E759" s="69">
        <v>27</v>
      </c>
      <c r="F759" s="69">
        <v>66</v>
      </c>
      <c r="G759" s="69">
        <v>60</v>
      </c>
      <c r="H759" s="69">
        <v>9.9</v>
      </c>
      <c r="I759" s="70">
        <v>0.88</v>
      </c>
      <c r="J759" s="70">
        <v>2.2400000000000002</v>
      </c>
      <c r="K759" s="69">
        <v>7.1</v>
      </c>
      <c r="L759" s="69">
        <v>2</v>
      </c>
      <c r="M759" s="69" t="s">
        <v>960</v>
      </c>
      <c r="N759" s="69">
        <v>2008</v>
      </c>
      <c r="O759" s="69" t="s">
        <v>485</v>
      </c>
      <c r="P759" s="69">
        <v>306894</v>
      </c>
      <c r="Q759" s="92" t="s">
        <v>271</v>
      </c>
      <c r="R759" s="92" t="s">
        <v>109</v>
      </c>
      <c r="S759" s="92"/>
    </row>
    <row r="760" spans="1:19" x14ac:dyDescent="0.2">
      <c r="A760" s="92" t="s">
        <v>834</v>
      </c>
      <c r="B760" s="69">
        <v>13</v>
      </c>
      <c r="C760" s="69">
        <v>4</v>
      </c>
      <c r="D760" s="69">
        <v>11</v>
      </c>
      <c r="E760" s="69">
        <v>20</v>
      </c>
      <c r="F760" s="69">
        <v>24</v>
      </c>
      <c r="G760" s="69"/>
      <c r="H760" s="69"/>
      <c r="I760" s="70">
        <v>0.88</v>
      </c>
      <c r="J760" s="70">
        <v>2.3199999999999998</v>
      </c>
      <c r="K760" s="69">
        <v>8.1</v>
      </c>
      <c r="L760" s="69">
        <v>0.7</v>
      </c>
      <c r="M760" s="69" t="s">
        <v>960</v>
      </c>
      <c r="N760" s="69">
        <v>2012</v>
      </c>
      <c r="O760" s="69" t="s">
        <v>485</v>
      </c>
      <c r="P760" s="69">
        <v>645655</v>
      </c>
      <c r="Q760" s="92" t="s">
        <v>12</v>
      </c>
      <c r="R760" s="92" t="s">
        <v>478</v>
      </c>
      <c r="S760" s="92"/>
    </row>
    <row r="761" spans="1:19" x14ac:dyDescent="0.2">
      <c r="A761" s="92" t="s">
        <v>946</v>
      </c>
      <c r="B761" s="69">
        <v>16</v>
      </c>
      <c r="C761" s="69">
        <v>15</v>
      </c>
      <c r="D761" s="69">
        <v>21</v>
      </c>
      <c r="E761" s="69">
        <v>23</v>
      </c>
      <c r="F761" s="69"/>
      <c r="G761" s="69"/>
      <c r="H761" s="69"/>
      <c r="I761" s="70">
        <v>0.88</v>
      </c>
      <c r="J761" s="70">
        <v>2.37</v>
      </c>
      <c r="K761" s="69"/>
      <c r="L761" s="69"/>
      <c r="M761" s="69" t="s">
        <v>958</v>
      </c>
      <c r="N761" s="69">
        <v>2013</v>
      </c>
      <c r="O761" s="69" t="s">
        <v>485</v>
      </c>
      <c r="P761" s="69">
        <v>641993</v>
      </c>
      <c r="Q761" s="92" t="s">
        <v>336</v>
      </c>
      <c r="R761" s="92" t="s">
        <v>275</v>
      </c>
      <c r="S761" s="92"/>
    </row>
    <row r="762" spans="1:19" x14ac:dyDescent="0.2">
      <c r="A762" s="92" t="s">
        <v>864</v>
      </c>
      <c r="B762" s="69">
        <v>8</v>
      </c>
      <c r="C762" s="69">
        <v>0</v>
      </c>
      <c r="D762" s="69">
        <v>12</v>
      </c>
      <c r="E762" s="69">
        <v>25</v>
      </c>
      <c r="F762" s="69">
        <v>54</v>
      </c>
      <c r="G762" s="69">
        <v>68</v>
      </c>
      <c r="H762" s="69">
        <v>11</v>
      </c>
      <c r="I762" s="70">
        <v>0.88</v>
      </c>
      <c r="J762" s="70">
        <v>2.2400000000000002</v>
      </c>
      <c r="K762" s="69">
        <v>11.4</v>
      </c>
      <c r="L762" s="69">
        <v>1.1000000000000001</v>
      </c>
      <c r="M762" s="69" t="s">
        <v>960</v>
      </c>
      <c r="N762" s="69">
        <v>2010</v>
      </c>
      <c r="O762" s="69" t="s">
        <v>485</v>
      </c>
      <c r="P762" s="69">
        <v>789032</v>
      </c>
      <c r="Q762" s="92" t="s">
        <v>439</v>
      </c>
      <c r="R762" s="92" t="s">
        <v>157</v>
      </c>
      <c r="S762" s="92"/>
    </row>
    <row r="763" spans="1:19" x14ac:dyDescent="0.2">
      <c r="A763" s="92" t="s">
        <v>245</v>
      </c>
      <c r="B763" s="69">
        <v>33</v>
      </c>
      <c r="C763" s="69">
        <v>19</v>
      </c>
      <c r="D763" s="69">
        <v>5</v>
      </c>
      <c r="E763" s="69">
        <v>-3</v>
      </c>
      <c r="F763" s="69">
        <v>-58</v>
      </c>
      <c r="G763" s="69">
        <v>-46</v>
      </c>
      <c r="H763" s="69">
        <v>-11.8</v>
      </c>
      <c r="I763" s="70">
        <v>0.88</v>
      </c>
      <c r="J763" s="70">
        <v>2.4300000000000002</v>
      </c>
      <c r="K763" s="69">
        <v>31</v>
      </c>
      <c r="L763" s="69">
        <v>-0.8</v>
      </c>
      <c r="M763" s="69" t="s">
        <v>968</v>
      </c>
      <c r="N763" s="69">
        <v>2011</v>
      </c>
      <c r="O763" s="69" t="s">
        <v>485</v>
      </c>
      <c r="P763" s="69">
        <v>305003</v>
      </c>
      <c r="Q763" s="92" t="s">
        <v>636</v>
      </c>
      <c r="R763" s="92" t="s">
        <v>207</v>
      </c>
      <c r="S763" s="92"/>
    </row>
    <row r="764" spans="1:19" x14ac:dyDescent="0.2">
      <c r="A764" s="92" t="s">
        <v>878</v>
      </c>
      <c r="B764" s="69">
        <v>8</v>
      </c>
      <c r="C764" s="69">
        <v>3</v>
      </c>
      <c r="D764" s="69">
        <v>10</v>
      </c>
      <c r="E764" s="69">
        <v>12</v>
      </c>
      <c r="F764" s="69"/>
      <c r="G764" s="69"/>
      <c r="H764" s="69"/>
      <c r="I764" s="70">
        <v>0.89</v>
      </c>
      <c r="J764" s="70">
        <v>2.25</v>
      </c>
      <c r="K764" s="69"/>
      <c r="L764" s="69"/>
      <c r="M764" s="69" t="s">
        <v>958</v>
      </c>
      <c r="N764" s="69">
        <v>2012</v>
      </c>
      <c r="O764" s="69" t="s">
        <v>485</v>
      </c>
      <c r="P764" s="69">
        <v>917716</v>
      </c>
      <c r="Q764" s="92" t="s">
        <v>877</v>
      </c>
      <c r="R764" s="92" t="s">
        <v>121</v>
      </c>
      <c r="S764" s="92"/>
    </row>
    <row r="765" spans="1:19" x14ac:dyDescent="0.2">
      <c r="A765" s="92" t="s">
        <v>879</v>
      </c>
      <c r="B765" s="69">
        <v>8</v>
      </c>
      <c r="C765" s="69">
        <v>2</v>
      </c>
      <c r="D765" s="69">
        <v>9</v>
      </c>
      <c r="E765" s="69">
        <v>14</v>
      </c>
      <c r="F765" s="69"/>
      <c r="G765" s="69"/>
      <c r="H765" s="69"/>
      <c r="I765" s="70">
        <v>0.89</v>
      </c>
      <c r="J765" s="70">
        <v>2.25</v>
      </c>
      <c r="K765" s="69"/>
      <c r="L765" s="69"/>
      <c r="M765" s="69" t="s">
        <v>958</v>
      </c>
      <c r="N765" s="69">
        <v>2012</v>
      </c>
      <c r="O765" s="69" t="s">
        <v>485</v>
      </c>
      <c r="P765" s="69">
        <v>451393</v>
      </c>
      <c r="Q765" s="92" t="s">
        <v>877</v>
      </c>
      <c r="R765" s="92" t="s">
        <v>227</v>
      </c>
      <c r="S765" s="92"/>
    </row>
    <row r="766" spans="1:19" x14ac:dyDescent="0.2">
      <c r="A766" s="92" t="s">
        <v>957</v>
      </c>
      <c r="B766" s="69">
        <v>1</v>
      </c>
      <c r="C766" s="69">
        <v>-1</v>
      </c>
      <c r="D766" s="69">
        <v>0</v>
      </c>
      <c r="E766" s="69">
        <v>1</v>
      </c>
      <c r="F766" s="69">
        <v>-2</v>
      </c>
      <c r="G766" s="69">
        <v>16</v>
      </c>
      <c r="H766" s="69">
        <v>3.1</v>
      </c>
      <c r="I766" s="70">
        <v>0.9</v>
      </c>
      <c r="J766" s="70">
        <v>2.2799999999999998</v>
      </c>
      <c r="K766" s="69">
        <v>11.1</v>
      </c>
      <c r="L766" s="69">
        <v>-0.2</v>
      </c>
      <c r="M766" s="69" t="s">
        <v>960</v>
      </c>
      <c r="N766" s="69">
        <v>2010</v>
      </c>
      <c r="O766" s="69" t="s">
        <v>485</v>
      </c>
      <c r="P766" s="69">
        <v>772038</v>
      </c>
      <c r="Q766" s="92" t="s">
        <v>889</v>
      </c>
      <c r="R766" s="92" t="s">
        <v>157</v>
      </c>
      <c r="S766" s="92"/>
    </row>
    <row r="767" spans="1:19" x14ac:dyDescent="0.2">
      <c r="A767" s="92" t="s">
        <v>930</v>
      </c>
      <c r="B767" s="69">
        <v>16</v>
      </c>
      <c r="C767" s="69">
        <v>14</v>
      </c>
      <c r="D767" s="69">
        <v>25</v>
      </c>
      <c r="E767" s="69">
        <v>28</v>
      </c>
      <c r="F767" s="69">
        <v>5</v>
      </c>
      <c r="G767" s="69">
        <v>9</v>
      </c>
      <c r="H767" s="69">
        <v>1.7</v>
      </c>
      <c r="I767" s="70">
        <v>0.9</v>
      </c>
      <c r="J767" s="70">
        <v>2.29</v>
      </c>
      <c r="K767" s="69">
        <v>16.3</v>
      </c>
      <c r="L767" s="69">
        <v>0.1</v>
      </c>
      <c r="M767" s="69" t="s">
        <v>960</v>
      </c>
      <c r="N767" s="69">
        <v>2013</v>
      </c>
      <c r="O767" s="69" t="s">
        <v>485</v>
      </c>
      <c r="P767" s="69">
        <v>789560</v>
      </c>
      <c r="Q767" s="92" t="s">
        <v>1096</v>
      </c>
      <c r="R767" s="92" t="s">
        <v>121</v>
      </c>
      <c r="S767" s="92"/>
    </row>
    <row r="768" spans="1:19" x14ac:dyDescent="0.2">
      <c r="A768" s="92" t="s">
        <v>925</v>
      </c>
      <c r="B768" s="69">
        <v>15</v>
      </c>
      <c r="C768" s="69">
        <v>19</v>
      </c>
      <c r="D768" s="69">
        <v>21</v>
      </c>
      <c r="E768" s="69">
        <v>23</v>
      </c>
      <c r="F768" s="69">
        <v>35</v>
      </c>
      <c r="G768" s="69">
        <v>21</v>
      </c>
      <c r="H768" s="69">
        <v>3.9</v>
      </c>
      <c r="I768" s="70">
        <v>0.9</v>
      </c>
      <c r="J768" s="70">
        <v>2.2999999999999998</v>
      </c>
      <c r="K768" s="69">
        <v>15.5</v>
      </c>
      <c r="L768" s="69">
        <v>0.5</v>
      </c>
      <c r="M768" s="69" t="s">
        <v>968</v>
      </c>
      <c r="N768" s="69">
        <v>2013</v>
      </c>
      <c r="O768" s="69" t="s">
        <v>485</v>
      </c>
      <c r="P768" s="69">
        <v>753731</v>
      </c>
      <c r="Q768" s="92" t="s">
        <v>1096</v>
      </c>
      <c r="R768" s="92" t="s">
        <v>275</v>
      </c>
      <c r="S768" s="92"/>
    </row>
    <row r="769" spans="1:19" x14ac:dyDescent="0.2">
      <c r="A769" s="92" t="s">
        <v>661</v>
      </c>
      <c r="B769" s="69">
        <v>38</v>
      </c>
      <c r="C769" s="69">
        <v>10</v>
      </c>
      <c r="D769" s="69">
        <v>24</v>
      </c>
      <c r="E769" s="69">
        <v>60</v>
      </c>
      <c r="F769" s="69">
        <v>122</v>
      </c>
      <c r="G769" s="69">
        <v>122</v>
      </c>
      <c r="H769" s="69">
        <v>17.3</v>
      </c>
      <c r="I769" s="70">
        <v>0.9</v>
      </c>
      <c r="J769" s="70">
        <v>2.29</v>
      </c>
      <c r="K769" s="69">
        <v>13.9</v>
      </c>
      <c r="L769" s="69">
        <v>1.8</v>
      </c>
      <c r="M769" s="69" t="s">
        <v>960</v>
      </c>
      <c r="N769" s="69">
        <v>2009</v>
      </c>
      <c r="O769" s="69" t="s">
        <v>485</v>
      </c>
      <c r="P769" s="69">
        <v>541292</v>
      </c>
      <c r="Q769" s="92" t="s">
        <v>662</v>
      </c>
      <c r="R769" s="92" t="s">
        <v>121</v>
      </c>
      <c r="S769" s="92"/>
    </row>
    <row r="770" spans="1:19" x14ac:dyDescent="0.2">
      <c r="A770" s="92" t="s">
        <v>929</v>
      </c>
      <c r="B770" s="69">
        <v>36</v>
      </c>
      <c r="C770" s="69">
        <v>16</v>
      </c>
      <c r="D770" s="69">
        <v>31</v>
      </c>
      <c r="E770" s="69">
        <v>32</v>
      </c>
      <c r="F770" s="69">
        <v>74</v>
      </c>
      <c r="G770" s="69">
        <v>435</v>
      </c>
      <c r="H770" s="69">
        <v>39.9</v>
      </c>
      <c r="I770" s="70">
        <v>0.9</v>
      </c>
      <c r="J770" s="70">
        <v>2.2999999999999998</v>
      </c>
      <c r="K770" s="69">
        <v>18.7</v>
      </c>
      <c r="L770" s="69">
        <v>1</v>
      </c>
      <c r="M770" s="69" t="s">
        <v>960</v>
      </c>
      <c r="N770" s="69">
        <v>2013</v>
      </c>
      <c r="O770" s="69" t="s">
        <v>485</v>
      </c>
      <c r="P770" s="69">
        <v>395434</v>
      </c>
      <c r="Q770" s="92" t="s">
        <v>1096</v>
      </c>
      <c r="R770" s="92" t="s">
        <v>180</v>
      </c>
      <c r="S770" s="92"/>
    </row>
    <row r="771" spans="1:19" x14ac:dyDescent="0.2">
      <c r="A771" s="92" t="s">
        <v>576</v>
      </c>
      <c r="B771" s="69">
        <v>4</v>
      </c>
      <c r="C771" s="69">
        <v>2</v>
      </c>
      <c r="D771" s="69">
        <v>4</v>
      </c>
      <c r="E771" s="69">
        <v>7</v>
      </c>
      <c r="F771" s="69">
        <v>9</v>
      </c>
      <c r="G771" s="69"/>
      <c r="H771" s="69"/>
      <c r="I771" s="70">
        <v>0.9</v>
      </c>
      <c r="J771" s="70">
        <v>2.5</v>
      </c>
      <c r="K771" s="69">
        <v>5.5</v>
      </c>
      <c r="L771" s="69">
        <v>0.3</v>
      </c>
      <c r="M771" s="69" t="s">
        <v>958</v>
      </c>
      <c r="N771" s="69">
        <v>2010</v>
      </c>
      <c r="O771" s="69" t="s">
        <v>585</v>
      </c>
      <c r="P771" s="69">
        <v>590463</v>
      </c>
      <c r="Q771" s="92" t="s">
        <v>569</v>
      </c>
      <c r="R771" s="92" t="s">
        <v>227</v>
      </c>
      <c r="S771" s="92"/>
    </row>
    <row r="772" spans="1:19" x14ac:dyDescent="0.2">
      <c r="A772" s="92" t="s">
        <v>1079</v>
      </c>
      <c r="B772" s="69">
        <v>11</v>
      </c>
      <c r="C772" s="69">
        <v>6</v>
      </c>
      <c r="D772" s="69">
        <v>12</v>
      </c>
      <c r="E772" s="69"/>
      <c r="F772" s="69"/>
      <c r="G772" s="69"/>
      <c r="H772" s="69"/>
      <c r="I772" s="70">
        <v>0.9</v>
      </c>
      <c r="J772" s="70">
        <v>2.5</v>
      </c>
      <c r="K772" s="69"/>
      <c r="L772" s="69"/>
      <c r="M772" s="69" t="s">
        <v>958</v>
      </c>
      <c r="N772" s="69">
        <v>2014</v>
      </c>
      <c r="O772" s="69" t="s">
        <v>585</v>
      </c>
      <c r="P772" s="69">
        <v>910398</v>
      </c>
      <c r="Q772" s="92" t="s">
        <v>569</v>
      </c>
      <c r="R772" s="92" t="s">
        <v>227</v>
      </c>
      <c r="S772" s="92"/>
    </row>
    <row r="773" spans="1:19" x14ac:dyDescent="0.2">
      <c r="A773" s="92" t="s">
        <v>928</v>
      </c>
      <c r="B773" s="69">
        <v>21</v>
      </c>
      <c r="C773" s="69">
        <v>12</v>
      </c>
      <c r="D773" s="69">
        <v>16</v>
      </c>
      <c r="E773" s="69">
        <v>32</v>
      </c>
      <c r="F773" s="69">
        <v>31</v>
      </c>
      <c r="G773" s="69">
        <v>45</v>
      </c>
      <c r="H773" s="69">
        <v>7.8</v>
      </c>
      <c r="I773" s="70">
        <v>0.9</v>
      </c>
      <c r="J773" s="70">
        <v>2.2799999999999998</v>
      </c>
      <c r="K773" s="69">
        <v>12.4</v>
      </c>
      <c r="L773" s="69">
        <v>0.7</v>
      </c>
      <c r="M773" s="69" t="s">
        <v>960</v>
      </c>
      <c r="N773" s="69">
        <v>2013</v>
      </c>
      <c r="O773" s="69" t="s">
        <v>485</v>
      </c>
      <c r="P773" s="69">
        <v>431262</v>
      </c>
      <c r="Q773" s="92" t="s">
        <v>1096</v>
      </c>
      <c r="R773" s="92" t="s">
        <v>98</v>
      </c>
      <c r="S773" s="92"/>
    </row>
    <row r="774" spans="1:19" x14ac:dyDescent="0.2">
      <c r="A774" s="92" t="s">
        <v>459</v>
      </c>
      <c r="B774" s="69">
        <v>1</v>
      </c>
      <c r="C774" s="69">
        <v>6</v>
      </c>
      <c r="D774" s="69">
        <v>10</v>
      </c>
      <c r="E774" s="69">
        <v>5</v>
      </c>
      <c r="F774" s="69">
        <v>24</v>
      </c>
      <c r="G774" s="69">
        <v>7</v>
      </c>
      <c r="H774" s="69">
        <v>1.3</v>
      </c>
      <c r="I774" s="70">
        <v>0.91</v>
      </c>
      <c r="J774" s="70">
        <v>2.31</v>
      </c>
      <c r="K774" s="69">
        <v>12.7</v>
      </c>
      <c r="L774" s="69">
        <v>0.5</v>
      </c>
      <c r="M774" s="69" t="s">
        <v>968</v>
      </c>
      <c r="N774" s="69">
        <v>2005</v>
      </c>
      <c r="O774" s="69" t="s">
        <v>485</v>
      </c>
      <c r="P774" s="69">
        <v>282699</v>
      </c>
      <c r="Q774" s="92" t="s">
        <v>324</v>
      </c>
      <c r="R774" s="92" t="s">
        <v>170</v>
      </c>
      <c r="S774" s="92"/>
    </row>
    <row r="775" spans="1:19" x14ac:dyDescent="0.2">
      <c r="A775" s="92" t="s">
        <v>870</v>
      </c>
      <c r="B775" s="69">
        <v>9</v>
      </c>
      <c r="C775" s="69">
        <v>8</v>
      </c>
      <c r="D775" s="69">
        <v>23</v>
      </c>
      <c r="E775" s="69">
        <v>12</v>
      </c>
      <c r="F775" s="69">
        <v>-8</v>
      </c>
      <c r="G775" s="69"/>
      <c r="H775" s="69"/>
      <c r="I775" s="70">
        <v>0.91</v>
      </c>
      <c r="J775" s="70">
        <v>2.3199999999999998</v>
      </c>
      <c r="K775" s="69">
        <v>15.6</v>
      </c>
      <c r="L775" s="69">
        <v>-0.2</v>
      </c>
      <c r="M775" s="69" t="s">
        <v>958</v>
      </c>
      <c r="N775" s="69">
        <v>2010</v>
      </c>
      <c r="O775" s="69" t="s">
        <v>585</v>
      </c>
      <c r="P775" s="69">
        <v>293498</v>
      </c>
      <c r="Q775" s="92" t="s">
        <v>853</v>
      </c>
      <c r="R775" s="92" t="s">
        <v>98</v>
      </c>
      <c r="S775" s="92"/>
    </row>
    <row r="776" spans="1:19" x14ac:dyDescent="0.2">
      <c r="A776" s="92" t="s">
        <v>784</v>
      </c>
      <c r="B776" s="69">
        <v>14</v>
      </c>
      <c r="C776" s="69">
        <v>2</v>
      </c>
      <c r="D776" s="69">
        <v>19</v>
      </c>
      <c r="E776" s="69">
        <v>24</v>
      </c>
      <c r="F776" s="69">
        <v>41</v>
      </c>
      <c r="G776" s="69"/>
      <c r="H776" s="69"/>
      <c r="I776" s="70">
        <v>0.92</v>
      </c>
      <c r="J776" s="70">
        <v>2.36</v>
      </c>
      <c r="K776" s="69">
        <v>12</v>
      </c>
      <c r="L776" s="69">
        <v>0.8</v>
      </c>
      <c r="M776" s="69" t="s">
        <v>960</v>
      </c>
      <c r="N776" s="69">
        <v>2012</v>
      </c>
      <c r="O776" s="69" t="s">
        <v>485</v>
      </c>
      <c r="P776" s="69">
        <v>666313</v>
      </c>
      <c r="Q776" s="92" t="s">
        <v>785</v>
      </c>
      <c r="R776" s="92" t="s">
        <v>157</v>
      </c>
      <c r="S776" s="92" t="s">
        <v>959</v>
      </c>
    </row>
    <row r="777" spans="1:19" x14ac:dyDescent="0.2">
      <c r="A777" s="92" t="s">
        <v>749</v>
      </c>
      <c r="B777" s="69">
        <v>6</v>
      </c>
      <c r="C777" s="69">
        <v>-2</v>
      </c>
      <c r="D777" s="69">
        <v>2</v>
      </c>
      <c r="E777" s="69">
        <v>19</v>
      </c>
      <c r="F777" s="69"/>
      <c r="G777" s="69"/>
      <c r="H777" s="69"/>
      <c r="I777" s="70">
        <v>0.93</v>
      </c>
      <c r="J777" s="70">
        <v>3</v>
      </c>
      <c r="K777" s="69"/>
      <c r="L777" s="69"/>
      <c r="M777" s="69" t="s">
        <v>958</v>
      </c>
      <c r="N777" s="69">
        <v>2012</v>
      </c>
      <c r="O777" s="69" t="s">
        <v>485</v>
      </c>
      <c r="P777" s="69">
        <v>910455</v>
      </c>
      <c r="Q777" s="92" t="s">
        <v>750</v>
      </c>
      <c r="R777" s="92" t="s">
        <v>227</v>
      </c>
      <c r="S777" s="92"/>
    </row>
    <row r="778" spans="1:19" x14ac:dyDescent="0.2">
      <c r="A778" s="92" t="s">
        <v>994</v>
      </c>
      <c r="B778" s="69">
        <v>18</v>
      </c>
      <c r="C778" s="69">
        <v>5</v>
      </c>
      <c r="D778" s="69">
        <v>21</v>
      </c>
      <c r="E778" s="69">
        <v>12</v>
      </c>
      <c r="F778" s="69">
        <v>8</v>
      </c>
      <c r="G778" s="69">
        <v>-3</v>
      </c>
      <c r="H778" s="69">
        <v>-0.7</v>
      </c>
      <c r="I778" s="70">
        <v>0.93</v>
      </c>
      <c r="J778" s="70">
        <v>2.4700000000000002</v>
      </c>
      <c r="K778" s="69">
        <v>12</v>
      </c>
      <c r="L778" s="69">
        <v>0.2</v>
      </c>
      <c r="M778" s="69" t="s">
        <v>960</v>
      </c>
      <c r="N778" s="69">
        <v>2013</v>
      </c>
      <c r="O778" s="69" t="s">
        <v>485</v>
      </c>
      <c r="P778" s="69">
        <v>844225</v>
      </c>
      <c r="Q778" s="92" t="s">
        <v>995</v>
      </c>
      <c r="R778" s="92" t="s">
        <v>478</v>
      </c>
      <c r="S778" s="92"/>
    </row>
    <row r="779" spans="1:19" x14ac:dyDescent="0.2">
      <c r="A779" s="92" t="s">
        <v>743</v>
      </c>
      <c r="B779" s="69">
        <v>8</v>
      </c>
      <c r="C779" s="69">
        <v>3</v>
      </c>
      <c r="D779" s="69">
        <v>7</v>
      </c>
      <c r="E779" s="69">
        <v>10</v>
      </c>
      <c r="F779" s="69"/>
      <c r="G779" s="69"/>
      <c r="H779" s="69"/>
      <c r="I779" s="70">
        <v>0.93</v>
      </c>
      <c r="J779" s="70">
        <v>2.62</v>
      </c>
      <c r="K779" s="69"/>
      <c r="L779" s="69"/>
      <c r="M779" s="69" t="s">
        <v>958</v>
      </c>
      <c r="N779" s="69">
        <v>2011</v>
      </c>
      <c r="O779" s="69" t="s">
        <v>585</v>
      </c>
      <c r="P779" s="69">
        <v>651141</v>
      </c>
      <c r="Q779" s="92" t="s">
        <v>569</v>
      </c>
      <c r="R779" s="92" t="s">
        <v>227</v>
      </c>
      <c r="S779" s="92"/>
    </row>
    <row r="780" spans="1:19" x14ac:dyDescent="0.2">
      <c r="A780" s="92" t="s">
        <v>816</v>
      </c>
      <c r="B780" s="69">
        <v>-10</v>
      </c>
      <c r="C780" s="69">
        <v>-3</v>
      </c>
      <c r="D780" s="69">
        <v>22</v>
      </c>
      <c r="E780" s="69">
        <v>-2</v>
      </c>
      <c r="F780" s="69">
        <v>-20</v>
      </c>
      <c r="G780" s="69">
        <v>18</v>
      </c>
      <c r="H780" s="69">
        <v>3.4</v>
      </c>
      <c r="I780" s="70">
        <v>0.94</v>
      </c>
      <c r="J780" s="70">
        <v>2.4</v>
      </c>
      <c r="K780" s="69">
        <v>23</v>
      </c>
      <c r="L780" s="69">
        <v>-0.3</v>
      </c>
      <c r="M780" s="69" t="s">
        <v>960</v>
      </c>
      <c r="N780" s="69">
        <v>2012</v>
      </c>
      <c r="O780" s="69" t="s">
        <v>485</v>
      </c>
      <c r="P780" s="69">
        <v>516914</v>
      </c>
      <c r="Q780" s="92" t="s">
        <v>439</v>
      </c>
      <c r="R780" s="92" t="s">
        <v>276</v>
      </c>
      <c r="S780" s="92"/>
    </row>
    <row r="781" spans="1:19" x14ac:dyDescent="0.2">
      <c r="A781" s="92" t="s">
        <v>32</v>
      </c>
      <c r="B781" s="69">
        <v>18</v>
      </c>
      <c r="C781" s="69">
        <v>14</v>
      </c>
      <c r="D781" s="69">
        <v>20</v>
      </c>
      <c r="E781" s="69">
        <v>28</v>
      </c>
      <c r="F781" s="69">
        <v>42</v>
      </c>
      <c r="G781" s="69">
        <v>33</v>
      </c>
      <c r="H781" s="69">
        <v>5.9</v>
      </c>
      <c r="I781" s="70">
        <v>0.94</v>
      </c>
      <c r="J781" s="70">
        <v>2.42</v>
      </c>
      <c r="K781" s="69">
        <v>11.5</v>
      </c>
      <c r="L781" s="69">
        <v>0.9</v>
      </c>
      <c r="M781" s="69" t="s">
        <v>968</v>
      </c>
      <c r="N781" s="69">
        <v>2005</v>
      </c>
      <c r="O781" s="69" t="s">
        <v>485</v>
      </c>
      <c r="P781" s="69">
        <v>246868</v>
      </c>
      <c r="Q781" s="92" t="s">
        <v>324</v>
      </c>
      <c r="R781" s="92" t="s">
        <v>275</v>
      </c>
      <c r="S781" s="92"/>
    </row>
    <row r="782" spans="1:19" x14ac:dyDescent="0.2">
      <c r="A782" s="92" t="s">
        <v>1081</v>
      </c>
      <c r="B782" s="69">
        <v>12</v>
      </c>
      <c r="C782" s="69">
        <v>2</v>
      </c>
      <c r="D782" s="69">
        <v>6</v>
      </c>
      <c r="E782" s="69">
        <v>27</v>
      </c>
      <c r="F782" s="69">
        <v>66</v>
      </c>
      <c r="G782" s="69">
        <v>75</v>
      </c>
      <c r="H782" s="69">
        <v>11.8</v>
      </c>
      <c r="I782" s="70">
        <v>0.94</v>
      </c>
      <c r="J782" s="70">
        <v>2.42</v>
      </c>
      <c r="K782" s="69">
        <v>7.9</v>
      </c>
      <c r="L782" s="69">
        <v>1.9</v>
      </c>
      <c r="M782" s="69" t="s">
        <v>960</v>
      </c>
      <c r="N782" s="69">
        <v>2007</v>
      </c>
      <c r="O782" s="69" t="s">
        <v>485</v>
      </c>
      <c r="P782" s="69">
        <v>299636</v>
      </c>
      <c r="Q782" s="92" t="s">
        <v>271</v>
      </c>
      <c r="R782" s="92" t="s">
        <v>109</v>
      </c>
      <c r="S782" s="92"/>
    </row>
    <row r="783" spans="1:19" x14ac:dyDescent="0.2">
      <c r="A783" s="92" t="s">
        <v>887</v>
      </c>
      <c r="B783" s="69">
        <v>24</v>
      </c>
      <c r="C783" s="69">
        <v>17</v>
      </c>
      <c r="D783" s="69">
        <v>32</v>
      </c>
      <c r="E783" s="69">
        <v>29</v>
      </c>
      <c r="F783" s="69"/>
      <c r="G783" s="69"/>
      <c r="H783" s="69"/>
      <c r="I783" s="70">
        <v>0.94</v>
      </c>
      <c r="J783" s="70">
        <v>2.42</v>
      </c>
      <c r="K783" s="69"/>
      <c r="L783" s="69"/>
      <c r="M783" s="69" t="s">
        <v>960</v>
      </c>
      <c r="N783" s="69">
        <v>2013</v>
      </c>
      <c r="O783" s="69" t="s">
        <v>485</v>
      </c>
      <c r="P783" s="69">
        <v>401513</v>
      </c>
      <c r="Q783" s="92" t="s">
        <v>271</v>
      </c>
      <c r="R783" s="92" t="s">
        <v>121</v>
      </c>
      <c r="S783" s="92" t="s">
        <v>959</v>
      </c>
    </row>
    <row r="784" spans="1:19" x14ac:dyDescent="0.2">
      <c r="A784" s="92" t="s">
        <v>970</v>
      </c>
      <c r="B784" s="69">
        <v>11</v>
      </c>
      <c r="C784" s="69">
        <v>10</v>
      </c>
      <c r="D784" s="69">
        <v>14</v>
      </c>
      <c r="E784" s="69">
        <v>14</v>
      </c>
      <c r="F784" s="69"/>
      <c r="G784" s="69"/>
      <c r="H784" s="69"/>
      <c r="I784" s="70">
        <v>0.94</v>
      </c>
      <c r="J784" s="70">
        <v>2.4</v>
      </c>
      <c r="K784" s="69"/>
      <c r="L784" s="69"/>
      <c r="M784" s="69" t="s">
        <v>958</v>
      </c>
      <c r="N784" s="69">
        <v>2013</v>
      </c>
      <c r="O784" s="69" t="s">
        <v>585</v>
      </c>
      <c r="P784" s="69">
        <v>640169</v>
      </c>
      <c r="Q784" s="92" t="s">
        <v>717</v>
      </c>
      <c r="R784" s="92" t="s">
        <v>98</v>
      </c>
      <c r="S784" s="92"/>
    </row>
    <row r="785" spans="1:19" x14ac:dyDescent="0.2">
      <c r="A785" s="92" t="s">
        <v>26</v>
      </c>
      <c r="B785" s="69">
        <v>-5</v>
      </c>
      <c r="C785" s="69">
        <v>3</v>
      </c>
      <c r="D785" s="69">
        <v>16</v>
      </c>
      <c r="E785" s="69">
        <v>7</v>
      </c>
      <c r="F785" s="69">
        <v>-2</v>
      </c>
      <c r="G785" s="69">
        <v>33</v>
      </c>
      <c r="H785" s="69">
        <v>5.8</v>
      </c>
      <c r="I785" s="70">
        <v>0.95</v>
      </c>
      <c r="J785" s="70">
        <v>2.6</v>
      </c>
      <c r="K785" s="69">
        <v>23.1</v>
      </c>
      <c r="L785" s="69">
        <v>-0.1</v>
      </c>
      <c r="M785" s="69" t="s">
        <v>958</v>
      </c>
      <c r="N785" s="69">
        <v>2004</v>
      </c>
      <c r="O785" s="69" t="s">
        <v>585</v>
      </c>
      <c r="P785" s="69">
        <v>671982</v>
      </c>
      <c r="Q785" s="92" t="s">
        <v>649</v>
      </c>
      <c r="R785" s="92" t="s">
        <v>276</v>
      </c>
      <c r="S785" s="92"/>
    </row>
    <row r="786" spans="1:19" x14ac:dyDescent="0.2">
      <c r="A786" s="92" t="s">
        <v>715</v>
      </c>
      <c r="B786" s="69">
        <v>4</v>
      </c>
      <c r="C786" s="69">
        <v>2</v>
      </c>
      <c r="D786" s="69">
        <v>5</v>
      </c>
      <c r="E786" s="69">
        <v>10</v>
      </c>
      <c r="F786" s="69">
        <v>23</v>
      </c>
      <c r="G786" s="69"/>
      <c r="H786" s="69"/>
      <c r="I786" s="70">
        <v>0.95</v>
      </c>
      <c r="J786" s="70">
        <v>2.4900000000000002</v>
      </c>
      <c r="K786" s="69">
        <v>4.5</v>
      </c>
      <c r="L786" s="69">
        <v>1.2</v>
      </c>
      <c r="M786" s="69" t="s">
        <v>958</v>
      </c>
      <c r="N786" s="69">
        <v>2011</v>
      </c>
      <c r="O786" s="69" t="s">
        <v>585</v>
      </c>
      <c r="P786" s="69">
        <v>558239</v>
      </c>
      <c r="Q786" s="92" t="s">
        <v>518</v>
      </c>
      <c r="R786" s="92" t="s">
        <v>227</v>
      </c>
      <c r="S786" s="92"/>
    </row>
    <row r="787" spans="1:19" x14ac:dyDescent="0.2">
      <c r="A787" s="92" t="s">
        <v>744</v>
      </c>
      <c r="B787" s="69">
        <v>10</v>
      </c>
      <c r="C787" s="69">
        <v>4</v>
      </c>
      <c r="D787" s="69">
        <v>8</v>
      </c>
      <c r="E787" s="69">
        <v>12</v>
      </c>
      <c r="F787" s="69"/>
      <c r="G787" s="69"/>
      <c r="H787" s="69"/>
      <c r="I787" s="70">
        <v>0.95</v>
      </c>
      <c r="J787" s="70">
        <v>2.68</v>
      </c>
      <c r="K787" s="69"/>
      <c r="L787" s="69"/>
      <c r="M787" s="69" t="s">
        <v>958</v>
      </c>
      <c r="N787" s="69">
        <v>2011</v>
      </c>
      <c r="O787" s="69" t="s">
        <v>585</v>
      </c>
      <c r="P787" s="69">
        <v>686972</v>
      </c>
      <c r="Q787" s="92" t="s">
        <v>569</v>
      </c>
      <c r="R787" s="92" t="s">
        <v>227</v>
      </c>
      <c r="S787" s="92"/>
    </row>
    <row r="788" spans="1:19" x14ac:dyDescent="0.2">
      <c r="A788" s="92" t="s">
        <v>316</v>
      </c>
      <c r="B788" s="69">
        <v>9</v>
      </c>
      <c r="C788" s="69">
        <v>8</v>
      </c>
      <c r="D788" s="69">
        <v>15</v>
      </c>
      <c r="E788" s="69">
        <v>15</v>
      </c>
      <c r="F788" s="69">
        <v>32</v>
      </c>
      <c r="G788" s="69">
        <v>9</v>
      </c>
      <c r="H788" s="69">
        <v>1.7</v>
      </c>
      <c r="I788" s="70">
        <v>0.96</v>
      </c>
      <c r="J788" s="70">
        <v>2.46</v>
      </c>
      <c r="K788" s="69">
        <v>12.5</v>
      </c>
      <c r="L788" s="69">
        <v>0.6</v>
      </c>
      <c r="M788" s="69" t="s">
        <v>976</v>
      </c>
      <c r="N788" s="69">
        <v>2011</v>
      </c>
      <c r="O788" s="69" t="s">
        <v>485</v>
      </c>
      <c r="P788" s="69">
        <v>908038</v>
      </c>
      <c r="Q788" s="92" t="s">
        <v>12</v>
      </c>
      <c r="R788" s="92" t="s">
        <v>170</v>
      </c>
      <c r="S788" s="92"/>
    </row>
    <row r="789" spans="1:19" x14ac:dyDescent="0.2">
      <c r="A789" s="92" t="s">
        <v>998</v>
      </c>
      <c r="B789" s="69">
        <v>6</v>
      </c>
      <c r="C789" s="69">
        <v>2</v>
      </c>
      <c r="D789" s="69">
        <v>7</v>
      </c>
      <c r="E789" s="69">
        <v>13</v>
      </c>
      <c r="F789" s="69"/>
      <c r="G789" s="69"/>
      <c r="H789" s="69"/>
      <c r="I789" s="70">
        <v>0.97</v>
      </c>
      <c r="J789" s="70">
        <v>2.5</v>
      </c>
      <c r="K789" s="69"/>
      <c r="L789" s="69"/>
      <c r="M789" s="69" t="s">
        <v>958</v>
      </c>
      <c r="N789" s="69">
        <v>2012</v>
      </c>
      <c r="O789" s="69" t="s">
        <v>585</v>
      </c>
      <c r="P789" s="69">
        <v>156315</v>
      </c>
      <c r="Q789" s="92" t="s">
        <v>303</v>
      </c>
      <c r="R789" s="92" t="s">
        <v>227</v>
      </c>
      <c r="S789" s="92"/>
    </row>
    <row r="790" spans="1:19" x14ac:dyDescent="0.2">
      <c r="A790" s="92" t="s">
        <v>1043</v>
      </c>
      <c r="B790" s="69">
        <v>-1</v>
      </c>
      <c r="C790" s="69">
        <v>-1</v>
      </c>
      <c r="D790" s="69">
        <v>1</v>
      </c>
      <c r="E790" s="69">
        <v>6</v>
      </c>
      <c r="F790" s="69">
        <v>27</v>
      </c>
      <c r="G790" s="69">
        <v>41</v>
      </c>
      <c r="H790" s="69">
        <v>7.2</v>
      </c>
      <c r="I790" s="70">
        <v>0.97</v>
      </c>
      <c r="J790" s="70">
        <v>2.48</v>
      </c>
      <c r="K790" s="69">
        <v>7.2</v>
      </c>
      <c r="L790" s="69">
        <v>1</v>
      </c>
      <c r="M790" s="69" t="s">
        <v>960</v>
      </c>
      <c r="N790" s="69">
        <v>2001</v>
      </c>
      <c r="O790" s="69" t="s">
        <v>485</v>
      </c>
      <c r="P790" s="69">
        <v>309492</v>
      </c>
      <c r="Q790" s="92" t="s">
        <v>48</v>
      </c>
      <c r="R790" s="92" t="s">
        <v>38</v>
      </c>
      <c r="S790" s="92" t="s">
        <v>959</v>
      </c>
    </row>
    <row r="791" spans="1:19" x14ac:dyDescent="0.2">
      <c r="A791" s="92" t="s">
        <v>999</v>
      </c>
      <c r="B791" s="69">
        <v>39</v>
      </c>
      <c r="C791" s="69">
        <v>6</v>
      </c>
      <c r="D791" s="69">
        <v>48</v>
      </c>
      <c r="E791" s="69">
        <v>24</v>
      </c>
      <c r="F791" s="69">
        <v>35</v>
      </c>
      <c r="G791" s="69">
        <v>20</v>
      </c>
      <c r="H791" s="69">
        <v>3.7</v>
      </c>
      <c r="I791" s="70">
        <v>0.97</v>
      </c>
      <c r="J791" s="70">
        <v>2.4900000000000002</v>
      </c>
      <c r="K791" s="69">
        <v>27.8</v>
      </c>
      <c r="L791" s="69">
        <v>0.5</v>
      </c>
      <c r="M791" s="69" t="s">
        <v>960</v>
      </c>
      <c r="N791" s="69">
        <v>2013</v>
      </c>
      <c r="O791" s="69" t="s">
        <v>485</v>
      </c>
      <c r="P791" s="69">
        <v>127621</v>
      </c>
      <c r="Q791" s="92" t="s">
        <v>995</v>
      </c>
      <c r="R791" s="92" t="s">
        <v>180</v>
      </c>
      <c r="S791" s="92"/>
    </row>
    <row r="792" spans="1:19" x14ac:dyDescent="0.2">
      <c r="A792" s="92" t="s">
        <v>856</v>
      </c>
      <c r="B792" s="69">
        <v>-9</v>
      </c>
      <c r="C792" s="69">
        <v>2</v>
      </c>
      <c r="D792" s="69">
        <v>21</v>
      </c>
      <c r="E792" s="69">
        <v>-4</v>
      </c>
      <c r="F792" s="69">
        <v>-23</v>
      </c>
      <c r="G792" s="69">
        <v>2</v>
      </c>
      <c r="H792" s="69">
        <v>0.4</v>
      </c>
      <c r="I792" s="70">
        <v>0.97</v>
      </c>
      <c r="J792" s="70">
        <v>2</v>
      </c>
      <c r="K792" s="69">
        <v>21.7</v>
      </c>
      <c r="L792" s="69">
        <v>-0.4</v>
      </c>
      <c r="M792" s="69" t="s">
        <v>960</v>
      </c>
      <c r="N792" s="69">
        <v>2011</v>
      </c>
      <c r="O792" s="69" t="s">
        <v>485</v>
      </c>
      <c r="P792" s="69">
        <v>985770</v>
      </c>
      <c r="Q792" s="92" t="s">
        <v>347</v>
      </c>
      <c r="R792" s="92" t="s">
        <v>276</v>
      </c>
      <c r="S792" s="92" t="s">
        <v>959</v>
      </c>
    </row>
    <row r="793" spans="1:19" x14ac:dyDescent="0.2">
      <c r="A793" s="92" t="s">
        <v>1111</v>
      </c>
      <c r="B793" s="69"/>
      <c r="C793" s="69">
        <v>21</v>
      </c>
      <c r="D793" s="69"/>
      <c r="E793" s="69"/>
      <c r="F793" s="69"/>
      <c r="G793" s="69"/>
      <c r="H793" s="69"/>
      <c r="I793" s="70">
        <v>0.97</v>
      </c>
      <c r="J793" s="70">
        <v>2.5</v>
      </c>
      <c r="K793" s="69"/>
      <c r="L793" s="69"/>
      <c r="M793" s="69" t="s">
        <v>958</v>
      </c>
      <c r="N793" s="69">
        <v>2014</v>
      </c>
      <c r="O793" s="69" t="s">
        <v>585</v>
      </c>
      <c r="P793" s="69">
        <v>762823</v>
      </c>
      <c r="Q793" s="92" t="s">
        <v>717</v>
      </c>
      <c r="R793" s="92" t="s">
        <v>180</v>
      </c>
      <c r="S793" s="92"/>
    </row>
    <row r="794" spans="1:19" x14ac:dyDescent="0.2">
      <c r="A794" s="92" t="s">
        <v>1121</v>
      </c>
      <c r="B794" s="69">
        <v>6</v>
      </c>
      <c r="C794" s="69">
        <v>2</v>
      </c>
      <c r="D794" s="69">
        <v>9</v>
      </c>
      <c r="E794" s="69">
        <v>14</v>
      </c>
      <c r="F794" s="69">
        <v>21</v>
      </c>
      <c r="G794" s="69">
        <v>9</v>
      </c>
      <c r="H794" s="69">
        <v>1.7</v>
      </c>
      <c r="I794" s="70">
        <v>0.97</v>
      </c>
      <c r="J794" s="70">
        <v>2.48</v>
      </c>
      <c r="K794" s="69">
        <v>17.100000000000001</v>
      </c>
      <c r="L794" s="69">
        <v>0.2</v>
      </c>
      <c r="M794" s="69" t="s">
        <v>960</v>
      </c>
      <c r="N794" s="69">
        <v>2004</v>
      </c>
      <c r="O794" s="69" t="s">
        <v>485</v>
      </c>
      <c r="P794" s="69">
        <v>288183</v>
      </c>
      <c r="Q794" s="92" t="s">
        <v>588</v>
      </c>
      <c r="R794" s="92" t="s">
        <v>157</v>
      </c>
      <c r="S794" s="92"/>
    </row>
    <row r="795" spans="1:19" x14ac:dyDescent="0.2">
      <c r="A795" s="92" t="s">
        <v>854</v>
      </c>
      <c r="B795" s="69">
        <v>16</v>
      </c>
      <c r="C795" s="69">
        <v>11</v>
      </c>
      <c r="D795" s="69">
        <v>21</v>
      </c>
      <c r="E795" s="69">
        <v>21</v>
      </c>
      <c r="F795" s="69">
        <v>21</v>
      </c>
      <c r="G795" s="69">
        <v>22</v>
      </c>
      <c r="H795" s="69">
        <v>4.0999999999999996</v>
      </c>
      <c r="I795" s="70">
        <v>0.98</v>
      </c>
      <c r="J795" s="70">
        <v>2.5299999999999998</v>
      </c>
      <c r="K795" s="69">
        <v>9.6999999999999993</v>
      </c>
      <c r="L795" s="69">
        <v>0.5</v>
      </c>
      <c r="M795" s="69" t="s">
        <v>958</v>
      </c>
      <c r="N795" s="69">
        <v>2012</v>
      </c>
      <c r="O795" s="69" t="s">
        <v>585</v>
      </c>
      <c r="P795" s="69">
        <v>367516</v>
      </c>
      <c r="Q795" s="92" t="s">
        <v>518</v>
      </c>
      <c r="R795" s="92" t="s">
        <v>121</v>
      </c>
      <c r="S795" s="92"/>
    </row>
    <row r="796" spans="1:19" x14ac:dyDescent="0.2">
      <c r="A796" s="92" t="s">
        <v>858</v>
      </c>
      <c r="B796" s="69">
        <v>4</v>
      </c>
      <c r="C796" s="69">
        <v>1</v>
      </c>
      <c r="D796" s="69">
        <v>5</v>
      </c>
      <c r="E796" s="69">
        <v>9</v>
      </c>
      <c r="F796" s="69">
        <v>20</v>
      </c>
      <c r="G796" s="69"/>
      <c r="H796" s="69"/>
      <c r="I796" s="70">
        <v>0.99</v>
      </c>
      <c r="J796" s="70">
        <v>2.54</v>
      </c>
      <c r="K796" s="69">
        <v>9.9</v>
      </c>
      <c r="L796" s="69">
        <v>0.4</v>
      </c>
      <c r="M796" s="69" t="s">
        <v>958</v>
      </c>
      <c r="N796" s="69">
        <v>2012</v>
      </c>
      <c r="O796" s="69" t="s">
        <v>485</v>
      </c>
      <c r="P796" s="69">
        <v>900712</v>
      </c>
      <c r="Q796" s="92" t="s">
        <v>606</v>
      </c>
      <c r="R796" s="92" t="s">
        <v>109</v>
      </c>
      <c r="S796" s="92"/>
    </row>
    <row r="797" spans="1:19" x14ac:dyDescent="0.2">
      <c r="A797" s="92" t="s">
        <v>866</v>
      </c>
      <c r="B797" s="69">
        <v>27</v>
      </c>
      <c r="C797" s="69">
        <v>7</v>
      </c>
      <c r="D797" s="69">
        <v>32</v>
      </c>
      <c r="E797" s="69">
        <v>33</v>
      </c>
      <c r="F797" s="69">
        <v>31</v>
      </c>
      <c r="G797" s="69">
        <v>-2</v>
      </c>
      <c r="H797" s="69">
        <v>-0.4</v>
      </c>
      <c r="I797" s="70">
        <v>0.99</v>
      </c>
      <c r="J797" s="70">
        <v>2.5499999999999998</v>
      </c>
      <c r="K797" s="69">
        <v>15.1</v>
      </c>
      <c r="L797" s="69">
        <v>0.6</v>
      </c>
      <c r="M797" s="69" t="s">
        <v>958</v>
      </c>
      <c r="N797" s="69">
        <v>2003</v>
      </c>
      <c r="O797" s="69" t="s">
        <v>585</v>
      </c>
      <c r="P797" s="69">
        <v>534156</v>
      </c>
      <c r="Q797" s="92" t="s">
        <v>853</v>
      </c>
      <c r="R797" s="92" t="s">
        <v>157</v>
      </c>
      <c r="S797" s="92"/>
    </row>
    <row r="798" spans="1:19" x14ac:dyDescent="0.2">
      <c r="A798" s="92" t="s">
        <v>716</v>
      </c>
      <c r="B798" s="69">
        <v>31</v>
      </c>
      <c r="C798" s="69">
        <v>0</v>
      </c>
      <c r="D798" s="69">
        <v>23</v>
      </c>
      <c r="E798" s="69">
        <v>51</v>
      </c>
      <c r="F798" s="69"/>
      <c r="G798" s="69"/>
      <c r="H798" s="69"/>
      <c r="I798" s="70">
        <v>0.99</v>
      </c>
      <c r="J798" s="70">
        <v>2.54</v>
      </c>
      <c r="K798" s="69"/>
      <c r="L798" s="69"/>
      <c r="M798" s="69" t="s">
        <v>958</v>
      </c>
      <c r="N798" s="69">
        <v>2011</v>
      </c>
      <c r="O798" s="69" t="s">
        <v>585</v>
      </c>
      <c r="P798" s="69">
        <v>705806</v>
      </c>
      <c r="Q798" s="92" t="s">
        <v>717</v>
      </c>
      <c r="R798" s="92" t="s">
        <v>180</v>
      </c>
      <c r="S798" s="92"/>
    </row>
    <row r="799" spans="1:19" x14ac:dyDescent="0.2">
      <c r="A799" s="92" t="s">
        <v>824</v>
      </c>
      <c r="B799" s="69">
        <v>-11</v>
      </c>
      <c r="C799" s="69">
        <v>1</v>
      </c>
      <c r="D799" s="69">
        <v>21</v>
      </c>
      <c r="E799" s="69">
        <v>-5</v>
      </c>
      <c r="F799" s="69">
        <v>-24</v>
      </c>
      <c r="G799" s="69">
        <v>7</v>
      </c>
      <c r="H799" s="69">
        <v>1.4</v>
      </c>
      <c r="I799" s="70">
        <v>0.99</v>
      </c>
      <c r="J799" s="70">
        <v>3</v>
      </c>
      <c r="K799" s="69">
        <v>24.2</v>
      </c>
      <c r="L799" s="69">
        <v>-0.4</v>
      </c>
      <c r="M799" s="69" t="s">
        <v>960</v>
      </c>
      <c r="N799" s="69">
        <v>2004</v>
      </c>
      <c r="O799" s="69" t="s">
        <v>485</v>
      </c>
      <c r="P799" s="69">
        <v>889386</v>
      </c>
      <c r="Q799" s="92" t="s">
        <v>596</v>
      </c>
      <c r="R799" s="92" t="s">
        <v>276</v>
      </c>
      <c r="S799" s="92"/>
    </row>
    <row r="800" spans="1:19" x14ac:dyDescent="0.2">
      <c r="A800" s="92" t="s">
        <v>835</v>
      </c>
      <c r="B800" s="69">
        <v>13</v>
      </c>
      <c r="C800" s="69">
        <v>3</v>
      </c>
      <c r="D800" s="69">
        <v>8</v>
      </c>
      <c r="E800" s="69">
        <v>26</v>
      </c>
      <c r="F800" s="69">
        <v>66</v>
      </c>
      <c r="G800" s="69">
        <v>76</v>
      </c>
      <c r="H800" s="69">
        <v>11.9</v>
      </c>
      <c r="I800" s="70">
        <v>0.99</v>
      </c>
      <c r="J800" s="70">
        <v>2.54</v>
      </c>
      <c r="K800" s="69">
        <v>6.9</v>
      </c>
      <c r="L800" s="69">
        <v>2.2000000000000002</v>
      </c>
      <c r="M800" s="69" t="s">
        <v>960</v>
      </c>
      <c r="N800" s="69">
        <v>2012</v>
      </c>
      <c r="O800" s="69" t="s">
        <v>485</v>
      </c>
      <c r="P800" s="69">
        <v>681486</v>
      </c>
      <c r="Q800" s="92" t="s">
        <v>12</v>
      </c>
      <c r="R800" s="92" t="s">
        <v>38</v>
      </c>
      <c r="S800" s="92"/>
    </row>
    <row r="801" spans="1:19" x14ac:dyDescent="0.2">
      <c r="A801" s="92" t="s">
        <v>1042</v>
      </c>
      <c r="B801" s="69">
        <v>-3</v>
      </c>
      <c r="C801" s="69">
        <v>0</v>
      </c>
      <c r="D801" s="69">
        <v>-1</v>
      </c>
      <c r="E801" s="69">
        <v>0</v>
      </c>
      <c r="F801" s="69">
        <v>4</v>
      </c>
      <c r="G801" s="69">
        <v>-15</v>
      </c>
      <c r="H801" s="69">
        <v>-3.1</v>
      </c>
      <c r="I801" s="70">
        <v>1</v>
      </c>
      <c r="J801" s="70">
        <v>2.59</v>
      </c>
      <c r="K801" s="69">
        <v>14.8</v>
      </c>
      <c r="L801" s="69">
        <v>0</v>
      </c>
      <c r="M801" s="69" t="s">
        <v>960</v>
      </c>
      <c r="N801" s="69">
        <v>2010</v>
      </c>
      <c r="O801" s="69" t="s">
        <v>485</v>
      </c>
      <c r="P801" s="69">
        <v>717371</v>
      </c>
      <c r="Q801" s="92" t="s">
        <v>439</v>
      </c>
      <c r="R801" s="92" t="s">
        <v>157</v>
      </c>
      <c r="S801" s="92"/>
    </row>
    <row r="802" spans="1:19" x14ac:dyDescent="0.2">
      <c r="A802" s="92" t="s">
        <v>880</v>
      </c>
      <c r="B802" s="69">
        <v>19</v>
      </c>
      <c r="C802" s="69">
        <v>9</v>
      </c>
      <c r="D802" s="69">
        <v>8</v>
      </c>
      <c r="E802" s="69">
        <v>10</v>
      </c>
      <c r="F802" s="69"/>
      <c r="G802" s="69"/>
      <c r="H802" s="69"/>
      <c r="I802" s="70">
        <v>1</v>
      </c>
      <c r="J802" s="70">
        <v>2.57</v>
      </c>
      <c r="K802" s="69"/>
      <c r="L802" s="69"/>
      <c r="M802" s="69" t="s">
        <v>958</v>
      </c>
      <c r="N802" s="69">
        <v>2012</v>
      </c>
      <c r="O802" s="69" t="s">
        <v>585</v>
      </c>
      <c r="P802" s="69">
        <v>312850</v>
      </c>
      <c r="Q802" s="92" t="s">
        <v>853</v>
      </c>
      <c r="R802" s="92" t="s">
        <v>207</v>
      </c>
      <c r="S802" s="92"/>
    </row>
    <row r="803" spans="1:19" x14ac:dyDescent="0.2">
      <c r="A803" s="92" t="s">
        <v>865</v>
      </c>
      <c r="B803" s="69">
        <v>14</v>
      </c>
      <c r="C803" s="69">
        <v>6</v>
      </c>
      <c r="D803" s="69">
        <v>11</v>
      </c>
      <c r="E803" s="69">
        <v>20</v>
      </c>
      <c r="F803" s="69">
        <v>49</v>
      </c>
      <c r="G803" s="69"/>
      <c r="H803" s="69"/>
      <c r="I803" s="70">
        <v>1</v>
      </c>
      <c r="J803" s="70">
        <v>2.57</v>
      </c>
      <c r="K803" s="69">
        <v>7.4</v>
      </c>
      <c r="L803" s="69">
        <v>1.5</v>
      </c>
      <c r="M803" s="69" t="s">
        <v>958</v>
      </c>
      <c r="N803" s="69">
        <v>2010</v>
      </c>
      <c r="O803" s="69" t="s">
        <v>585</v>
      </c>
      <c r="P803" s="69">
        <v>993097</v>
      </c>
      <c r="Q803" s="92" t="s">
        <v>853</v>
      </c>
      <c r="R803" s="92" t="s">
        <v>109</v>
      </c>
      <c r="S803" s="92"/>
    </row>
    <row r="804" spans="1:19" x14ac:dyDescent="0.2">
      <c r="A804" s="92" t="s">
        <v>1027</v>
      </c>
      <c r="B804" s="69">
        <v>7</v>
      </c>
      <c r="C804" s="69">
        <v>3</v>
      </c>
      <c r="D804" s="69">
        <v>6</v>
      </c>
      <c r="E804" s="69"/>
      <c r="F804" s="69"/>
      <c r="G804" s="69"/>
      <c r="H804" s="69"/>
      <c r="I804" s="70">
        <v>1.01</v>
      </c>
      <c r="J804" s="70">
        <v>2.6</v>
      </c>
      <c r="K804" s="69"/>
      <c r="L804" s="69"/>
      <c r="M804" s="69" t="s">
        <v>958</v>
      </c>
      <c r="N804" s="69">
        <v>2013</v>
      </c>
      <c r="O804" s="69" t="s">
        <v>585</v>
      </c>
      <c r="P804" s="69">
        <v>195628</v>
      </c>
      <c r="Q804" s="92" t="s">
        <v>1028</v>
      </c>
      <c r="R804" s="92" t="s">
        <v>227</v>
      </c>
      <c r="S804" s="92"/>
    </row>
    <row r="805" spans="1:19" x14ac:dyDescent="0.2">
      <c r="A805" s="92" t="s">
        <v>147</v>
      </c>
      <c r="B805" s="69">
        <v>15</v>
      </c>
      <c r="C805" s="69">
        <v>14</v>
      </c>
      <c r="D805" s="69">
        <v>11</v>
      </c>
      <c r="E805" s="69">
        <v>29</v>
      </c>
      <c r="F805" s="69">
        <v>69</v>
      </c>
      <c r="G805" s="69">
        <v>106</v>
      </c>
      <c r="H805" s="69">
        <v>15.5</v>
      </c>
      <c r="I805" s="70">
        <v>1.01</v>
      </c>
      <c r="J805" s="70">
        <v>2.67</v>
      </c>
      <c r="K805" s="69">
        <v>8.6</v>
      </c>
      <c r="L805" s="69">
        <v>1.9</v>
      </c>
      <c r="M805" s="69" t="s">
        <v>968</v>
      </c>
      <c r="N805" s="69">
        <v>2000</v>
      </c>
      <c r="O805" s="69" t="s">
        <v>485</v>
      </c>
      <c r="P805" s="69">
        <v>296749</v>
      </c>
      <c r="Q805" s="92" t="s">
        <v>320</v>
      </c>
      <c r="R805" s="92" t="s">
        <v>197</v>
      </c>
      <c r="S805" s="92"/>
    </row>
    <row r="806" spans="1:19" x14ac:dyDescent="0.2">
      <c r="A806" s="92" t="s">
        <v>145</v>
      </c>
      <c r="B806" s="69">
        <v>15</v>
      </c>
      <c r="C806" s="69">
        <v>7</v>
      </c>
      <c r="D806" s="69">
        <v>13</v>
      </c>
      <c r="E806" s="69">
        <v>32</v>
      </c>
      <c r="F806" s="69">
        <v>44</v>
      </c>
      <c r="G806" s="69">
        <v>17</v>
      </c>
      <c r="H806" s="69">
        <v>3.2</v>
      </c>
      <c r="I806" s="70">
        <v>1.02</v>
      </c>
      <c r="J806" s="70">
        <v>2.7</v>
      </c>
      <c r="K806" s="69">
        <v>9.1</v>
      </c>
      <c r="L806" s="69">
        <v>1.2</v>
      </c>
      <c r="M806" s="69" t="s">
        <v>968</v>
      </c>
      <c r="N806" s="69">
        <v>2007</v>
      </c>
      <c r="O806" s="69" t="s">
        <v>485</v>
      </c>
      <c r="P806" s="69">
        <v>887497</v>
      </c>
      <c r="Q806" s="92" t="s">
        <v>320</v>
      </c>
      <c r="R806" s="92" t="s">
        <v>207</v>
      </c>
      <c r="S806" s="92" t="s">
        <v>959</v>
      </c>
    </row>
    <row r="807" spans="1:19" x14ac:dyDescent="0.2">
      <c r="A807" s="92" t="s">
        <v>17</v>
      </c>
      <c r="B807" s="69">
        <v>21</v>
      </c>
      <c r="C807" s="69">
        <v>18</v>
      </c>
      <c r="D807" s="69">
        <v>5</v>
      </c>
      <c r="E807" s="69">
        <v>32</v>
      </c>
      <c r="F807" s="69">
        <v>145</v>
      </c>
      <c r="G807" s="69">
        <v>108</v>
      </c>
      <c r="H807" s="69">
        <v>15.8</v>
      </c>
      <c r="I807" s="70">
        <v>1.02</v>
      </c>
      <c r="J807" s="70">
        <v>2.69</v>
      </c>
      <c r="K807" s="69">
        <v>17.5</v>
      </c>
      <c r="L807" s="69">
        <v>1.7</v>
      </c>
      <c r="M807" s="69" t="s">
        <v>968</v>
      </c>
      <c r="N807" s="69">
        <v>2000</v>
      </c>
      <c r="O807" s="69" t="s">
        <v>485</v>
      </c>
      <c r="P807" s="69">
        <v>260919</v>
      </c>
      <c r="Q807" s="92" t="s">
        <v>320</v>
      </c>
      <c r="R807" s="92" t="s">
        <v>279</v>
      </c>
      <c r="S807" s="92"/>
    </row>
    <row r="808" spans="1:19" x14ac:dyDescent="0.2">
      <c r="A808" s="92" t="s">
        <v>11</v>
      </c>
      <c r="B808" s="69">
        <v>17</v>
      </c>
      <c r="C808" s="69">
        <v>9</v>
      </c>
      <c r="D808" s="69">
        <v>17</v>
      </c>
      <c r="E808" s="69">
        <v>27</v>
      </c>
      <c r="F808" s="69">
        <v>90</v>
      </c>
      <c r="G808" s="69">
        <v>90</v>
      </c>
      <c r="H808" s="69">
        <v>13.7</v>
      </c>
      <c r="I808" s="70">
        <v>1.02</v>
      </c>
      <c r="J808" s="70">
        <v>2.64</v>
      </c>
      <c r="K808" s="69">
        <v>7.8</v>
      </c>
      <c r="L808" s="69">
        <v>2.4</v>
      </c>
      <c r="M808" s="69" t="s">
        <v>968</v>
      </c>
      <c r="N808" s="69">
        <v>2011</v>
      </c>
      <c r="O808" s="69" t="s">
        <v>485</v>
      </c>
      <c r="P808" s="69">
        <v>836379</v>
      </c>
      <c r="Q808" s="92" t="s">
        <v>12</v>
      </c>
      <c r="R808" s="92" t="s">
        <v>72</v>
      </c>
      <c r="S808" s="92"/>
    </row>
    <row r="809" spans="1:19" x14ac:dyDescent="0.2">
      <c r="A809" s="92" t="s">
        <v>440</v>
      </c>
      <c r="B809" s="69">
        <v>16</v>
      </c>
      <c r="C809" s="69">
        <v>10</v>
      </c>
      <c r="D809" s="69">
        <v>26</v>
      </c>
      <c r="E809" s="69">
        <v>28</v>
      </c>
      <c r="F809" s="69">
        <v>28</v>
      </c>
      <c r="G809" s="69">
        <v>25</v>
      </c>
      <c r="H809" s="69">
        <v>4.5</v>
      </c>
      <c r="I809" s="70">
        <v>1.02</v>
      </c>
      <c r="J809" s="70">
        <v>2.63</v>
      </c>
      <c r="K809" s="69">
        <v>14.3</v>
      </c>
      <c r="L809" s="69">
        <v>0.5</v>
      </c>
      <c r="M809" s="69" t="s">
        <v>960</v>
      </c>
      <c r="N809" s="69">
        <v>2010</v>
      </c>
      <c r="O809" s="69" t="s">
        <v>485</v>
      </c>
      <c r="P809" s="69">
        <v>681544</v>
      </c>
      <c r="Q809" s="92" t="s">
        <v>439</v>
      </c>
      <c r="R809" s="92" t="s">
        <v>121</v>
      </c>
      <c r="S809" s="92"/>
    </row>
    <row r="810" spans="1:19" x14ac:dyDescent="0.2">
      <c r="A810" s="92" t="s">
        <v>817</v>
      </c>
      <c r="B810" s="69">
        <v>24</v>
      </c>
      <c r="C810" s="69">
        <v>13</v>
      </c>
      <c r="D810" s="69">
        <v>20</v>
      </c>
      <c r="E810" s="69">
        <v>34</v>
      </c>
      <c r="F810" s="69">
        <v>102</v>
      </c>
      <c r="G810" s="69">
        <v>101</v>
      </c>
      <c r="H810" s="69">
        <v>15</v>
      </c>
      <c r="I810" s="70">
        <v>1.02</v>
      </c>
      <c r="J810" s="70">
        <v>2.64</v>
      </c>
      <c r="K810" s="69">
        <v>7.1</v>
      </c>
      <c r="L810" s="69">
        <v>3</v>
      </c>
      <c r="M810" s="69" t="s">
        <v>960</v>
      </c>
      <c r="N810" s="69">
        <v>2012</v>
      </c>
      <c r="O810" s="69" t="s">
        <v>485</v>
      </c>
      <c r="P810" s="69">
        <v>866715</v>
      </c>
      <c r="Q810" s="92" t="s">
        <v>802</v>
      </c>
      <c r="R810" s="92" t="s">
        <v>72</v>
      </c>
      <c r="S810" s="92"/>
    </row>
    <row r="811" spans="1:19" x14ac:dyDescent="0.2">
      <c r="A811" s="92" t="s">
        <v>148</v>
      </c>
      <c r="B811" s="69">
        <v>14</v>
      </c>
      <c r="C811" s="69">
        <v>5</v>
      </c>
      <c r="D811" s="69">
        <v>12</v>
      </c>
      <c r="E811" s="69">
        <v>27</v>
      </c>
      <c r="F811" s="69">
        <v>55</v>
      </c>
      <c r="G811" s="69">
        <v>66</v>
      </c>
      <c r="H811" s="69">
        <v>10.7</v>
      </c>
      <c r="I811" s="70">
        <v>1.02</v>
      </c>
      <c r="J811" s="70">
        <v>2.7</v>
      </c>
      <c r="K811" s="69">
        <v>7.5</v>
      </c>
      <c r="L811" s="69">
        <v>1.8</v>
      </c>
      <c r="M811" s="69" t="s">
        <v>960</v>
      </c>
      <c r="N811" s="69">
        <v>2000</v>
      </c>
      <c r="O811" s="69" t="s">
        <v>485</v>
      </c>
      <c r="P811" s="69">
        <v>189258</v>
      </c>
      <c r="Q811" s="92" t="s">
        <v>320</v>
      </c>
      <c r="R811" s="92" t="s">
        <v>207</v>
      </c>
      <c r="S811" s="92" t="s">
        <v>959</v>
      </c>
    </row>
    <row r="812" spans="1:19" x14ac:dyDescent="0.2">
      <c r="A812" s="92" t="s">
        <v>16</v>
      </c>
      <c r="B812" s="69">
        <v>7</v>
      </c>
      <c r="C812" s="69">
        <v>5</v>
      </c>
      <c r="D812" s="69">
        <v>8</v>
      </c>
      <c r="E812" s="69">
        <v>15</v>
      </c>
      <c r="F812" s="69">
        <v>56</v>
      </c>
      <c r="G812" s="69">
        <v>61</v>
      </c>
      <c r="H812" s="69">
        <v>10</v>
      </c>
      <c r="I812" s="70">
        <v>1.02</v>
      </c>
      <c r="J812" s="70">
        <v>2.71</v>
      </c>
      <c r="K812" s="69">
        <v>9.3000000000000007</v>
      </c>
      <c r="L812" s="69">
        <v>1.5</v>
      </c>
      <c r="M812" s="69" t="s">
        <v>968</v>
      </c>
      <c r="N812" s="69">
        <v>2010</v>
      </c>
      <c r="O812" s="69" t="s">
        <v>485</v>
      </c>
      <c r="P812" s="69">
        <v>755033</v>
      </c>
      <c r="Q812" s="92" t="s">
        <v>320</v>
      </c>
      <c r="R812" s="92" t="s">
        <v>207</v>
      </c>
      <c r="S812" s="92" t="s">
        <v>959</v>
      </c>
    </row>
    <row r="813" spans="1:19" x14ac:dyDescent="0.2">
      <c r="A813" s="92" t="s">
        <v>150</v>
      </c>
      <c r="B813" s="69">
        <v>12</v>
      </c>
      <c r="C813" s="69">
        <v>9</v>
      </c>
      <c r="D813" s="69">
        <v>11</v>
      </c>
      <c r="E813" s="69">
        <v>20</v>
      </c>
      <c r="F813" s="69">
        <v>59</v>
      </c>
      <c r="G813" s="69">
        <v>87</v>
      </c>
      <c r="H813" s="69">
        <v>13.4</v>
      </c>
      <c r="I813" s="70">
        <v>1.02</v>
      </c>
      <c r="J813" s="70">
        <v>2.7</v>
      </c>
      <c r="K813" s="69">
        <v>6.8</v>
      </c>
      <c r="L813" s="69">
        <v>2.1</v>
      </c>
      <c r="M813" s="69" t="s">
        <v>968</v>
      </c>
      <c r="N813" s="69">
        <v>2006</v>
      </c>
      <c r="O813" s="69" t="s">
        <v>485</v>
      </c>
      <c r="P813" s="69">
        <v>968891</v>
      </c>
      <c r="Q813" s="92" t="s">
        <v>320</v>
      </c>
      <c r="R813" s="92" t="s">
        <v>207</v>
      </c>
      <c r="S813" s="92"/>
    </row>
    <row r="814" spans="1:19" x14ac:dyDescent="0.2">
      <c r="A814" s="92" t="s">
        <v>144</v>
      </c>
      <c r="B814" s="69">
        <v>1</v>
      </c>
      <c r="C814" s="69">
        <v>-1</v>
      </c>
      <c r="D814" s="69">
        <v>5</v>
      </c>
      <c r="E814" s="69">
        <v>10</v>
      </c>
      <c r="F814" s="69">
        <v>36</v>
      </c>
      <c r="G814" s="69">
        <v>95</v>
      </c>
      <c r="H814" s="69">
        <v>14.3</v>
      </c>
      <c r="I814" s="70">
        <v>1.02</v>
      </c>
      <c r="J814" s="70">
        <v>2.7</v>
      </c>
      <c r="K814" s="69">
        <v>12.6</v>
      </c>
      <c r="L814" s="69">
        <v>0.8</v>
      </c>
      <c r="M814" s="69" t="s">
        <v>960</v>
      </c>
      <c r="N814" s="69">
        <v>2005</v>
      </c>
      <c r="O814" s="69" t="s">
        <v>485</v>
      </c>
      <c r="P814" s="69">
        <v>923383</v>
      </c>
      <c r="Q814" s="92" t="s">
        <v>320</v>
      </c>
      <c r="R814" s="92" t="s">
        <v>109</v>
      </c>
      <c r="S814" s="92"/>
    </row>
    <row r="815" spans="1:19" x14ac:dyDescent="0.2">
      <c r="A815" s="92" t="s">
        <v>146</v>
      </c>
      <c r="B815" s="69">
        <v>35</v>
      </c>
      <c r="C815" s="69">
        <v>17</v>
      </c>
      <c r="D815" s="69">
        <v>21</v>
      </c>
      <c r="E815" s="69">
        <v>53</v>
      </c>
      <c r="F815" s="69">
        <v>84</v>
      </c>
      <c r="G815" s="69">
        <v>112</v>
      </c>
      <c r="H815" s="69">
        <v>16.2</v>
      </c>
      <c r="I815" s="70">
        <v>1.02</v>
      </c>
      <c r="J815" s="70">
        <v>2.71</v>
      </c>
      <c r="K815" s="69">
        <v>8.6</v>
      </c>
      <c r="L815" s="69">
        <v>2.2000000000000002</v>
      </c>
      <c r="M815" s="69" t="s">
        <v>968</v>
      </c>
      <c r="N815" s="69">
        <v>2004</v>
      </c>
      <c r="O815" s="69" t="s">
        <v>485</v>
      </c>
      <c r="P815" s="69">
        <v>688986</v>
      </c>
      <c r="Q815" s="92" t="s">
        <v>320</v>
      </c>
      <c r="R815" s="92" t="s">
        <v>202</v>
      </c>
      <c r="S815" s="92"/>
    </row>
    <row r="816" spans="1:19" x14ac:dyDescent="0.2">
      <c r="A816" s="92" t="s">
        <v>867</v>
      </c>
      <c r="B816" s="69">
        <v>11</v>
      </c>
      <c r="C816" s="69">
        <v>2</v>
      </c>
      <c r="D816" s="69">
        <v>9</v>
      </c>
      <c r="E816" s="69">
        <v>13</v>
      </c>
      <c r="F816" s="69"/>
      <c r="G816" s="69"/>
      <c r="H816" s="69"/>
      <c r="I816" s="70">
        <v>1.03</v>
      </c>
      <c r="J816" s="70">
        <v>3.28</v>
      </c>
      <c r="K816" s="69"/>
      <c r="L816" s="69"/>
      <c r="M816" s="69" t="s">
        <v>958</v>
      </c>
      <c r="N816" s="69">
        <v>2012</v>
      </c>
      <c r="O816" s="69" t="s">
        <v>585</v>
      </c>
      <c r="P816" s="69">
        <v>550913</v>
      </c>
      <c r="Q816" s="92" t="s">
        <v>868</v>
      </c>
      <c r="R816" s="92" t="s">
        <v>478</v>
      </c>
      <c r="S816" s="92"/>
    </row>
    <row r="817" spans="1:19" x14ac:dyDescent="0.2">
      <c r="A817" s="92" t="s">
        <v>152</v>
      </c>
      <c r="B817" s="69">
        <v>17</v>
      </c>
      <c r="C817" s="69">
        <v>14</v>
      </c>
      <c r="D817" s="69">
        <v>23</v>
      </c>
      <c r="E817" s="69">
        <v>21</v>
      </c>
      <c r="F817" s="69">
        <v>29</v>
      </c>
      <c r="G817" s="69">
        <v>32</v>
      </c>
      <c r="H817" s="69">
        <v>5.7</v>
      </c>
      <c r="I817" s="70">
        <v>1.03</v>
      </c>
      <c r="J817" s="70">
        <v>2.72</v>
      </c>
      <c r="K817" s="69">
        <v>11.8</v>
      </c>
      <c r="L817" s="69">
        <v>0.6</v>
      </c>
      <c r="M817" s="69" t="s">
        <v>968</v>
      </c>
      <c r="N817" s="69">
        <v>2003</v>
      </c>
      <c r="O817" s="69" t="s">
        <v>485</v>
      </c>
      <c r="P817" s="69">
        <v>882126</v>
      </c>
      <c r="Q817" s="92" t="s">
        <v>320</v>
      </c>
      <c r="R817" s="92" t="s">
        <v>275</v>
      </c>
      <c r="S817" s="92"/>
    </row>
    <row r="818" spans="1:19" x14ac:dyDescent="0.2">
      <c r="A818" s="92" t="s">
        <v>931</v>
      </c>
      <c r="B818" s="69">
        <v>26</v>
      </c>
      <c r="C818" s="69">
        <v>7</v>
      </c>
      <c r="D818" s="69">
        <v>25</v>
      </c>
      <c r="E818" s="69">
        <v>40</v>
      </c>
      <c r="F818" s="69"/>
      <c r="G818" s="69"/>
      <c r="H818" s="69"/>
      <c r="I818" s="70">
        <v>1.03</v>
      </c>
      <c r="J818" s="70">
        <v>2.67</v>
      </c>
      <c r="K818" s="69"/>
      <c r="L818" s="69"/>
      <c r="M818" s="69" t="s">
        <v>958</v>
      </c>
      <c r="N818" s="69">
        <v>2013</v>
      </c>
      <c r="O818" s="69" t="s">
        <v>585</v>
      </c>
      <c r="P818" s="69">
        <v>861229</v>
      </c>
      <c r="Q818" s="92" t="s">
        <v>717</v>
      </c>
      <c r="R818" s="92" t="s">
        <v>121</v>
      </c>
      <c r="S818" s="92"/>
    </row>
    <row r="819" spans="1:19" x14ac:dyDescent="0.2">
      <c r="A819" s="92" t="s">
        <v>869</v>
      </c>
      <c r="B819" s="69">
        <v>7</v>
      </c>
      <c r="C819" s="69">
        <v>1</v>
      </c>
      <c r="D819" s="69">
        <v>7</v>
      </c>
      <c r="E819" s="69">
        <v>9</v>
      </c>
      <c r="F819" s="69"/>
      <c r="G819" s="69"/>
      <c r="H819" s="69"/>
      <c r="I819" s="70">
        <v>1.03</v>
      </c>
      <c r="J819" s="70">
        <v>4.9800000000000004</v>
      </c>
      <c r="K819" s="69"/>
      <c r="L819" s="69"/>
      <c r="M819" s="69" t="s">
        <v>958</v>
      </c>
      <c r="N819" s="69">
        <v>2012</v>
      </c>
      <c r="O819" s="69" t="s">
        <v>585</v>
      </c>
      <c r="P819" s="69">
        <v>515080</v>
      </c>
      <c r="Q819" s="92" t="s">
        <v>868</v>
      </c>
      <c r="R819" s="92" t="s">
        <v>478</v>
      </c>
      <c r="S819" s="92"/>
    </row>
    <row r="820" spans="1:19" x14ac:dyDescent="0.2">
      <c r="A820" s="92" t="s">
        <v>149</v>
      </c>
      <c r="B820" s="69">
        <v>20</v>
      </c>
      <c r="C820" s="69">
        <v>12</v>
      </c>
      <c r="D820" s="69">
        <v>22</v>
      </c>
      <c r="E820" s="69">
        <v>27</v>
      </c>
      <c r="F820" s="69">
        <v>29</v>
      </c>
      <c r="G820" s="69">
        <v>31</v>
      </c>
      <c r="H820" s="69">
        <v>5.6</v>
      </c>
      <c r="I820" s="70">
        <v>1.03</v>
      </c>
      <c r="J820" s="70">
        <v>2.73</v>
      </c>
      <c r="K820" s="69">
        <v>11.1</v>
      </c>
      <c r="L820" s="69">
        <v>0.6</v>
      </c>
      <c r="M820" s="69" t="s">
        <v>968</v>
      </c>
      <c r="N820" s="69">
        <v>2003</v>
      </c>
      <c r="O820" s="69" t="s">
        <v>485</v>
      </c>
      <c r="P820" s="69">
        <v>917955</v>
      </c>
      <c r="Q820" s="92" t="s">
        <v>320</v>
      </c>
      <c r="R820" s="92" t="s">
        <v>98</v>
      </c>
      <c r="S820" s="92"/>
    </row>
    <row r="821" spans="1:19" x14ac:dyDescent="0.2">
      <c r="A821" s="92" t="s">
        <v>766</v>
      </c>
      <c r="B821" s="69">
        <v>4</v>
      </c>
      <c r="C821" s="69">
        <v>6</v>
      </c>
      <c r="D821" s="69">
        <v>5</v>
      </c>
      <c r="E821" s="69">
        <v>5</v>
      </c>
      <c r="F821" s="69">
        <v>18</v>
      </c>
      <c r="G821" s="69"/>
      <c r="H821" s="69"/>
      <c r="I821" s="70">
        <v>1.03</v>
      </c>
      <c r="J821" s="70">
        <v>2.36</v>
      </c>
      <c r="K821" s="69">
        <v>7</v>
      </c>
      <c r="L821" s="69">
        <v>0.6</v>
      </c>
      <c r="M821" s="69" t="s">
        <v>958</v>
      </c>
      <c r="N821" s="69">
        <v>2010</v>
      </c>
      <c r="O821" s="69" t="s">
        <v>485</v>
      </c>
      <c r="P821" s="69">
        <v>237008</v>
      </c>
      <c r="Q821" s="92" t="s">
        <v>336</v>
      </c>
      <c r="R821" s="92" t="s">
        <v>109</v>
      </c>
      <c r="S821" s="92"/>
    </row>
    <row r="822" spans="1:19" x14ac:dyDescent="0.2">
      <c r="A822" s="92" t="s">
        <v>689</v>
      </c>
      <c r="B822" s="69">
        <v>12</v>
      </c>
      <c r="C822" s="69">
        <v>4</v>
      </c>
      <c r="D822" s="69">
        <v>9</v>
      </c>
      <c r="E822" s="69">
        <v>21</v>
      </c>
      <c r="F822" s="69">
        <v>72</v>
      </c>
      <c r="G822" s="69">
        <v>77</v>
      </c>
      <c r="H822" s="69">
        <v>12.1</v>
      </c>
      <c r="I822" s="70">
        <v>1.03</v>
      </c>
      <c r="J822" s="70">
        <v>2.65</v>
      </c>
      <c r="K822" s="69">
        <v>5.6</v>
      </c>
      <c r="L822" s="69">
        <v>2.8</v>
      </c>
      <c r="M822" s="69" t="s">
        <v>968</v>
      </c>
      <c r="N822" s="69">
        <v>2011</v>
      </c>
      <c r="O822" s="69" t="s">
        <v>485</v>
      </c>
      <c r="P822" s="69">
        <v>872200</v>
      </c>
      <c r="Q822" s="92" t="s">
        <v>12</v>
      </c>
      <c r="R822" s="92" t="s">
        <v>109</v>
      </c>
      <c r="S822" s="92"/>
    </row>
    <row r="823" spans="1:19" x14ac:dyDescent="0.2">
      <c r="A823" s="92" t="s">
        <v>151</v>
      </c>
      <c r="B823" s="69">
        <v>4</v>
      </c>
      <c r="C823" s="69">
        <v>-3</v>
      </c>
      <c r="D823" s="69">
        <v>1</v>
      </c>
      <c r="E823" s="69">
        <v>17</v>
      </c>
      <c r="F823" s="69">
        <v>62</v>
      </c>
      <c r="G823" s="69">
        <v>75</v>
      </c>
      <c r="H823" s="69">
        <v>11.8</v>
      </c>
      <c r="I823" s="70">
        <v>1.03</v>
      </c>
      <c r="J823" s="70">
        <v>2.72</v>
      </c>
      <c r="K823" s="69">
        <v>10.3</v>
      </c>
      <c r="L823" s="69">
        <v>1.6</v>
      </c>
      <c r="M823" s="69" t="s">
        <v>960</v>
      </c>
      <c r="N823" s="69">
        <v>2000</v>
      </c>
      <c r="O823" s="69" t="s">
        <v>485</v>
      </c>
      <c r="P823" s="69">
        <v>440065</v>
      </c>
      <c r="Q823" s="92" t="s">
        <v>320</v>
      </c>
      <c r="R823" s="92" t="s">
        <v>65</v>
      </c>
      <c r="S823" s="92"/>
    </row>
    <row r="824" spans="1:19" x14ac:dyDescent="0.2">
      <c r="A824" s="92" t="s">
        <v>805</v>
      </c>
      <c r="B824" s="69">
        <v>23</v>
      </c>
      <c r="C824" s="69">
        <v>15</v>
      </c>
      <c r="D824" s="69">
        <v>24</v>
      </c>
      <c r="E824" s="69">
        <v>28</v>
      </c>
      <c r="F824" s="69"/>
      <c r="G824" s="69"/>
      <c r="H824" s="69"/>
      <c r="I824" s="70">
        <v>1.04</v>
      </c>
      <c r="J824" s="70">
        <v>2.7</v>
      </c>
      <c r="K824" s="69"/>
      <c r="L824" s="69"/>
      <c r="M824" s="69" t="s">
        <v>960</v>
      </c>
      <c r="N824" s="69">
        <v>2012</v>
      </c>
      <c r="O824" s="69" t="s">
        <v>485</v>
      </c>
      <c r="P824" s="69">
        <v>795054</v>
      </c>
      <c r="Q824" s="92" t="s">
        <v>802</v>
      </c>
      <c r="R824" s="92" t="s">
        <v>98</v>
      </c>
      <c r="S824" s="92"/>
    </row>
    <row r="825" spans="1:19" x14ac:dyDescent="0.2">
      <c r="A825" s="92" t="s">
        <v>806</v>
      </c>
      <c r="B825" s="69">
        <v>15</v>
      </c>
      <c r="C825" s="69">
        <v>18</v>
      </c>
      <c r="D825" s="69">
        <v>14</v>
      </c>
      <c r="E825" s="69">
        <v>29</v>
      </c>
      <c r="F825" s="69"/>
      <c r="G825" s="69"/>
      <c r="H825" s="69"/>
      <c r="I825" s="70">
        <v>1.04</v>
      </c>
      <c r="J825" s="70">
        <v>2.69</v>
      </c>
      <c r="K825" s="69"/>
      <c r="L825" s="69"/>
      <c r="M825" s="69" t="s">
        <v>960</v>
      </c>
      <c r="N825" s="69">
        <v>2012</v>
      </c>
      <c r="O825" s="69" t="s">
        <v>485</v>
      </c>
      <c r="P825" s="69">
        <v>759225</v>
      </c>
      <c r="Q825" s="92" t="s">
        <v>802</v>
      </c>
      <c r="R825" s="92" t="s">
        <v>275</v>
      </c>
      <c r="S825" s="92"/>
    </row>
    <row r="826" spans="1:19" x14ac:dyDescent="0.2">
      <c r="A826" s="92" t="s">
        <v>821</v>
      </c>
      <c r="B826" s="69">
        <v>6</v>
      </c>
      <c r="C826" s="69">
        <v>1</v>
      </c>
      <c r="D826" s="69">
        <v>4</v>
      </c>
      <c r="E826" s="69">
        <v>15</v>
      </c>
      <c r="F826" s="69">
        <v>60</v>
      </c>
      <c r="G826" s="69">
        <v>66</v>
      </c>
      <c r="H826" s="69">
        <v>10.7</v>
      </c>
      <c r="I826" s="70">
        <v>1.04</v>
      </c>
      <c r="J826" s="70">
        <v>2.68</v>
      </c>
      <c r="K826" s="69">
        <v>8.1999999999999993</v>
      </c>
      <c r="L826" s="69">
        <v>1.7</v>
      </c>
      <c r="M826" s="69" t="s">
        <v>960</v>
      </c>
      <c r="N826" s="69">
        <v>2012</v>
      </c>
      <c r="O826" s="69" t="s">
        <v>485</v>
      </c>
      <c r="P826" s="69">
        <v>942623</v>
      </c>
      <c r="Q826" s="92" t="s">
        <v>802</v>
      </c>
      <c r="R826" s="92" t="s">
        <v>38</v>
      </c>
      <c r="S826" s="92"/>
    </row>
    <row r="827" spans="1:19" x14ac:dyDescent="0.2">
      <c r="A827" s="92" t="s">
        <v>818</v>
      </c>
      <c r="B827" s="69">
        <v>15</v>
      </c>
      <c r="C827" s="69">
        <v>8</v>
      </c>
      <c r="D827" s="69">
        <v>14</v>
      </c>
      <c r="E827" s="69">
        <v>21</v>
      </c>
      <c r="F827" s="69">
        <v>58</v>
      </c>
      <c r="G827" s="69">
        <v>59</v>
      </c>
      <c r="H827" s="69">
        <v>9.6999999999999993</v>
      </c>
      <c r="I827" s="70">
        <v>1.04</v>
      </c>
      <c r="J827" s="70">
        <v>2.69</v>
      </c>
      <c r="K827" s="69">
        <v>5.3</v>
      </c>
      <c r="L827" s="69">
        <v>2.5</v>
      </c>
      <c r="M827" s="69" t="s">
        <v>960</v>
      </c>
      <c r="N827" s="69">
        <v>2012</v>
      </c>
      <c r="O827" s="69" t="s">
        <v>485</v>
      </c>
      <c r="P827" s="69">
        <v>870964</v>
      </c>
      <c r="Q827" s="92" t="s">
        <v>802</v>
      </c>
      <c r="R827" s="92" t="s">
        <v>109</v>
      </c>
      <c r="S827" s="92"/>
    </row>
    <row r="828" spans="1:19" x14ac:dyDescent="0.2">
      <c r="A828" s="92" t="s">
        <v>820</v>
      </c>
      <c r="B828" s="69">
        <v>23</v>
      </c>
      <c r="C828" s="69">
        <v>18</v>
      </c>
      <c r="D828" s="69">
        <v>35</v>
      </c>
      <c r="E828" s="69">
        <v>25</v>
      </c>
      <c r="F828" s="69">
        <v>6</v>
      </c>
      <c r="G828" s="69">
        <v>27</v>
      </c>
      <c r="H828" s="69">
        <v>4.9000000000000004</v>
      </c>
      <c r="I828" s="70">
        <v>1.04</v>
      </c>
      <c r="J828" s="70">
        <v>2.7</v>
      </c>
      <c r="K828" s="69">
        <v>16.7</v>
      </c>
      <c r="L828" s="69">
        <v>0.1</v>
      </c>
      <c r="M828" s="69" t="s">
        <v>960</v>
      </c>
      <c r="N828" s="69">
        <v>2012</v>
      </c>
      <c r="O828" s="69" t="s">
        <v>485</v>
      </c>
      <c r="P828" s="69">
        <v>763474</v>
      </c>
      <c r="Q828" s="92" t="s">
        <v>802</v>
      </c>
      <c r="R828" s="92" t="s">
        <v>277</v>
      </c>
      <c r="S828" s="92"/>
    </row>
    <row r="829" spans="1:19" x14ac:dyDescent="0.2">
      <c r="A829" s="92" t="s">
        <v>819</v>
      </c>
      <c r="B829" s="69">
        <v>17</v>
      </c>
      <c r="C829" s="69">
        <v>13</v>
      </c>
      <c r="D829" s="69">
        <v>21</v>
      </c>
      <c r="E829" s="69">
        <v>27</v>
      </c>
      <c r="F829" s="69">
        <v>36</v>
      </c>
      <c r="G829" s="69">
        <v>55</v>
      </c>
      <c r="H829" s="69">
        <v>9.1</v>
      </c>
      <c r="I829" s="70">
        <v>1.05</v>
      </c>
      <c r="J829" s="70">
        <v>2.71</v>
      </c>
      <c r="K829" s="69">
        <v>11.4</v>
      </c>
      <c r="L829" s="69">
        <v>0.8</v>
      </c>
      <c r="M829" s="69" t="s">
        <v>960</v>
      </c>
      <c r="N829" s="69">
        <v>2012</v>
      </c>
      <c r="O829" s="69" t="s">
        <v>485</v>
      </c>
      <c r="P829" s="69">
        <v>978452</v>
      </c>
      <c r="Q829" s="92" t="s">
        <v>802</v>
      </c>
      <c r="R829" s="92" t="s">
        <v>121</v>
      </c>
      <c r="S829" s="92"/>
    </row>
    <row r="830" spans="1:19" x14ac:dyDescent="0.2">
      <c r="A830" s="92" t="s">
        <v>822</v>
      </c>
      <c r="B830" s="69">
        <v>7</v>
      </c>
      <c r="C830" s="69">
        <v>4</v>
      </c>
      <c r="D830" s="69">
        <v>9</v>
      </c>
      <c r="E830" s="69">
        <v>17</v>
      </c>
      <c r="F830" s="69">
        <v>30</v>
      </c>
      <c r="G830" s="69">
        <v>37</v>
      </c>
      <c r="H830" s="69">
        <v>6.6</v>
      </c>
      <c r="I830" s="70">
        <v>1.05</v>
      </c>
      <c r="J830" s="70">
        <v>2.73</v>
      </c>
      <c r="K830" s="69">
        <v>12.6</v>
      </c>
      <c r="L830" s="69">
        <v>0.5</v>
      </c>
      <c r="M830" s="69" t="s">
        <v>960</v>
      </c>
      <c r="N830" s="69">
        <v>2012</v>
      </c>
      <c r="O830" s="69" t="s">
        <v>485</v>
      </c>
      <c r="P830" s="69">
        <v>835132</v>
      </c>
      <c r="Q830" s="92" t="s">
        <v>802</v>
      </c>
      <c r="R830" s="92" t="s">
        <v>109</v>
      </c>
      <c r="S830" s="92"/>
    </row>
    <row r="831" spans="1:19" x14ac:dyDescent="0.2">
      <c r="A831" s="92" t="s">
        <v>823</v>
      </c>
      <c r="B831" s="69">
        <v>28</v>
      </c>
      <c r="C831" s="69">
        <v>16</v>
      </c>
      <c r="D831" s="69">
        <v>26</v>
      </c>
      <c r="E831" s="69">
        <v>37</v>
      </c>
      <c r="F831" s="69">
        <v>33</v>
      </c>
      <c r="G831" s="69"/>
      <c r="H831" s="69"/>
      <c r="I831" s="70">
        <v>1.05</v>
      </c>
      <c r="J831" s="70">
        <v>2.73</v>
      </c>
      <c r="K831" s="69">
        <v>12.4</v>
      </c>
      <c r="L831" s="69">
        <v>0.6</v>
      </c>
      <c r="M831" s="69" t="s">
        <v>960</v>
      </c>
      <c r="N831" s="69">
        <v>2012</v>
      </c>
      <c r="O831" s="69" t="s">
        <v>485</v>
      </c>
      <c r="P831" s="69">
        <v>150110</v>
      </c>
      <c r="Q831" s="92" t="s">
        <v>802</v>
      </c>
      <c r="R831" s="92" t="s">
        <v>98</v>
      </c>
      <c r="S831" s="92"/>
    </row>
    <row r="832" spans="1:19" x14ac:dyDescent="0.2">
      <c r="A832" s="92" t="s">
        <v>153</v>
      </c>
      <c r="B832" s="69">
        <v>-8</v>
      </c>
      <c r="C832" s="69">
        <v>-1</v>
      </c>
      <c r="D832" s="69">
        <v>20</v>
      </c>
      <c r="E832" s="69">
        <v>0</v>
      </c>
      <c r="F832" s="69">
        <v>-15</v>
      </c>
      <c r="G832" s="69">
        <v>20</v>
      </c>
      <c r="H832" s="69">
        <v>3.7</v>
      </c>
      <c r="I832" s="70">
        <v>1.06</v>
      </c>
      <c r="J832" s="70">
        <v>2.82</v>
      </c>
      <c r="K832" s="69">
        <v>22</v>
      </c>
      <c r="L832" s="69">
        <v>-0.2</v>
      </c>
      <c r="M832" s="69" t="s">
        <v>968</v>
      </c>
      <c r="N832" s="69">
        <v>2009</v>
      </c>
      <c r="O832" s="69" t="s">
        <v>485</v>
      </c>
      <c r="P832" s="69">
        <v>925099</v>
      </c>
      <c r="Q832" s="92" t="s">
        <v>320</v>
      </c>
      <c r="R832" s="92" t="s">
        <v>276</v>
      </c>
      <c r="S832" s="92"/>
    </row>
    <row r="833" spans="1:19" x14ac:dyDescent="0.2">
      <c r="A833" s="92" t="s">
        <v>1083</v>
      </c>
      <c r="B833" s="69">
        <v>11</v>
      </c>
      <c r="C833" s="69">
        <v>10</v>
      </c>
      <c r="D833" s="69">
        <v>21</v>
      </c>
      <c r="E833" s="69">
        <v>20</v>
      </c>
      <c r="F833" s="69">
        <v>31</v>
      </c>
      <c r="G833" s="69">
        <v>52</v>
      </c>
      <c r="H833" s="69">
        <v>8.8000000000000007</v>
      </c>
      <c r="I833" s="70">
        <v>1.07</v>
      </c>
      <c r="J833" s="70">
        <v>2.78</v>
      </c>
      <c r="K833" s="69">
        <v>12</v>
      </c>
      <c r="L833" s="69">
        <v>0.6</v>
      </c>
      <c r="M833" s="69" t="s">
        <v>960</v>
      </c>
      <c r="N833" s="69">
        <v>2012</v>
      </c>
      <c r="O833" s="69" t="s">
        <v>485</v>
      </c>
      <c r="P833" s="69">
        <v>114280</v>
      </c>
      <c r="Q833" s="92" t="s">
        <v>802</v>
      </c>
      <c r="R833" s="92" t="s">
        <v>121</v>
      </c>
      <c r="S833" s="92"/>
    </row>
    <row r="834" spans="1:19" x14ac:dyDescent="0.2">
      <c r="A834" s="92" t="s">
        <v>666</v>
      </c>
      <c r="B834" s="69">
        <v>11</v>
      </c>
      <c r="C834" s="69">
        <v>5</v>
      </c>
      <c r="D834" s="69">
        <v>12</v>
      </c>
      <c r="E834" s="69">
        <v>19</v>
      </c>
      <c r="F834" s="69">
        <v>30</v>
      </c>
      <c r="G834" s="69">
        <v>11</v>
      </c>
      <c r="H834" s="69">
        <v>2.1</v>
      </c>
      <c r="I834" s="70">
        <v>1.08</v>
      </c>
      <c r="J834" s="70">
        <v>2.78</v>
      </c>
      <c r="K834" s="69">
        <v>7.3</v>
      </c>
      <c r="L834" s="69">
        <v>1</v>
      </c>
      <c r="M834" s="69" t="s">
        <v>958</v>
      </c>
      <c r="N834" s="69">
        <v>2009</v>
      </c>
      <c r="O834" s="69" t="s">
        <v>485</v>
      </c>
      <c r="P834" s="69">
        <v>539460</v>
      </c>
      <c r="Q834" s="92" t="s">
        <v>299</v>
      </c>
      <c r="R834" s="92" t="s">
        <v>227</v>
      </c>
      <c r="S834" s="92"/>
    </row>
    <row r="835" spans="1:19" x14ac:dyDescent="0.2">
      <c r="A835" s="92" t="s">
        <v>155</v>
      </c>
      <c r="B835" s="69">
        <v>14</v>
      </c>
      <c r="C835" s="69">
        <v>8</v>
      </c>
      <c r="D835" s="69">
        <v>11</v>
      </c>
      <c r="E835" s="69">
        <v>25</v>
      </c>
      <c r="F835" s="69">
        <v>60</v>
      </c>
      <c r="G835" s="69">
        <v>73</v>
      </c>
      <c r="H835" s="69">
        <v>11.5</v>
      </c>
      <c r="I835" s="70">
        <v>1.0900000000000001</v>
      </c>
      <c r="J835" s="70">
        <v>2.9</v>
      </c>
      <c r="K835" s="69">
        <v>6.7</v>
      </c>
      <c r="L835" s="69">
        <v>2.2000000000000002</v>
      </c>
      <c r="M835" s="69" t="s">
        <v>968</v>
      </c>
      <c r="N835" s="69">
        <v>2009</v>
      </c>
      <c r="O835" s="69" t="s">
        <v>485</v>
      </c>
      <c r="P835" s="69">
        <v>690693</v>
      </c>
      <c r="Q835" s="92" t="s">
        <v>320</v>
      </c>
      <c r="R835" s="92" t="s">
        <v>109</v>
      </c>
      <c r="S835" s="92"/>
    </row>
    <row r="836" spans="1:19" x14ac:dyDescent="0.2">
      <c r="A836" s="92" t="s">
        <v>1029</v>
      </c>
      <c r="B836" s="69">
        <v>9</v>
      </c>
      <c r="C836" s="69">
        <v>4</v>
      </c>
      <c r="D836" s="69">
        <v>8</v>
      </c>
      <c r="E836" s="69"/>
      <c r="F836" s="69"/>
      <c r="G836" s="69"/>
      <c r="H836" s="69"/>
      <c r="I836" s="70">
        <v>1.1000000000000001</v>
      </c>
      <c r="J836" s="70">
        <v>2.85</v>
      </c>
      <c r="K836" s="69"/>
      <c r="L836" s="69"/>
      <c r="M836" s="69" t="s">
        <v>958</v>
      </c>
      <c r="N836" s="69">
        <v>2013</v>
      </c>
      <c r="O836" s="69" t="s">
        <v>585</v>
      </c>
      <c r="P836" s="69">
        <v>159798</v>
      </c>
      <c r="Q836" s="92" t="s">
        <v>1028</v>
      </c>
      <c r="R836" s="92" t="s">
        <v>227</v>
      </c>
      <c r="S836" s="92"/>
    </row>
    <row r="837" spans="1:19" x14ac:dyDescent="0.2">
      <c r="A837" s="92" t="s">
        <v>154</v>
      </c>
      <c r="B837" s="69">
        <v>43</v>
      </c>
      <c r="C837" s="69">
        <v>13</v>
      </c>
      <c r="D837" s="69">
        <v>41</v>
      </c>
      <c r="E837" s="69">
        <v>77</v>
      </c>
      <c r="F837" s="69">
        <v>30</v>
      </c>
      <c r="G837" s="69">
        <v>22</v>
      </c>
      <c r="H837" s="69">
        <v>4</v>
      </c>
      <c r="I837" s="70">
        <v>1.1000000000000001</v>
      </c>
      <c r="J837" s="70">
        <v>2.94</v>
      </c>
      <c r="K837" s="69">
        <v>21.9</v>
      </c>
      <c r="L837" s="69">
        <v>0.4</v>
      </c>
      <c r="M837" s="69" t="s">
        <v>968</v>
      </c>
      <c r="N837" s="69">
        <v>2000</v>
      </c>
      <c r="O837" s="69" t="s">
        <v>485</v>
      </c>
      <c r="P837" s="69">
        <v>874271</v>
      </c>
      <c r="Q837" s="92" t="s">
        <v>320</v>
      </c>
      <c r="R837" s="92" t="s">
        <v>180</v>
      </c>
      <c r="S837" s="92"/>
    </row>
    <row r="838" spans="1:19" x14ac:dyDescent="0.2">
      <c r="A838" s="92" t="s">
        <v>718</v>
      </c>
      <c r="B838" s="69">
        <v>-3</v>
      </c>
      <c r="C838" s="69">
        <v>3</v>
      </c>
      <c r="D838" s="69">
        <v>15</v>
      </c>
      <c r="E838" s="69">
        <v>7</v>
      </c>
      <c r="F838" s="69"/>
      <c r="G838" s="69"/>
      <c r="H838" s="69"/>
      <c r="I838" s="70">
        <v>1.1000000000000001</v>
      </c>
      <c r="J838" s="70">
        <v>2.87</v>
      </c>
      <c r="K838" s="69"/>
      <c r="L838" s="69"/>
      <c r="M838" s="69" t="s">
        <v>958</v>
      </c>
      <c r="N838" s="69">
        <v>2011</v>
      </c>
      <c r="O838" s="69" t="s">
        <v>585</v>
      </c>
      <c r="P838" s="69">
        <v>741637</v>
      </c>
      <c r="Q838" s="92" t="s">
        <v>717</v>
      </c>
      <c r="R838" s="92" t="s">
        <v>276</v>
      </c>
      <c r="S838" s="92"/>
    </row>
    <row r="839" spans="1:19" x14ac:dyDescent="0.2">
      <c r="A839" s="92" t="s">
        <v>790</v>
      </c>
      <c r="B839" s="69">
        <v>6</v>
      </c>
      <c r="C839" s="69">
        <v>4</v>
      </c>
      <c r="D839" s="69">
        <v>5</v>
      </c>
      <c r="E839" s="69">
        <v>7</v>
      </c>
      <c r="F839" s="69"/>
      <c r="G839" s="69"/>
      <c r="H839" s="69"/>
      <c r="I839" s="70">
        <v>1.1000000000000001</v>
      </c>
      <c r="J839" s="70">
        <v>3.06</v>
      </c>
      <c r="K839" s="69"/>
      <c r="L839" s="69"/>
      <c r="M839" s="69" t="s">
        <v>958</v>
      </c>
      <c r="N839" s="69">
        <v>2012</v>
      </c>
      <c r="O839" s="69" t="s">
        <v>485</v>
      </c>
      <c r="P839" s="69">
        <v>883710</v>
      </c>
      <c r="Q839" s="92" t="s">
        <v>336</v>
      </c>
      <c r="R839" s="92" t="s">
        <v>227</v>
      </c>
      <c r="S839" s="92"/>
    </row>
    <row r="840" spans="1:19" x14ac:dyDescent="0.2">
      <c r="A840" s="92" t="s">
        <v>881</v>
      </c>
      <c r="B840" s="69">
        <v>6</v>
      </c>
      <c r="C840" s="69">
        <v>2</v>
      </c>
      <c r="D840" s="69">
        <v>7</v>
      </c>
      <c r="E840" s="69">
        <v>12</v>
      </c>
      <c r="F840" s="69">
        <v>19</v>
      </c>
      <c r="G840" s="69">
        <v>20</v>
      </c>
      <c r="H840" s="69">
        <v>3.7</v>
      </c>
      <c r="I840" s="70">
        <v>1.1000000000000001</v>
      </c>
      <c r="J840" s="70">
        <v>3.04</v>
      </c>
      <c r="K840" s="69">
        <v>5.2</v>
      </c>
      <c r="L840" s="69">
        <v>0.9</v>
      </c>
      <c r="M840" s="69" t="s">
        <v>958</v>
      </c>
      <c r="N840" s="69">
        <v>2012</v>
      </c>
      <c r="O840" s="69" t="s">
        <v>585</v>
      </c>
      <c r="P840" s="69">
        <v>567917</v>
      </c>
      <c r="Q840" s="92" t="s">
        <v>616</v>
      </c>
      <c r="R840" s="92" t="s">
        <v>227</v>
      </c>
      <c r="S840" s="92"/>
    </row>
    <row r="841" spans="1:19" x14ac:dyDescent="0.2">
      <c r="A841" s="92" t="s">
        <v>166</v>
      </c>
      <c r="B841" s="69">
        <v>16</v>
      </c>
      <c r="C841" s="69">
        <v>7</v>
      </c>
      <c r="D841" s="69">
        <v>12</v>
      </c>
      <c r="E841" s="69">
        <v>14</v>
      </c>
      <c r="F841" s="69">
        <v>-31</v>
      </c>
      <c r="G841" s="69">
        <v>-13</v>
      </c>
      <c r="H841" s="69">
        <v>-2.8</v>
      </c>
      <c r="I841" s="70">
        <v>1.1100000000000001</v>
      </c>
      <c r="J841" s="70">
        <v>2.9</v>
      </c>
      <c r="K841" s="69">
        <v>22</v>
      </c>
      <c r="L841" s="69">
        <v>-0.5</v>
      </c>
      <c r="M841" s="69" t="s">
        <v>960</v>
      </c>
      <c r="N841" s="69">
        <v>2008</v>
      </c>
      <c r="O841" s="69" t="s">
        <v>485</v>
      </c>
      <c r="P841" s="69">
        <v>938498</v>
      </c>
      <c r="Q841" s="92" t="s">
        <v>610</v>
      </c>
      <c r="R841" s="92" t="s">
        <v>207</v>
      </c>
      <c r="S841" s="92"/>
    </row>
    <row r="842" spans="1:19" x14ac:dyDescent="0.2">
      <c r="A842" s="92" t="s">
        <v>890</v>
      </c>
      <c r="B842" s="69">
        <v>38</v>
      </c>
      <c r="C842" s="69">
        <v>13</v>
      </c>
      <c r="D842" s="69">
        <v>41</v>
      </c>
      <c r="E842" s="69">
        <v>69</v>
      </c>
      <c r="F842" s="69">
        <v>27</v>
      </c>
      <c r="G842" s="69">
        <v>39</v>
      </c>
      <c r="H842" s="69">
        <v>6.8</v>
      </c>
      <c r="I842" s="70">
        <v>1.1100000000000001</v>
      </c>
      <c r="J842" s="70">
        <v>2.9</v>
      </c>
      <c r="K842" s="69">
        <v>19.8</v>
      </c>
      <c r="L842" s="69">
        <v>0.4</v>
      </c>
      <c r="M842" s="69" t="s">
        <v>968</v>
      </c>
      <c r="N842" s="69">
        <v>2008</v>
      </c>
      <c r="O842" s="69" t="s">
        <v>485</v>
      </c>
      <c r="P842" s="69">
        <v>333633</v>
      </c>
      <c r="Q842" s="92" t="s">
        <v>610</v>
      </c>
      <c r="R842" s="92" t="s">
        <v>180</v>
      </c>
      <c r="S842" s="92"/>
    </row>
    <row r="843" spans="1:19" x14ac:dyDescent="0.2">
      <c r="A843" s="92" t="s">
        <v>163</v>
      </c>
      <c r="B843" s="69">
        <v>25</v>
      </c>
      <c r="C843" s="69">
        <v>18</v>
      </c>
      <c r="D843" s="69">
        <v>36</v>
      </c>
      <c r="E843" s="69">
        <v>28</v>
      </c>
      <c r="F843" s="69">
        <v>12</v>
      </c>
      <c r="G843" s="69">
        <v>36</v>
      </c>
      <c r="H843" s="69">
        <v>6.4</v>
      </c>
      <c r="I843" s="70">
        <v>1.1100000000000001</v>
      </c>
      <c r="J843" s="70">
        <v>2.9</v>
      </c>
      <c r="K843" s="69">
        <v>16.399999999999999</v>
      </c>
      <c r="L843" s="69">
        <v>0.2</v>
      </c>
      <c r="M843" s="69" t="s">
        <v>968</v>
      </c>
      <c r="N843" s="69">
        <v>2008</v>
      </c>
      <c r="O843" s="69" t="s">
        <v>485</v>
      </c>
      <c r="P843" s="69">
        <v>369462</v>
      </c>
      <c r="Q843" s="92" t="s">
        <v>610</v>
      </c>
      <c r="R843" s="92" t="s">
        <v>277</v>
      </c>
      <c r="S843" s="92"/>
    </row>
    <row r="844" spans="1:19" x14ac:dyDescent="0.2">
      <c r="A844" s="92" t="s">
        <v>18</v>
      </c>
      <c r="B844" s="69">
        <v>17</v>
      </c>
      <c r="C844" s="69">
        <v>12</v>
      </c>
      <c r="D844" s="69">
        <v>26</v>
      </c>
      <c r="E844" s="69">
        <v>22</v>
      </c>
      <c r="F844" s="69">
        <v>11</v>
      </c>
      <c r="G844" s="69">
        <v>19</v>
      </c>
      <c r="H844" s="69">
        <v>3.5</v>
      </c>
      <c r="I844" s="70">
        <v>1.1100000000000001</v>
      </c>
      <c r="J844" s="70">
        <v>2.96</v>
      </c>
      <c r="K844" s="69">
        <v>12.6</v>
      </c>
      <c r="L844" s="69">
        <v>0.2</v>
      </c>
      <c r="M844" s="69" t="s">
        <v>968</v>
      </c>
      <c r="N844" s="69">
        <v>2000</v>
      </c>
      <c r="O844" s="69" t="s">
        <v>485</v>
      </c>
      <c r="P844" s="69">
        <v>404236</v>
      </c>
      <c r="Q844" s="92" t="s">
        <v>320</v>
      </c>
      <c r="R844" s="92" t="s">
        <v>121</v>
      </c>
      <c r="S844" s="92"/>
    </row>
    <row r="845" spans="1:19" x14ac:dyDescent="0.2">
      <c r="A845" s="92" t="s">
        <v>761</v>
      </c>
      <c r="B845" s="69">
        <v>5</v>
      </c>
      <c r="C845" s="69">
        <v>2</v>
      </c>
      <c r="D845" s="69">
        <v>7</v>
      </c>
      <c r="E845" s="69">
        <v>11</v>
      </c>
      <c r="F845" s="69"/>
      <c r="G845" s="69"/>
      <c r="H845" s="69"/>
      <c r="I845" s="70">
        <v>1.1200000000000001</v>
      </c>
      <c r="J845" s="70">
        <v>2.97</v>
      </c>
      <c r="K845" s="69"/>
      <c r="L845" s="69"/>
      <c r="M845" s="69" t="s">
        <v>958</v>
      </c>
      <c r="N845" s="69">
        <v>2012</v>
      </c>
      <c r="O845" s="69" t="s">
        <v>485</v>
      </c>
      <c r="P845" s="69">
        <v>999110</v>
      </c>
      <c r="Q845" s="92" t="s">
        <v>299</v>
      </c>
      <c r="R845" s="92" t="s">
        <v>227</v>
      </c>
      <c r="S845" s="92"/>
    </row>
    <row r="846" spans="1:19" x14ac:dyDescent="0.2">
      <c r="A846" s="92" t="s">
        <v>164</v>
      </c>
      <c r="B846" s="69">
        <v>14</v>
      </c>
      <c r="C846" s="69">
        <v>7</v>
      </c>
      <c r="D846" s="69">
        <v>14</v>
      </c>
      <c r="E846" s="69">
        <v>25</v>
      </c>
      <c r="F846" s="69">
        <v>60</v>
      </c>
      <c r="G846" s="69">
        <v>56</v>
      </c>
      <c r="H846" s="69">
        <v>9.3000000000000007</v>
      </c>
      <c r="I846" s="70">
        <v>1.1200000000000001</v>
      </c>
      <c r="J846" s="70">
        <v>2.91</v>
      </c>
      <c r="K846" s="69">
        <v>8.1999999999999993</v>
      </c>
      <c r="L846" s="69">
        <v>1.6</v>
      </c>
      <c r="M846" s="69" t="s">
        <v>960</v>
      </c>
      <c r="N846" s="69">
        <v>2008</v>
      </c>
      <c r="O846" s="69" t="s">
        <v>485</v>
      </c>
      <c r="P846" s="69">
        <v>405290</v>
      </c>
      <c r="Q846" s="92" t="s">
        <v>610</v>
      </c>
      <c r="R846" s="92" t="s">
        <v>109</v>
      </c>
      <c r="S846" s="92"/>
    </row>
    <row r="847" spans="1:19" x14ac:dyDescent="0.2">
      <c r="A847" s="92" t="s">
        <v>156</v>
      </c>
      <c r="B847" s="69">
        <v>-1</v>
      </c>
      <c r="C847" s="69">
        <v>-1</v>
      </c>
      <c r="D847" s="69">
        <v>20</v>
      </c>
      <c r="E847" s="69">
        <v>6</v>
      </c>
      <c r="F847" s="69">
        <v>-3</v>
      </c>
      <c r="G847" s="69">
        <v>18</v>
      </c>
      <c r="H847" s="69">
        <v>3.3</v>
      </c>
      <c r="I847" s="70">
        <v>1.1299999999999999</v>
      </c>
      <c r="J847" s="70">
        <v>3.02</v>
      </c>
      <c r="K847" s="69">
        <v>17.899999999999999</v>
      </c>
      <c r="L847" s="69">
        <v>-0.1</v>
      </c>
      <c r="M847" s="69" t="s">
        <v>960</v>
      </c>
      <c r="N847" s="69">
        <v>2000</v>
      </c>
      <c r="O847" s="69" t="s">
        <v>485</v>
      </c>
      <c r="P847" s="69">
        <v>368407</v>
      </c>
      <c r="Q847" s="92" t="s">
        <v>320</v>
      </c>
      <c r="R847" s="92" t="s">
        <v>157</v>
      </c>
      <c r="S847" s="92"/>
    </row>
    <row r="848" spans="1:19" x14ac:dyDescent="0.2">
      <c r="A848" s="92" t="s">
        <v>810</v>
      </c>
      <c r="B848" s="69">
        <v>13</v>
      </c>
      <c r="C848" s="69">
        <v>10</v>
      </c>
      <c r="D848" s="69">
        <v>12</v>
      </c>
      <c r="E848" s="69">
        <v>17</v>
      </c>
      <c r="F848" s="69"/>
      <c r="G848" s="69"/>
      <c r="H848" s="69"/>
      <c r="I848" s="70">
        <v>1.1499999999999999</v>
      </c>
      <c r="J848" s="70">
        <v>1.6</v>
      </c>
      <c r="K848" s="69"/>
      <c r="L848" s="69"/>
      <c r="M848" s="69" t="s">
        <v>958</v>
      </c>
      <c r="N848" s="69">
        <v>2012</v>
      </c>
      <c r="O848" s="69" t="s">
        <v>585</v>
      </c>
      <c r="P848" s="69">
        <v>154369</v>
      </c>
      <c r="Q848" s="92" t="s">
        <v>987</v>
      </c>
      <c r="R848" s="92" t="s">
        <v>180</v>
      </c>
      <c r="S848" s="92"/>
    </row>
    <row r="849" spans="1:19" x14ac:dyDescent="0.2">
      <c r="A849" s="92" t="s">
        <v>460</v>
      </c>
      <c r="B849" s="69">
        <v>8</v>
      </c>
      <c r="C849" s="69">
        <v>4</v>
      </c>
      <c r="D849" s="69">
        <v>8</v>
      </c>
      <c r="E849" s="69">
        <v>15</v>
      </c>
      <c r="F849" s="69">
        <v>27</v>
      </c>
      <c r="G849" s="69">
        <v>25</v>
      </c>
      <c r="H849" s="69">
        <v>4.5</v>
      </c>
      <c r="I849" s="70">
        <v>1.1499999999999999</v>
      </c>
      <c r="J849" s="70">
        <v>3.21</v>
      </c>
      <c r="K849" s="69">
        <v>4.3</v>
      </c>
      <c r="L849" s="69">
        <v>1.6</v>
      </c>
      <c r="M849" s="69" t="s">
        <v>960</v>
      </c>
      <c r="N849" s="69">
        <v>2008</v>
      </c>
      <c r="O849" s="69" t="s">
        <v>485</v>
      </c>
      <c r="P849" s="69">
        <v>323899</v>
      </c>
      <c r="Q849" s="92" t="s">
        <v>46</v>
      </c>
      <c r="R849" s="92" t="s">
        <v>227</v>
      </c>
      <c r="S849" s="92"/>
    </row>
    <row r="850" spans="1:19" x14ac:dyDescent="0.2">
      <c r="A850" s="92" t="s">
        <v>57</v>
      </c>
      <c r="B850" s="69">
        <v>11</v>
      </c>
      <c r="C850" s="69">
        <v>5</v>
      </c>
      <c r="D850" s="69">
        <v>10</v>
      </c>
      <c r="E850" s="69">
        <v>20</v>
      </c>
      <c r="F850" s="69">
        <v>40</v>
      </c>
      <c r="G850" s="69">
        <v>39</v>
      </c>
      <c r="H850" s="69">
        <v>6.8</v>
      </c>
      <c r="I850" s="70">
        <v>1.1599999999999999</v>
      </c>
      <c r="J850" s="70">
        <v>3.25</v>
      </c>
      <c r="K850" s="69">
        <v>6</v>
      </c>
      <c r="L850" s="69">
        <v>1.7</v>
      </c>
      <c r="M850" s="69" t="s">
        <v>960</v>
      </c>
      <c r="N850" s="69">
        <v>2008</v>
      </c>
      <c r="O850" s="69" t="s">
        <v>485</v>
      </c>
      <c r="P850" s="69">
        <v>216408</v>
      </c>
      <c r="Q850" s="92" t="s">
        <v>46</v>
      </c>
      <c r="R850" s="92" t="s">
        <v>109</v>
      </c>
      <c r="S850" s="92"/>
    </row>
    <row r="851" spans="1:19" x14ac:dyDescent="0.2">
      <c r="A851" s="92" t="s">
        <v>1031</v>
      </c>
      <c r="B851" s="69">
        <v>13</v>
      </c>
      <c r="C851" s="69">
        <v>6</v>
      </c>
      <c r="D851" s="69">
        <v>12</v>
      </c>
      <c r="E851" s="69"/>
      <c r="F851" s="69"/>
      <c r="G851" s="69"/>
      <c r="H851" s="69"/>
      <c r="I851" s="70">
        <v>1.18</v>
      </c>
      <c r="J851" s="70">
        <v>3.08</v>
      </c>
      <c r="K851" s="69"/>
      <c r="L851" s="69"/>
      <c r="M851" s="69" t="s">
        <v>958</v>
      </c>
      <c r="N851" s="69">
        <v>2013</v>
      </c>
      <c r="O851" s="69" t="s">
        <v>585</v>
      </c>
      <c r="P851" s="69">
        <v>123968</v>
      </c>
      <c r="Q851" s="92" t="s">
        <v>1028</v>
      </c>
      <c r="R851" s="92" t="s">
        <v>227</v>
      </c>
      <c r="S851" s="92"/>
    </row>
    <row r="852" spans="1:19" x14ac:dyDescent="0.2">
      <c r="A852" s="92" t="s">
        <v>888</v>
      </c>
      <c r="B852" s="69">
        <v>20</v>
      </c>
      <c r="C852" s="69">
        <v>16</v>
      </c>
      <c r="D852" s="69">
        <v>29</v>
      </c>
      <c r="E852" s="69">
        <v>25</v>
      </c>
      <c r="F852" s="69"/>
      <c r="G852" s="69"/>
      <c r="H852" s="69"/>
      <c r="I852" s="70">
        <v>1.19</v>
      </c>
      <c r="J852" s="70">
        <v>3.12</v>
      </c>
      <c r="K852" s="69"/>
      <c r="L852" s="69"/>
      <c r="M852" s="69" t="s">
        <v>960</v>
      </c>
      <c r="N852" s="69">
        <v>2013</v>
      </c>
      <c r="O852" s="69" t="s">
        <v>485</v>
      </c>
      <c r="P852" s="69">
        <v>329854</v>
      </c>
      <c r="Q852" s="92" t="s">
        <v>271</v>
      </c>
      <c r="R852" s="92" t="s">
        <v>121</v>
      </c>
      <c r="S852" s="92"/>
    </row>
    <row r="853" spans="1:19" x14ac:dyDescent="0.2">
      <c r="A853" s="92" t="s">
        <v>1125</v>
      </c>
      <c r="B853" s="69"/>
      <c r="C853" s="69"/>
      <c r="D853" s="69"/>
      <c r="E853" s="69"/>
      <c r="F853" s="69"/>
      <c r="G853" s="69"/>
      <c r="H853" s="69"/>
      <c r="I853" s="70">
        <v>1.2</v>
      </c>
      <c r="J853" s="70">
        <v>3.15</v>
      </c>
      <c r="K853" s="69"/>
      <c r="L853" s="69"/>
      <c r="M853" s="69" t="s">
        <v>958</v>
      </c>
      <c r="N853" s="69">
        <v>2014</v>
      </c>
      <c r="O853" s="69" t="s">
        <v>485</v>
      </c>
      <c r="P853" s="69">
        <v>636506</v>
      </c>
      <c r="Q853" s="92" t="s">
        <v>1123</v>
      </c>
      <c r="R853" s="92" t="s">
        <v>227</v>
      </c>
      <c r="S853" s="92"/>
    </row>
    <row r="854" spans="1:19" x14ac:dyDescent="0.2">
      <c r="A854" s="92" t="s">
        <v>1124</v>
      </c>
      <c r="B854" s="69"/>
      <c r="C854" s="69"/>
      <c r="D854" s="69"/>
      <c r="E854" s="69"/>
      <c r="F854" s="69"/>
      <c r="G854" s="69"/>
      <c r="H854" s="69"/>
      <c r="I854" s="70">
        <v>1.2</v>
      </c>
      <c r="J854" s="70">
        <v>3.15</v>
      </c>
      <c r="K854" s="69"/>
      <c r="L854" s="69"/>
      <c r="M854" s="69" t="s">
        <v>958</v>
      </c>
      <c r="N854" s="69">
        <v>2014</v>
      </c>
      <c r="O854" s="69" t="s">
        <v>485</v>
      </c>
      <c r="P854" s="69">
        <v>524769</v>
      </c>
      <c r="Q854" s="92" t="s">
        <v>1123</v>
      </c>
      <c r="R854" s="92" t="s">
        <v>227</v>
      </c>
      <c r="S854" s="92"/>
    </row>
    <row r="855" spans="1:19" x14ac:dyDescent="0.2">
      <c r="A855" s="92" t="s">
        <v>1122</v>
      </c>
      <c r="B855" s="69"/>
      <c r="C855" s="69"/>
      <c r="D855" s="69"/>
      <c r="E855" s="69"/>
      <c r="F855" s="69"/>
      <c r="G855" s="69"/>
      <c r="H855" s="69"/>
      <c r="I855" s="70">
        <v>1.2</v>
      </c>
      <c r="J855" s="70">
        <v>3.15</v>
      </c>
      <c r="K855" s="69"/>
      <c r="L855" s="69"/>
      <c r="M855" s="69" t="s">
        <v>958</v>
      </c>
      <c r="N855" s="69">
        <v>2014</v>
      </c>
      <c r="O855" s="69" t="s">
        <v>485</v>
      </c>
      <c r="P855" s="69">
        <v>600676</v>
      </c>
      <c r="Q855" s="92" t="s">
        <v>1123</v>
      </c>
      <c r="R855" s="92" t="s">
        <v>227</v>
      </c>
      <c r="S855" s="92"/>
    </row>
    <row r="856" spans="1:19" x14ac:dyDescent="0.2">
      <c r="A856" s="92" t="s">
        <v>1095</v>
      </c>
      <c r="B856" s="69">
        <v>43</v>
      </c>
      <c r="C856" s="69">
        <v>9</v>
      </c>
      <c r="D856" s="69">
        <v>32</v>
      </c>
      <c r="E856" s="69">
        <v>56</v>
      </c>
      <c r="F856" s="69">
        <v>122</v>
      </c>
      <c r="G856" s="69">
        <v>100</v>
      </c>
      <c r="H856" s="69">
        <v>14.9</v>
      </c>
      <c r="I856" s="70">
        <v>1.27</v>
      </c>
      <c r="J856" s="70">
        <v>3.34</v>
      </c>
      <c r="K856" s="69">
        <v>12</v>
      </c>
      <c r="L856" s="69">
        <v>2.1</v>
      </c>
      <c r="M856" s="69" t="s">
        <v>960</v>
      </c>
      <c r="N856" s="69">
        <v>2014</v>
      </c>
      <c r="O856" s="69" t="s">
        <v>485</v>
      </c>
      <c r="P856" s="69">
        <v>377192</v>
      </c>
      <c r="Q856" s="92" t="s">
        <v>334</v>
      </c>
      <c r="R856" s="92" t="s">
        <v>121</v>
      </c>
      <c r="S856" s="92"/>
    </row>
    <row r="857" spans="1:19" x14ac:dyDescent="0.2">
      <c r="A857" s="92" t="s">
        <v>980</v>
      </c>
      <c r="B857" s="69">
        <v>5</v>
      </c>
      <c r="C857" s="69">
        <v>0</v>
      </c>
      <c r="D857" s="69">
        <v>3</v>
      </c>
      <c r="E857" s="69">
        <v>10</v>
      </c>
      <c r="F857" s="69"/>
      <c r="G857" s="69"/>
      <c r="H857" s="69"/>
      <c r="I857" s="70">
        <v>1.3</v>
      </c>
      <c r="J857" s="70">
        <v>3.23</v>
      </c>
      <c r="K857" s="69"/>
      <c r="L857" s="69"/>
      <c r="M857" s="69" t="s">
        <v>958</v>
      </c>
      <c r="N857" s="69">
        <v>2013</v>
      </c>
      <c r="O857" s="69" t="s">
        <v>585</v>
      </c>
      <c r="P857" s="69">
        <v>711820</v>
      </c>
      <c r="Q857" s="92" t="s">
        <v>303</v>
      </c>
      <c r="R857" s="92" t="s">
        <v>227</v>
      </c>
      <c r="S857" s="92"/>
    </row>
    <row r="858" spans="1:19" x14ac:dyDescent="0.2">
      <c r="A858" s="92" t="s">
        <v>982</v>
      </c>
      <c r="B858" s="69">
        <v>10</v>
      </c>
      <c r="C858" s="69">
        <v>-1</v>
      </c>
      <c r="D858" s="69">
        <v>6</v>
      </c>
      <c r="E858" s="69">
        <v>20</v>
      </c>
      <c r="F858" s="69"/>
      <c r="G858" s="69"/>
      <c r="H858" s="69"/>
      <c r="I858" s="70">
        <v>1.39</v>
      </c>
      <c r="J858" s="70">
        <v>3.49</v>
      </c>
      <c r="K858" s="69"/>
      <c r="L858" s="69"/>
      <c r="M858" s="69" t="s">
        <v>958</v>
      </c>
      <c r="N858" s="69">
        <v>2013</v>
      </c>
      <c r="O858" s="69" t="s">
        <v>585</v>
      </c>
      <c r="P858" s="69">
        <v>675991</v>
      </c>
      <c r="Q858" s="92" t="s">
        <v>303</v>
      </c>
      <c r="R858" s="92" t="s">
        <v>227</v>
      </c>
      <c r="S858" s="92"/>
    </row>
    <row r="859" spans="1:19" x14ac:dyDescent="0.2">
      <c r="A859" s="92" t="s">
        <v>783</v>
      </c>
      <c r="B859" s="69">
        <v>5</v>
      </c>
      <c r="C859" s="69">
        <v>0</v>
      </c>
      <c r="D859" s="69">
        <v>3</v>
      </c>
      <c r="E859" s="69">
        <v>11</v>
      </c>
      <c r="F859" s="69">
        <v>24</v>
      </c>
      <c r="G859" s="69"/>
      <c r="H859" s="69"/>
      <c r="I859" s="70">
        <v>1.53</v>
      </c>
      <c r="J859" s="70">
        <v>3.07</v>
      </c>
      <c r="K859" s="69">
        <v>3.1</v>
      </c>
      <c r="L859" s="69">
        <v>1.8</v>
      </c>
      <c r="M859" s="69" t="s">
        <v>958</v>
      </c>
      <c r="N859" s="69">
        <v>2012</v>
      </c>
      <c r="O859" s="69" t="s">
        <v>485</v>
      </c>
      <c r="P859" s="69">
        <v>133116</v>
      </c>
      <c r="Q859" s="92" t="s">
        <v>299</v>
      </c>
      <c r="R859" s="92" t="s">
        <v>219</v>
      </c>
      <c r="S859" s="92"/>
    </row>
    <row r="860" spans="1:19" x14ac:dyDescent="0.2">
      <c r="A860" s="92" t="s">
        <v>811</v>
      </c>
      <c r="B860" s="69">
        <v>23</v>
      </c>
      <c r="C860" s="69">
        <v>11</v>
      </c>
      <c r="D860" s="69">
        <v>20</v>
      </c>
      <c r="E860" s="69">
        <v>27</v>
      </c>
      <c r="F860" s="69"/>
      <c r="G860" s="69"/>
      <c r="H860" s="69"/>
      <c r="I860" s="70">
        <v>1.57</v>
      </c>
      <c r="J860" s="70">
        <v>1.6</v>
      </c>
      <c r="K860" s="69"/>
      <c r="L860" s="69"/>
      <c r="M860" s="69" t="s">
        <v>958</v>
      </c>
      <c r="N860" s="69">
        <v>2012</v>
      </c>
      <c r="O860" s="69" t="s">
        <v>585</v>
      </c>
      <c r="P860" s="69">
        <v>261859</v>
      </c>
      <c r="Q860" s="92" t="s">
        <v>987</v>
      </c>
      <c r="R860" s="92" t="s">
        <v>180</v>
      </c>
      <c r="S860" s="92"/>
    </row>
    <row r="861" spans="1:19" x14ac:dyDescent="0.2">
      <c r="A861" s="92" t="s">
        <v>758</v>
      </c>
      <c r="B861" s="69">
        <v>4</v>
      </c>
      <c r="C861" s="69">
        <v>2</v>
      </c>
      <c r="D861" s="69">
        <v>11</v>
      </c>
      <c r="E861" s="69">
        <v>7</v>
      </c>
      <c r="F861" s="69">
        <v>-24</v>
      </c>
      <c r="G861" s="69">
        <v>-32</v>
      </c>
      <c r="H861" s="69">
        <v>-7.5</v>
      </c>
      <c r="I861" s="70">
        <v>1.59</v>
      </c>
      <c r="J861" s="70">
        <v>4.26</v>
      </c>
      <c r="K861" s="69">
        <v>15.7</v>
      </c>
      <c r="L861" s="69">
        <v>-0.7</v>
      </c>
      <c r="M861" s="69" t="s">
        <v>960</v>
      </c>
      <c r="N861" s="69">
        <v>2011</v>
      </c>
      <c r="O861" s="69" t="s">
        <v>485</v>
      </c>
      <c r="P861" s="69">
        <v>490235</v>
      </c>
      <c r="Q861" s="92" t="s">
        <v>348</v>
      </c>
      <c r="R861" s="92" t="s">
        <v>157</v>
      </c>
      <c r="S861" s="92" t="s">
        <v>959</v>
      </c>
    </row>
    <row r="862" spans="1:19" x14ac:dyDescent="0.2">
      <c r="A862" s="92" t="s">
        <v>1007</v>
      </c>
      <c r="B862" s="69">
        <v>1</v>
      </c>
      <c r="C862" s="69">
        <v>-1</v>
      </c>
      <c r="D862" s="69">
        <v>1</v>
      </c>
      <c r="E862" s="69"/>
      <c r="F862" s="69"/>
      <c r="G862" s="69"/>
      <c r="H862" s="69"/>
      <c r="I862" s="70">
        <v>1.6</v>
      </c>
      <c r="J862" s="70">
        <v>4.8099999999999996</v>
      </c>
      <c r="K862" s="69"/>
      <c r="L862" s="69"/>
      <c r="M862" s="69" t="s">
        <v>958</v>
      </c>
      <c r="N862" s="69">
        <v>2013</v>
      </c>
      <c r="O862" s="69" t="s">
        <v>485</v>
      </c>
      <c r="P862" s="69">
        <v>254060</v>
      </c>
      <c r="Q862" s="92" t="s">
        <v>299</v>
      </c>
      <c r="R862" s="92" t="s">
        <v>227</v>
      </c>
      <c r="S862" s="92"/>
    </row>
    <row r="863" spans="1:19" x14ac:dyDescent="0.2">
      <c r="A863" s="92" t="s">
        <v>981</v>
      </c>
      <c r="B863" s="69">
        <v>8</v>
      </c>
      <c r="C863" s="69">
        <v>4</v>
      </c>
      <c r="D863" s="69">
        <v>21</v>
      </c>
      <c r="E863" s="69">
        <v>15</v>
      </c>
      <c r="F863" s="69"/>
      <c r="G863" s="69"/>
      <c r="H863" s="69"/>
      <c r="I863" s="70">
        <v>1.65</v>
      </c>
      <c r="J863" s="70">
        <v>4.43</v>
      </c>
      <c r="K863" s="69"/>
      <c r="L863" s="69"/>
      <c r="M863" s="69" t="s">
        <v>958</v>
      </c>
      <c r="N863" s="69">
        <v>2013</v>
      </c>
      <c r="O863" s="69" t="s">
        <v>585</v>
      </c>
      <c r="P863" s="69">
        <v>878223</v>
      </c>
      <c r="Q863" s="92" t="s">
        <v>717</v>
      </c>
      <c r="R863" s="92" t="s">
        <v>121</v>
      </c>
      <c r="S863" s="92"/>
    </row>
    <row r="864" spans="1:19" x14ac:dyDescent="0.2">
      <c r="A864" s="92" t="s">
        <v>1038</v>
      </c>
      <c r="B864" s="69">
        <v>25</v>
      </c>
      <c r="C864" s="69">
        <v>7</v>
      </c>
      <c r="D864" s="69">
        <v>16</v>
      </c>
      <c r="E864" s="69">
        <v>31</v>
      </c>
      <c r="F864" s="69">
        <v>88</v>
      </c>
      <c r="G864" s="69">
        <v>157</v>
      </c>
      <c r="H864" s="69">
        <v>20.8</v>
      </c>
      <c r="I864" s="70">
        <v>1.69</v>
      </c>
      <c r="J864" s="70">
        <v>8.56</v>
      </c>
      <c r="K864" s="69">
        <v>14.4</v>
      </c>
      <c r="L864" s="69">
        <v>1.4</v>
      </c>
      <c r="M864" s="69" t="s">
        <v>958</v>
      </c>
      <c r="N864" s="69">
        <v>2013</v>
      </c>
      <c r="O864" s="69" t="s">
        <v>585</v>
      </c>
      <c r="P864" s="69">
        <v>396028</v>
      </c>
      <c r="Q864" s="92" t="s">
        <v>332</v>
      </c>
      <c r="R864" s="92" t="s">
        <v>202</v>
      </c>
      <c r="S864" s="92"/>
    </row>
    <row r="865" spans="1:19" x14ac:dyDescent="0.2">
      <c r="A865" s="92" t="s">
        <v>1032</v>
      </c>
      <c r="B865" s="69">
        <v>-10</v>
      </c>
      <c r="C865" s="69">
        <v>-4</v>
      </c>
      <c r="D865" s="69">
        <v>15</v>
      </c>
      <c r="E865" s="69">
        <v>3</v>
      </c>
      <c r="F865" s="69">
        <v>-15</v>
      </c>
      <c r="G865" s="69"/>
      <c r="H865" s="69"/>
      <c r="I865" s="70">
        <v>1.86</v>
      </c>
      <c r="J865" s="70">
        <v>5.03</v>
      </c>
      <c r="K865" s="69">
        <v>19</v>
      </c>
      <c r="L865" s="69">
        <v>-0.3</v>
      </c>
      <c r="M865" s="69" t="s">
        <v>960</v>
      </c>
      <c r="N865" s="69">
        <v>2011</v>
      </c>
      <c r="O865" s="69" t="s">
        <v>485</v>
      </c>
      <c r="P865" s="69">
        <v>174433</v>
      </c>
      <c r="Q865" s="92" t="s">
        <v>348</v>
      </c>
      <c r="R865" s="92" t="s">
        <v>276</v>
      </c>
      <c r="S865" s="92"/>
    </row>
    <row r="866" spans="1:19" x14ac:dyDescent="0.2">
      <c r="A866" s="92" t="s">
        <v>1030</v>
      </c>
      <c r="B866" s="69">
        <v>6</v>
      </c>
      <c r="C866" s="69">
        <v>-3</v>
      </c>
      <c r="D866" s="69">
        <v>4</v>
      </c>
      <c r="E866" s="69">
        <v>17</v>
      </c>
      <c r="F866" s="69">
        <v>52</v>
      </c>
      <c r="G866" s="69">
        <v>84</v>
      </c>
      <c r="H866" s="69">
        <v>12.9</v>
      </c>
      <c r="I866" s="70">
        <v>2.57</v>
      </c>
      <c r="J866" s="70">
        <v>7.78</v>
      </c>
      <c r="K866" s="69">
        <v>10.5</v>
      </c>
      <c r="L866" s="69">
        <v>1.2</v>
      </c>
      <c r="M866" s="69" t="s">
        <v>958</v>
      </c>
      <c r="N866" s="69">
        <v>2013</v>
      </c>
      <c r="O866" s="69" t="s">
        <v>585</v>
      </c>
      <c r="P866" s="69">
        <v>609297</v>
      </c>
      <c r="Q866" s="92" t="s">
        <v>917</v>
      </c>
      <c r="R866" s="92" t="s">
        <v>559</v>
      </c>
      <c r="S866" s="92"/>
    </row>
    <row r="867" spans="1:19" x14ac:dyDescent="0.2">
      <c r="A867" s="92" t="s">
        <v>338</v>
      </c>
      <c r="B867" s="69">
        <v>9</v>
      </c>
      <c r="C867" s="69">
        <v>0</v>
      </c>
      <c r="D867" s="69">
        <v>6</v>
      </c>
      <c r="E867" s="69">
        <v>26</v>
      </c>
      <c r="F867" s="69">
        <v>55</v>
      </c>
      <c r="G867" s="69">
        <v>67</v>
      </c>
      <c r="H867" s="69">
        <v>10.8</v>
      </c>
      <c r="I867" s="70">
        <v>3.16</v>
      </c>
      <c r="J867" s="70">
        <v>1.74</v>
      </c>
      <c r="K867" s="69">
        <v>10.7</v>
      </c>
      <c r="L867" s="69">
        <v>1.2</v>
      </c>
      <c r="M867" s="69" t="s">
        <v>960</v>
      </c>
      <c r="N867" s="69">
        <v>2009</v>
      </c>
      <c r="O867" s="69" t="s">
        <v>485</v>
      </c>
      <c r="P867" s="69">
        <v>942094</v>
      </c>
      <c r="Q867" s="92" t="s">
        <v>1039</v>
      </c>
      <c r="R867" s="92" t="s">
        <v>207</v>
      </c>
      <c r="S867" s="92"/>
    </row>
    <row r="868" spans="1:19" x14ac:dyDescent="0.2">
      <c r="A868" s="92"/>
      <c r="B868" s="69"/>
      <c r="C868" s="69"/>
      <c r="D868" s="69"/>
      <c r="E868" s="69"/>
      <c r="F868" s="69"/>
      <c r="G868" s="69"/>
      <c r="H868" s="69"/>
      <c r="I868" s="70"/>
      <c r="J868" s="70"/>
      <c r="K868" s="69"/>
      <c r="L868" s="69"/>
      <c r="M868" s="69"/>
      <c r="N868" s="69"/>
      <c r="O868" s="69"/>
      <c r="P868" s="69"/>
      <c r="Q868" s="92"/>
      <c r="R868" s="92"/>
      <c r="S868" s="92"/>
    </row>
    <row r="869" spans="1:19" x14ac:dyDescent="0.2">
      <c r="A869" s="92"/>
      <c r="B869" s="69"/>
      <c r="C869" s="69"/>
      <c r="D869" s="69"/>
      <c r="E869" s="69"/>
      <c r="F869" s="69"/>
      <c r="G869" s="69"/>
      <c r="H869" s="69"/>
      <c r="I869" s="70"/>
      <c r="J869" s="70"/>
      <c r="K869" s="69"/>
      <c r="L869" s="69"/>
      <c r="M869" s="69"/>
      <c r="N869" s="69"/>
      <c r="O869" s="69"/>
      <c r="P869" s="69"/>
      <c r="Q869" s="92"/>
      <c r="R869" s="92"/>
      <c r="S869" s="92"/>
    </row>
    <row r="870" spans="1:19" x14ac:dyDescent="0.2">
      <c r="A870" s="92"/>
      <c r="B870" s="69"/>
      <c r="C870" s="69"/>
      <c r="D870" s="69"/>
      <c r="E870" s="69"/>
      <c r="F870" s="69"/>
      <c r="G870" s="69"/>
      <c r="H870" s="69"/>
      <c r="I870" s="70"/>
      <c r="J870" s="70"/>
      <c r="K870" s="69"/>
      <c r="L870" s="69"/>
      <c r="M870" s="69"/>
      <c r="N870" s="69"/>
      <c r="O870" s="69"/>
      <c r="P870" s="69"/>
      <c r="Q870" s="92"/>
      <c r="R870" s="92"/>
      <c r="S870" s="92"/>
    </row>
    <row r="871" spans="1:19" x14ac:dyDescent="0.2">
      <c r="A871" s="92"/>
      <c r="B871" s="69"/>
      <c r="C871" s="69"/>
      <c r="D871" s="69"/>
      <c r="E871" s="69"/>
      <c r="F871" s="69"/>
      <c r="G871" s="69"/>
      <c r="H871" s="69"/>
      <c r="I871" s="70"/>
      <c r="J871" s="70"/>
      <c r="K871" s="69"/>
      <c r="L871" s="69"/>
      <c r="M871" s="69"/>
      <c r="N871" s="69"/>
      <c r="O871" s="69"/>
      <c r="P871" s="69"/>
      <c r="Q871" s="92"/>
      <c r="R871" s="92"/>
      <c r="S871" s="92"/>
    </row>
    <row r="872" spans="1:19" x14ac:dyDescent="0.2">
      <c r="A872" s="92"/>
      <c r="B872" s="69"/>
      <c r="C872" s="69"/>
      <c r="D872" s="69"/>
      <c r="E872" s="69"/>
      <c r="F872" s="69"/>
      <c r="G872" s="69"/>
      <c r="H872" s="69"/>
      <c r="I872" s="70"/>
      <c r="J872" s="70"/>
      <c r="K872" s="69"/>
      <c r="L872" s="69"/>
      <c r="M872" s="69"/>
      <c r="N872" s="69"/>
      <c r="O872" s="69"/>
      <c r="P872" s="69"/>
      <c r="Q872" s="92"/>
      <c r="R872" s="92"/>
      <c r="S872" s="92"/>
    </row>
    <row r="873" spans="1:19" x14ac:dyDescent="0.2">
      <c r="A873" s="92"/>
      <c r="B873" s="69"/>
      <c r="C873" s="69"/>
      <c r="D873" s="69"/>
      <c r="E873" s="69"/>
      <c r="F873" s="69"/>
      <c r="G873" s="69"/>
      <c r="H873" s="69"/>
      <c r="I873" s="70"/>
      <c r="J873" s="70"/>
      <c r="K873" s="69"/>
      <c r="L873" s="69"/>
      <c r="M873" s="69"/>
      <c r="N873" s="69"/>
      <c r="O873" s="69"/>
      <c r="P873" s="69"/>
      <c r="Q873" s="92"/>
      <c r="R873" s="92"/>
      <c r="S873" s="92"/>
    </row>
    <row r="874" spans="1:19" x14ac:dyDescent="0.2">
      <c r="A874" s="92"/>
      <c r="B874" s="69"/>
      <c r="C874" s="69"/>
      <c r="D874" s="69"/>
      <c r="E874" s="69"/>
      <c r="F874" s="69"/>
      <c r="G874" s="69"/>
      <c r="H874" s="69"/>
      <c r="I874" s="70"/>
      <c r="J874" s="70"/>
      <c r="K874" s="69"/>
      <c r="L874" s="69"/>
      <c r="M874" s="69"/>
      <c r="N874" s="69"/>
      <c r="O874" s="69"/>
      <c r="P874" s="69"/>
      <c r="Q874" s="92"/>
      <c r="R874" s="92"/>
      <c r="S874" s="92"/>
    </row>
    <row r="875" spans="1:19" x14ac:dyDescent="0.2">
      <c r="A875" s="92"/>
      <c r="B875" s="69"/>
      <c r="C875" s="69"/>
      <c r="D875" s="69"/>
      <c r="E875" s="69"/>
      <c r="F875" s="69"/>
      <c r="G875" s="69"/>
      <c r="H875" s="69"/>
      <c r="I875" s="70"/>
      <c r="J875" s="70"/>
      <c r="K875" s="69"/>
      <c r="L875" s="69"/>
      <c r="M875" s="69"/>
      <c r="N875" s="69"/>
      <c r="O875" s="69"/>
      <c r="P875" s="69"/>
      <c r="Q875" s="92"/>
      <c r="R875" s="92"/>
      <c r="S875" s="92"/>
    </row>
    <row r="876" spans="1:19" x14ac:dyDescent="0.2">
      <c r="A876" s="92"/>
      <c r="B876" s="69"/>
      <c r="C876" s="69"/>
      <c r="D876" s="69"/>
      <c r="E876" s="69"/>
      <c r="F876" s="69"/>
      <c r="G876" s="69"/>
      <c r="H876" s="69"/>
      <c r="I876" s="70"/>
      <c r="J876" s="70"/>
      <c r="K876" s="69"/>
      <c r="L876" s="69"/>
      <c r="M876" s="69"/>
      <c r="N876" s="69"/>
      <c r="O876" s="69"/>
      <c r="P876" s="69"/>
      <c r="Q876" s="92"/>
      <c r="R876" s="92"/>
      <c r="S876" s="92"/>
    </row>
    <row r="877" spans="1:19" x14ac:dyDescent="0.2">
      <c r="A877" s="92"/>
      <c r="B877" s="69"/>
      <c r="C877" s="69"/>
      <c r="D877" s="69"/>
      <c r="E877" s="69"/>
      <c r="F877" s="69"/>
      <c r="G877" s="69"/>
      <c r="H877" s="69"/>
      <c r="I877" s="70"/>
      <c r="J877" s="70"/>
      <c r="K877" s="69"/>
      <c r="L877" s="69"/>
      <c r="M877" s="69"/>
      <c r="N877" s="69"/>
      <c r="O877" s="69"/>
      <c r="P877" s="69"/>
      <c r="Q877" s="92"/>
      <c r="R877" s="92"/>
      <c r="S877" s="92"/>
    </row>
    <row r="878" spans="1:19" x14ac:dyDescent="0.2">
      <c r="A878" s="92"/>
      <c r="B878" s="69"/>
      <c r="C878" s="69"/>
      <c r="D878" s="69"/>
      <c r="E878" s="69"/>
      <c r="F878" s="69"/>
      <c r="G878" s="69"/>
      <c r="H878" s="69"/>
      <c r="I878" s="70"/>
      <c r="J878" s="70"/>
      <c r="K878" s="69"/>
      <c r="L878" s="69"/>
      <c r="M878" s="69"/>
      <c r="N878" s="69"/>
      <c r="O878" s="69"/>
      <c r="P878" s="69"/>
      <c r="Q878" s="92"/>
      <c r="R878" s="92"/>
      <c r="S878" s="92"/>
    </row>
    <row r="879" spans="1:19" x14ac:dyDescent="0.2">
      <c r="A879" s="92"/>
      <c r="B879" s="69"/>
      <c r="C879" s="69"/>
      <c r="D879" s="69"/>
      <c r="E879" s="69"/>
      <c r="F879" s="69"/>
      <c r="G879" s="69"/>
      <c r="H879" s="69"/>
      <c r="I879" s="70"/>
      <c r="J879" s="70"/>
      <c r="K879" s="69"/>
      <c r="L879" s="69"/>
      <c r="M879" s="69"/>
      <c r="N879" s="69"/>
      <c r="O879" s="69"/>
      <c r="P879" s="69"/>
      <c r="Q879" s="92"/>
      <c r="R879" s="92"/>
      <c r="S879" s="92"/>
    </row>
    <row r="880" spans="1:19" x14ac:dyDescent="0.2">
      <c r="A880" s="92"/>
      <c r="B880" s="69"/>
      <c r="C880" s="69"/>
      <c r="D880" s="69"/>
      <c r="E880" s="69"/>
      <c r="F880" s="69"/>
      <c r="G880" s="69"/>
      <c r="H880" s="69"/>
      <c r="I880" s="70"/>
      <c r="J880" s="70"/>
      <c r="K880" s="69"/>
      <c r="L880" s="69"/>
      <c r="M880" s="69"/>
      <c r="N880" s="69"/>
      <c r="O880" s="69"/>
      <c r="P880" s="69"/>
      <c r="Q880" s="92"/>
      <c r="R880" s="92"/>
      <c r="S880" s="92"/>
    </row>
    <row r="881" spans="1:19" x14ac:dyDescent="0.2">
      <c r="A881" s="92"/>
      <c r="B881" s="69"/>
      <c r="C881" s="69"/>
      <c r="D881" s="69"/>
      <c r="E881" s="69"/>
      <c r="F881" s="69"/>
      <c r="G881" s="69"/>
      <c r="H881" s="69"/>
      <c r="I881" s="70"/>
      <c r="J881" s="70"/>
      <c r="K881" s="69"/>
      <c r="L881" s="69"/>
      <c r="M881" s="69"/>
      <c r="N881" s="69"/>
      <c r="O881" s="69"/>
      <c r="P881" s="69"/>
      <c r="Q881" s="92"/>
      <c r="R881" s="92"/>
      <c r="S881" s="92"/>
    </row>
    <row r="882" spans="1:19" x14ac:dyDescent="0.2">
      <c r="A882" s="92"/>
      <c r="B882" s="69"/>
      <c r="C882" s="69"/>
      <c r="D882" s="69"/>
      <c r="E882" s="69"/>
      <c r="F882" s="69"/>
      <c r="G882" s="69"/>
      <c r="H882" s="69"/>
      <c r="I882" s="70"/>
      <c r="J882" s="70"/>
      <c r="K882" s="69"/>
      <c r="L882" s="69"/>
      <c r="M882" s="69"/>
      <c r="N882" s="69"/>
      <c r="O882" s="69"/>
      <c r="P882" s="69"/>
      <c r="Q882" s="92"/>
      <c r="R882" s="92"/>
      <c r="S882" s="92"/>
    </row>
    <row r="883" spans="1:19" x14ac:dyDescent="0.2">
      <c r="A883" s="92"/>
      <c r="B883" s="69"/>
      <c r="C883" s="69"/>
      <c r="D883" s="69"/>
      <c r="E883" s="69"/>
      <c r="F883" s="69"/>
      <c r="G883" s="69"/>
      <c r="H883" s="69"/>
      <c r="I883" s="70"/>
      <c r="J883" s="70"/>
      <c r="K883" s="69"/>
      <c r="L883" s="69"/>
      <c r="M883" s="69"/>
      <c r="N883" s="69"/>
      <c r="O883" s="69"/>
      <c r="P883" s="69"/>
      <c r="Q883" s="92"/>
      <c r="R883" s="92"/>
      <c r="S883" s="92"/>
    </row>
    <row r="884" spans="1:19" x14ac:dyDescent="0.2">
      <c r="A884" s="92"/>
      <c r="B884" s="69"/>
      <c r="C884" s="69"/>
      <c r="D884" s="69"/>
      <c r="E884" s="69"/>
      <c r="F884" s="69"/>
      <c r="G884" s="69"/>
      <c r="H884" s="69"/>
      <c r="I884" s="70"/>
      <c r="J884" s="70"/>
      <c r="K884" s="69"/>
      <c r="L884" s="69"/>
      <c r="M884" s="69"/>
      <c r="N884" s="69"/>
      <c r="O884" s="69"/>
      <c r="P884" s="69"/>
      <c r="Q884" s="92"/>
      <c r="R884" s="92"/>
      <c r="S884" s="92"/>
    </row>
    <row r="885" spans="1:19" x14ac:dyDescent="0.2">
      <c r="A885" s="92"/>
      <c r="B885" s="69"/>
      <c r="C885" s="69"/>
      <c r="D885" s="69"/>
      <c r="E885" s="69"/>
      <c r="F885" s="69"/>
      <c r="G885" s="69"/>
      <c r="H885" s="69"/>
      <c r="I885" s="70"/>
      <c r="J885" s="70"/>
      <c r="K885" s="69"/>
      <c r="L885" s="69"/>
      <c r="M885" s="69"/>
      <c r="N885" s="69"/>
      <c r="O885" s="69"/>
      <c r="P885" s="69"/>
      <c r="Q885" s="92"/>
      <c r="R885" s="92"/>
      <c r="S885" s="92"/>
    </row>
    <row r="886" spans="1:19" x14ac:dyDescent="0.2">
      <c r="K886" s="69"/>
    </row>
    <row r="887" spans="1:19" x14ac:dyDescent="0.2">
      <c r="K887" s="69"/>
    </row>
    <row r="888" spans="1:19" x14ac:dyDescent="0.2">
      <c r="K888" s="69"/>
    </row>
    <row r="889" spans="1:19" x14ac:dyDescent="0.2">
      <c r="K889" s="69"/>
    </row>
    <row r="890" spans="1:19" x14ac:dyDescent="0.2">
      <c r="K890" s="69"/>
    </row>
    <row r="891" spans="1:19" x14ac:dyDescent="0.2">
      <c r="K891" s="69"/>
    </row>
    <row r="892" spans="1:19" x14ac:dyDescent="0.2">
      <c r="K892" s="69"/>
    </row>
    <row r="893" spans="1:19" x14ac:dyDescent="0.2">
      <c r="K893" s="69"/>
    </row>
    <row r="894" spans="1:19" x14ac:dyDescent="0.2">
      <c r="K894" s="69"/>
    </row>
    <row r="895" spans="1:19" x14ac:dyDescent="0.2">
      <c r="K895" s="69"/>
    </row>
    <row r="896" spans="1:19" x14ac:dyDescent="0.2">
      <c r="K896" s="69"/>
    </row>
    <row r="897" spans="11:11" x14ac:dyDescent="0.2">
      <c r="K897" s="69"/>
    </row>
    <row r="898" spans="11:11" x14ac:dyDescent="0.2">
      <c r="K898" s="69"/>
    </row>
    <row r="899" spans="11:11" x14ac:dyDescent="0.2">
      <c r="K899" s="69"/>
    </row>
    <row r="900" spans="11:11" x14ac:dyDescent="0.2">
      <c r="K900" s="69"/>
    </row>
    <row r="901" spans="11:11" x14ac:dyDescent="0.2">
      <c r="K901" s="69"/>
    </row>
    <row r="902" spans="11:11" x14ac:dyDescent="0.2">
      <c r="K902" s="69"/>
    </row>
    <row r="903" spans="11:11" x14ac:dyDescent="0.2">
      <c r="K903" s="69"/>
    </row>
    <row r="904" spans="11:11" x14ac:dyDescent="0.2">
      <c r="K904" s="69"/>
    </row>
    <row r="905" spans="11:11" x14ac:dyDescent="0.2">
      <c r="K905" s="69"/>
    </row>
    <row r="906" spans="11:11" x14ac:dyDescent="0.2">
      <c r="K906" s="69"/>
    </row>
    <row r="907" spans="11:11" x14ac:dyDescent="0.2">
      <c r="K907" s="69"/>
    </row>
    <row r="908" spans="11:11" x14ac:dyDescent="0.2">
      <c r="K908" s="69"/>
    </row>
    <row r="909" spans="11:11" x14ac:dyDescent="0.2">
      <c r="K909" s="69"/>
    </row>
    <row r="910" spans="11:11" x14ac:dyDescent="0.2">
      <c r="K910" s="69"/>
    </row>
    <row r="911" spans="11:11" x14ac:dyDescent="0.2">
      <c r="K911" s="69"/>
    </row>
    <row r="912" spans="11:11" x14ac:dyDescent="0.2">
      <c r="K912" s="69"/>
    </row>
    <row r="913" spans="11:11" x14ac:dyDescent="0.2">
      <c r="K913" s="69"/>
    </row>
    <row r="914" spans="11:11" x14ac:dyDescent="0.2">
      <c r="K914" s="69"/>
    </row>
    <row r="915" spans="11:11" x14ac:dyDescent="0.2">
      <c r="K915" s="69"/>
    </row>
    <row r="916" spans="11:11" x14ac:dyDescent="0.2">
      <c r="K916" s="69"/>
    </row>
    <row r="917" spans="11:11" x14ac:dyDescent="0.2">
      <c r="K917" s="69"/>
    </row>
    <row r="918" spans="11:11" x14ac:dyDescent="0.2">
      <c r="K918" s="69"/>
    </row>
    <row r="919" spans="11:11" x14ac:dyDescent="0.2">
      <c r="K919" s="69"/>
    </row>
    <row r="920" spans="11:11" x14ac:dyDescent="0.2">
      <c r="K920" s="69"/>
    </row>
    <row r="921" spans="11:11" x14ac:dyDescent="0.2">
      <c r="K921" s="69"/>
    </row>
    <row r="922" spans="11:11" x14ac:dyDescent="0.2">
      <c r="K922" s="69"/>
    </row>
    <row r="923" spans="11:11" x14ac:dyDescent="0.2">
      <c r="K923" s="69"/>
    </row>
    <row r="924" spans="11:11" x14ac:dyDescent="0.2">
      <c r="K924" s="69"/>
    </row>
    <row r="925" spans="11:11" x14ac:dyDescent="0.2">
      <c r="K925" s="69"/>
    </row>
    <row r="926" spans="11:11" x14ac:dyDescent="0.2">
      <c r="K926" s="69"/>
    </row>
    <row r="927" spans="11:11" x14ac:dyDescent="0.2">
      <c r="K927" s="69"/>
    </row>
    <row r="928" spans="11:11" x14ac:dyDescent="0.2">
      <c r="K928" s="69"/>
    </row>
    <row r="929" spans="11:11" x14ac:dyDescent="0.2">
      <c r="K929" s="69"/>
    </row>
    <row r="930" spans="11:11" x14ac:dyDescent="0.2">
      <c r="K930" s="69"/>
    </row>
    <row r="931" spans="11:11" x14ac:dyDescent="0.2">
      <c r="K931" s="69"/>
    </row>
    <row r="932" spans="11:11" x14ac:dyDescent="0.2">
      <c r="K932" s="69"/>
    </row>
    <row r="933" spans="11:11" x14ac:dyDescent="0.2">
      <c r="K933" s="69"/>
    </row>
    <row r="934" spans="11:11" x14ac:dyDescent="0.2">
      <c r="K934" s="69"/>
    </row>
    <row r="935" spans="11:11" x14ac:dyDescent="0.2">
      <c r="K935" s="69"/>
    </row>
    <row r="936" spans="11:11" x14ac:dyDescent="0.2">
      <c r="K936" s="69"/>
    </row>
    <row r="937" spans="11:11" x14ac:dyDescent="0.2">
      <c r="K937" s="69"/>
    </row>
    <row r="938" spans="11:11" x14ac:dyDescent="0.2">
      <c r="K938" s="69"/>
    </row>
    <row r="939" spans="11:11" x14ac:dyDescent="0.2">
      <c r="K939" s="69"/>
    </row>
    <row r="940" spans="11:11" x14ac:dyDescent="0.2">
      <c r="K940" s="69"/>
    </row>
    <row r="941" spans="11:11" x14ac:dyDescent="0.2">
      <c r="K941" s="69"/>
    </row>
    <row r="942" spans="11:11" x14ac:dyDescent="0.2">
      <c r="K942" s="69"/>
    </row>
    <row r="943" spans="11:11" x14ac:dyDescent="0.2">
      <c r="K943" s="69"/>
    </row>
    <row r="944" spans="11:11" x14ac:dyDescent="0.2">
      <c r="K944" s="69"/>
    </row>
    <row r="945" spans="11:11" x14ac:dyDescent="0.2">
      <c r="K945" s="69"/>
    </row>
    <row r="946" spans="11:11" x14ac:dyDescent="0.2">
      <c r="K946" s="69"/>
    </row>
    <row r="947" spans="11:11" x14ac:dyDescent="0.2">
      <c r="K947" s="69"/>
    </row>
    <row r="948" spans="11:11" x14ac:dyDescent="0.2">
      <c r="K948" s="69"/>
    </row>
    <row r="949" spans="11:11" x14ac:dyDescent="0.2">
      <c r="K949" s="69"/>
    </row>
    <row r="950" spans="11:11" x14ac:dyDescent="0.2">
      <c r="K950" s="69"/>
    </row>
    <row r="951" spans="11:11" x14ac:dyDescent="0.2">
      <c r="K951" s="69"/>
    </row>
    <row r="952" spans="11:11" x14ac:dyDescent="0.2">
      <c r="K952" s="69"/>
    </row>
    <row r="953" spans="11:11" x14ac:dyDescent="0.2">
      <c r="K953" s="69"/>
    </row>
    <row r="954" spans="11:11" x14ac:dyDescent="0.2">
      <c r="K954" s="69"/>
    </row>
    <row r="955" spans="11:11" x14ac:dyDescent="0.2">
      <c r="K955" s="69"/>
    </row>
    <row r="956" spans="11:11" x14ac:dyDescent="0.2">
      <c r="K956" s="69"/>
    </row>
    <row r="957" spans="11:11" x14ac:dyDescent="0.2">
      <c r="K957" s="69"/>
    </row>
    <row r="958" spans="11:11" x14ac:dyDescent="0.2">
      <c r="K958" s="69"/>
    </row>
    <row r="959" spans="11:11" x14ac:dyDescent="0.2">
      <c r="K959" s="69"/>
    </row>
    <row r="960" spans="11:11" x14ac:dyDescent="0.2">
      <c r="K960" s="69"/>
    </row>
    <row r="961" spans="11:11" x14ac:dyDescent="0.2">
      <c r="K961" s="69"/>
    </row>
    <row r="962" spans="11:11" x14ac:dyDescent="0.2">
      <c r="K962" s="69"/>
    </row>
    <row r="963" spans="11:11" x14ac:dyDescent="0.2">
      <c r="K963" s="69"/>
    </row>
    <row r="964" spans="11:11" x14ac:dyDescent="0.2">
      <c r="K964" s="69"/>
    </row>
    <row r="965" spans="11:11" x14ac:dyDescent="0.2">
      <c r="K965" s="69"/>
    </row>
    <row r="966" spans="11:11" x14ac:dyDescent="0.2">
      <c r="K966" s="69"/>
    </row>
    <row r="967" spans="11:11" x14ac:dyDescent="0.2">
      <c r="K967" s="69"/>
    </row>
    <row r="968" spans="11:11" x14ac:dyDescent="0.2">
      <c r="K968" s="69"/>
    </row>
    <row r="969" spans="11:11" x14ac:dyDescent="0.2">
      <c r="K969" s="69"/>
    </row>
    <row r="970" spans="11:11" x14ac:dyDescent="0.2">
      <c r="K970" s="69"/>
    </row>
    <row r="971" spans="11:11" x14ac:dyDescent="0.2">
      <c r="K971" s="69"/>
    </row>
    <row r="972" spans="11:11" x14ac:dyDescent="0.2">
      <c r="K972" s="69"/>
    </row>
    <row r="973" spans="11:11" x14ac:dyDescent="0.2">
      <c r="K973" s="69"/>
    </row>
    <row r="974" spans="11:11" x14ac:dyDescent="0.2">
      <c r="K974" s="69"/>
    </row>
    <row r="975" spans="11:11" x14ac:dyDescent="0.2">
      <c r="K975" s="69"/>
    </row>
    <row r="976" spans="11:11" x14ac:dyDescent="0.2">
      <c r="K976" s="69"/>
    </row>
    <row r="977" spans="11:11" x14ac:dyDescent="0.2">
      <c r="K977" s="69"/>
    </row>
    <row r="978" spans="11:11" x14ac:dyDescent="0.2">
      <c r="K978" s="69"/>
    </row>
    <row r="979" spans="11:11" x14ac:dyDescent="0.2">
      <c r="K979" s="69"/>
    </row>
    <row r="980" spans="11:11" x14ac:dyDescent="0.2">
      <c r="K980" s="69"/>
    </row>
    <row r="981" spans="11:11" x14ac:dyDescent="0.2">
      <c r="K981" s="69"/>
    </row>
    <row r="982" spans="11:11" x14ac:dyDescent="0.2">
      <c r="K982" s="69"/>
    </row>
    <row r="983" spans="11:11" x14ac:dyDescent="0.2">
      <c r="K983" s="69"/>
    </row>
    <row r="984" spans="11:11" x14ac:dyDescent="0.2">
      <c r="K984" s="69"/>
    </row>
    <row r="985" spans="11:11" x14ac:dyDescent="0.2">
      <c r="K985" s="69"/>
    </row>
    <row r="986" spans="11:11" x14ac:dyDescent="0.2">
      <c r="K986" s="69"/>
    </row>
    <row r="987" spans="11:11" x14ac:dyDescent="0.2">
      <c r="K987" s="69"/>
    </row>
    <row r="988" spans="11:11" x14ac:dyDescent="0.2">
      <c r="K988" s="69"/>
    </row>
    <row r="989" spans="11:11" x14ac:dyDescent="0.2">
      <c r="K989" s="69"/>
    </row>
    <row r="990" spans="11:11" x14ac:dyDescent="0.2">
      <c r="K990" s="69"/>
    </row>
    <row r="991" spans="11:11" x14ac:dyDescent="0.2">
      <c r="K991" s="69"/>
    </row>
    <row r="992" spans="11:11" x14ac:dyDescent="0.2">
      <c r="K992" s="69"/>
    </row>
    <row r="993" spans="11:11" x14ac:dyDescent="0.2">
      <c r="K993" s="69"/>
    </row>
    <row r="994" spans="11:11" x14ac:dyDescent="0.2">
      <c r="K994" s="69"/>
    </row>
    <row r="995" spans="11:11" x14ac:dyDescent="0.2">
      <c r="K995" s="69"/>
    </row>
    <row r="996" spans="11:11" x14ac:dyDescent="0.2">
      <c r="K996" s="69"/>
    </row>
    <row r="997" spans="11:11" x14ac:dyDescent="0.2">
      <c r="K997" s="69"/>
    </row>
    <row r="998" spans="11:11" x14ac:dyDescent="0.2">
      <c r="K998" s="69"/>
    </row>
    <row r="999" spans="11:11" x14ac:dyDescent="0.2">
      <c r="K999" s="69"/>
    </row>
    <row r="1000" spans="11:11" x14ac:dyDescent="0.2">
      <c r="K1000" s="69"/>
    </row>
    <row r="1001" spans="11:11" x14ac:dyDescent="0.2">
      <c r="K1001" s="69"/>
    </row>
    <row r="1002" spans="11:11" x14ac:dyDescent="0.2">
      <c r="K1002" s="69"/>
    </row>
    <row r="1003" spans="11:11" x14ac:dyDescent="0.2">
      <c r="K1003" s="69"/>
    </row>
    <row r="1004" spans="11:11" x14ac:dyDescent="0.2">
      <c r="K1004" s="69"/>
    </row>
    <row r="1005" spans="11:11" x14ac:dyDescent="0.2">
      <c r="K1005" s="69"/>
    </row>
    <row r="1006" spans="11:11" x14ac:dyDescent="0.2">
      <c r="K1006" s="69"/>
    </row>
    <row r="1007" spans="11:11" x14ac:dyDescent="0.2">
      <c r="K1007" s="69"/>
    </row>
    <row r="1008" spans="11:11" x14ac:dyDescent="0.2">
      <c r="K1008" s="69"/>
    </row>
    <row r="1009" spans="11:11" x14ac:dyDescent="0.2">
      <c r="K1009" s="69"/>
    </row>
    <row r="1010" spans="11:11" x14ac:dyDescent="0.2">
      <c r="K1010" s="69"/>
    </row>
    <row r="1011" spans="11:11" x14ac:dyDescent="0.2">
      <c r="K1011" s="69"/>
    </row>
    <row r="1012" spans="11:11" x14ac:dyDescent="0.2">
      <c r="K1012" s="69"/>
    </row>
    <row r="1013" spans="11:11" x14ac:dyDescent="0.2">
      <c r="K1013" s="69"/>
    </row>
    <row r="1014" spans="11:11" x14ac:dyDescent="0.2">
      <c r="K1014" s="69"/>
    </row>
    <row r="1015" spans="11:11" x14ac:dyDescent="0.2">
      <c r="K1015" s="69"/>
    </row>
    <row r="1016" spans="11:11" x14ac:dyDescent="0.2">
      <c r="K1016" s="69"/>
    </row>
    <row r="1017" spans="11:11" x14ac:dyDescent="0.2">
      <c r="K1017" s="69"/>
    </row>
    <row r="1018" spans="11:11" x14ac:dyDescent="0.2">
      <c r="K1018" s="69"/>
    </row>
    <row r="1019" spans="11:11" x14ac:dyDescent="0.2">
      <c r="K1019" s="69"/>
    </row>
    <row r="1020" spans="11:11" x14ac:dyDescent="0.2">
      <c r="K1020" s="69"/>
    </row>
    <row r="1021" spans="11:11" x14ac:dyDescent="0.2">
      <c r="K1021" s="69"/>
    </row>
    <row r="1022" spans="11:11" x14ac:dyDescent="0.2">
      <c r="K1022" s="69"/>
    </row>
    <row r="1023" spans="11:11" x14ac:dyDescent="0.2">
      <c r="K1023" s="69"/>
    </row>
    <row r="1024" spans="11:11" x14ac:dyDescent="0.2">
      <c r="K1024" s="69"/>
    </row>
    <row r="1025" spans="11:11" x14ac:dyDescent="0.2">
      <c r="K1025" s="69"/>
    </row>
    <row r="1026" spans="11:11" x14ac:dyDescent="0.2">
      <c r="K1026" s="69"/>
    </row>
    <row r="1027" spans="11:11" x14ac:dyDescent="0.2">
      <c r="K1027" s="69"/>
    </row>
    <row r="1028" spans="11:11" x14ac:dyDescent="0.2">
      <c r="K1028" s="69"/>
    </row>
    <row r="1029" spans="11:11" x14ac:dyDescent="0.2">
      <c r="K1029" s="69"/>
    </row>
    <row r="1030" spans="11:11" x14ac:dyDescent="0.2">
      <c r="K1030" s="69"/>
    </row>
    <row r="1031" spans="11:11" x14ac:dyDescent="0.2">
      <c r="K1031" s="69"/>
    </row>
    <row r="1032" spans="11:11" x14ac:dyDescent="0.2">
      <c r="K1032" s="69"/>
    </row>
    <row r="1033" spans="11:11" x14ac:dyDescent="0.2">
      <c r="K1033" s="69"/>
    </row>
    <row r="1034" spans="11:11" x14ac:dyDescent="0.2">
      <c r="K1034" s="69"/>
    </row>
    <row r="1035" spans="11:11" x14ac:dyDescent="0.2">
      <c r="K1035" s="69"/>
    </row>
    <row r="1036" spans="11:11" x14ac:dyDescent="0.2">
      <c r="K1036" s="69"/>
    </row>
    <row r="1037" spans="11:11" x14ac:dyDescent="0.2">
      <c r="K1037" s="69"/>
    </row>
    <row r="1038" spans="11:11" x14ac:dyDescent="0.2">
      <c r="K1038" s="69"/>
    </row>
    <row r="1039" spans="11:11" x14ac:dyDescent="0.2">
      <c r="K1039" s="69"/>
    </row>
    <row r="1040" spans="11:11" x14ac:dyDescent="0.2">
      <c r="K1040" s="69"/>
    </row>
    <row r="1041" spans="11:11" x14ac:dyDescent="0.2">
      <c r="K1041" s="69"/>
    </row>
    <row r="1042" spans="11:11" x14ac:dyDescent="0.2">
      <c r="K1042" s="69"/>
    </row>
    <row r="1043" spans="11:11" x14ac:dyDescent="0.2">
      <c r="K1043" s="69"/>
    </row>
    <row r="1044" spans="11:11" x14ac:dyDescent="0.2">
      <c r="K1044" s="69"/>
    </row>
    <row r="1045" spans="11:11" x14ac:dyDescent="0.2">
      <c r="K1045" s="69"/>
    </row>
    <row r="1046" spans="11:11" x14ac:dyDescent="0.2">
      <c r="K1046" s="69"/>
    </row>
    <row r="1047" spans="11:11" x14ac:dyDescent="0.2">
      <c r="K1047" s="69"/>
    </row>
    <row r="1048" spans="11:11" x14ac:dyDescent="0.2">
      <c r="K1048" s="69"/>
    </row>
    <row r="1049" spans="11:11" x14ac:dyDescent="0.2">
      <c r="K1049" s="69"/>
    </row>
    <row r="1050" spans="11:11" x14ac:dyDescent="0.2">
      <c r="K1050" s="69"/>
    </row>
    <row r="1051" spans="11:11" x14ac:dyDescent="0.2">
      <c r="K1051" s="69"/>
    </row>
    <row r="1052" spans="11:11" x14ac:dyDescent="0.2">
      <c r="K1052" s="69"/>
    </row>
    <row r="1053" spans="11:11" x14ac:dyDescent="0.2">
      <c r="K1053" s="69"/>
    </row>
    <row r="1054" spans="11:11" x14ac:dyDescent="0.2">
      <c r="K1054" s="69"/>
    </row>
    <row r="1055" spans="11:11" x14ac:dyDescent="0.2">
      <c r="K1055" s="69"/>
    </row>
    <row r="1056" spans="11:11" x14ac:dyDescent="0.2">
      <c r="K1056" s="69"/>
    </row>
    <row r="1057" spans="11:11" x14ac:dyDescent="0.2">
      <c r="K1057" s="69"/>
    </row>
    <row r="1058" spans="11:11" x14ac:dyDescent="0.2">
      <c r="K1058" s="69"/>
    </row>
    <row r="1059" spans="11:11" x14ac:dyDescent="0.2">
      <c r="K1059" s="69"/>
    </row>
  </sheetData>
  <sortState ref="A22:S866">
    <sortCondition ref="J22"/>
  </sortState>
  <mergeCells count="2">
    <mergeCell ref="B20:H20"/>
    <mergeCell ref="I20:J20"/>
  </mergeCells>
  <phoneticPr fontId="6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60" customWidth="1"/>
    <col min="2" max="2" width="2.7109375" style="160" customWidth="1"/>
    <col min="3" max="7" width="9.140625" style="160"/>
    <col min="8" max="8" width="11.140625" style="160" bestFit="1" customWidth="1"/>
    <col min="9" max="9" width="9.28515625" style="160" bestFit="1" customWidth="1"/>
    <col min="10" max="17" width="9.140625" style="160"/>
    <col min="18" max="18" width="2.7109375" style="160" customWidth="1"/>
    <col min="19" max="16384" width="9.140625" style="160"/>
  </cols>
  <sheetData>
    <row r="2" spans="1:18" x14ac:dyDescent="0.2"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</row>
    <row r="3" spans="1:18" x14ac:dyDescent="0.2"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</row>
    <row r="4" spans="1:18" x14ac:dyDescent="0.2"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</row>
    <row r="5" spans="1:18" x14ac:dyDescent="0.2">
      <c r="B5" s="166"/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</row>
    <row r="6" spans="1:18" x14ac:dyDescent="0.2"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</row>
    <row r="7" spans="1:18" ht="15" x14ac:dyDescent="0.2">
      <c r="B7" s="166"/>
      <c r="C7" s="167"/>
      <c r="D7" s="166"/>
      <c r="E7" s="167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</row>
    <row r="8" spans="1:18" ht="15.75" x14ac:dyDescent="0.25">
      <c r="B8" s="166"/>
      <c r="C8" s="24" t="s">
        <v>1151</v>
      </c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6"/>
      <c r="Q8" s="166"/>
      <c r="R8" s="166"/>
    </row>
    <row r="9" spans="1:18" x14ac:dyDescent="0.2">
      <c r="B9" s="166"/>
      <c r="C9" s="166"/>
      <c r="D9" s="166"/>
      <c r="E9" s="169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</row>
    <row r="10" spans="1:18" x14ac:dyDescent="0.2">
      <c r="A10" s="161"/>
      <c r="B10" s="169"/>
      <c r="C10" s="169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</row>
    <row r="11" spans="1:18" x14ac:dyDescent="0.2">
      <c r="B11" s="166"/>
      <c r="C11" s="170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</row>
    <row r="12" spans="1:18" x14ac:dyDescent="0.2">
      <c r="B12" s="166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</row>
    <row r="13" spans="1:18" x14ac:dyDescent="0.2"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</row>
    <row r="14" spans="1:18" x14ac:dyDescent="0.2">
      <c r="B14" s="166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</row>
    <row r="15" spans="1:18" x14ac:dyDescent="0.2">
      <c r="B15" s="166"/>
      <c r="C15" s="166"/>
      <c r="D15" s="166"/>
      <c r="E15" s="166"/>
      <c r="F15" s="166"/>
      <c r="G15" s="166"/>
      <c r="H15" s="166"/>
      <c r="I15" s="166"/>
      <c r="J15" s="166"/>
      <c r="K15" s="166"/>
      <c r="L15" s="166"/>
      <c r="M15" s="166"/>
      <c r="N15" s="166"/>
      <c r="O15" s="166"/>
      <c r="P15" s="166"/>
      <c r="Q15" s="166"/>
      <c r="R15" s="166"/>
    </row>
    <row r="16" spans="1:18" x14ac:dyDescent="0.2">
      <c r="B16" s="166"/>
      <c r="C16" s="166"/>
      <c r="D16" s="166"/>
      <c r="E16" s="166"/>
      <c r="F16" s="166"/>
      <c r="G16" s="166"/>
      <c r="H16" s="166"/>
      <c r="I16" s="166"/>
      <c r="J16" s="166"/>
      <c r="K16" s="166"/>
      <c r="L16" s="166"/>
      <c r="M16" s="166"/>
      <c r="N16" s="166"/>
      <c r="O16" s="166"/>
      <c r="P16" s="166"/>
      <c r="Q16" s="166"/>
      <c r="R16" s="166"/>
    </row>
    <row r="17" spans="2:18" x14ac:dyDescent="0.2"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166"/>
    </row>
    <row r="18" spans="2:18" x14ac:dyDescent="0.2">
      <c r="B18" s="166"/>
      <c r="C18" s="166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166"/>
    </row>
    <row r="19" spans="2:18" x14ac:dyDescent="0.2">
      <c r="B19" s="166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</row>
    <row r="20" spans="2:18" x14ac:dyDescent="0.2">
      <c r="B20" s="166"/>
      <c r="C20" s="166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</row>
    <row r="21" spans="2:18" x14ac:dyDescent="0.2">
      <c r="B21" s="166"/>
      <c r="C21" s="166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166"/>
    </row>
    <row r="22" spans="2:18" x14ac:dyDescent="0.2">
      <c r="B22" s="166"/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</row>
    <row r="23" spans="2:18" x14ac:dyDescent="0.2">
      <c r="B23" s="166"/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166"/>
    </row>
    <row r="24" spans="2:18" x14ac:dyDescent="0.2">
      <c r="B24" s="166"/>
      <c r="C24" s="166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166"/>
    </row>
    <row r="25" spans="2:18" x14ac:dyDescent="0.2">
      <c r="B25" s="166"/>
      <c r="C25" s="166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166"/>
    </row>
    <row r="26" spans="2:18" x14ac:dyDescent="0.2">
      <c r="B26" s="166"/>
      <c r="C26" s="166"/>
      <c r="D26" s="166"/>
      <c r="E26" s="166"/>
      <c r="F26" s="16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</row>
    <row r="27" spans="2:18" x14ac:dyDescent="0.2">
      <c r="B27" s="166"/>
      <c r="C27" s="166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6"/>
    </row>
    <row r="28" spans="2:18" x14ac:dyDescent="0.2"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6"/>
    </row>
    <row r="29" spans="2:18" x14ac:dyDescent="0.2"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6"/>
      <c r="Q29" s="166"/>
      <c r="R29" s="166"/>
    </row>
    <row r="30" spans="2:18" x14ac:dyDescent="0.2"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</row>
    <row r="31" spans="2:18" x14ac:dyDescent="0.2">
      <c r="B31" s="166"/>
      <c r="C31" s="166"/>
      <c r="D31" s="166"/>
      <c r="E31" s="166"/>
      <c r="F31" s="166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</row>
    <row r="32" spans="2:18" x14ac:dyDescent="0.2"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</row>
    <row r="33" spans="2:18" x14ac:dyDescent="0.2"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</row>
    <row r="34" spans="2:18" x14ac:dyDescent="0.2"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</row>
    <row r="35" spans="2:18" x14ac:dyDescent="0.2"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</row>
    <row r="36" spans="2:18" x14ac:dyDescent="0.2">
      <c r="B36" s="166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</row>
    <row r="37" spans="2:18" x14ac:dyDescent="0.2"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</row>
    <row r="38" spans="2:18" x14ac:dyDescent="0.2"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</row>
    <row r="39" spans="2:18" x14ac:dyDescent="0.2"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</row>
    <row r="40" spans="2:18" x14ac:dyDescent="0.2"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</row>
    <row r="41" spans="2:18" x14ac:dyDescent="0.2"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</row>
    <row r="42" spans="2:18" x14ac:dyDescent="0.2">
      <c r="B42" s="166"/>
      <c r="C42" s="24" t="s">
        <v>932</v>
      </c>
      <c r="D42" s="166"/>
      <c r="E42" s="166"/>
      <c r="F42" s="166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</row>
    <row r="43" spans="2:18" x14ac:dyDescent="0.2">
      <c r="B43" s="166"/>
      <c r="C43" s="166" t="s">
        <v>214</v>
      </c>
      <c r="D43" s="166"/>
      <c r="E43" s="166"/>
      <c r="F43" s="166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</row>
    <row r="44" spans="2:18" x14ac:dyDescent="0.2">
      <c r="B44" s="166"/>
      <c r="C44" s="166" t="s">
        <v>358</v>
      </c>
      <c r="D44" s="166"/>
      <c r="E44" s="166"/>
      <c r="F44" s="166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</row>
    <row r="45" spans="2:18" x14ac:dyDescent="0.2">
      <c r="B45" s="166"/>
      <c r="C45" s="166" t="s">
        <v>359</v>
      </c>
      <c r="D45" s="166"/>
      <c r="E45" s="166"/>
      <c r="F45" s="166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</row>
    <row r="46" spans="2:18" ht="15" x14ac:dyDescent="0.2">
      <c r="B46" s="166"/>
      <c r="C46" s="167"/>
      <c r="D46" s="166"/>
      <c r="E46" s="166"/>
      <c r="F46" s="166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</row>
    <row r="51" spans="4:9" hidden="1" x14ac:dyDescent="0.2"/>
    <row r="52" spans="4:9" hidden="1" x14ac:dyDescent="0.2">
      <c r="D52" s="162"/>
      <c r="G52" s="163"/>
    </row>
    <row r="53" spans="4:9" hidden="1" x14ac:dyDescent="0.2">
      <c r="D53" s="164"/>
      <c r="G53" s="163"/>
      <c r="H53" s="165"/>
    </row>
    <row r="54" spans="4:9" hidden="1" x14ac:dyDescent="0.2">
      <c r="D54" s="164"/>
      <c r="G54" s="163"/>
      <c r="H54" s="165"/>
    </row>
    <row r="55" spans="4:9" hidden="1" x14ac:dyDescent="0.2">
      <c r="D55" s="164"/>
      <c r="G55" s="163"/>
      <c r="H55" s="165"/>
    </row>
    <row r="56" spans="4:9" hidden="1" x14ac:dyDescent="0.2">
      <c r="D56" s="164"/>
      <c r="G56" s="163"/>
      <c r="H56" s="165"/>
    </row>
    <row r="57" spans="4:9" hidden="1" x14ac:dyDescent="0.2">
      <c r="D57" s="164"/>
      <c r="G57" s="163"/>
      <c r="H57" s="165"/>
    </row>
    <row r="58" spans="4:9" hidden="1" x14ac:dyDescent="0.2">
      <c r="D58" s="164"/>
      <c r="G58" s="163"/>
      <c r="H58" s="165"/>
      <c r="I58" s="165"/>
    </row>
    <row r="59" spans="4:9" hidden="1" x14ac:dyDescent="0.2">
      <c r="D59" s="164"/>
      <c r="G59" s="163"/>
      <c r="H59" s="165"/>
      <c r="I59" s="165"/>
    </row>
    <row r="60" spans="4:9" hidden="1" x14ac:dyDescent="0.2">
      <c r="D60" s="164"/>
      <c r="G60" s="163"/>
      <c r="H60" s="165"/>
      <c r="I60" s="165"/>
    </row>
    <row r="61" spans="4:9" hidden="1" x14ac:dyDescent="0.2">
      <c r="D61" s="164"/>
      <c r="G61" s="163"/>
      <c r="H61" s="165"/>
      <c r="I61" s="165"/>
    </row>
    <row r="62" spans="4:9" hidden="1" x14ac:dyDescent="0.2"/>
  </sheetData>
  <phoneticPr fontId="6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9" width="9.140625" style="202"/>
    <col min="20" max="20" width="2.7109375" style="202" customWidth="1"/>
    <col min="21" max="16384" width="9.140625" style="202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206"/>
      <c r="D6" s="207"/>
      <c r="E6" s="207"/>
      <c r="F6" s="207"/>
      <c r="G6" s="208" t="s">
        <v>1151</v>
      </c>
      <c r="H6" s="207"/>
      <c r="I6" s="207"/>
      <c r="J6" s="207"/>
      <c r="K6" s="207"/>
      <c r="L6" s="207"/>
      <c r="M6" s="207"/>
      <c r="N6" s="207"/>
      <c r="O6" s="207"/>
      <c r="P6" s="2"/>
      <c r="Q6" s="2"/>
      <c r="R6" s="2"/>
      <c r="S6" s="2"/>
      <c r="T6" s="2"/>
    </row>
    <row r="7" spans="2:20" ht="15.75" x14ac:dyDescent="0.25">
      <c r="B7" s="2"/>
      <c r="C7" s="207"/>
      <c r="D7" s="206"/>
      <c r="E7" s="206"/>
      <c r="F7" s="206"/>
      <c r="G7" s="206"/>
      <c r="H7" s="206"/>
      <c r="I7" s="206"/>
      <c r="J7" s="206"/>
      <c r="K7" s="206"/>
      <c r="L7" s="206"/>
      <c r="M7" s="206"/>
      <c r="N7" s="206"/>
      <c r="O7" s="206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12" t="s">
        <v>1134</v>
      </c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"/>
      <c r="T44" s="2"/>
    </row>
    <row r="45" spans="2:20" x14ac:dyDescent="0.2">
      <c r="B45" s="2"/>
      <c r="C45" s="212" t="s">
        <v>1135</v>
      </c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"/>
      <c r="T45" s="2"/>
    </row>
    <row r="46" spans="2:20" x14ac:dyDescent="0.2">
      <c r="B46" s="2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"/>
      <c r="T46" s="2"/>
    </row>
    <row r="47" spans="2:20" x14ac:dyDescent="0.2">
      <c r="B47" s="2"/>
      <c r="C47" s="209" t="s">
        <v>375</v>
      </c>
      <c r="D47" s="206"/>
      <c r="E47" s="206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"/>
      <c r="T47" s="2"/>
    </row>
    <row r="48" spans="2:20" x14ac:dyDescent="0.2">
      <c r="B48" s="2"/>
      <c r="C48" s="208" t="s">
        <v>1045</v>
      </c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"/>
      <c r="T48" s="2"/>
    </row>
    <row r="49" spans="2:20" x14ac:dyDescent="0.2">
      <c r="B49" s="2"/>
      <c r="C49" s="208" t="s">
        <v>1044</v>
      </c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"/>
      <c r="T49" s="2"/>
    </row>
    <row r="50" spans="2:20" x14ac:dyDescent="0.2">
      <c r="B50" s="2"/>
      <c r="C50" s="208" t="s">
        <v>374</v>
      </c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"/>
      <c r="T50" s="2"/>
    </row>
    <row r="51" spans="2:20" x14ac:dyDescent="0.2">
      <c r="B51" s="2"/>
      <c r="C51" s="206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"/>
      <c r="T51" s="2"/>
    </row>
    <row r="52" spans="2:20" x14ac:dyDescent="0.2">
      <c r="B52" s="2"/>
      <c r="C52" s="210" t="s">
        <v>229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211" t="s">
        <v>984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206" t="s">
        <v>505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206" t="s">
        <v>985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206" t="s">
        <v>1136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4" t="s">
        <v>1137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4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208" t="s">
        <v>230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206" t="s">
        <v>231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206" t="s">
        <v>232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206" t="s">
        <v>233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206" t="s">
        <v>986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204"/>
    </row>
    <row r="74" spans="2:20" x14ac:dyDescent="0.2">
      <c r="C74" s="203"/>
    </row>
    <row r="78" spans="2:20" ht="15.75" x14ac:dyDescent="0.3">
      <c r="C78" s="205"/>
    </row>
  </sheetData>
  <phoneticPr fontId="6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R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8" width="9.140625" style="202"/>
    <col min="19" max="19" width="2.7109375" style="202" customWidth="1"/>
    <col min="20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4" t="s">
        <v>1151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2:18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2:18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</row>
    <row r="44" spans="2:18" x14ac:dyDescent="0.2">
      <c r="B44" s="2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"/>
      <c r="C45" s="24" t="s">
        <v>725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2"/>
      <c r="C46" s="24" t="s">
        <v>679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"/>
    </row>
    <row r="47" spans="2:18" x14ac:dyDescent="0.2">
      <c r="B47" s="2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"/>
    </row>
    <row r="48" spans="2:18" x14ac:dyDescent="0.2">
      <c r="B48" s="2"/>
      <c r="C48" s="25" t="s">
        <v>726</v>
      </c>
      <c r="D48" s="2"/>
      <c r="E48" s="2"/>
      <c r="F48" s="2"/>
      <c r="G48" s="2"/>
      <c r="H48" s="2"/>
      <c r="I48" s="24"/>
      <c r="J48" s="24"/>
      <c r="K48" s="24"/>
      <c r="L48" s="24"/>
      <c r="M48" s="24"/>
      <c r="N48" s="24"/>
      <c r="O48" s="24"/>
      <c r="P48" s="24"/>
      <c r="Q48" s="24"/>
      <c r="R48" s="2"/>
    </row>
    <row r="49" spans="2:18" x14ac:dyDescent="0.2">
      <c r="B49" s="2"/>
      <c r="C49" s="24" t="s">
        <v>772</v>
      </c>
      <c r="D49" s="2"/>
      <c r="E49" s="2"/>
      <c r="F49" s="2"/>
      <c r="G49" s="2"/>
      <c r="H49" s="2"/>
      <c r="I49" s="24"/>
      <c r="J49" s="24"/>
      <c r="K49" s="24"/>
      <c r="L49" s="24"/>
      <c r="M49" s="24"/>
      <c r="N49" s="24"/>
      <c r="O49" s="24"/>
      <c r="P49" s="24"/>
      <c r="Q49" s="24"/>
      <c r="R49" s="2"/>
    </row>
    <row r="50" spans="2:18" x14ac:dyDescent="0.2">
      <c r="B50" s="2"/>
      <c r="C50" s="2"/>
      <c r="D50" s="2"/>
      <c r="E50" s="2"/>
      <c r="F50" s="2"/>
      <c r="G50" s="2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"/>
    </row>
    <row r="51" spans="2:18" x14ac:dyDescent="0.2"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</row>
    <row r="52" spans="2:18" x14ac:dyDescent="0.2"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</row>
    <row r="53" spans="2:18" x14ac:dyDescent="0.2">
      <c r="C53" s="171"/>
      <c r="D53" s="171"/>
      <c r="E53" s="171"/>
      <c r="F53" s="171"/>
      <c r="G53" s="171"/>
      <c r="H53" s="171"/>
    </row>
    <row r="54" spans="2:18" x14ac:dyDescent="0.2">
      <c r="C54" s="171"/>
      <c r="D54" s="171"/>
      <c r="E54" s="171"/>
      <c r="F54" s="171"/>
      <c r="G54" s="171"/>
      <c r="H54" s="171"/>
    </row>
  </sheetData>
  <phoneticPr fontId="6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R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4" t="s">
        <v>1151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2:18" x14ac:dyDescent="0.2">
      <c r="B42" s="24"/>
      <c r="C42" s="24" t="s">
        <v>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</row>
    <row r="43" spans="2:18" x14ac:dyDescent="0.2">
      <c r="B43" s="24"/>
      <c r="C43" s="24" t="s">
        <v>94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</row>
    <row r="44" spans="2:18" x14ac:dyDescent="0.2">
      <c r="B44" s="24"/>
      <c r="C44" s="24" t="s">
        <v>95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</row>
    <row r="47" spans="2:18" x14ac:dyDescent="0.2"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</row>
    <row r="48" spans="2:18" x14ac:dyDescent="0.2"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R51" s="171"/>
    </row>
    <row r="52" spans="2:18" x14ac:dyDescent="0.2">
      <c r="R52" s="171"/>
    </row>
    <row r="53" spans="2:18" x14ac:dyDescent="0.2">
      <c r="R53" s="171"/>
    </row>
    <row r="54" spans="2:18" x14ac:dyDescent="0.2">
      <c r="R54" s="171"/>
    </row>
  </sheetData>
  <phoneticPr fontId="6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1151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1138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</row>
    <row r="42" spans="2:18" x14ac:dyDescent="0.2">
      <c r="B42" s="24"/>
      <c r="C42" s="21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</row>
    <row r="43" spans="2:18" x14ac:dyDescent="0.2">
      <c r="B43" s="24"/>
      <c r="C43" s="214" t="s">
        <v>360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</row>
    <row r="44" spans="2:18" x14ac:dyDescent="0.2">
      <c r="B44" s="24"/>
      <c r="C44" s="214" t="s">
        <v>673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</row>
    <row r="45" spans="2:18" x14ac:dyDescent="0.2">
      <c r="B45" s="24"/>
      <c r="C45" s="21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</row>
    <row r="46" spans="2:18" x14ac:dyDescent="0.2">
      <c r="B46" s="24"/>
      <c r="C46" s="214" t="s">
        <v>185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</row>
    <row r="47" spans="2:18" x14ac:dyDescent="0.2">
      <c r="B47" s="24"/>
      <c r="C47" s="21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</row>
    <row r="48" spans="2:18" x14ac:dyDescent="0.2">
      <c r="B48" s="171"/>
      <c r="C48" s="213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</row>
    <row r="52" spans="2:18" x14ac:dyDescent="0.2">
      <c r="B52" s="171"/>
      <c r="R52" s="171"/>
    </row>
  </sheetData>
  <phoneticPr fontId="6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1151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1139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"/>
    </row>
    <row r="42" spans="2:18" x14ac:dyDescent="0.2">
      <c r="B42" s="24"/>
      <c r="C42" s="166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</row>
    <row r="43" spans="2:18" x14ac:dyDescent="0.2">
      <c r="B43" s="24"/>
      <c r="C43" s="166" t="s">
        <v>651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</row>
    <row r="44" spans="2:18" x14ac:dyDescent="0.2">
      <c r="B44" s="24"/>
      <c r="C44" s="166" t="s">
        <v>673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4"/>
      <c r="C45" s="166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24"/>
      <c r="C46" s="166" t="s">
        <v>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"/>
    </row>
    <row r="47" spans="2:18" x14ac:dyDescent="0.2">
      <c r="B47" s="24"/>
      <c r="C47" s="166" t="s">
        <v>675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"/>
    </row>
    <row r="48" spans="2:18" x14ac:dyDescent="0.2"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"/>
    </row>
    <row r="49" spans="2:17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</row>
    <row r="50" spans="2:17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</row>
    <row r="51" spans="2:17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</row>
    <row r="52" spans="2:17" x14ac:dyDescent="0.2">
      <c r="B52" s="171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</row>
    <row r="53" spans="2:17" x14ac:dyDescent="0.2">
      <c r="B53" s="171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</row>
    <row r="54" spans="2:17" x14ac:dyDescent="0.2"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</row>
    <row r="55" spans="2:17" x14ac:dyDescent="0.2">
      <c r="B55" s="171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</row>
    <row r="56" spans="2:17" x14ac:dyDescent="0.2"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</row>
  </sheetData>
  <phoneticPr fontId="6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192"/>
  <sheetViews>
    <sheetView showGridLines="0" showRowColHeaders="0" workbookViewId="0">
      <pane ySplit="26" topLeftCell="A176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14.140625" style="137" customWidth="1"/>
    <col min="3" max="3" width="19.42578125" style="142" customWidth="1"/>
    <col min="4" max="4" width="17.42578125" style="142" customWidth="1"/>
    <col min="5" max="5" width="13.140625" style="142" customWidth="1"/>
    <col min="6" max="6" width="12.85546875" style="142" customWidth="1"/>
    <col min="7" max="9" width="10.7109375" style="142" customWidth="1"/>
    <col min="10" max="21" width="10.7109375" style="137" customWidth="1"/>
    <col min="22" max="42" width="10.140625" style="137" customWidth="1"/>
    <col min="43" max="16384" width="9.140625" style="137"/>
  </cols>
  <sheetData>
    <row r="2" spans="2:14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</row>
    <row r="3" spans="2:14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</row>
    <row r="4" spans="2:14" x14ac:dyDescent="0.2">
      <c r="B4" s="206"/>
      <c r="C4" s="226"/>
      <c r="D4" s="226"/>
      <c r="E4" s="226"/>
      <c r="F4" s="226"/>
      <c r="G4" s="226"/>
      <c r="H4" s="226"/>
      <c r="I4" s="226"/>
      <c r="J4" s="206"/>
      <c r="K4" s="206"/>
      <c r="L4" s="206"/>
      <c r="M4" s="206"/>
      <c r="N4" s="203"/>
    </row>
    <row r="5" spans="2:14" ht="18" x14ac:dyDescent="0.25">
      <c r="B5" s="227" t="s">
        <v>690</v>
      </c>
      <c r="C5" s="226"/>
      <c r="D5" s="226"/>
      <c r="E5" s="226"/>
      <c r="F5" s="208" t="s">
        <v>1152</v>
      </c>
      <c r="G5" s="226"/>
      <c r="H5" s="226"/>
      <c r="I5" s="226"/>
      <c r="J5" s="206"/>
      <c r="K5" s="206"/>
      <c r="L5" s="206"/>
      <c r="M5" s="206"/>
      <c r="N5" s="215"/>
    </row>
    <row r="6" spans="2:14" ht="18" x14ac:dyDescent="0.25">
      <c r="B6" s="227"/>
      <c r="C6" s="226"/>
      <c r="D6" s="226"/>
      <c r="E6" s="226"/>
      <c r="F6" s="226"/>
      <c r="G6" s="226"/>
      <c r="H6" s="226"/>
      <c r="I6" s="226"/>
      <c r="J6" s="206"/>
      <c r="K6" s="206"/>
      <c r="L6" s="206"/>
      <c r="M6" s="206"/>
      <c r="N6" s="216"/>
    </row>
    <row r="7" spans="2:14" x14ac:dyDescent="0.2">
      <c r="B7" s="226" t="s">
        <v>508</v>
      </c>
      <c r="C7" s="226"/>
      <c r="D7" s="226"/>
      <c r="E7" s="226"/>
      <c r="F7" s="226"/>
      <c r="G7" s="226"/>
      <c r="H7" s="226"/>
      <c r="I7" s="226"/>
      <c r="J7" s="206"/>
      <c r="K7" s="206"/>
      <c r="L7" s="206"/>
      <c r="M7" s="206"/>
      <c r="N7" s="216"/>
    </row>
    <row r="8" spans="2:14" x14ac:dyDescent="0.2">
      <c r="B8" s="226" t="s">
        <v>550</v>
      </c>
      <c r="C8" s="226"/>
      <c r="D8" s="226"/>
      <c r="E8" s="226"/>
      <c r="F8" s="226"/>
      <c r="G8" s="226"/>
      <c r="H8" s="226"/>
      <c r="I8" s="226"/>
      <c r="J8" s="206"/>
      <c r="K8" s="206"/>
      <c r="L8" s="206"/>
      <c r="M8" s="206"/>
      <c r="N8" s="216"/>
    </row>
    <row r="9" spans="2:14" x14ac:dyDescent="0.2">
      <c r="B9" s="226" t="s">
        <v>551</v>
      </c>
      <c r="C9" s="226"/>
      <c r="D9" s="226"/>
      <c r="E9" s="226"/>
      <c r="F9" s="226"/>
      <c r="G9" s="226"/>
      <c r="H9" s="226"/>
      <c r="I9" s="226"/>
      <c r="J9" s="206"/>
      <c r="K9" s="206"/>
      <c r="L9" s="206"/>
      <c r="M9" s="206"/>
      <c r="N9" s="216"/>
    </row>
    <row r="10" spans="2:14" x14ac:dyDescent="0.2">
      <c r="B10" s="226" t="s">
        <v>511</v>
      </c>
      <c r="C10" s="226"/>
      <c r="D10" s="226"/>
      <c r="E10" s="226"/>
      <c r="F10" s="226"/>
      <c r="G10" s="226"/>
      <c r="H10" s="226"/>
      <c r="I10" s="226"/>
      <c r="J10" s="206"/>
      <c r="K10" s="206"/>
      <c r="L10" s="206"/>
      <c r="M10" s="206"/>
      <c r="N10" s="216"/>
    </row>
    <row r="11" spans="2:14" x14ac:dyDescent="0.2">
      <c r="B11" s="226" t="s">
        <v>136</v>
      </c>
      <c r="C11" s="226"/>
      <c r="D11" s="226"/>
      <c r="E11" s="226"/>
      <c r="F11" s="226"/>
      <c r="G11" s="226"/>
      <c r="H11" s="226"/>
      <c r="I11" s="226"/>
      <c r="J11" s="206"/>
      <c r="K11" s="206"/>
      <c r="L11" s="206"/>
      <c r="M11" s="206"/>
      <c r="N11" s="203"/>
    </row>
    <row r="12" spans="2:14" x14ac:dyDescent="0.2">
      <c r="B12" s="228"/>
      <c r="C12" s="226"/>
      <c r="D12" s="226"/>
      <c r="E12" s="226"/>
      <c r="F12" s="226"/>
      <c r="G12" s="226"/>
      <c r="H12" s="226"/>
      <c r="I12" s="226"/>
      <c r="J12" s="206"/>
      <c r="K12" s="206"/>
      <c r="L12" s="206"/>
      <c r="M12" s="206"/>
      <c r="N12" s="203"/>
    </row>
    <row r="13" spans="2:14" x14ac:dyDescent="0.2">
      <c r="B13" s="229" t="s">
        <v>1140</v>
      </c>
      <c r="C13" s="226"/>
      <c r="D13" s="226"/>
      <c r="E13" s="226"/>
      <c r="F13" s="226"/>
      <c r="G13" s="226"/>
      <c r="H13" s="226"/>
      <c r="I13" s="226"/>
      <c r="J13" s="206"/>
      <c r="K13" s="206"/>
      <c r="L13" s="206"/>
      <c r="M13" s="206"/>
      <c r="N13" s="216"/>
    </row>
    <row r="14" spans="2:14" x14ac:dyDescent="0.2">
      <c r="B14" s="229" t="s">
        <v>1141</v>
      </c>
      <c r="C14" s="226"/>
      <c r="D14" s="226"/>
      <c r="E14" s="226"/>
      <c r="F14" s="226"/>
      <c r="G14" s="226"/>
      <c r="H14" s="226"/>
      <c r="I14" s="226"/>
      <c r="J14" s="206"/>
      <c r="K14" s="206"/>
      <c r="L14" s="206"/>
      <c r="M14" s="206"/>
      <c r="N14" s="217"/>
    </row>
    <row r="15" spans="2:14" x14ac:dyDescent="0.2">
      <c r="B15" s="56"/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16"/>
    </row>
    <row r="16" spans="2:14" x14ac:dyDescent="0.2">
      <c r="B16" s="287" t="s">
        <v>507</v>
      </c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203"/>
    </row>
    <row r="17" spans="2:20" x14ac:dyDescent="0.2">
      <c r="B17" s="206"/>
      <c r="C17" s="206"/>
      <c r="D17" s="206"/>
      <c r="E17" s="206"/>
      <c r="F17" s="206"/>
      <c r="G17" s="206"/>
      <c r="H17" s="206"/>
      <c r="I17" s="206"/>
      <c r="J17" s="206"/>
      <c r="K17" s="206"/>
      <c r="L17" s="206"/>
      <c r="M17" s="206"/>
      <c r="N17" s="218"/>
    </row>
    <row r="18" spans="2:20" ht="3.75" customHeight="1" x14ac:dyDescent="0.2"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18"/>
    </row>
    <row r="19" spans="2:20" ht="3.75" customHeight="1" x14ac:dyDescent="0.2"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16"/>
    </row>
    <row r="20" spans="2:20" ht="3.75" customHeight="1" x14ac:dyDescent="0.2"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16"/>
    </row>
    <row r="21" spans="2:20" ht="3.75" customHeight="1" x14ac:dyDescent="0.2">
      <c r="B21" s="206"/>
      <c r="C21" s="206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16"/>
      <c r="O21" s="203"/>
      <c r="P21" s="203"/>
      <c r="Q21" s="203"/>
      <c r="R21" s="203"/>
      <c r="S21" s="203"/>
      <c r="T21" s="203"/>
    </row>
    <row r="22" spans="2:20" ht="3.75" customHeight="1" x14ac:dyDescent="0.2"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16"/>
      <c r="O22" s="203"/>
      <c r="P22" s="203"/>
      <c r="Q22" s="203"/>
      <c r="R22" s="203"/>
      <c r="S22" s="203"/>
      <c r="T22" s="203"/>
    </row>
    <row r="23" spans="2:20" ht="3.75" customHeight="1" x14ac:dyDescent="0.2">
      <c r="B23" s="228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3"/>
      <c r="O23" s="203"/>
      <c r="P23" s="203"/>
      <c r="Q23" s="203"/>
      <c r="R23" s="203"/>
      <c r="S23" s="203"/>
      <c r="T23" s="203"/>
    </row>
    <row r="24" spans="2:20" ht="3.75" customHeight="1" x14ac:dyDescent="0.2">
      <c r="B24" s="206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3"/>
      <c r="O24" s="203"/>
      <c r="P24" s="203"/>
      <c r="Q24" s="203"/>
      <c r="R24" s="203"/>
      <c r="S24" s="203"/>
      <c r="T24" s="203"/>
    </row>
    <row r="25" spans="2:20" s="221" customFormat="1" ht="12.75" customHeight="1" x14ac:dyDescent="0.2">
      <c r="B25" s="327" t="s">
        <v>1147</v>
      </c>
      <c r="C25" s="352" t="s">
        <v>676</v>
      </c>
      <c r="D25" s="352" t="s">
        <v>677</v>
      </c>
      <c r="E25" s="353" t="s">
        <v>312</v>
      </c>
      <c r="F25" s="353" t="s">
        <v>918</v>
      </c>
      <c r="G25" s="231"/>
      <c r="H25" s="231"/>
      <c r="I25" s="232"/>
      <c r="J25" s="230"/>
      <c r="K25" s="230"/>
      <c r="L25" s="230"/>
      <c r="M25" s="230"/>
      <c r="N25" s="219"/>
      <c r="O25" s="219"/>
      <c r="P25" s="219"/>
      <c r="Q25" s="219"/>
      <c r="R25" s="219"/>
      <c r="S25" s="219"/>
      <c r="T25" s="219"/>
    </row>
    <row r="26" spans="2:20" s="221" customFormat="1" ht="12.75" customHeight="1" x14ac:dyDescent="0.2">
      <c r="B26" s="328"/>
      <c r="C26" s="352"/>
      <c r="D26" s="352"/>
      <c r="E26" s="354"/>
      <c r="F26" s="354"/>
      <c r="G26" s="233"/>
      <c r="H26" s="233"/>
      <c r="I26" s="232"/>
      <c r="J26" s="234"/>
      <c r="K26" s="235"/>
      <c r="L26" s="234"/>
      <c r="M26" s="234"/>
      <c r="N26" s="222"/>
      <c r="O26" s="220"/>
      <c r="P26" s="220"/>
      <c r="Q26" s="220"/>
      <c r="R26" s="220"/>
      <c r="S26" s="220"/>
      <c r="T26" s="220"/>
    </row>
    <row r="27" spans="2:20" x14ac:dyDescent="0.2">
      <c r="B27" s="236">
        <v>36873</v>
      </c>
      <c r="C27" s="237">
        <v>4.1944485443448101E-2</v>
      </c>
      <c r="D27" s="238">
        <v>3.4185081486749702E-2</v>
      </c>
      <c r="E27" s="238"/>
      <c r="F27" s="206"/>
      <c r="G27" s="238"/>
      <c r="H27" s="238"/>
      <c r="I27" s="239"/>
      <c r="J27" s="240"/>
      <c r="K27" s="237"/>
      <c r="L27" s="206"/>
      <c r="M27" s="206"/>
      <c r="N27" s="223"/>
      <c r="O27" s="203"/>
      <c r="P27" s="203"/>
      <c r="Q27" s="203"/>
      <c r="R27" s="203"/>
      <c r="S27" s="203"/>
      <c r="T27" s="203"/>
    </row>
    <row r="28" spans="2:20" x14ac:dyDescent="0.2">
      <c r="B28" s="236">
        <v>36891</v>
      </c>
      <c r="C28" s="237">
        <v>2.9172234535217278E-2</v>
      </c>
      <c r="D28" s="238">
        <v>2.1548629423359555E-2</v>
      </c>
      <c r="E28" s="238">
        <v>2.2797217369079588E-2</v>
      </c>
      <c r="F28" s="241">
        <v>1.4385435572878524E-2</v>
      </c>
      <c r="G28" s="226"/>
      <c r="H28" s="242"/>
      <c r="I28" s="239"/>
      <c r="J28" s="240"/>
      <c r="K28" s="237"/>
      <c r="L28" s="242"/>
      <c r="M28" s="206"/>
      <c r="N28" s="223"/>
      <c r="O28" s="203"/>
      <c r="P28" s="203"/>
      <c r="Q28" s="203"/>
      <c r="R28" s="203"/>
      <c r="S28" s="203"/>
      <c r="T28" s="203"/>
    </row>
    <row r="29" spans="2:20" x14ac:dyDescent="0.2">
      <c r="B29" s="236">
        <v>36922</v>
      </c>
      <c r="C29" s="237">
        <v>3.4470444993645266E-2</v>
      </c>
      <c r="D29" s="238">
        <v>2.7404682439887473E-2</v>
      </c>
      <c r="E29" s="206"/>
      <c r="F29" s="206"/>
      <c r="G29" s="238"/>
      <c r="H29" s="238"/>
      <c r="I29" s="238"/>
      <c r="J29" s="240"/>
      <c r="K29" s="237"/>
      <c r="L29" s="242"/>
      <c r="M29" s="206"/>
      <c r="N29" s="223"/>
      <c r="O29" s="203"/>
      <c r="P29" s="203"/>
      <c r="Q29" s="203"/>
      <c r="R29" s="203"/>
      <c r="S29" s="203"/>
      <c r="T29" s="203"/>
    </row>
    <row r="30" spans="2:20" x14ac:dyDescent="0.2">
      <c r="B30" s="236">
        <v>36950</v>
      </c>
      <c r="C30" s="237">
        <v>1.5265800868734553E-2</v>
      </c>
      <c r="D30" s="237">
        <v>7.8503517895816E-3</v>
      </c>
      <c r="E30" s="237"/>
      <c r="F30" s="241"/>
      <c r="G30" s="237"/>
      <c r="H30" s="237"/>
      <c r="I30" s="237"/>
      <c r="J30" s="240"/>
      <c r="K30" s="237"/>
      <c r="L30" s="242"/>
      <c r="M30" s="206"/>
      <c r="N30" s="223"/>
      <c r="O30" s="203"/>
      <c r="P30" s="203"/>
      <c r="Q30" s="203"/>
      <c r="R30" s="203"/>
      <c r="S30" s="203"/>
      <c r="T30" s="203"/>
    </row>
    <row r="31" spans="2:20" x14ac:dyDescent="0.2">
      <c r="B31" s="236">
        <v>36981</v>
      </c>
      <c r="C31" s="237">
        <v>-1.8410568162869163E-3</v>
      </c>
      <c r="D31" s="237">
        <v>-1.0267239300616793E-2</v>
      </c>
      <c r="E31" s="237"/>
      <c r="F31" s="241"/>
      <c r="G31" s="237"/>
      <c r="H31" s="237"/>
      <c r="I31" s="237"/>
      <c r="J31" s="240"/>
      <c r="K31" s="237"/>
      <c r="L31" s="242"/>
      <c r="M31" s="206"/>
      <c r="N31" s="223"/>
      <c r="O31" s="203"/>
      <c r="P31" s="203"/>
      <c r="Q31" s="203"/>
      <c r="R31" s="203"/>
      <c r="S31" s="203"/>
      <c r="T31" s="203"/>
    </row>
    <row r="32" spans="2:20" x14ac:dyDescent="0.2">
      <c r="B32" s="236">
        <v>37011</v>
      </c>
      <c r="C32" s="237">
        <v>2.0691238008785837E-2</v>
      </c>
      <c r="D32" s="237">
        <v>1.0771200659497771E-2</v>
      </c>
      <c r="E32" s="237"/>
      <c r="F32" s="241"/>
      <c r="G32" s="237"/>
      <c r="H32" s="237"/>
      <c r="I32" s="237"/>
      <c r="J32" s="240"/>
      <c r="K32" s="237"/>
      <c r="L32" s="242"/>
      <c r="M32" s="206"/>
      <c r="N32" s="223"/>
      <c r="O32" s="203"/>
      <c r="P32" s="203"/>
      <c r="Q32" s="203"/>
      <c r="R32" s="203"/>
      <c r="S32" s="203"/>
      <c r="T32" s="203"/>
    </row>
    <row r="33" spans="2:20" x14ac:dyDescent="0.2">
      <c r="B33" s="236">
        <v>37042</v>
      </c>
      <c r="C33" s="237">
        <v>2.985371110015975E-2</v>
      </c>
      <c r="D33" s="237">
        <v>1.8881108471976438E-2</v>
      </c>
      <c r="E33" s="237"/>
      <c r="F33" s="241"/>
      <c r="G33" s="237"/>
      <c r="H33" s="237"/>
      <c r="I33" s="237"/>
      <c r="J33" s="240"/>
      <c r="K33" s="237"/>
      <c r="L33" s="242"/>
      <c r="M33" s="206"/>
      <c r="N33" s="223"/>
      <c r="O33" s="203"/>
      <c r="P33" s="203"/>
      <c r="Q33" s="203"/>
      <c r="R33" s="203"/>
      <c r="S33" s="203"/>
      <c r="T33" s="203"/>
    </row>
    <row r="34" spans="2:20" x14ac:dyDescent="0.2">
      <c r="B34" s="236">
        <v>37072</v>
      </c>
      <c r="C34" s="237">
        <v>2.1832256757043877E-2</v>
      </c>
      <c r="D34" s="237">
        <v>1.1325475944840457E-2</v>
      </c>
      <c r="E34" s="237"/>
      <c r="F34" s="241"/>
      <c r="G34" s="237"/>
      <c r="H34" s="237"/>
      <c r="I34" s="237"/>
      <c r="J34" s="240"/>
      <c r="K34" s="237"/>
      <c r="L34" s="242"/>
      <c r="M34" s="206"/>
      <c r="N34" s="223"/>
      <c r="O34" s="203"/>
      <c r="P34" s="203"/>
      <c r="Q34" s="203"/>
      <c r="R34" s="203"/>
      <c r="S34" s="203"/>
      <c r="T34" s="203"/>
    </row>
    <row r="35" spans="2:20" x14ac:dyDescent="0.2">
      <c r="B35" s="236">
        <v>37103</v>
      </c>
      <c r="C35" s="237">
        <v>9.9048701493387632E-3</v>
      </c>
      <c r="D35" s="237">
        <v>4.7028351006228597E-4</v>
      </c>
      <c r="E35" s="237"/>
      <c r="F35" s="241"/>
      <c r="G35" s="237"/>
      <c r="H35" s="237"/>
      <c r="I35" s="237"/>
      <c r="J35" s="240"/>
      <c r="K35" s="237"/>
      <c r="L35" s="242"/>
      <c r="M35" s="206"/>
      <c r="N35" s="223"/>
      <c r="O35" s="203"/>
      <c r="P35" s="203"/>
      <c r="Q35" s="203"/>
      <c r="R35" s="203"/>
      <c r="S35" s="203"/>
      <c r="T35" s="203"/>
    </row>
    <row r="36" spans="2:20" x14ac:dyDescent="0.2">
      <c r="B36" s="236">
        <v>37134</v>
      </c>
      <c r="C36" s="237">
        <v>-5.8520358709966656E-3</v>
      </c>
      <c r="D36" s="237">
        <v>-1.5417734422042306E-2</v>
      </c>
      <c r="E36" s="206"/>
      <c r="F36" s="241"/>
      <c r="G36" s="237"/>
      <c r="H36" s="237"/>
      <c r="I36" s="237"/>
      <c r="J36" s="240"/>
      <c r="K36" s="237"/>
      <c r="L36" s="242"/>
      <c r="M36" s="206"/>
      <c r="N36" s="223"/>
      <c r="O36" s="203"/>
      <c r="P36" s="203"/>
      <c r="Q36" s="203"/>
      <c r="R36" s="203"/>
      <c r="S36" s="203"/>
      <c r="T36" s="203"/>
    </row>
    <row r="37" spans="2:20" x14ac:dyDescent="0.2">
      <c r="B37" s="236">
        <v>37164</v>
      </c>
      <c r="C37" s="237">
        <v>-2.8352978395008131E-2</v>
      </c>
      <c r="D37" s="237">
        <v>-3.8834699205131495E-2</v>
      </c>
      <c r="E37" s="237"/>
      <c r="F37" s="241"/>
      <c r="G37" s="237"/>
      <c r="H37" s="237"/>
      <c r="I37" s="237"/>
      <c r="J37" s="240"/>
      <c r="K37" s="237"/>
      <c r="L37" s="242"/>
      <c r="M37" s="206"/>
      <c r="N37" s="223"/>
    </row>
    <row r="38" spans="2:20" x14ac:dyDescent="0.2">
      <c r="B38" s="236">
        <v>37195</v>
      </c>
      <c r="C38" s="237">
        <v>-1.585379730917981E-2</v>
      </c>
      <c r="D38" s="237">
        <v>-2.5904718303681462E-2</v>
      </c>
      <c r="E38" s="237"/>
      <c r="F38" s="241"/>
      <c r="G38" s="237"/>
      <c r="H38" s="237"/>
      <c r="I38" s="237"/>
      <c r="J38" s="240"/>
      <c r="K38" s="237"/>
      <c r="L38" s="242"/>
      <c r="M38" s="206"/>
      <c r="N38" s="223"/>
    </row>
    <row r="39" spans="2:20" x14ac:dyDescent="0.2">
      <c r="B39" s="236">
        <v>37225</v>
      </c>
      <c r="C39" s="237">
        <v>1.5011297694889443E-3</v>
      </c>
      <c r="D39" s="237">
        <v>-8.6559676423678678E-3</v>
      </c>
      <c r="E39" s="237"/>
      <c r="F39" s="241"/>
      <c r="G39" s="237"/>
      <c r="H39" s="237"/>
      <c r="I39" s="237"/>
      <c r="J39" s="240"/>
      <c r="K39" s="237"/>
      <c r="L39" s="242"/>
      <c r="M39" s="206"/>
      <c r="N39" s="223"/>
    </row>
    <row r="40" spans="2:20" x14ac:dyDescent="0.2">
      <c r="B40" s="236">
        <v>37256</v>
      </c>
      <c r="C40" s="237">
        <v>4.0387541055679332E-3</v>
      </c>
      <c r="D40" s="237">
        <v>-6.1731336402864878E-3</v>
      </c>
      <c r="E40" s="238">
        <v>2.3982968330383304E-2</v>
      </c>
      <c r="F40" s="241">
        <v>1.2858501944238876E-2</v>
      </c>
      <c r="G40" s="237"/>
      <c r="H40" s="237"/>
      <c r="I40" s="237"/>
      <c r="J40" s="240"/>
      <c r="K40" s="237"/>
      <c r="L40" s="242"/>
      <c r="M40" s="206"/>
      <c r="N40" s="223"/>
    </row>
    <row r="41" spans="2:20" x14ac:dyDescent="0.2">
      <c r="B41" s="236">
        <v>37287</v>
      </c>
      <c r="C41" s="237">
        <v>-5.667357900465719E-3</v>
      </c>
      <c r="D41" s="237">
        <v>-1.5298287953683931E-2</v>
      </c>
      <c r="E41" s="206"/>
      <c r="F41" s="206"/>
      <c r="G41" s="237"/>
      <c r="H41" s="237"/>
      <c r="I41" s="237"/>
      <c r="J41" s="240"/>
      <c r="K41" s="237"/>
      <c r="L41" s="242"/>
      <c r="M41" s="206"/>
      <c r="N41" s="223"/>
    </row>
    <row r="42" spans="2:20" x14ac:dyDescent="0.2">
      <c r="B42" s="236">
        <v>37315</v>
      </c>
      <c r="C42" s="237">
        <v>-3.2903120307584913E-3</v>
      </c>
      <c r="D42" s="237">
        <v>-1.3144274988336146E-2</v>
      </c>
      <c r="E42" s="237"/>
      <c r="F42" s="241"/>
      <c r="G42" s="237"/>
      <c r="H42" s="237"/>
      <c r="I42" s="237"/>
      <c r="J42" s="240"/>
      <c r="K42" s="237"/>
      <c r="L42" s="242"/>
      <c r="M42" s="206"/>
      <c r="N42" s="223"/>
    </row>
    <row r="43" spans="2:20" x14ac:dyDescent="0.2">
      <c r="B43" s="236">
        <v>37346</v>
      </c>
      <c r="C43" s="237">
        <v>2.3982886472156918E-3</v>
      </c>
      <c r="D43" s="237">
        <v>-8.6379847426899525E-3</v>
      </c>
      <c r="E43" s="237"/>
      <c r="F43" s="241"/>
      <c r="G43" s="237"/>
      <c r="H43" s="237"/>
      <c r="I43" s="237"/>
      <c r="J43" s="240"/>
      <c r="K43" s="237"/>
      <c r="L43" s="242"/>
      <c r="M43" s="206"/>
      <c r="N43" s="223"/>
    </row>
    <row r="44" spans="2:20" x14ac:dyDescent="0.2">
      <c r="B44" s="236">
        <v>37376</v>
      </c>
      <c r="C44" s="237">
        <v>-1.2952820132294431E-2</v>
      </c>
      <c r="D44" s="237">
        <v>-2.4244469021596826E-2</v>
      </c>
      <c r="E44" s="237"/>
      <c r="F44" s="241"/>
      <c r="G44" s="237"/>
      <c r="H44" s="237"/>
      <c r="I44" s="237"/>
      <c r="J44" s="240"/>
      <c r="K44" s="237"/>
      <c r="L44" s="242"/>
      <c r="M44" s="206"/>
      <c r="N44" s="223"/>
    </row>
    <row r="45" spans="2:20" x14ac:dyDescent="0.2">
      <c r="B45" s="236">
        <v>37407</v>
      </c>
      <c r="C45" s="237">
        <v>-2.2360659830725063E-2</v>
      </c>
      <c r="D45" s="237">
        <v>-3.3758340216878069E-2</v>
      </c>
      <c r="E45" s="237"/>
      <c r="F45" s="241"/>
      <c r="G45" s="237"/>
      <c r="H45" s="237"/>
      <c r="I45" s="237"/>
      <c r="J45" s="240"/>
      <c r="K45" s="237"/>
      <c r="L45" s="242"/>
      <c r="M45" s="206"/>
      <c r="N45" s="223"/>
    </row>
    <row r="46" spans="2:20" x14ac:dyDescent="0.2">
      <c r="B46" s="236">
        <v>37437</v>
      </c>
      <c r="C46" s="237">
        <v>-4.5427655968047501E-2</v>
      </c>
      <c r="D46" s="237">
        <v>-5.6242413003703695E-2</v>
      </c>
      <c r="E46" s="237"/>
      <c r="F46" s="241"/>
      <c r="G46" s="237"/>
      <c r="H46" s="237"/>
      <c r="I46" s="237"/>
      <c r="J46" s="240"/>
      <c r="K46" s="237"/>
      <c r="L46" s="242"/>
      <c r="M46" s="206"/>
      <c r="N46" s="223"/>
    </row>
    <row r="47" spans="2:20" x14ac:dyDescent="0.2">
      <c r="B47" s="236">
        <v>37468</v>
      </c>
      <c r="C47" s="237">
        <v>-6.1224875463743861E-2</v>
      </c>
      <c r="D47" s="237">
        <v>-7.1328747213725285E-2</v>
      </c>
      <c r="E47" s="237"/>
      <c r="F47" s="241"/>
      <c r="G47" s="237"/>
      <c r="H47" s="237"/>
      <c r="I47" s="237"/>
      <c r="J47" s="240"/>
      <c r="K47" s="237"/>
      <c r="L47" s="242"/>
      <c r="M47" s="206"/>
      <c r="N47" s="223"/>
    </row>
    <row r="48" spans="2:20" x14ac:dyDescent="0.2">
      <c r="B48" s="236">
        <v>37499</v>
      </c>
      <c r="C48" s="237">
        <v>-6.1997545623277285E-2</v>
      </c>
      <c r="D48" s="237">
        <v>-7.2026959066810781E-2</v>
      </c>
      <c r="E48" s="206"/>
      <c r="F48" s="241"/>
      <c r="G48" s="237"/>
      <c r="H48" s="237"/>
      <c r="I48" s="237"/>
      <c r="J48" s="240"/>
      <c r="K48" s="237"/>
      <c r="L48" s="242"/>
      <c r="M48" s="206"/>
      <c r="N48" s="223"/>
    </row>
    <row r="49" spans="2:14" x14ac:dyDescent="0.2">
      <c r="B49" s="236">
        <v>37529</v>
      </c>
      <c r="C49" s="237">
        <v>-8.5605650565585945E-2</v>
      </c>
      <c r="D49" s="237">
        <v>-9.6191525348371942E-2</v>
      </c>
      <c r="E49" s="237"/>
      <c r="F49" s="241"/>
      <c r="G49" s="237"/>
      <c r="H49" s="237"/>
      <c r="I49" s="237"/>
      <c r="J49" s="240"/>
      <c r="K49" s="237"/>
      <c r="L49" s="242"/>
      <c r="M49" s="206"/>
      <c r="N49" s="223"/>
    </row>
    <row r="50" spans="2:14" x14ac:dyDescent="0.2">
      <c r="B50" s="236">
        <v>37560</v>
      </c>
      <c r="C50" s="237">
        <v>-6.703261910928289E-2</v>
      </c>
      <c r="D50" s="237">
        <v>-7.811047611313271E-2</v>
      </c>
      <c r="E50" s="237"/>
      <c r="F50" s="241"/>
      <c r="G50" s="237"/>
      <c r="H50" s="237"/>
      <c r="I50" s="237"/>
      <c r="J50" s="240"/>
      <c r="K50" s="237"/>
      <c r="L50" s="242"/>
      <c r="M50" s="206"/>
      <c r="N50" s="223"/>
    </row>
    <row r="51" spans="2:14" x14ac:dyDescent="0.2">
      <c r="B51" s="236">
        <v>37590</v>
      </c>
      <c r="C51" s="237">
        <v>-5.2669649763952171E-2</v>
      </c>
      <c r="D51" s="237">
        <v>-6.3490325914083545E-2</v>
      </c>
      <c r="E51" s="237"/>
      <c r="F51" s="241"/>
      <c r="G51" s="237"/>
      <c r="H51" s="237"/>
      <c r="I51" s="237"/>
      <c r="J51" s="240"/>
      <c r="K51" s="237"/>
      <c r="L51" s="242"/>
      <c r="M51" s="206"/>
      <c r="N51" s="223"/>
    </row>
    <row r="52" spans="2:14" x14ac:dyDescent="0.2">
      <c r="B52" s="236">
        <v>37621</v>
      </c>
      <c r="C52" s="237">
        <v>-7.0741388653405013E-2</v>
      </c>
      <c r="D52" s="237">
        <v>-8.1363488144732155E-2</v>
      </c>
      <c r="E52" s="238">
        <v>2.7880635261535645E-2</v>
      </c>
      <c r="F52" s="241">
        <v>1.731618596262785E-2</v>
      </c>
      <c r="G52" s="237"/>
      <c r="H52" s="237"/>
      <c r="I52" s="237"/>
      <c r="J52" s="240"/>
      <c r="K52" s="237"/>
      <c r="L52" s="242"/>
      <c r="M52" s="206"/>
      <c r="N52" s="223"/>
    </row>
    <row r="53" spans="2:14" x14ac:dyDescent="0.2">
      <c r="B53" s="236">
        <v>37652</v>
      </c>
      <c r="C53" s="237">
        <v>-7.0135071498244037E-2</v>
      </c>
      <c r="D53" s="237">
        <v>-8.1082083561948126E-2</v>
      </c>
      <c r="E53" s="206"/>
      <c r="F53" s="206"/>
      <c r="G53" s="237"/>
      <c r="H53" s="237"/>
      <c r="I53" s="237"/>
      <c r="J53" s="240"/>
      <c r="K53" s="237"/>
      <c r="L53" s="242"/>
      <c r="M53" s="206"/>
      <c r="N53" s="223"/>
    </row>
    <row r="54" spans="2:14" x14ac:dyDescent="0.2">
      <c r="B54" s="236">
        <v>37680</v>
      </c>
      <c r="C54" s="237">
        <v>-7.2571541857751262E-2</v>
      </c>
      <c r="D54" s="237">
        <v>-8.4368288687806992E-2</v>
      </c>
      <c r="E54" s="237"/>
      <c r="F54" s="241"/>
      <c r="G54" s="237"/>
      <c r="H54" s="237"/>
      <c r="I54" s="237"/>
      <c r="J54" s="240"/>
      <c r="K54" s="237"/>
      <c r="L54" s="242"/>
      <c r="M54" s="206"/>
      <c r="N54" s="223"/>
    </row>
    <row r="55" spans="2:14" x14ac:dyDescent="0.2">
      <c r="B55" s="236">
        <v>37711</v>
      </c>
      <c r="C55" s="237">
        <v>-7.1063686828130704E-2</v>
      </c>
      <c r="D55" s="237">
        <v>-8.3327589721909345E-2</v>
      </c>
      <c r="E55" s="237"/>
      <c r="F55" s="241"/>
      <c r="G55" s="237"/>
      <c r="H55" s="237"/>
      <c r="I55" s="237"/>
      <c r="J55" s="240"/>
      <c r="K55" s="237"/>
      <c r="L55" s="242"/>
      <c r="M55" s="206"/>
      <c r="N55" s="223"/>
    </row>
    <row r="56" spans="2:14" x14ac:dyDescent="0.2">
      <c r="B56" s="236">
        <v>37741</v>
      </c>
      <c r="C56" s="237">
        <v>-5.4954814205048427E-2</v>
      </c>
      <c r="D56" s="237">
        <v>-6.6895914983121973E-2</v>
      </c>
      <c r="E56" s="237"/>
      <c r="F56" s="241"/>
      <c r="G56" s="237"/>
      <c r="H56" s="237"/>
      <c r="I56" s="237"/>
      <c r="J56" s="240"/>
      <c r="K56" s="237"/>
      <c r="L56" s="242"/>
      <c r="M56" s="206"/>
      <c r="N56" s="223"/>
    </row>
    <row r="57" spans="2:14" x14ac:dyDescent="0.2">
      <c r="B57" s="236">
        <v>37772</v>
      </c>
      <c r="C57" s="237">
        <v>-5.1866752709012774E-2</v>
      </c>
      <c r="D57" s="237">
        <v>-6.3604430327384165E-2</v>
      </c>
      <c r="E57" s="237"/>
      <c r="F57" s="241"/>
      <c r="G57" s="237"/>
      <c r="H57" s="237"/>
      <c r="I57" s="237"/>
      <c r="J57" s="240"/>
      <c r="K57" s="237"/>
      <c r="L57" s="242"/>
      <c r="M57" s="206"/>
      <c r="N57" s="223"/>
    </row>
    <row r="58" spans="2:14" x14ac:dyDescent="0.2">
      <c r="B58" s="236">
        <v>37802</v>
      </c>
      <c r="C58" s="237">
        <v>-4.0726863641158295E-2</v>
      </c>
      <c r="D58" s="237">
        <v>-5.2157286858934504E-2</v>
      </c>
      <c r="E58" s="237"/>
      <c r="F58" s="241"/>
      <c r="G58" s="237"/>
      <c r="H58" s="237"/>
      <c r="I58" s="237"/>
      <c r="J58" s="240"/>
      <c r="K58" s="237"/>
      <c r="L58" s="242"/>
      <c r="M58" s="206"/>
      <c r="N58" s="223"/>
    </row>
    <row r="59" spans="2:14" x14ac:dyDescent="0.2">
      <c r="B59" s="236">
        <v>37833</v>
      </c>
      <c r="C59" s="237">
        <v>-3.2080109833262468E-2</v>
      </c>
      <c r="D59" s="237">
        <v>-4.3131071458743397E-2</v>
      </c>
      <c r="E59" s="237"/>
      <c r="F59" s="241"/>
      <c r="G59" s="237"/>
      <c r="H59" s="237"/>
      <c r="I59" s="237"/>
      <c r="J59" s="240"/>
      <c r="K59" s="237"/>
      <c r="L59" s="242"/>
      <c r="M59" s="206"/>
      <c r="N59" s="223"/>
    </row>
    <row r="60" spans="2:14" x14ac:dyDescent="0.2">
      <c r="B60" s="236">
        <v>37864</v>
      </c>
      <c r="C60" s="237">
        <v>-2.3525179201037201E-2</v>
      </c>
      <c r="D60" s="237">
        <v>-3.4524092565202391E-2</v>
      </c>
      <c r="E60" s="206"/>
      <c r="F60" s="241"/>
      <c r="G60" s="237"/>
      <c r="H60" s="237"/>
      <c r="I60" s="237"/>
      <c r="J60" s="240"/>
      <c r="K60" s="237"/>
      <c r="L60" s="242"/>
      <c r="M60" s="206"/>
      <c r="N60" s="223"/>
    </row>
    <row r="61" spans="2:14" x14ac:dyDescent="0.2">
      <c r="B61" s="236">
        <v>37894</v>
      </c>
      <c r="C61" s="237">
        <v>-3.3240878057555143E-2</v>
      </c>
      <c r="D61" s="237">
        <v>-4.4827020282767416E-2</v>
      </c>
      <c r="E61" s="237"/>
      <c r="F61" s="241"/>
      <c r="G61" s="237"/>
      <c r="H61" s="237"/>
      <c r="I61" s="237"/>
      <c r="J61" s="240"/>
      <c r="K61" s="237"/>
      <c r="L61" s="242"/>
      <c r="M61" s="206"/>
      <c r="N61" s="223"/>
    </row>
    <row r="62" spans="2:14" x14ac:dyDescent="0.2">
      <c r="B62" s="236">
        <v>37925</v>
      </c>
      <c r="C62" s="237">
        <v>-2.0371364102513268E-2</v>
      </c>
      <c r="D62" s="237">
        <v>-3.2079646012366569E-2</v>
      </c>
      <c r="E62" s="237"/>
      <c r="F62" s="241"/>
      <c r="G62" s="237"/>
      <c r="H62" s="237"/>
      <c r="I62" s="237"/>
      <c r="J62" s="240"/>
      <c r="K62" s="237"/>
      <c r="L62" s="242"/>
      <c r="M62" s="206"/>
      <c r="N62" s="223"/>
    </row>
    <row r="63" spans="2:14" x14ac:dyDescent="0.2">
      <c r="B63" s="236">
        <v>37955</v>
      </c>
      <c r="C63" s="237">
        <v>-2.0828327760144809E-2</v>
      </c>
      <c r="D63" s="237">
        <v>-3.2182176662197692E-2</v>
      </c>
      <c r="E63" s="237"/>
      <c r="F63" s="241"/>
      <c r="G63" s="237"/>
      <c r="H63" s="237"/>
      <c r="I63" s="237"/>
      <c r="J63" s="240"/>
      <c r="K63" s="237"/>
      <c r="L63" s="242"/>
      <c r="M63" s="206"/>
      <c r="N63" s="223"/>
    </row>
    <row r="64" spans="2:14" x14ac:dyDescent="0.2">
      <c r="B64" s="236">
        <v>37986</v>
      </c>
      <c r="C64" s="237">
        <v>-1.6626373368198985E-2</v>
      </c>
      <c r="D64" s="237">
        <v>-2.8072136451758656E-2</v>
      </c>
      <c r="E64" s="238">
        <v>3.0487141609191897E-2</v>
      </c>
      <c r="F64" s="241">
        <v>1.946856297105648E-2</v>
      </c>
      <c r="G64" s="237"/>
      <c r="H64" s="237"/>
      <c r="I64" s="237"/>
      <c r="J64" s="240"/>
      <c r="K64" s="237"/>
      <c r="L64" s="242"/>
      <c r="M64" s="206"/>
      <c r="N64" s="223"/>
    </row>
    <row r="65" spans="2:14" x14ac:dyDescent="0.2">
      <c r="B65" s="236">
        <v>38017</v>
      </c>
      <c r="C65" s="237">
        <v>-4.7650734584944116E-3</v>
      </c>
      <c r="D65" s="237">
        <v>-1.5971690400716887E-2</v>
      </c>
      <c r="E65" s="206"/>
      <c r="F65" s="206"/>
      <c r="G65" s="237"/>
      <c r="H65" s="237"/>
      <c r="I65" s="237"/>
      <c r="J65" s="240"/>
      <c r="K65" s="237"/>
      <c r="L65" s="242"/>
      <c r="M65" s="206"/>
      <c r="N65" s="223"/>
    </row>
    <row r="66" spans="2:14" x14ac:dyDescent="0.2">
      <c r="B66" s="236">
        <v>38046</v>
      </c>
      <c r="C66" s="237">
        <v>1.0376537058383413E-3</v>
      </c>
      <c r="D66" s="237">
        <v>-9.8531879500926012E-3</v>
      </c>
      <c r="E66" s="237"/>
      <c r="F66" s="241"/>
      <c r="G66" s="237"/>
      <c r="H66" s="237"/>
      <c r="I66" s="237"/>
      <c r="J66" s="240"/>
      <c r="K66" s="237"/>
      <c r="L66" s="242"/>
      <c r="M66" s="206"/>
      <c r="N66" s="223"/>
    </row>
    <row r="67" spans="2:14" x14ac:dyDescent="0.2">
      <c r="B67" s="236">
        <v>38077</v>
      </c>
      <c r="C67" s="237">
        <v>6.9231923160418716E-4</v>
      </c>
      <c r="D67" s="237">
        <v>-1.0917284193586507E-2</v>
      </c>
      <c r="E67" s="237"/>
      <c r="F67" s="241"/>
      <c r="G67" s="237"/>
      <c r="H67" s="237"/>
      <c r="I67" s="237"/>
      <c r="J67" s="240"/>
      <c r="K67" s="237"/>
      <c r="L67" s="242"/>
      <c r="M67" s="206"/>
      <c r="N67" s="223"/>
    </row>
    <row r="68" spans="2:14" x14ac:dyDescent="0.2">
      <c r="B68" s="236">
        <v>38107</v>
      </c>
      <c r="C68" s="237">
        <v>-5.9282198337367719E-4</v>
      </c>
      <c r="D68" s="237">
        <v>-1.2082717703069346E-2</v>
      </c>
      <c r="E68" s="237"/>
      <c r="F68" s="241"/>
      <c r="G68" s="237"/>
      <c r="H68" s="237"/>
      <c r="I68" s="237"/>
      <c r="J68" s="240"/>
      <c r="K68" s="237"/>
      <c r="L68" s="242"/>
      <c r="M68" s="206"/>
      <c r="N68" s="223"/>
    </row>
    <row r="69" spans="2:14" x14ac:dyDescent="0.2">
      <c r="B69" s="236">
        <v>38138</v>
      </c>
      <c r="C69" s="237">
        <v>-4.4633515740136499E-3</v>
      </c>
      <c r="D69" s="237">
        <v>-1.6072427072010176E-2</v>
      </c>
      <c r="E69" s="237"/>
      <c r="F69" s="241"/>
      <c r="G69" s="237"/>
      <c r="H69" s="237"/>
      <c r="I69" s="237"/>
      <c r="J69" s="240"/>
      <c r="K69" s="237"/>
      <c r="L69" s="242"/>
      <c r="M69" s="206"/>
      <c r="N69" s="223"/>
    </row>
    <row r="70" spans="2:14" x14ac:dyDescent="0.2">
      <c r="B70" s="236">
        <v>38168</v>
      </c>
      <c r="C70" s="237">
        <v>6.494845643696661E-4</v>
      </c>
      <c r="D70" s="237">
        <v>-1.0460542731541622E-2</v>
      </c>
      <c r="E70" s="237"/>
      <c r="F70" s="241"/>
      <c r="G70" s="237"/>
      <c r="H70" s="237"/>
      <c r="I70" s="237"/>
      <c r="J70" s="240"/>
      <c r="K70" s="237"/>
      <c r="L70" s="242"/>
      <c r="M70" s="206"/>
      <c r="N70" s="223"/>
    </row>
    <row r="71" spans="2:14" x14ac:dyDescent="0.2">
      <c r="B71" s="236">
        <v>38199</v>
      </c>
      <c r="C71" s="237">
        <v>-4.0807779733609889E-3</v>
      </c>
      <c r="D71" s="237">
        <v>-1.489083907696509E-2</v>
      </c>
      <c r="E71" s="237"/>
      <c r="F71" s="241"/>
      <c r="G71" s="237"/>
      <c r="H71" s="237"/>
      <c r="I71" s="237"/>
      <c r="J71" s="240"/>
      <c r="K71" s="237"/>
      <c r="L71" s="242"/>
      <c r="M71" s="206"/>
      <c r="N71" s="223"/>
    </row>
    <row r="72" spans="2:14" x14ac:dyDescent="0.2">
      <c r="B72" s="236">
        <v>38230</v>
      </c>
      <c r="C72" s="237">
        <v>-5.081345602871332E-3</v>
      </c>
      <c r="D72" s="237">
        <v>-1.5674661955586866E-2</v>
      </c>
      <c r="E72" s="206"/>
      <c r="F72" s="241"/>
      <c r="G72" s="237"/>
      <c r="H72" s="237"/>
      <c r="I72" s="237"/>
      <c r="J72" s="240"/>
      <c r="K72" s="237"/>
      <c r="L72" s="242"/>
      <c r="M72" s="206"/>
      <c r="N72" s="223"/>
    </row>
    <row r="73" spans="2:14" x14ac:dyDescent="0.2">
      <c r="B73" s="236">
        <v>38260</v>
      </c>
      <c r="C73" s="237">
        <v>-3.5102540217259244E-3</v>
      </c>
      <c r="D73" s="237">
        <v>-1.476524487914932E-2</v>
      </c>
      <c r="E73" s="237"/>
      <c r="F73" s="241"/>
      <c r="G73" s="237"/>
      <c r="H73" s="237"/>
      <c r="I73" s="237"/>
      <c r="J73" s="240"/>
      <c r="K73" s="237"/>
      <c r="L73" s="242"/>
      <c r="M73" s="206"/>
      <c r="N73" s="223"/>
    </row>
    <row r="74" spans="2:14" x14ac:dyDescent="0.2">
      <c r="B74" s="236">
        <v>38291</v>
      </c>
      <c r="C74" s="237">
        <v>-3.4181846243503907E-3</v>
      </c>
      <c r="D74" s="237">
        <v>-1.4868318328853047E-2</v>
      </c>
      <c r="E74" s="237"/>
      <c r="F74" s="241"/>
      <c r="G74" s="237"/>
      <c r="H74" s="237"/>
      <c r="I74" s="237"/>
      <c r="J74" s="240"/>
      <c r="K74" s="237"/>
      <c r="L74" s="242"/>
      <c r="M74" s="206"/>
      <c r="N74" s="223"/>
    </row>
    <row r="75" spans="2:14" x14ac:dyDescent="0.2">
      <c r="B75" s="236">
        <v>38321</v>
      </c>
      <c r="C75" s="237">
        <v>3.4493808749515471E-4</v>
      </c>
      <c r="D75" s="237">
        <v>-1.0471397953667361E-2</v>
      </c>
      <c r="E75" s="237"/>
      <c r="F75" s="241"/>
      <c r="G75" s="237"/>
      <c r="H75" s="237"/>
      <c r="I75" s="237"/>
      <c r="J75" s="240"/>
      <c r="K75" s="237"/>
      <c r="L75" s="242"/>
      <c r="M75" s="206"/>
      <c r="N75" s="223"/>
    </row>
    <row r="76" spans="2:14" x14ac:dyDescent="0.2">
      <c r="B76" s="236">
        <v>38352</v>
      </c>
      <c r="C76" s="237">
        <v>3.2363981008529663E-3</v>
      </c>
      <c r="D76" s="237">
        <v>-7.5207632668000679E-3</v>
      </c>
      <c r="E76" s="238">
        <v>2.9854731559753416E-2</v>
      </c>
      <c r="F76" s="241">
        <v>1.946168072920984E-2</v>
      </c>
      <c r="G76" s="237"/>
      <c r="H76" s="237"/>
      <c r="I76" s="237"/>
      <c r="J76" s="240"/>
      <c r="K76" s="237"/>
      <c r="L76" s="242"/>
      <c r="M76" s="206"/>
      <c r="N76" s="223"/>
    </row>
    <row r="77" spans="2:14" x14ac:dyDescent="0.2">
      <c r="B77" s="236">
        <v>38383</v>
      </c>
      <c r="C77" s="237">
        <v>1.0241518593147002E-2</v>
      </c>
      <c r="D77" s="237">
        <v>4.3491823343178027E-5</v>
      </c>
      <c r="E77" s="206"/>
      <c r="F77" s="206"/>
      <c r="G77" s="237"/>
      <c r="H77" s="237"/>
      <c r="I77" s="237"/>
      <c r="J77" s="240"/>
      <c r="K77" s="237"/>
      <c r="L77" s="242"/>
      <c r="M77" s="206"/>
      <c r="N77" s="223"/>
    </row>
    <row r="78" spans="2:14" x14ac:dyDescent="0.2">
      <c r="B78" s="236">
        <v>38411</v>
      </c>
      <c r="C78" s="237">
        <v>1.482239235496002E-2</v>
      </c>
      <c r="D78" s="237">
        <v>4.1942931763401248E-3</v>
      </c>
      <c r="E78" s="237"/>
      <c r="F78" s="241"/>
      <c r="G78" s="237"/>
      <c r="H78" s="237"/>
      <c r="I78" s="237"/>
      <c r="J78" s="240"/>
      <c r="K78" s="237"/>
      <c r="L78" s="242"/>
      <c r="M78" s="206"/>
      <c r="N78" s="223"/>
    </row>
    <row r="79" spans="2:14" x14ac:dyDescent="0.2">
      <c r="B79" s="236">
        <v>38442</v>
      </c>
      <c r="C79" s="237">
        <v>1.4477044854297232E-2</v>
      </c>
      <c r="D79" s="237">
        <v>3.7261994448885005E-3</v>
      </c>
      <c r="E79" s="237"/>
      <c r="F79" s="241"/>
      <c r="G79" s="237"/>
      <c r="H79" s="237"/>
      <c r="I79" s="237"/>
      <c r="J79" s="240"/>
      <c r="K79" s="237"/>
      <c r="L79" s="242"/>
      <c r="M79" s="206"/>
      <c r="N79" s="223"/>
    </row>
    <row r="80" spans="2:14" x14ac:dyDescent="0.2">
      <c r="B80" s="236">
        <v>38472</v>
      </c>
      <c r="C80" s="237">
        <v>1.2525283838135183E-2</v>
      </c>
      <c r="D80" s="237">
        <v>1.741840457652799E-3</v>
      </c>
      <c r="E80" s="237"/>
      <c r="F80" s="241"/>
      <c r="G80" s="237"/>
      <c r="H80" s="237"/>
      <c r="I80" s="237"/>
      <c r="J80" s="240"/>
      <c r="K80" s="237"/>
      <c r="L80" s="242"/>
      <c r="M80" s="206"/>
      <c r="N80" s="223"/>
    </row>
    <row r="81" spans="2:14" x14ac:dyDescent="0.2">
      <c r="B81" s="236">
        <v>38503</v>
      </c>
      <c r="C81" s="237">
        <v>2.2922137451328074E-2</v>
      </c>
      <c r="D81" s="237">
        <v>1.2080834781232008E-2</v>
      </c>
      <c r="E81" s="237"/>
      <c r="F81" s="241"/>
      <c r="G81" s="237"/>
      <c r="H81" s="237"/>
      <c r="I81" s="237"/>
      <c r="J81" s="240"/>
      <c r="K81" s="237"/>
      <c r="L81" s="242"/>
      <c r="M81" s="206"/>
      <c r="N81" s="223"/>
    </row>
    <row r="82" spans="2:14" x14ac:dyDescent="0.2">
      <c r="B82" s="236">
        <v>38533</v>
      </c>
      <c r="C82" s="237">
        <v>3.1608211033280577E-2</v>
      </c>
      <c r="D82" s="237">
        <v>2.0727322154043826E-2</v>
      </c>
      <c r="E82" s="237"/>
      <c r="F82" s="241"/>
      <c r="G82" s="237"/>
      <c r="H82" s="237"/>
      <c r="I82" s="237"/>
      <c r="J82" s="240"/>
      <c r="K82" s="237"/>
      <c r="L82" s="242"/>
      <c r="M82" s="206"/>
      <c r="N82" s="223"/>
    </row>
    <row r="83" spans="2:14" x14ac:dyDescent="0.2">
      <c r="B83" s="236">
        <v>38564</v>
      </c>
      <c r="C83" s="237">
        <v>3.7373515279066051E-2</v>
      </c>
      <c r="D83" s="237">
        <v>2.6871026698744638E-2</v>
      </c>
      <c r="E83" s="237"/>
      <c r="F83" s="241"/>
      <c r="G83" s="237"/>
      <c r="H83" s="237"/>
      <c r="I83" s="237"/>
      <c r="J83" s="240"/>
      <c r="K83" s="237"/>
      <c r="L83" s="242"/>
      <c r="M83" s="206"/>
      <c r="N83" s="223"/>
    </row>
    <row r="84" spans="2:14" x14ac:dyDescent="0.2">
      <c r="B84" s="236">
        <v>38595</v>
      </c>
      <c r="C84" s="237">
        <v>3.4547599092232276E-2</v>
      </c>
      <c r="D84" s="237">
        <v>2.3982048101524711E-2</v>
      </c>
      <c r="E84" s="206"/>
      <c r="F84" s="241"/>
      <c r="G84" s="237"/>
      <c r="H84" s="237"/>
      <c r="I84" s="237"/>
      <c r="J84" s="240"/>
      <c r="K84" s="237"/>
      <c r="L84" s="242"/>
      <c r="M84" s="206"/>
      <c r="N84" s="223"/>
    </row>
    <row r="85" spans="2:14" x14ac:dyDescent="0.2">
      <c r="B85" s="236">
        <v>38625</v>
      </c>
      <c r="C85" s="237">
        <v>4.2610079736795259E-2</v>
      </c>
      <c r="D85" s="237">
        <v>3.1351522851562619E-2</v>
      </c>
      <c r="E85" s="237"/>
      <c r="F85" s="241"/>
      <c r="G85" s="237"/>
      <c r="H85" s="237"/>
      <c r="I85" s="237"/>
      <c r="J85" s="240"/>
      <c r="K85" s="242"/>
      <c r="L85" s="242"/>
      <c r="M85" s="56"/>
    </row>
    <row r="86" spans="2:14" x14ac:dyDescent="0.2">
      <c r="B86" s="236">
        <v>38656</v>
      </c>
      <c r="C86" s="237">
        <v>3.9599620455029606E-2</v>
      </c>
      <c r="D86" s="237">
        <v>2.8289954554848729E-2</v>
      </c>
      <c r="E86" s="237"/>
      <c r="F86" s="241"/>
      <c r="G86" s="237"/>
      <c r="H86" s="237"/>
      <c r="I86" s="237"/>
      <c r="J86" s="240"/>
      <c r="K86" s="242"/>
      <c r="L86" s="242"/>
      <c r="M86" s="56"/>
    </row>
    <row r="87" spans="2:14" x14ac:dyDescent="0.2">
      <c r="B87" s="236">
        <v>38686</v>
      </c>
      <c r="C87" s="237">
        <v>4.7240474686750543E-2</v>
      </c>
      <c r="D87" s="237">
        <v>3.6174714678961495E-2</v>
      </c>
      <c r="E87" s="237"/>
      <c r="F87" s="241"/>
      <c r="G87" s="237"/>
      <c r="H87" s="237"/>
      <c r="I87" s="237"/>
      <c r="J87" s="240"/>
      <c r="K87" s="242"/>
      <c r="L87" s="242"/>
      <c r="M87" s="56"/>
    </row>
    <row r="88" spans="2:14" x14ac:dyDescent="0.2">
      <c r="B88" s="236">
        <v>38717</v>
      </c>
      <c r="C88" s="237">
        <v>5.0999656319618225E-2</v>
      </c>
      <c r="D88" s="237">
        <v>3.9969120847023198E-2</v>
      </c>
      <c r="E88" s="238">
        <v>2.9321951866149901E-2</v>
      </c>
      <c r="F88" s="241">
        <v>1.8905712826249532E-2</v>
      </c>
      <c r="G88" s="237"/>
      <c r="H88" s="237"/>
      <c r="I88" s="237"/>
      <c r="J88" s="240"/>
      <c r="K88" s="242"/>
      <c r="L88" s="242"/>
      <c r="M88" s="56"/>
    </row>
    <row r="89" spans="2:14" x14ac:dyDescent="0.2">
      <c r="B89" s="236">
        <v>38748</v>
      </c>
      <c r="C89" s="237">
        <v>5.0136571265158199E-2</v>
      </c>
      <c r="D89" s="237">
        <v>3.9924696157996209E-2</v>
      </c>
      <c r="E89" s="206"/>
      <c r="F89" s="206"/>
      <c r="G89" s="237"/>
      <c r="H89" s="237"/>
      <c r="I89" s="237"/>
      <c r="J89" s="240"/>
      <c r="K89" s="242"/>
      <c r="L89" s="242"/>
      <c r="M89" s="56"/>
    </row>
    <row r="90" spans="2:14" x14ac:dyDescent="0.2">
      <c r="B90" s="236">
        <v>38776</v>
      </c>
      <c r="C90" s="237">
        <v>5.6744259739211399E-2</v>
      </c>
      <c r="D90" s="237">
        <v>4.6057149056302427E-2</v>
      </c>
      <c r="E90" s="238"/>
      <c r="F90" s="241"/>
      <c r="G90" s="237"/>
      <c r="H90" s="237"/>
      <c r="I90" s="237"/>
      <c r="J90" s="240"/>
      <c r="K90" s="242"/>
      <c r="L90" s="242"/>
      <c r="M90" s="56"/>
    </row>
    <row r="91" spans="2:14" x14ac:dyDescent="0.2">
      <c r="B91" s="236">
        <v>38807</v>
      </c>
      <c r="C91" s="237">
        <v>5.9380883833274292E-2</v>
      </c>
      <c r="D91" s="237">
        <v>4.8141964784657709E-2</v>
      </c>
      <c r="E91" s="206"/>
      <c r="F91" s="241"/>
      <c r="G91" s="237"/>
      <c r="H91" s="237"/>
      <c r="I91" s="237"/>
      <c r="J91" s="240"/>
      <c r="K91" s="242"/>
      <c r="L91" s="242"/>
      <c r="M91" s="56"/>
    </row>
    <row r="92" spans="2:14" x14ac:dyDescent="0.2">
      <c r="B92" s="236">
        <v>38837</v>
      </c>
      <c r="C92" s="237">
        <v>5.7893895207078321E-2</v>
      </c>
      <c r="D92" s="237">
        <v>4.6268814703733341E-2</v>
      </c>
      <c r="E92" s="237"/>
      <c r="F92" s="241"/>
      <c r="G92" s="237"/>
      <c r="H92" s="237"/>
      <c r="I92" s="237"/>
      <c r="J92" s="240"/>
      <c r="K92" s="242"/>
      <c r="L92" s="242"/>
      <c r="M92" s="56"/>
    </row>
    <row r="93" spans="2:14" x14ac:dyDescent="0.2">
      <c r="B93" s="236">
        <v>38868</v>
      </c>
      <c r="C93" s="237">
        <v>4.3999999999999997E-2</v>
      </c>
      <c r="D93" s="237">
        <v>3.2266482805877184E-2</v>
      </c>
      <c r="E93" s="237"/>
      <c r="F93" s="241"/>
      <c r="G93" s="237"/>
      <c r="H93" s="237"/>
      <c r="I93" s="237"/>
      <c r="J93" s="240"/>
      <c r="K93" s="242"/>
      <c r="L93" s="242"/>
      <c r="M93" s="56"/>
    </row>
    <row r="94" spans="2:14" x14ac:dyDescent="0.2">
      <c r="B94" s="236">
        <v>38898</v>
      </c>
      <c r="C94" s="237">
        <v>4.3799999999999999E-2</v>
      </c>
      <c r="D94" s="237">
        <v>3.2376415782498835E-2</v>
      </c>
      <c r="E94" s="237"/>
      <c r="F94" s="241"/>
      <c r="G94" s="237"/>
      <c r="H94" s="237"/>
      <c r="I94" s="237"/>
      <c r="J94" s="240"/>
      <c r="K94" s="242"/>
      <c r="L94" s="242"/>
      <c r="M94" s="56"/>
    </row>
    <row r="95" spans="2:14" x14ac:dyDescent="0.2">
      <c r="B95" s="236">
        <v>38929</v>
      </c>
      <c r="C95" s="237">
        <v>4.359794932972591E-2</v>
      </c>
      <c r="D95" s="237">
        <v>3.2415263728103216E-2</v>
      </c>
      <c r="E95" s="237"/>
      <c r="F95" s="241"/>
      <c r="G95" s="237"/>
      <c r="H95" s="237"/>
      <c r="I95" s="237"/>
      <c r="J95" s="240"/>
      <c r="K95" s="242"/>
      <c r="L95" s="242"/>
      <c r="M95" s="56"/>
    </row>
    <row r="96" spans="2:14" x14ac:dyDescent="0.2">
      <c r="B96" s="236">
        <v>38960</v>
      </c>
      <c r="C96" s="237">
        <v>4.7822286996518748E-2</v>
      </c>
      <c r="D96" s="237">
        <v>3.6615016583132709E-2</v>
      </c>
      <c r="E96" s="237"/>
      <c r="F96" s="241"/>
      <c r="G96" s="237"/>
      <c r="H96" s="237"/>
      <c r="I96" s="237"/>
      <c r="J96" s="240"/>
      <c r="K96" s="242"/>
      <c r="L96" s="242"/>
      <c r="M96" s="56"/>
    </row>
    <row r="97" spans="2:13" x14ac:dyDescent="0.2">
      <c r="B97" s="236">
        <v>38990</v>
      </c>
      <c r="C97" s="237">
        <v>5.1760927419626929E-2</v>
      </c>
      <c r="D97" s="237">
        <v>4.0069293877977863E-2</v>
      </c>
      <c r="E97" s="237"/>
      <c r="F97" s="241"/>
      <c r="G97" s="237"/>
      <c r="H97" s="237"/>
      <c r="I97" s="237"/>
      <c r="J97" s="240"/>
      <c r="K97" s="242"/>
      <c r="L97" s="242"/>
      <c r="M97" s="56"/>
    </row>
    <row r="98" spans="2:13" x14ac:dyDescent="0.2">
      <c r="B98" s="236">
        <v>39021</v>
      </c>
      <c r="C98" s="237">
        <v>5.5149368696020322E-2</v>
      </c>
      <c r="D98" s="237">
        <v>4.3494004748145132E-2</v>
      </c>
      <c r="E98" s="237"/>
      <c r="F98" s="241"/>
      <c r="G98" s="237"/>
      <c r="H98" s="237"/>
      <c r="I98" s="237"/>
      <c r="J98" s="240"/>
      <c r="K98" s="242"/>
      <c r="L98" s="242"/>
      <c r="M98" s="56"/>
    </row>
    <row r="99" spans="2:13" x14ac:dyDescent="0.2">
      <c r="B99" s="236">
        <v>39051</v>
      </c>
      <c r="C99" s="237">
        <v>5.3271803275811547E-2</v>
      </c>
      <c r="D99" s="237">
        <v>4.1607747360923319E-2</v>
      </c>
      <c r="E99" s="240"/>
      <c r="F99" s="241"/>
      <c r="G99" s="237"/>
      <c r="H99" s="237"/>
      <c r="I99" s="237"/>
      <c r="J99" s="240"/>
      <c r="K99" s="242"/>
      <c r="L99" s="242"/>
      <c r="M99" s="56"/>
    </row>
    <row r="100" spans="2:13" x14ac:dyDescent="0.2">
      <c r="B100" s="236">
        <v>39082</v>
      </c>
      <c r="C100" s="237">
        <v>5.8835127949714669E-2</v>
      </c>
      <c r="D100" s="237">
        <v>4.7248204632641677E-2</v>
      </c>
      <c r="E100" s="237">
        <v>2.8684389648437503E-2</v>
      </c>
      <c r="F100" s="241">
        <v>1.8187786090944069E-2</v>
      </c>
      <c r="G100" s="237"/>
      <c r="H100" s="237"/>
      <c r="I100" s="237"/>
      <c r="J100" s="240"/>
      <c r="K100" s="242"/>
      <c r="L100" s="242"/>
      <c r="M100" s="56"/>
    </row>
    <row r="101" spans="2:13" x14ac:dyDescent="0.2">
      <c r="B101" s="243">
        <v>39113</v>
      </c>
      <c r="C101" s="237">
        <v>6.2E-2</v>
      </c>
      <c r="D101" s="237">
        <v>5.0643140205407722E-2</v>
      </c>
      <c r="E101" s="206"/>
      <c r="F101" s="206"/>
      <c r="G101" s="237"/>
      <c r="H101" s="237"/>
      <c r="I101" s="237"/>
      <c r="J101" s="240"/>
      <c r="K101" s="242"/>
      <c r="L101" s="242"/>
      <c r="M101" s="56"/>
    </row>
    <row r="102" spans="2:13" x14ac:dyDescent="0.2">
      <c r="B102" s="236">
        <v>39141</v>
      </c>
      <c r="C102" s="237">
        <v>6.0193528731770071E-2</v>
      </c>
      <c r="D102" s="237">
        <v>4.8689985855187246E-2</v>
      </c>
      <c r="E102" s="240"/>
      <c r="F102" s="241"/>
      <c r="G102" s="237"/>
      <c r="H102" s="237"/>
      <c r="I102" s="237"/>
      <c r="J102" s="240"/>
      <c r="K102" s="242"/>
      <c r="L102" s="242"/>
      <c r="M102" s="56"/>
    </row>
    <row r="103" spans="2:13" x14ac:dyDescent="0.2">
      <c r="B103" s="236">
        <v>39172</v>
      </c>
      <c r="C103" s="238">
        <v>6.4564324830753222E-2</v>
      </c>
      <c r="D103" s="237">
        <v>5.2522620695754307E-2</v>
      </c>
      <c r="E103" s="240"/>
      <c r="F103" s="241"/>
      <c r="G103" s="237"/>
      <c r="H103" s="237"/>
      <c r="I103" s="237"/>
      <c r="J103" s="240"/>
      <c r="K103" s="242"/>
      <c r="L103" s="242"/>
      <c r="M103" s="56"/>
    </row>
    <row r="104" spans="2:13" x14ac:dyDescent="0.2">
      <c r="B104" s="236">
        <v>39202</v>
      </c>
      <c r="C104" s="237">
        <v>6.7463896782851265E-2</v>
      </c>
      <c r="D104" s="237">
        <v>5.5033553075613639E-2</v>
      </c>
      <c r="E104" s="206"/>
      <c r="F104" s="241"/>
      <c r="G104" s="237"/>
      <c r="H104" s="237"/>
      <c r="I104" s="237"/>
      <c r="J104" s="240"/>
      <c r="K104" s="242"/>
      <c r="L104" s="242"/>
      <c r="M104" s="56"/>
    </row>
    <row r="105" spans="2:13" x14ac:dyDescent="0.2">
      <c r="B105" s="236">
        <v>39233</v>
      </c>
      <c r="C105" s="237">
        <v>7.2349404324642028E-2</v>
      </c>
      <c r="D105" s="237">
        <v>6.0039238342899148E-2</v>
      </c>
      <c r="E105" s="206"/>
      <c r="F105" s="241"/>
      <c r="G105" s="237"/>
      <c r="H105" s="237"/>
      <c r="I105" s="237"/>
      <c r="J105" s="240"/>
      <c r="K105" s="242"/>
      <c r="L105" s="242"/>
      <c r="M105" s="56"/>
    </row>
    <row r="106" spans="2:13" x14ac:dyDescent="0.2">
      <c r="B106" s="236">
        <v>39263</v>
      </c>
      <c r="C106" s="238">
        <v>7.0343827295215947E-2</v>
      </c>
      <c r="D106" s="237">
        <v>5.8000055826007646E-2</v>
      </c>
      <c r="E106" s="206"/>
      <c r="F106" s="241"/>
      <c r="G106" s="237"/>
      <c r="H106" s="237"/>
      <c r="I106" s="237"/>
      <c r="J106" s="240"/>
      <c r="K106" s="242"/>
      <c r="L106" s="242"/>
      <c r="M106" s="56"/>
    </row>
    <row r="107" spans="2:13" x14ac:dyDescent="0.2">
      <c r="B107" s="236">
        <v>39294</v>
      </c>
      <c r="C107" s="238">
        <v>6.7299999999999999E-2</v>
      </c>
      <c r="D107" s="237">
        <v>5.5202713208013732E-2</v>
      </c>
      <c r="E107" s="206"/>
      <c r="F107" s="241"/>
      <c r="G107" s="237"/>
      <c r="H107" s="237"/>
      <c r="I107" s="237"/>
      <c r="J107" s="240"/>
      <c r="K107" s="242"/>
      <c r="L107" s="242"/>
      <c r="M107" s="56"/>
    </row>
    <row r="108" spans="2:13" x14ac:dyDescent="0.2">
      <c r="B108" s="236">
        <v>39325</v>
      </c>
      <c r="C108" s="237">
        <v>6.5489151248442859E-2</v>
      </c>
      <c r="D108" s="237">
        <v>5.3521367869992176E-2</v>
      </c>
      <c r="E108" s="206"/>
      <c r="F108" s="241"/>
      <c r="G108" s="237"/>
      <c r="H108" s="237"/>
      <c r="I108" s="237"/>
      <c r="J108" s="240"/>
      <c r="K108" s="242"/>
      <c r="L108" s="242"/>
      <c r="M108" s="56"/>
    </row>
    <row r="109" spans="2:13" x14ac:dyDescent="0.2">
      <c r="B109" s="236">
        <v>39353</v>
      </c>
      <c r="C109" s="237">
        <v>6.5394162553259028E-2</v>
      </c>
      <c r="D109" s="237">
        <v>5.2674689687163712E-2</v>
      </c>
      <c r="E109" s="206"/>
      <c r="F109" s="241"/>
      <c r="G109" s="206"/>
      <c r="H109" s="237"/>
      <c r="I109" s="206"/>
      <c r="J109" s="240"/>
      <c r="K109" s="242"/>
      <c r="L109" s="242"/>
      <c r="M109" s="56"/>
    </row>
    <row r="110" spans="2:13" x14ac:dyDescent="0.2">
      <c r="B110" s="236">
        <v>39386</v>
      </c>
      <c r="C110" s="237">
        <v>6.6821058285115434E-2</v>
      </c>
      <c r="D110" s="237">
        <v>5.3727785198714129E-2</v>
      </c>
      <c r="E110" s="206"/>
      <c r="F110" s="241"/>
      <c r="G110" s="206"/>
      <c r="H110" s="237"/>
      <c r="I110" s="206"/>
      <c r="J110" s="240"/>
      <c r="K110" s="242"/>
      <c r="L110" s="242"/>
      <c r="M110" s="56"/>
    </row>
    <row r="111" spans="2:13" x14ac:dyDescent="0.2">
      <c r="B111" s="236">
        <v>39416</v>
      </c>
      <c r="C111" s="237">
        <v>5.9590164348598797E-2</v>
      </c>
      <c r="D111" s="237">
        <v>4.6141160304356443E-2</v>
      </c>
      <c r="E111" s="206"/>
      <c r="F111" s="241"/>
      <c r="G111" s="206"/>
      <c r="H111" s="237"/>
      <c r="I111" s="206"/>
      <c r="J111" s="240"/>
      <c r="K111" s="242"/>
      <c r="L111" s="242"/>
      <c r="M111" s="56"/>
    </row>
    <row r="112" spans="2:13" x14ac:dyDescent="0.2">
      <c r="B112" s="236">
        <v>39447</v>
      </c>
      <c r="C112" s="237">
        <v>5.781260430812836E-2</v>
      </c>
      <c r="D112" s="237">
        <v>4.4545527707018584E-2</v>
      </c>
      <c r="E112" s="238">
        <v>3.0921567382812501E-2</v>
      </c>
      <c r="F112" s="241">
        <v>1.7944317787332631E-2</v>
      </c>
      <c r="G112" s="206"/>
      <c r="H112" s="237"/>
      <c r="I112" s="206"/>
      <c r="J112" s="240"/>
      <c r="K112" s="242"/>
      <c r="L112" s="242"/>
      <c r="M112" s="56"/>
    </row>
    <row r="113" spans="2:13" x14ac:dyDescent="0.2">
      <c r="B113" s="236">
        <v>39478</v>
      </c>
      <c r="C113" s="238">
        <v>3.8598902509140144E-2</v>
      </c>
      <c r="D113" s="237">
        <v>2.6024271859803161E-2</v>
      </c>
      <c r="E113" s="206"/>
      <c r="F113" s="241"/>
      <c r="G113" s="206"/>
      <c r="H113" s="237"/>
      <c r="I113" s="206"/>
      <c r="J113" s="240"/>
      <c r="K113" s="242"/>
      <c r="L113" s="242"/>
      <c r="M113" s="56"/>
    </row>
    <row r="114" spans="2:13" x14ac:dyDescent="0.2">
      <c r="B114" s="236">
        <v>39507</v>
      </c>
      <c r="C114" s="238">
        <v>4.0303905909068509E-2</v>
      </c>
      <c r="D114" s="237">
        <v>2.7461672860831232E-2</v>
      </c>
      <c r="E114" s="206"/>
      <c r="F114" s="241"/>
      <c r="G114" s="206"/>
      <c r="H114" s="237"/>
      <c r="I114" s="206"/>
      <c r="J114" s="240"/>
      <c r="K114" s="242"/>
      <c r="L114" s="242"/>
      <c r="M114" s="56"/>
    </row>
    <row r="115" spans="2:13" x14ac:dyDescent="0.2">
      <c r="B115" s="236">
        <v>39538</v>
      </c>
      <c r="C115" s="238">
        <v>3.244250437241801E-2</v>
      </c>
      <c r="D115" s="237">
        <v>1.9037555292700015E-2</v>
      </c>
      <c r="E115" s="206"/>
      <c r="F115" s="241"/>
      <c r="G115" s="206"/>
      <c r="H115" s="237"/>
      <c r="I115" s="206"/>
      <c r="J115" s="240"/>
      <c r="K115" s="242"/>
      <c r="L115" s="242"/>
      <c r="M115" s="56"/>
    </row>
    <row r="116" spans="2:13" x14ac:dyDescent="0.2">
      <c r="B116" s="236">
        <v>39568</v>
      </c>
      <c r="C116" s="238">
        <v>3.9764054710611244E-2</v>
      </c>
      <c r="D116" s="237">
        <v>2.6007256561989545E-2</v>
      </c>
      <c r="E116" s="206"/>
      <c r="F116" s="241"/>
      <c r="G116" s="206"/>
      <c r="H116" s="237"/>
      <c r="I116" s="206"/>
      <c r="J116" s="240"/>
      <c r="K116" s="242"/>
      <c r="L116" s="242"/>
      <c r="M116" s="56"/>
    </row>
    <row r="117" spans="2:13" x14ac:dyDescent="0.2">
      <c r="B117" s="236">
        <v>39599</v>
      </c>
      <c r="C117" s="238">
        <v>4.2500000000000003E-2</v>
      </c>
      <c r="D117" s="237">
        <v>2.8487882226032157E-2</v>
      </c>
      <c r="E117" s="206"/>
      <c r="F117" s="241"/>
      <c r="G117" s="206"/>
      <c r="H117" s="237"/>
      <c r="I117" s="206"/>
      <c r="J117" s="240"/>
      <c r="K117" s="242"/>
      <c r="L117" s="242"/>
      <c r="M117" s="56"/>
    </row>
    <row r="118" spans="2:13" x14ac:dyDescent="0.2">
      <c r="B118" s="236">
        <v>39629</v>
      </c>
      <c r="C118" s="237">
        <v>2.7672873595805437E-2</v>
      </c>
      <c r="D118" s="237">
        <v>1.358501620340391E-2</v>
      </c>
      <c r="E118" s="206"/>
      <c r="F118" s="241"/>
      <c r="G118" s="206"/>
      <c r="H118" s="237"/>
      <c r="I118" s="206"/>
      <c r="J118" s="240"/>
      <c r="K118" s="242"/>
      <c r="L118" s="242"/>
      <c r="M118" s="56"/>
    </row>
    <row r="119" spans="2:13" x14ac:dyDescent="0.2">
      <c r="B119" s="236">
        <v>39660</v>
      </c>
      <c r="C119" s="237">
        <v>2.5698025510801501E-2</v>
      </c>
      <c r="D119" s="237">
        <v>1.1878917786482424E-2</v>
      </c>
      <c r="E119" s="206"/>
      <c r="F119" s="241"/>
      <c r="G119" s="206"/>
      <c r="H119" s="237"/>
      <c r="I119" s="206"/>
      <c r="J119" s="240"/>
      <c r="K119" s="242"/>
      <c r="L119" s="242"/>
      <c r="M119" s="56"/>
    </row>
    <row r="120" spans="2:13" x14ac:dyDescent="0.2">
      <c r="B120" s="236">
        <v>39691</v>
      </c>
      <c r="C120" s="237">
        <v>2.7445335039780076E-2</v>
      </c>
      <c r="D120" s="237">
        <v>1.3558157509492297E-2</v>
      </c>
      <c r="E120" s="206"/>
      <c r="F120" s="241"/>
      <c r="G120" s="206"/>
      <c r="H120" s="237"/>
      <c r="I120" s="206"/>
      <c r="J120" s="240"/>
      <c r="K120" s="242"/>
      <c r="L120" s="242"/>
      <c r="M120" s="56"/>
    </row>
    <row r="121" spans="2:13" x14ac:dyDescent="0.2">
      <c r="B121" s="236">
        <v>39721</v>
      </c>
      <c r="C121" s="237">
        <v>1.250261342755922E-2</v>
      </c>
      <c r="D121" s="237">
        <v>-1.8499898710262475E-3</v>
      </c>
      <c r="E121" s="206"/>
      <c r="F121" s="241"/>
      <c r="G121" s="206"/>
      <c r="H121" s="237"/>
      <c r="I121" s="206"/>
      <c r="J121" s="240"/>
      <c r="K121" s="242"/>
      <c r="L121" s="242"/>
      <c r="M121" s="56"/>
    </row>
    <row r="122" spans="2:13" x14ac:dyDescent="0.2">
      <c r="B122" s="236">
        <v>39752</v>
      </c>
      <c r="C122" s="237">
        <v>-7.5383875148255456E-3</v>
      </c>
      <c r="D122" s="237">
        <v>-2.1634276779328276E-2</v>
      </c>
      <c r="E122" s="206"/>
      <c r="F122" s="241"/>
      <c r="G122" s="206"/>
      <c r="H122" s="237"/>
      <c r="I122" s="206"/>
      <c r="J122" s="240"/>
      <c r="K122" s="242"/>
      <c r="L122" s="242"/>
      <c r="M122" s="56"/>
    </row>
    <row r="123" spans="2:13" x14ac:dyDescent="0.2">
      <c r="B123" s="236">
        <v>39782</v>
      </c>
      <c r="C123" s="237">
        <v>-1.1504305720920358E-2</v>
      </c>
      <c r="D123" s="237">
        <v>-2.4876939720925084E-2</v>
      </c>
      <c r="E123" s="206"/>
      <c r="F123" s="241"/>
      <c r="G123" s="206"/>
      <c r="H123" s="237"/>
      <c r="I123" s="206"/>
      <c r="J123" s="240"/>
      <c r="K123" s="242"/>
      <c r="L123" s="242"/>
      <c r="M123" s="56"/>
    </row>
    <row r="124" spans="2:13" x14ac:dyDescent="0.2">
      <c r="B124" s="236">
        <v>39813</v>
      </c>
      <c r="C124" s="237">
        <v>-7.8772533498704424E-3</v>
      </c>
      <c r="D124" s="237">
        <v>-2.0525774681651843E-2</v>
      </c>
      <c r="E124" s="238">
        <v>3.5105043945312511E-2</v>
      </c>
      <c r="F124" s="241">
        <v>2.2184246086472958E-2</v>
      </c>
      <c r="G124" s="206"/>
      <c r="H124" s="237"/>
      <c r="I124" s="206"/>
      <c r="J124" s="240"/>
      <c r="K124" s="242"/>
      <c r="L124" s="242"/>
      <c r="M124" s="56"/>
    </row>
    <row r="125" spans="2:13" x14ac:dyDescent="0.2">
      <c r="B125" s="236">
        <v>39844</v>
      </c>
      <c r="C125" s="237">
        <v>-1.0905817471719459E-2</v>
      </c>
      <c r="D125" s="237">
        <v>-2.2917707176761448E-2</v>
      </c>
      <c r="E125" s="206"/>
      <c r="F125" s="241"/>
      <c r="G125" s="206"/>
      <c r="H125" s="237"/>
      <c r="I125" s="206"/>
      <c r="J125" s="240"/>
      <c r="K125" s="242"/>
      <c r="L125" s="242"/>
      <c r="M125" s="56"/>
    </row>
    <row r="126" spans="2:13" x14ac:dyDescent="0.2">
      <c r="B126" s="236">
        <v>39872</v>
      </c>
      <c r="C126" s="237">
        <v>-1.1421187647476256E-2</v>
      </c>
      <c r="D126" s="237">
        <v>-2.3372180736469406E-2</v>
      </c>
      <c r="E126" s="206"/>
      <c r="F126" s="241"/>
      <c r="G126" s="206"/>
      <c r="H126" s="237"/>
      <c r="I126" s="206"/>
      <c r="J126" s="240"/>
      <c r="K126" s="242"/>
      <c r="L126" s="242"/>
      <c r="M126" s="56"/>
    </row>
    <row r="127" spans="2:13" x14ac:dyDescent="0.2">
      <c r="B127" s="236">
        <v>39903</v>
      </c>
      <c r="C127" s="237">
        <v>-1.1433679364785697E-2</v>
      </c>
      <c r="D127" s="237">
        <v>-2.3511776323394629E-2</v>
      </c>
      <c r="E127" s="206"/>
      <c r="F127" s="241"/>
      <c r="G127" s="206"/>
      <c r="H127" s="237"/>
      <c r="I127" s="206"/>
      <c r="J127" s="240"/>
      <c r="K127" s="242"/>
      <c r="L127" s="242"/>
      <c r="M127" s="56"/>
    </row>
    <row r="128" spans="2:13" x14ac:dyDescent="0.2">
      <c r="B128" s="236">
        <v>39933</v>
      </c>
      <c r="C128" s="237">
        <v>5.8475468159503363E-3</v>
      </c>
      <c r="D128" s="237">
        <v>-6.4777286344437357E-3</v>
      </c>
      <c r="E128" s="206"/>
      <c r="F128" s="241"/>
      <c r="G128" s="206"/>
      <c r="H128" s="237"/>
      <c r="I128" s="206"/>
      <c r="J128" s="240"/>
      <c r="K128" s="242"/>
      <c r="L128" s="242"/>
      <c r="M128" s="56"/>
    </row>
    <row r="129" spans="2:13" x14ac:dyDescent="0.2">
      <c r="B129" s="236">
        <v>39964</v>
      </c>
      <c r="C129" s="237">
        <v>1.1170524943810163E-2</v>
      </c>
      <c r="D129" s="237">
        <v>-1.1924484536891544E-3</v>
      </c>
      <c r="E129" s="206"/>
      <c r="F129" s="241"/>
      <c r="G129" s="206"/>
      <c r="H129" s="237"/>
      <c r="I129" s="206"/>
      <c r="J129" s="240"/>
      <c r="K129" s="242"/>
      <c r="L129" s="242"/>
      <c r="M129" s="56"/>
    </row>
    <row r="130" spans="2:13" x14ac:dyDescent="0.2">
      <c r="B130" s="236">
        <v>39994</v>
      </c>
      <c r="C130" s="237">
        <v>1.3029093251482361E-2</v>
      </c>
      <c r="D130" s="237">
        <v>5.473128672552896E-4</v>
      </c>
      <c r="E130" s="206"/>
      <c r="F130" s="241"/>
      <c r="G130" s="206"/>
      <c r="H130" s="237"/>
      <c r="I130" s="206"/>
      <c r="J130" s="240"/>
      <c r="K130" s="242"/>
      <c r="L130" s="242"/>
      <c r="M130" s="56"/>
    </row>
    <row r="131" spans="2:13" x14ac:dyDescent="0.2">
      <c r="B131" s="236">
        <v>40025</v>
      </c>
      <c r="C131" s="237">
        <v>1.8901288726589967E-2</v>
      </c>
      <c r="D131" s="237">
        <v>6.7386723308759944E-3</v>
      </c>
      <c r="E131" s="206"/>
      <c r="F131" s="241"/>
      <c r="G131" s="206"/>
      <c r="H131" s="237"/>
      <c r="I131" s="206"/>
      <c r="J131" s="240"/>
      <c r="K131" s="242"/>
      <c r="L131" s="242"/>
      <c r="M131" s="56"/>
    </row>
    <row r="132" spans="2:13" x14ac:dyDescent="0.2">
      <c r="B132" s="236">
        <v>40056</v>
      </c>
      <c r="C132" s="237">
        <v>2.1092283118913844E-2</v>
      </c>
      <c r="D132" s="237">
        <v>8.8289205702789531E-3</v>
      </c>
      <c r="E132" s="206"/>
      <c r="F132" s="241"/>
      <c r="G132" s="206"/>
      <c r="H132" s="237"/>
      <c r="I132" s="206"/>
      <c r="J132" s="240"/>
      <c r="K132" s="242"/>
      <c r="L132" s="242"/>
      <c r="M132" s="56"/>
    </row>
    <row r="133" spans="2:13" x14ac:dyDescent="0.2">
      <c r="B133" s="236">
        <v>40086</v>
      </c>
      <c r="C133" s="237">
        <v>2.4270381294047346E-2</v>
      </c>
      <c r="D133" s="237">
        <v>1.1823532400842218E-2</v>
      </c>
      <c r="E133" s="206"/>
      <c r="F133" s="241"/>
      <c r="G133" s="206"/>
      <c r="H133" s="237"/>
      <c r="I133" s="206"/>
      <c r="J133" s="240"/>
      <c r="K133" s="242"/>
      <c r="L133" s="242"/>
      <c r="M133" s="56"/>
    </row>
    <row r="134" spans="2:13" x14ac:dyDescent="0.2">
      <c r="B134" s="236">
        <v>40117</v>
      </c>
      <c r="C134" s="237">
        <v>2.6668072977410431E-2</v>
      </c>
      <c r="D134" s="237">
        <v>1.4087793226733147E-2</v>
      </c>
      <c r="E134" s="206"/>
      <c r="F134" s="241"/>
      <c r="G134" s="206"/>
      <c r="H134" s="237"/>
      <c r="I134" s="206"/>
      <c r="J134" s="240"/>
      <c r="K134" s="242"/>
      <c r="L134" s="242"/>
      <c r="M134" s="56"/>
    </row>
    <row r="135" spans="2:13" x14ac:dyDescent="0.2">
      <c r="B135" s="236">
        <v>40147</v>
      </c>
      <c r="C135" s="237">
        <v>2.8385516527609313E-2</v>
      </c>
      <c r="D135" s="237">
        <v>1.5873251118418308E-2</v>
      </c>
      <c r="E135" s="206"/>
      <c r="F135" s="241"/>
      <c r="G135" s="206"/>
      <c r="H135" s="237"/>
      <c r="I135" s="206"/>
      <c r="J135" s="240"/>
      <c r="K135" s="242"/>
      <c r="L135" s="242"/>
      <c r="M135" s="56"/>
    </row>
    <row r="136" spans="2:13" x14ac:dyDescent="0.2">
      <c r="B136" s="236">
        <v>40178</v>
      </c>
      <c r="C136" s="237">
        <v>3.2962104678153983E-2</v>
      </c>
      <c r="D136" s="237">
        <v>1.9308385716834797E-2</v>
      </c>
      <c r="E136" s="238">
        <v>2.8925034179687503E-2</v>
      </c>
      <c r="F136" s="241">
        <v>1.6326040939315112E-2</v>
      </c>
      <c r="G136" s="206"/>
      <c r="H136" s="237"/>
      <c r="I136" s="206"/>
      <c r="J136" s="240"/>
      <c r="K136" s="242"/>
      <c r="L136" s="242"/>
      <c r="M136" s="56"/>
    </row>
    <row r="137" spans="2:13" x14ac:dyDescent="0.2">
      <c r="B137" s="236">
        <v>40209</v>
      </c>
      <c r="C137" s="237">
        <v>3.0703852564881555E-2</v>
      </c>
      <c r="D137" s="237">
        <v>1.8584471684042425E-2</v>
      </c>
      <c r="E137" s="206"/>
      <c r="F137" s="241"/>
      <c r="G137" s="206"/>
      <c r="H137" s="237"/>
      <c r="I137" s="206"/>
      <c r="J137" s="240"/>
      <c r="K137" s="242"/>
      <c r="L137" s="242"/>
      <c r="M137" s="56"/>
    </row>
    <row r="138" spans="2:13" x14ac:dyDescent="0.2">
      <c r="B138" s="236">
        <v>40237</v>
      </c>
      <c r="C138" s="237">
        <v>2.7390350802765685E-2</v>
      </c>
      <c r="D138" s="237">
        <v>1.4971511735579091E-2</v>
      </c>
      <c r="E138" s="206"/>
      <c r="F138" s="241"/>
      <c r="G138" s="206"/>
      <c r="H138" s="237"/>
      <c r="I138" s="206"/>
      <c r="J138" s="240"/>
      <c r="K138" s="242"/>
      <c r="L138" s="242"/>
      <c r="M138" s="56"/>
    </row>
    <row r="139" spans="2:13" x14ac:dyDescent="0.2">
      <c r="B139" s="244">
        <v>40268</v>
      </c>
      <c r="C139" s="245">
        <v>3.669809625032866E-2</v>
      </c>
      <c r="D139" s="237">
        <v>2.4071410714172625E-2</v>
      </c>
      <c r="E139" s="206"/>
      <c r="F139" s="241"/>
      <c r="G139" s="206"/>
      <c r="H139" s="237"/>
      <c r="I139" s="206"/>
      <c r="J139" s="240"/>
      <c r="K139" s="242"/>
      <c r="L139" s="242"/>
      <c r="M139" s="56"/>
    </row>
    <row r="140" spans="2:13" x14ac:dyDescent="0.2">
      <c r="B140" s="244">
        <v>40298</v>
      </c>
      <c r="C140" s="245">
        <v>3.8628510169618754E-2</v>
      </c>
      <c r="D140" s="237">
        <v>2.603844629148E-2</v>
      </c>
      <c r="E140" s="206"/>
      <c r="F140" s="241"/>
      <c r="G140" s="206"/>
      <c r="H140" s="237"/>
      <c r="I140" s="206"/>
      <c r="J140" s="240"/>
      <c r="K140" s="242"/>
      <c r="L140" s="242"/>
      <c r="M140" s="56"/>
    </row>
    <row r="141" spans="2:13" x14ac:dyDescent="0.2">
      <c r="B141" s="244">
        <v>40329</v>
      </c>
      <c r="C141" s="245">
        <v>3.3225234782453976E-2</v>
      </c>
      <c r="D141" s="237">
        <v>2.0644845305179516E-2</v>
      </c>
      <c r="E141" s="206"/>
      <c r="F141" s="241"/>
      <c r="G141" s="206"/>
      <c r="H141" s="237"/>
      <c r="I141" s="206"/>
      <c r="J141" s="240"/>
      <c r="K141" s="242"/>
      <c r="L141" s="242"/>
      <c r="M141" s="56"/>
    </row>
    <row r="142" spans="2:13" x14ac:dyDescent="0.2">
      <c r="B142" s="244">
        <v>40359</v>
      </c>
      <c r="C142" s="245">
        <v>3.0566288151634442E-2</v>
      </c>
      <c r="D142" s="237">
        <v>1.8075096199156038E-2</v>
      </c>
      <c r="E142" s="206"/>
      <c r="F142" s="241"/>
      <c r="G142" s="206"/>
      <c r="H142" s="237"/>
      <c r="I142" s="206"/>
      <c r="J142" s="240"/>
      <c r="K142" s="242"/>
      <c r="L142" s="242"/>
      <c r="M142" s="56"/>
    </row>
    <row r="143" spans="2:13" x14ac:dyDescent="0.2">
      <c r="B143" s="244">
        <v>40390</v>
      </c>
      <c r="C143" s="245">
        <v>3.2312782361443991E-2</v>
      </c>
      <c r="D143" s="237">
        <v>2.0071045031447188E-2</v>
      </c>
      <c r="E143" s="206"/>
      <c r="F143" s="241"/>
      <c r="G143" s="206"/>
      <c r="H143" s="237"/>
      <c r="I143" s="206"/>
      <c r="J143" s="240"/>
      <c r="K143" s="242"/>
      <c r="L143" s="242"/>
      <c r="M143" s="56"/>
    </row>
    <row r="144" spans="2:13" x14ac:dyDescent="0.2">
      <c r="B144" s="244">
        <v>40421</v>
      </c>
      <c r="C144" s="245">
        <v>2.9506999372779858E-2</v>
      </c>
      <c r="D144" s="237">
        <v>1.7359436795189032E-2</v>
      </c>
      <c r="E144" s="206"/>
      <c r="F144" s="241"/>
      <c r="G144" s="206"/>
      <c r="H144" s="246"/>
      <c r="I144" s="206"/>
      <c r="J144" s="240"/>
      <c r="K144" s="242"/>
      <c r="L144" s="242"/>
      <c r="M144" s="56"/>
    </row>
    <row r="145" spans="2:13" x14ac:dyDescent="0.2">
      <c r="B145" s="244">
        <v>40451</v>
      </c>
      <c r="C145" s="245">
        <v>3.335931017917132E-2</v>
      </c>
      <c r="D145" s="237">
        <v>2.0682496548403373E-2</v>
      </c>
      <c r="E145" s="206"/>
      <c r="F145" s="241"/>
      <c r="G145" s="206"/>
      <c r="H145" s="246"/>
      <c r="I145" s="206"/>
      <c r="J145" s="240"/>
      <c r="K145" s="242"/>
      <c r="L145" s="242"/>
      <c r="M145" s="56"/>
    </row>
    <row r="146" spans="2:13" x14ac:dyDescent="0.2">
      <c r="B146" s="244">
        <v>40482</v>
      </c>
      <c r="C146" s="245">
        <v>3.5975209023492986E-2</v>
      </c>
      <c r="D146" s="237">
        <v>2.3125833495651227E-2</v>
      </c>
      <c r="E146" s="206"/>
      <c r="F146" s="241"/>
      <c r="G146" s="206"/>
      <c r="H146" s="246"/>
      <c r="I146" s="206"/>
      <c r="J146" s="240"/>
      <c r="K146" s="242"/>
      <c r="L146" s="242"/>
      <c r="M146" s="56"/>
    </row>
    <row r="147" spans="2:13" x14ac:dyDescent="0.2">
      <c r="B147" s="244">
        <v>40512</v>
      </c>
      <c r="C147" s="245">
        <v>3.7473871553749323E-2</v>
      </c>
      <c r="D147" s="237">
        <v>2.4458909450991939E-2</v>
      </c>
      <c r="E147" s="206"/>
      <c r="F147" s="241"/>
      <c r="G147" s="206"/>
      <c r="H147" s="246"/>
      <c r="I147" s="206"/>
      <c r="J147" s="240"/>
      <c r="K147" s="242"/>
      <c r="L147" s="242"/>
      <c r="M147" s="56"/>
    </row>
    <row r="148" spans="2:13" x14ac:dyDescent="0.2">
      <c r="B148" s="244">
        <v>40543</v>
      </c>
      <c r="C148" s="245">
        <v>4.28437739610672E-2</v>
      </c>
      <c r="D148" s="237">
        <v>2.8949994981807947E-2</v>
      </c>
      <c r="E148" s="247">
        <v>2.2445375976562501E-2</v>
      </c>
      <c r="F148" s="241">
        <v>8.3401417466919536E-3</v>
      </c>
      <c r="G148" s="206"/>
      <c r="H148" s="237"/>
      <c r="I148" s="206"/>
      <c r="J148" s="240"/>
      <c r="K148" s="242"/>
      <c r="L148" s="206"/>
      <c r="M148" s="56"/>
    </row>
    <row r="149" spans="2:13" x14ac:dyDescent="0.2">
      <c r="B149" s="244">
        <v>40574</v>
      </c>
      <c r="C149" s="248">
        <v>3.8442396321812032E-2</v>
      </c>
      <c r="D149" s="237">
        <v>2.5641282056729553E-2</v>
      </c>
      <c r="E149" s="206"/>
      <c r="F149" s="241"/>
      <c r="G149" s="206"/>
      <c r="H149" s="237"/>
      <c r="I149" s="206"/>
      <c r="J149" s="240"/>
      <c r="K149" s="242"/>
      <c r="L149" s="56"/>
      <c r="M149" s="56"/>
    </row>
    <row r="150" spans="2:13" x14ac:dyDescent="0.2">
      <c r="B150" s="244">
        <v>40602</v>
      </c>
      <c r="C150" s="245">
        <v>3.8625571906551304E-2</v>
      </c>
      <c r="D150" s="237">
        <v>2.5498098365235977E-2</v>
      </c>
      <c r="E150" s="206"/>
      <c r="F150" s="241"/>
      <c r="G150" s="206"/>
      <c r="H150" s="237"/>
      <c r="I150" s="206"/>
      <c r="J150" s="240"/>
      <c r="K150" s="242"/>
      <c r="L150" s="56"/>
      <c r="M150" s="56"/>
    </row>
    <row r="151" spans="2:13" x14ac:dyDescent="0.2">
      <c r="B151" s="244">
        <v>40633</v>
      </c>
      <c r="C151" s="245">
        <v>3.905410892308208E-2</v>
      </c>
      <c r="D151" s="237">
        <v>2.5557541452574606E-2</v>
      </c>
      <c r="E151" s="206"/>
      <c r="F151" s="241"/>
      <c r="G151" s="206"/>
      <c r="H151" s="237"/>
      <c r="I151" s="206"/>
      <c r="J151" s="240"/>
      <c r="K151" s="242"/>
      <c r="L151" s="56"/>
      <c r="M151" s="56"/>
    </row>
    <row r="152" spans="2:13" x14ac:dyDescent="0.2">
      <c r="B152" s="244">
        <v>40663</v>
      </c>
      <c r="C152" s="245">
        <v>3.9851568220885765E-2</v>
      </c>
      <c r="D152" s="237">
        <v>2.61421381643685E-2</v>
      </c>
      <c r="E152" s="206"/>
      <c r="F152" s="241"/>
      <c r="G152" s="206"/>
      <c r="H152" s="237"/>
      <c r="I152" s="206"/>
      <c r="J152" s="240"/>
      <c r="K152" s="242"/>
      <c r="L152" s="56"/>
      <c r="M152" s="56"/>
    </row>
    <row r="153" spans="2:13" x14ac:dyDescent="0.2">
      <c r="B153" s="244">
        <v>40694</v>
      </c>
      <c r="C153" s="245">
        <v>3.8890105359171354E-2</v>
      </c>
      <c r="D153" s="237">
        <v>2.5145744937958403E-2</v>
      </c>
      <c r="E153" s="206"/>
      <c r="F153" s="241"/>
      <c r="G153" s="206"/>
      <c r="H153" s="237"/>
      <c r="I153" s="206"/>
      <c r="J153" s="240"/>
      <c r="K153" s="242"/>
      <c r="L153" s="56"/>
      <c r="M153" s="56"/>
    </row>
    <row r="154" spans="2:13" x14ac:dyDescent="0.2">
      <c r="B154" s="244">
        <v>40724</v>
      </c>
      <c r="C154" s="245">
        <v>3.7436450723536942E-2</v>
      </c>
      <c r="D154" s="237">
        <v>2.3929728238789583E-2</v>
      </c>
      <c r="E154" s="206"/>
      <c r="F154" s="241"/>
      <c r="G154" s="206"/>
      <c r="H154" s="237"/>
      <c r="I154" s="206"/>
      <c r="J154" s="240"/>
      <c r="K154" s="242"/>
      <c r="L154" s="56"/>
      <c r="M154" s="56"/>
    </row>
    <row r="155" spans="2:13" x14ac:dyDescent="0.2">
      <c r="B155" s="244">
        <v>40755</v>
      </c>
      <c r="C155" s="245">
        <v>3.4277375851144785E-2</v>
      </c>
      <c r="D155" s="237">
        <v>2.0909664735007993E-2</v>
      </c>
      <c r="E155" s="206"/>
      <c r="F155" s="241"/>
      <c r="G155" s="206"/>
      <c r="H155" s="237"/>
      <c r="I155" s="206"/>
      <c r="J155" s="240"/>
      <c r="K155" s="242"/>
      <c r="L155" s="56"/>
      <c r="M155" s="56"/>
    </row>
    <row r="156" spans="2:13" x14ac:dyDescent="0.2">
      <c r="B156" s="244">
        <v>40786</v>
      </c>
      <c r="C156" s="245">
        <v>2.3176244540428031E-2</v>
      </c>
      <c r="D156" s="237">
        <v>9.9986986813036527E-3</v>
      </c>
      <c r="E156" s="206"/>
      <c r="F156" s="241"/>
      <c r="G156" s="206"/>
      <c r="H156" s="237"/>
      <c r="I156" s="206"/>
      <c r="J156" s="240"/>
      <c r="K156" s="242"/>
      <c r="L156" s="56"/>
      <c r="M156" s="56"/>
    </row>
    <row r="157" spans="2:13" x14ac:dyDescent="0.2">
      <c r="B157" s="244">
        <v>40816</v>
      </c>
      <c r="C157" s="245">
        <v>1.6991182799443404E-2</v>
      </c>
      <c r="D157" s="237">
        <v>3.5362049089282532E-3</v>
      </c>
      <c r="E157" s="206"/>
      <c r="F157" s="241"/>
      <c r="G157" s="206"/>
      <c r="H157" s="237"/>
      <c r="I157" s="206"/>
      <c r="J157" s="240"/>
      <c r="K157" s="242"/>
      <c r="L157" s="56"/>
      <c r="M157" s="56"/>
    </row>
    <row r="158" spans="2:13" x14ac:dyDescent="0.2">
      <c r="B158" s="244">
        <v>40847</v>
      </c>
      <c r="C158" s="237">
        <v>2.4613764648437501E-2</v>
      </c>
      <c r="D158" s="237">
        <v>1.1123333942320901E-2</v>
      </c>
      <c r="E158" s="206"/>
      <c r="F158" s="241"/>
      <c r="G158" s="206"/>
      <c r="H158" s="237"/>
      <c r="I158" s="206"/>
      <c r="J158" s="240"/>
      <c r="K158" s="242"/>
      <c r="L158" s="56"/>
      <c r="M158" s="56"/>
    </row>
    <row r="159" spans="2:13" x14ac:dyDescent="0.2">
      <c r="B159" s="244">
        <v>40877</v>
      </c>
      <c r="C159" s="237">
        <v>2.3371118164062503E-2</v>
      </c>
      <c r="D159" s="237">
        <v>9.8214578965045707E-3</v>
      </c>
      <c r="E159" s="206"/>
      <c r="F159" s="241"/>
      <c r="G159" s="206"/>
      <c r="H159" s="237"/>
      <c r="I159" s="206"/>
      <c r="J159" s="206"/>
      <c r="K159" s="206"/>
      <c r="L159" s="56"/>
      <c r="M159" s="56"/>
    </row>
    <row r="160" spans="2:13" x14ac:dyDescent="0.2">
      <c r="B160" s="244">
        <v>40908</v>
      </c>
      <c r="C160" s="237">
        <v>2.492214739322662E-2</v>
      </c>
      <c r="D160" s="237">
        <v>1.0515910236677195E-2</v>
      </c>
      <c r="E160" s="247">
        <v>2.5404243164062507E-2</v>
      </c>
      <c r="F160" s="241">
        <v>1.1775920690321406E-2</v>
      </c>
      <c r="G160" s="206"/>
      <c r="H160" s="237"/>
      <c r="I160" s="206"/>
      <c r="J160" s="206"/>
      <c r="K160" s="206"/>
      <c r="L160" s="56"/>
      <c r="M160" s="56"/>
    </row>
    <row r="161" spans="2:13" x14ac:dyDescent="0.2">
      <c r="B161" s="244">
        <v>40939</v>
      </c>
      <c r="C161" s="237">
        <v>3.1015268554687503E-2</v>
      </c>
      <c r="D161" s="237">
        <v>1.7941996911883917E-2</v>
      </c>
      <c r="E161" s="206"/>
      <c r="F161" s="206"/>
      <c r="G161" s="206"/>
      <c r="H161" s="206"/>
      <c r="I161" s="206"/>
      <c r="J161" s="206"/>
      <c r="K161" s="206"/>
      <c r="L161" s="56"/>
      <c r="M161" s="56"/>
    </row>
    <row r="162" spans="2:13" x14ac:dyDescent="0.2">
      <c r="B162" s="244">
        <v>40968</v>
      </c>
      <c r="C162" s="237">
        <v>3.5189965820312516E-2</v>
      </c>
      <c r="D162" s="237">
        <v>2.1729992452113711E-2</v>
      </c>
      <c r="E162" s="206"/>
      <c r="F162" s="206"/>
      <c r="G162" s="206"/>
      <c r="H162" s="206"/>
      <c r="I162" s="206"/>
      <c r="J162" s="206"/>
      <c r="K162" s="206"/>
      <c r="L162" s="56"/>
      <c r="M162" s="56"/>
    </row>
    <row r="163" spans="2:13" x14ac:dyDescent="0.2">
      <c r="B163" s="249">
        <v>40999</v>
      </c>
      <c r="C163" s="245">
        <v>3.4631059570312511E-2</v>
      </c>
      <c r="D163" s="237">
        <v>2.1076218730202267E-2</v>
      </c>
      <c r="E163" s="206"/>
      <c r="F163" s="206"/>
      <c r="G163" s="206"/>
      <c r="H163" s="206"/>
      <c r="I163" s="206"/>
      <c r="J163" s="206"/>
      <c r="K163" s="206"/>
      <c r="L163" s="56"/>
      <c r="M163" s="56"/>
    </row>
    <row r="164" spans="2:13" x14ac:dyDescent="0.2">
      <c r="B164" s="249">
        <v>41029</v>
      </c>
      <c r="C164" s="245">
        <v>3.3569233398437495E-2</v>
      </c>
      <c r="D164" s="237">
        <v>2.0288992060290667E-2</v>
      </c>
      <c r="E164" s="206"/>
      <c r="F164" s="206"/>
      <c r="G164" s="206"/>
      <c r="H164" s="206"/>
      <c r="I164" s="206"/>
      <c r="J164" s="206"/>
      <c r="K164" s="206"/>
      <c r="L164" s="56"/>
      <c r="M164" s="56"/>
    </row>
    <row r="165" spans="2:13" x14ac:dyDescent="0.2">
      <c r="B165" s="249">
        <v>41060</v>
      </c>
      <c r="C165" s="245">
        <v>2.8288481445312506E-2</v>
      </c>
      <c r="D165" s="248">
        <v>1.4865738425540842E-2</v>
      </c>
      <c r="E165" s="206"/>
      <c r="F165" s="206"/>
      <c r="G165" s="51"/>
      <c r="H165" s="51"/>
      <c r="I165" s="51"/>
      <c r="J165" s="56"/>
      <c r="K165" s="56"/>
      <c r="L165" s="56"/>
      <c r="M165" s="56"/>
    </row>
    <row r="166" spans="2:13" x14ac:dyDescent="0.2">
      <c r="B166" s="249">
        <v>41090</v>
      </c>
      <c r="C166" s="245">
        <v>2.8859262695312506E-2</v>
      </c>
      <c r="D166" s="248">
        <v>1.5632923947092037E-2</v>
      </c>
      <c r="E166" s="206"/>
      <c r="F166" s="206"/>
      <c r="G166" s="51"/>
      <c r="H166" s="51"/>
      <c r="I166" s="51"/>
      <c r="J166" s="56"/>
      <c r="K166" s="56"/>
      <c r="L166" s="56"/>
      <c r="M166" s="56"/>
    </row>
    <row r="167" spans="2:13" x14ac:dyDescent="0.2">
      <c r="B167" s="249">
        <v>41121</v>
      </c>
      <c r="C167" s="245">
        <v>3.0935004882812506E-2</v>
      </c>
      <c r="D167" s="248">
        <v>1.7977601349618677E-2</v>
      </c>
      <c r="E167" s="206"/>
      <c r="F167" s="206"/>
      <c r="G167" s="51"/>
      <c r="H167" s="51"/>
      <c r="I167" s="51"/>
      <c r="J167" s="56"/>
      <c r="K167" s="56"/>
      <c r="L167" s="56"/>
      <c r="M167" s="56"/>
    </row>
    <row r="168" spans="2:13" x14ac:dyDescent="0.2">
      <c r="B168" s="249">
        <v>41152</v>
      </c>
      <c r="C168" s="245">
        <v>3.1047563476562505E-2</v>
      </c>
      <c r="D168" s="248">
        <v>1.809066091010636E-2</v>
      </c>
      <c r="E168" s="206"/>
      <c r="F168" s="206"/>
      <c r="G168" s="51"/>
      <c r="H168" s="51"/>
      <c r="I168" s="51"/>
      <c r="J168" s="56"/>
      <c r="K168" s="56"/>
      <c r="L168" s="56"/>
      <c r="M168" s="56"/>
    </row>
    <row r="169" spans="2:13" x14ac:dyDescent="0.2">
      <c r="B169" s="249">
        <v>41182</v>
      </c>
      <c r="C169" s="245">
        <v>3.2554301757812515E-2</v>
      </c>
      <c r="D169" s="248">
        <v>1.9407039951484961E-2</v>
      </c>
      <c r="E169" s="206"/>
      <c r="F169" s="206"/>
      <c r="G169" s="51"/>
      <c r="H169" s="51"/>
      <c r="I169" s="51"/>
      <c r="J169" s="56"/>
      <c r="K169" s="56"/>
      <c r="L169" s="56"/>
      <c r="M169" s="56"/>
    </row>
    <row r="170" spans="2:13" x14ac:dyDescent="0.2">
      <c r="B170" s="249">
        <v>41213</v>
      </c>
      <c r="C170" s="245">
        <v>3.2000000000000001E-2</v>
      </c>
      <c r="D170" s="248">
        <v>1.9E-2</v>
      </c>
      <c r="E170" s="206"/>
      <c r="F170" s="206"/>
      <c r="G170" s="51"/>
      <c r="H170" s="51"/>
      <c r="I170" s="51"/>
      <c r="J170" s="56"/>
      <c r="K170" s="56"/>
      <c r="L170" s="56"/>
      <c r="M170" s="56"/>
    </row>
    <row r="171" spans="2:13" x14ac:dyDescent="0.2">
      <c r="B171" s="249">
        <v>41243</v>
      </c>
      <c r="C171" s="245">
        <v>3.4284340820312509E-2</v>
      </c>
      <c r="D171" s="248">
        <v>2.1419156062164157E-2</v>
      </c>
      <c r="E171" s="206"/>
      <c r="F171" s="206"/>
      <c r="G171" s="51"/>
      <c r="H171" s="51"/>
      <c r="I171" s="51"/>
      <c r="J171" s="56"/>
      <c r="K171" s="56"/>
      <c r="L171" s="56"/>
      <c r="M171" s="56"/>
    </row>
    <row r="172" spans="2:13" x14ac:dyDescent="0.2">
      <c r="B172" s="249">
        <v>41274</v>
      </c>
      <c r="C172" s="245">
        <v>3.4646333007812502E-2</v>
      </c>
      <c r="D172" s="248">
        <v>2.1999999999999999E-2</v>
      </c>
      <c r="E172" s="247">
        <v>2.8646831054687502E-2</v>
      </c>
      <c r="F172" s="241">
        <v>1.5767971616328147E-2</v>
      </c>
      <c r="G172" s="51"/>
      <c r="H172" s="51"/>
      <c r="I172" s="51"/>
      <c r="J172" s="56"/>
      <c r="K172" s="56"/>
      <c r="L172" s="56"/>
      <c r="M172" s="56"/>
    </row>
    <row r="173" spans="2:13" x14ac:dyDescent="0.2">
      <c r="B173" s="249">
        <v>41305</v>
      </c>
      <c r="C173" s="245">
        <v>3.8501791992187492E-2</v>
      </c>
      <c r="D173" s="237">
        <v>2.5999999999999999E-2</v>
      </c>
      <c r="E173" s="206"/>
      <c r="F173" s="241"/>
      <c r="G173" s="51"/>
      <c r="H173" s="51"/>
      <c r="I173" s="51"/>
      <c r="J173" s="56"/>
      <c r="K173" s="56"/>
      <c r="L173" s="56"/>
      <c r="M173" s="56"/>
    </row>
    <row r="174" spans="2:13" x14ac:dyDescent="0.2">
      <c r="B174" s="244">
        <v>41333</v>
      </c>
      <c r="C174" s="245">
        <v>3.9431303710937518E-2</v>
      </c>
      <c r="D174" s="237">
        <v>2.7E-2</v>
      </c>
      <c r="E174" s="206"/>
      <c r="F174" s="206"/>
      <c r="G174" s="51"/>
      <c r="H174" s="51"/>
      <c r="I174" s="51"/>
      <c r="J174" s="56"/>
      <c r="K174" s="56"/>
      <c r="L174" s="56"/>
      <c r="M174" s="56"/>
    </row>
    <row r="175" spans="2:13" x14ac:dyDescent="0.2">
      <c r="B175" s="244">
        <v>41364</v>
      </c>
      <c r="C175" s="245">
        <v>4.0993569335937508E-2</v>
      </c>
      <c r="D175" s="250">
        <v>2.8000000000000001E-2</v>
      </c>
      <c r="E175" s="51"/>
      <c r="F175" s="51"/>
      <c r="G175" s="51"/>
      <c r="H175" s="51"/>
      <c r="I175" s="51"/>
      <c r="J175" s="56"/>
      <c r="K175" s="56"/>
      <c r="L175" s="56"/>
      <c r="M175" s="56"/>
    </row>
    <row r="176" spans="2:13" x14ac:dyDescent="0.2">
      <c r="B176" s="244">
        <v>41394</v>
      </c>
      <c r="C176" s="245">
        <v>4.2931303710937507E-2</v>
      </c>
      <c r="D176" s="250">
        <v>3.021634960992059E-2</v>
      </c>
      <c r="E176" s="51"/>
      <c r="F176" s="51"/>
      <c r="G176" s="51"/>
      <c r="H176" s="51"/>
      <c r="I176" s="51"/>
      <c r="J176" s="56"/>
      <c r="K176" s="56"/>
      <c r="L176" s="56"/>
      <c r="M176" s="56"/>
    </row>
    <row r="177" spans="2:13" x14ac:dyDescent="0.2">
      <c r="B177" s="244">
        <v>41425</v>
      </c>
      <c r="C177" s="245">
        <v>4.5287895507812509E-2</v>
      </c>
      <c r="D177" s="250">
        <v>3.2510235111782526E-2</v>
      </c>
      <c r="E177" s="51"/>
      <c r="F177" s="51"/>
      <c r="G177" s="51"/>
      <c r="H177" s="51"/>
      <c r="I177" s="51"/>
      <c r="J177" s="56"/>
      <c r="K177" s="56"/>
      <c r="L177" s="56"/>
      <c r="M177" s="56"/>
    </row>
    <row r="178" spans="2:13" x14ac:dyDescent="0.2">
      <c r="B178" s="244">
        <v>41455</v>
      </c>
      <c r="C178" s="245">
        <v>4.1000000000000002E-2</v>
      </c>
      <c r="D178" s="250">
        <v>2.9000000000000001E-2</v>
      </c>
      <c r="E178" s="51"/>
      <c r="F178" s="51"/>
      <c r="G178" s="51"/>
      <c r="H178" s="51"/>
      <c r="I178" s="51"/>
      <c r="J178" s="56"/>
      <c r="K178" s="56"/>
      <c r="L178" s="56"/>
      <c r="M178" s="56"/>
    </row>
    <row r="179" spans="2:13" x14ac:dyDescent="0.2">
      <c r="B179" s="244">
        <v>41486</v>
      </c>
      <c r="C179" s="245">
        <v>4.4999999999999998E-2</v>
      </c>
      <c r="D179" s="250">
        <v>3.2000000000000001E-2</v>
      </c>
      <c r="E179" s="51"/>
      <c r="F179" s="51"/>
      <c r="G179" s="51"/>
      <c r="H179" s="51"/>
      <c r="I179" s="51"/>
      <c r="J179" s="56"/>
      <c r="K179" s="56"/>
      <c r="L179" s="56"/>
      <c r="M179" s="56"/>
    </row>
    <row r="180" spans="2:13" x14ac:dyDescent="0.2">
      <c r="B180" s="244">
        <v>41517</v>
      </c>
      <c r="C180" s="248">
        <v>4.3019926757812507E-2</v>
      </c>
      <c r="D180" s="248">
        <v>3.0565346771909807E-2</v>
      </c>
      <c r="E180" s="51"/>
      <c r="F180" s="51"/>
      <c r="G180" s="51"/>
      <c r="H180" s="51"/>
      <c r="I180" s="51"/>
      <c r="J180" s="56"/>
      <c r="K180" s="56"/>
      <c r="L180" s="56"/>
      <c r="M180" s="56"/>
    </row>
    <row r="181" spans="2:13" x14ac:dyDescent="0.2">
      <c r="B181" s="244">
        <v>41547</v>
      </c>
      <c r="C181" s="248">
        <v>4.5229418945312502E-2</v>
      </c>
      <c r="D181" s="248">
        <v>3.2590249313495745E-2</v>
      </c>
      <c r="E181" s="51"/>
      <c r="F181" s="51"/>
      <c r="G181" s="51"/>
      <c r="H181" s="51"/>
      <c r="I181" s="51"/>
      <c r="J181" s="56"/>
      <c r="K181" s="56"/>
      <c r="L181" s="56"/>
      <c r="M181" s="56"/>
    </row>
    <row r="182" spans="2:13" x14ac:dyDescent="0.2">
      <c r="B182" s="244">
        <v>41578</v>
      </c>
      <c r="C182" s="248">
        <v>4.9000000000000002E-2</v>
      </c>
      <c r="D182" s="248">
        <v>3.5999999999999997E-2</v>
      </c>
      <c r="E182" s="51"/>
      <c r="F182" s="51"/>
      <c r="G182" s="51"/>
      <c r="H182" s="51"/>
      <c r="I182" s="51"/>
      <c r="J182" s="56"/>
      <c r="K182" s="56"/>
      <c r="L182" s="56"/>
      <c r="M182" s="56"/>
    </row>
    <row r="183" spans="2:13" x14ac:dyDescent="0.2">
      <c r="B183" s="244">
        <v>41608</v>
      </c>
      <c r="C183" s="248">
        <v>5.0999999999999997E-2</v>
      </c>
      <c r="D183" s="248">
        <v>3.9E-2</v>
      </c>
      <c r="E183" s="51"/>
      <c r="F183" s="51"/>
      <c r="G183" s="51"/>
      <c r="H183" s="51"/>
      <c r="I183" s="51"/>
      <c r="J183" s="56"/>
      <c r="K183" s="56"/>
      <c r="L183" s="56"/>
      <c r="M183" s="56"/>
    </row>
    <row r="184" spans="2:13" x14ac:dyDescent="0.2">
      <c r="B184" s="244">
        <v>41639</v>
      </c>
      <c r="C184" s="245">
        <v>5.0999999999999997E-2</v>
      </c>
      <c r="D184" s="248">
        <v>3.7999999999999999E-2</v>
      </c>
      <c r="E184" s="247">
        <v>2.4E-2</v>
      </c>
      <c r="F184" s="241">
        <v>1.2E-2</v>
      </c>
      <c r="G184" s="251"/>
      <c r="H184" s="51"/>
      <c r="I184" s="51"/>
      <c r="J184" s="56"/>
      <c r="K184" s="56"/>
      <c r="L184" s="56"/>
      <c r="M184" s="56"/>
    </row>
    <row r="185" spans="2:13" x14ac:dyDescent="0.2">
      <c r="B185" s="244">
        <v>41670</v>
      </c>
      <c r="C185" s="245">
        <v>4.7509770507812507E-2</v>
      </c>
      <c r="D185" s="248">
        <v>3.5704475850176109E-2</v>
      </c>
      <c r="E185" s="51"/>
      <c r="F185" s="51"/>
      <c r="G185" s="51"/>
      <c r="H185" s="51"/>
      <c r="I185" s="51"/>
      <c r="J185" s="56"/>
      <c r="K185" s="56"/>
      <c r="L185" s="56"/>
      <c r="M185" s="56"/>
    </row>
    <row r="186" spans="2:13" x14ac:dyDescent="0.2">
      <c r="B186" s="244">
        <v>41698</v>
      </c>
      <c r="C186" s="248">
        <v>5.1708959960937523E-2</v>
      </c>
      <c r="D186" s="248">
        <v>3.9678287364250497E-2</v>
      </c>
      <c r="E186" s="51"/>
      <c r="F186" s="51"/>
      <c r="G186" s="51"/>
      <c r="H186" s="51"/>
      <c r="I186" s="51"/>
      <c r="J186" s="56"/>
      <c r="K186" s="56"/>
      <c r="L186" s="56"/>
      <c r="M186" s="56"/>
    </row>
    <row r="187" spans="2:13" x14ac:dyDescent="0.2">
      <c r="B187" s="244">
        <v>41729</v>
      </c>
      <c r="C187" s="248">
        <v>5.1999999999999998E-2</v>
      </c>
      <c r="D187" s="248">
        <v>0.04</v>
      </c>
      <c r="E187" s="51"/>
      <c r="F187" s="51"/>
      <c r="G187" s="51"/>
      <c r="H187" s="51"/>
      <c r="I187" s="51"/>
      <c r="J187" s="56"/>
      <c r="K187" s="56"/>
      <c r="L187" s="56"/>
      <c r="M187" s="56"/>
    </row>
    <row r="188" spans="2:13" x14ac:dyDescent="0.2">
      <c r="B188" s="244">
        <v>41759</v>
      </c>
      <c r="C188" s="245">
        <v>5.3138706054687512E-2</v>
      </c>
      <c r="D188" s="248">
        <v>4.0989521007804397E-2</v>
      </c>
      <c r="E188" s="51"/>
      <c r="F188" s="51"/>
      <c r="G188" s="51"/>
      <c r="H188" s="51"/>
      <c r="I188" s="51"/>
      <c r="J188" s="56"/>
      <c r="K188" s="56"/>
      <c r="L188" s="56"/>
      <c r="M188" s="56"/>
    </row>
    <row r="189" spans="2:13" x14ac:dyDescent="0.2">
      <c r="B189" s="244">
        <v>41790</v>
      </c>
      <c r="C189" s="245">
        <v>5.7033979492187512E-2</v>
      </c>
      <c r="D189" s="248">
        <v>4.4864681036111742E-2</v>
      </c>
      <c r="E189" s="51"/>
      <c r="F189" s="51"/>
      <c r="G189" s="51"/>
      <c r="H189" s="51"/>
      <c r="I189" s="51"/>
      <c r="J189" s="56"/>
      <c r="K189" s="56"/>
      <c r="L189" s="56"/>
      <c r="M189" s="56"/>
    </row>
    <row r="190" spans="2:13" x14ac:dyDescent="0.2">
      <c r="B190" s="252">
        <v>41820</v>
      </c>
      <c r="C190" s="245">
        <v>5.8000000000000003E-2</v>
      </c>
      <c r="D190" s="248">
        <v>4.5999999999999999E-2</v>
      </c>
      <c r="E190" s="51"/>
      <c r="F190" s="51"/>
      <c r="G190" s="51"/>
      <c r="H190" s="51"/>
      <c r="I190" s="51"/>
      <c r="J190" s="56"/>
      <c r="K190" s="56"/>
      <c r="L190" s="56"/>
      <c r="M190" s="56"/>
    </row>
    <row r="191" spans="2:13" x14ac:dyDescent="0.2">
      <c r="B191" s="252">
        <v>41851</v>
      </c>
      <c r="C191" s="245">
        <v>5.8898247070312507E-2</v>
      </c>
      <c r="D191" s="245">
        <v>4.6876804335680644E-2</v>
      </c>
      <c r="E191" s="51"/>
      <c r="F191" s="51"/>
      <c r="G191" s="51"/>
      <c r="H191" s="51"/>
      <c r="I191" s="51"/>
      <c r="J191" s="56"/>
      <c r="K191" s="56"/>
      <c r="L191" s="56"/>
      <c r="M191" s="56"/>
    </row>
    <row r="192" spans="2:13" x14ac:dyDescent="0.2">
      <c r="B192" s="340">
        <v>41882</v>
      </c>
      <c r="C192" s="341">
        <v>6.0087006835937512E-2</v>
      </c>
      <c r="D192" s="339">
        <v>4.8158070905524042E-2</v>
      </c>
      <c r="E192" s="51"/>
      <c r="F192" s="51"/>
      <c r="G192" s="51"/>
      <c r="H192" s="51"/>
      <c r="I192" s="51"/>
      <c r="J192" s="56"/>
      <c r="K192" s="56"/>
      <c r="L192" s="56"/>
      <c r="M192" s="56"/>
    </row>
  </sheetData>
  <mergeCells count="4">
    <mergeCell ref="C25:C26"/>
    <mergeCell ref="D25:D26"/>
    <mergeCell ref="E25:E26"/>
    <mergeCell ref="F25:F26"/>
  </mergeCells>
  <phoneticPr fontId="6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T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8.85546875" style="142" customWidth="1"/>
    <col min="10" max="14" width="8.85546875" style="137" customWidth="1"/>
    <col min="15" max="15" width="12.85546875" style="137" customWidth="1"/>
    <col min="16" max="21" width="10.7109375" style="137" customWidth="1"/>
    <col min="22" max="42" width="10.140625" style="137" customWidth="1"/>
    <col min="43" max="16384" width="9.140625" style="137"/>
  </cols>
  <sheetData>
    <row r="2" spans="1:20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</row>
    <row r="3" spans="1:20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</row>
    <row r="4" spans="1:20" x14ac:dyDescent="0.2">
      <c r="A4" s="137" t="s">
        <v>512</v>
      </c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</row>
    <row r="5" spans="1:20" ht="18" x14ac:dyDescent="0.25">
      <c r="B5" s="272" t="s">
        <v>691</v>
      </c>
      <c r="C5" s="51"/>
      <c r="D5" s="51"/>
      <c r="E5" s="51"/>
      <c r="F5" s="51"/>
      <c r="G5" s="51"/>
      <c r="H5" s="51"/>
      <c r="I5" s="24" t="s">
        <v>1151</v>
      </c>
      <c r="J5" s="56"/>
      <c r="K5" s="56"/>
      <c r="L5" s="56"/>
      <c r="M5" s="56"/>
      <c r="N5" s="56"/>
      <c r="O5" s="56"/>
      <c r="P5" s="149"/>
    </row>
    <row r="6" spans="1:20" x14ac:dyDescent="0.2">
      <c r="B6" s="56"/>
      <c r="C6" s="51"/>
      <c r="D6" s="51"/>
      <c r="E6" s="51"/>
      <c r="F6" s="51"/>
      <c r="G6" s="51"/>
      <c r="H6" s="51"/>
      <c r="I6" s="51"/>
      <c r="J6" s="56"/>
      <c r="K6" s="56"/>
      <c r="L6" s="56"/>
      <c r="M6" s="56"/>
      <c r="N6" s="56"/>
      <c r="O6" s="56"/>
      <c r="P6" s="56"/>
    </row>
    <row r="7" spans="1:20" x14ac:dyDescent="0.2">
      <c r="B7" s="25" t="s">
        <v>680</v>
      </c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273"/>
    </row>
    <row r="8" spans="1:20" x14ac:dyDescent="0.2">
      <c r="B8" s="25" t="s">
        <v>681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273"/>
    </row>
    <row r="9" spans="1:20" x14ac:dyDescent="0.2">
      <c r="B9" s="25" t="s">
        <v>682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273"/>
    </row>
    <row r="10" spans="1:20" s="254" customFormat="1" x14ac:dyDescent="0.2">
      <c r="B10" s="273"/>
      <c r="C10" s="63"/>
      <c r="D10" s="63"/>
      <c r="E10" s="63"/>
      <c r="F10" s="63"/>
      <c r="G10" s="63"/>
      <c r="H10" s="63"/>
      <c r="I10" s="63"/>
      <c r="J10" s="54"/>
      <c r="K10" s="54"/>
      <c r="L10" s="54"/>
      <c r="M10" s="54"/>
      <c r="N10" s="54"/>
      <c r="O10" s="54"/>
      <c r="P10" s="274"/>
    </row>
    <row r="11" spans="1:20" s="254" customFormat="1" x14ac:dyDescent="0.2">
      <c r="B11" s="54"/>
      <c r="C11" s="63"/>
      <c r="D11" s="63"/>
      <c r="E11" s="63"/>
      <c r="F11" s="63"/>
      <c r="G11" s="63"/>
      <c r="H11" s="63"/>
      <c r="I11" s="63"/>
      <c r="J11" s="54"/>
      <c r="K11" s="54"/>
      <c r="L11" s="54"/>
      <c r="M11" s="54"/>
      <c r="N11" s="54"/>
      <c r="O11" s="54"/>
      <c r="P11" s="54"/>
    </row>
    <row r="12" spans="1:20" s="254" customFormat="1" ht="39" customHeight="1" x14ac:dyDescent="0.2">
      <c r="B12" s="54"/>
      <c r="C12" s="63"/>
      <c r="D12" s="63"/>
      <c r="E12" s="63"/>
      <c r="F12" s="63"/>
      <c r="G12" s="63"/>
      <c r="H12" s="63"/>
      <c r="I12" s="63"/>
      <c r="J12" s="54"/>
      <c r="K12" s="54"/>
      <c r="L12" s="54"/>
      <c r="M12" s="54"/>
      <c r="N12" s="54"/>
      <c r="O12" s="54"/>
      <c r="P12" s="54"/>
    </row>
    <row r="13" spans="1:20" s="221" customFormat="1" ht="12.75" customHeight="1" x14ac:dyDescent="0.2">
      <c r="B13" s="274"/>
      <c r="C13" s="275"/>
      <c r="D13" s="275"/>
      <c r="E13" s="275"/>
      <c r="F13" s="275"/>
      <c r="G13" s="275"/>
      <c r="H13" s="275"/>
      <c r="I13" s="274"/>
      <c r="J13" s="276"/>
      <c r="K13" s="276"/>
      <c r="L13" s="276"/>
      <c r="M13" s="276"/>
      <c r="N13" s="276"/>
      <c r="O13" s="276"/>
      <c r="P13" s="276"/>
      <c r="Q13" s="256"/>
      <c r="R13" s="256"/>
      <c r="S13" s="256"/>
      <c r="T13" s="256"/>
    </row>
    <row r="14" spans="1:20" s="257" customFormat="1" x14ac:dyDescent="0.2">
      <c r="B14" s="320" t="s">
        <v>504</v>
      </c>
      <c r="C14" s="321">
        <v>2001</v>
      </c>
      <c r="D14" s="321">
        <v>2002</v>
      </c>
      <c r="E14" s="321">
        <v>2003</v>
      </c>
      <c r="F14" s="321">
        <v>2004</v>
      </c>
      <c r="G14" s="321">
        <v>2005</v>
      </c>
      <c r="H14" s="322">
        <v>39082</v>
      </c>
      <c r="I14" s="321">
        <v>2007</v>
      </c>
      <c r="J14" s="321">
        <v>2008</v>
      </c>
      <c r="K14" s="325">
        <v>2009</v>
      </c>
      <c r="L14" s="325">
        <v>2010</v>
      </c>
      <c r="M14" s="325">
        <v>2011</v>
      </c>
      <c r="N14" s="325">
        <v>2012</v>
      </c>
      <c r="O14" s="323">
        <v>41639</v>
      </c>
      <c r="P14" s="326">
        <v>41882</v>
      </c>
      <c r="Q14" s="258"/>
      <c r="R14" s="259"/>
    </row>
    <row r="15" spans="1:20" ht="20.100000000000001" customHeight="1" x14ac:dyDescent="0.2">
      <c r="B15" s="25" t="s">
        <v>1144</v>
      </c>
      <c r="C15" s="277">
        <v>-0.111</v>
      </c>
      <c r="D15" s="250">
        <v>-0.31223079839764201</v>
      </c>
      <c r="E15" s="250">
        <v>0.1782730775091621</v>
      </c>
      <c r="F15" s="250">
        <v>8.7501758829949594E-2</v>
      </c>
      <c r="G15" s="250">
        <v>0.30552648011758543</v>
      </c>
      <c r="H15" s="250">
        <v>0.12140116450721394</v>
      </c>
      <c r="I15" s="250">
        <v>5.6636805614445285E-2</v>
      </c>
      <c r="J15" s="250">
        <v>-0.34156819000074978</v>
      </c>
      <c r="K15" s="250">
        <v>0.34685505788951732</v>
      </c>
      <c r="L15" s="248">
        <v>0.12151293044644662</v>
      </c>
      <c r="M15" s="250">
        <v>-0.10687426681227297</v>
      </c>
      <c r="N15" s="250">
        <v>0.12125473461444458</v>
      </c>
      <c r="O15" s="250">
        <v>0.21099999999999999</v>
      </c>
      <c r="P15" s="250">
        <v>0.13300000000000001</v>
      </c>
      <c r="Q15" s="261"/>
      <c r="S15" s="262"/>
    </row>
    <row r="16" spans="1:20" ht="20.100000000000001" customHeight="1" x14ac:dyDescent="0.2">
      <c r="B16" s="283" t="s">
        <v>1145</v>
      </c>
      <c r="C16" s="284">
        <v>-0.106</v>
      </c>
      <c r="D16" s="284">
        <v>-0.26700000000000002</v>
      </c>
      <c r="E16" s="284">
        <v>0.187</v>
      </c>
      <c r="F16" s="284">
        <v>0.10100000000000001</v>
      </c>
      <c r="G16" s="284">
        <v>0.251</v>
      </c>
      <c r="H16" s="284">
        <v>0.105</v>
      </c>
      <c r="I16" s="284">
        <v>4.7E-2</v>
      </c>
      <c r="J16" s="285">
        <v>-0.36199999999999999</v>
      </c>
      <c r="K16" s="285">
        <v>0.35141800246609134</v>
      </c>
      <c r="L16" s="286">
        <v>0.14644453351666153</v>
      </c>
      <c r="M16" s="285">
        <v>-0.10536246609942557</v>
      </c>
      <c r="N16" s="285">
        <v>0.17497988455497548</v>
      </c>
      <c r="O16" s="285">
        <v>0.318</v>
      </c>
      <c r="P16" s="285">
        <v>0.192</v>
      </c>
      <c r="Q16" s="263"/>
      <c r="S16" s="262"/>
    </row>
    <row r="17" spans="1:19" ht="5.0999999999999996" customHeight="1" x14ac:dyDescent="0.2">
      <c r="B17" s="56"/>
      <c r="C17" s="51"/>
      <c r="D17" s="51"/>
      <c r="E17" s="51"/>
      <c r="F17" s="51"/>
      <c r="G17" s="51"/>
      <c r="H17" s="51"/>
      <c r="I17" s="51"/>
      <c r="J17" s="51"/>
      <c r="K17" s="51"/>
      <c r="L17" s="56"/>
      <c r="M17" s="56"/>
      <c r="N17" s="56"/>
      <c r="O17" s="56"/>
      <c r="P17" s="68"/>
      <c r="Q17" s="264"/>
      <c r="S17" s="262"/>
    </row>
    <row r="18" spans="1:19" x14ac:dyDescent="0.2">
      <c r="B18" s="282" t="s">
        <v>1142</v>
      </c>
      <c r="C18" s="51"/>
      <c r="D18" s="51"/>
      <c r="E18" s="51"/>
      <c r="F18" s="51"/>
      <c r="G18" s="51"/>
      <c r="H18" s="51"/>
      <c r="I18" s="51"/>
      <c r="J18" s="56"/>
      <c r="K18" s="56"/>
      <c r="L18" s="24"/>
      <c r="M18" s="56"/>
      <c r="N18" s="56"/>
      <c r="O18" s="56"/>
      <c r="P18" s="278"/>
      <c r="Q18" s="265"/>
      <c r="S18" s="262"/>
    </row>
    <row r="19" spans="1:19" x14ac:dyDescent="0.2">
      <c r="B19" s="282" t="s">
        <v>1143</v>
      </c>
      <c r="C19" s="51"/>
      <c r="D19" s="51"/>
      <c r="E19" s="51"/>
      <c r="F19" s="51"/>
      <c r="G19" s="51"/>
      <c r="H19" s="51"/>
      <c r="I19" s="51"/>
      <c r="J19" s="56"/>
      <c r="K19" s="56"/>
      <c r="L19" s="24"/>
      <c r="M19" s="56"/>
      <c r="N19" s="56"/>
      <c r="O19" s="56"/>
      <c r="P19" s="55"/>
      <c r="Q19" s="267"/>
      <c r="S19" s="262"/>
    </row>
    <row r="20" spans="1:19" x14ac:dyDescent="0.2">
      <c r="A20" s="254"/>
      <c r="B20" s="56"/>
      <c r="C20" s="279"/>
      <c r="D20" s="279"/>
      <c r="E20" s="279"/>
      <c r="F20" s="279"/>
      <c r="G20" s="279"/>
      <c r="H20" s="279"/>
      <c r="I20" s="279"/>
      <c r="J20" s="279"/>
      <c r="K20" s="279"/>
      <c r="L20" s="280"/>
      <c r="M20" s="54"/>
      <c r="N20" s="281"/>
      <c r="O20" s="56"/>
      <c r="P20" s="55"/>
      <c r="Q20" s="267"/>
      <c r="S20" s="262"/>
    </row>
    <row r="21" spans="1:19" x14ac:dyDescent="0.2">
      <c r="A21" s="254"/>
      <c r="F21" s="268"/>
      <c r="G21" s="268"/>
      <c r="H21" s="268"/>
      <c r="I21" s="268"/>
      <c r="J21" s="268"/>
      <c r="K21" s="268"/>
      <c r="L21" s="270"/>
      <c r="M21" s="254"/>
      <c r="N21" s="269"/>
      <c r="P21" s="266"/>
      <c r="Q21" s="267"/>
      <c r="S21" s="262"/>
    </row>
    <row r="22" spans="1:19" x14ac:dyDescent="0.2">
      <c r="A22" s="254"/>
      <c r="F22" s="255"/>
      <c r="G22" s="255"/>
      <c r="H22" s="255"/>
      <c r="I22" s="255"/>
      <c r="J22" s="254"/>
      <c r="K22" s="254"/>
      <c r="L22" s="254"/>
      <c r="M22" s="254"/>
      <c r="N22" s="269"/>
      <c r="P22" s="266"/>
      <c r="Q22" s="267"/>
      <c r="S22" s="262"/>
    </row>
    <row r="23" spans="1:19" x14ac:dyDescent="0.2">
      <c r="F23" s="224"/>
      <c r="G23" s="224"/>
      <c r="H23" s="224"/>
      <c r="I23" s="224"/>
      <c r="K23" s="141"/>
      <c r="L23" s="141"/>
      <c r="P23" s="266"/>
      <c r="Q23" s="267"/>
      <c r="S23" s="262"/>
    </row>
    <row r="24" spans="1:19" x14ac:dyDescent="0.2">
      <c r="B24" s="171"/>
      <c r="C24" s="171"/>
      <c r="D24" s="171"/>
      <c r="E24" s="268"/>
      <c r="F24" s="224"/>
      <c r="G24" s="224"/>
      <c r="H24" s="224"/>
      <c r="I24" s="224"/>
      <c r="K24" s="141"/>
      <c r="L24" s="141"/>
      <c r="P24" s="266"/>
      <c r="Q24" s="267"/>
      <c r="S24" s="262"/>
    </row>
    <row r="25" spans="1:19" x14ac:dyDescent="0.2">
      <c r="B25" s="171"/>
      <c r="C25" s="171"/>
      <c r="D25" s="171"/>
      <c r="E25" s="255"/>
      <c r="F25" s="171"/>
      <c r="G25" s="171"/>
      <c r="H25" s="224"/>
      <c r="I25" s="224"/>
      <c r="K25" s="141"/>
      <c r="L25" s="141"/>
      <c r="M25" s="266"/>
      <c r="N25" s="269"/>
      <c r="O25" s="269"/>
      <c r="P25" s="267"/>
      <c r="Q25" s="263"/>
    </row>
    <row r="26" spans="1:19" x14ac:dyDescent="0.2">
      <c r="B26" s="171"/>
      <c r="C26" s="171"/>
      <c r="D26" s="171"/>
      <c r="E26" s="224"/>
      <c r="F26" s="171"/>
      <c r="G26" s="171"/>
      <c r="H26" s="224"/>
      <c r="I26" s="224"/>
      <c r="K26" s="141"/>
      <c r="L26" s="141"/>
      <c r="M26" s="266"/>
      <c r="O26" s="262"/>
    </row>
    <row r="27" spans="1:19" x14ac:dyDescent="0.2">
      <c r="B27" s="171"/>
      <c r="C27" s="171"/>
      <c r="D27" s="171"/>
      <c r="E27" s="224"/>
      <c r="F27" s="171"/>
      <c r="G27" s="171"/>
      <c r="H27" s="224"/>
      <c r="I27" s="224"/>
      <c r="K27" s="141"/>
      <c r="L27" s="266"/>
      <c r="M27" s="267"/>
      <c r="N27" s="267"/>
    </row>
    <row r="28" spans="1:19" x14ac:dyDescent="0.2">
      <c r="B28" s="171"/>
      <c r="C28" s="171"/>
      <c r="D28" s="171"/>
      <c r="E28" s="171"/>
      <c r="F28" s="171"/>
      <c r="G28" s="171"/>
      <c r="H28" s="224"/>
      <c r="I28" s="224"/>
      <c r="J28" s="267"/>
      <c r="K28" s="141"/>
      <c r="M28" s="267"/>
      <c r="N28" s="262"/>
    </row>
    <row r="29" spans="1:19" x14ac:dyDescent="0.2">
      <c r="E29" s="171"/>
      <c r="F29" s="171"/>
      <c r="G29" s="171"/>
      <c r="H29" s="224"/>
      <c r="I29" s="224"/>
      <c r="K29" s="145"/>
      <c r="M29" s="267"/>
      <c r="N29" s="262"/>
    </row>
    <row r="30" spans="1:19" x14ac:dyDescent="0.2">
      <c r="B30" s="224"/>
      <c r="C30" s="224"/>
      <c r="D30" s="224"/>
      <c r="E30" s="224"/>
      <c r="F30" s="224"/>
      <c r="G30" s="224"/>
      <c r="H30" s="224"/>
      <c r="I30" s="224"/>
      <c r="K30" s="145"/>
      <c r="N30" s="262"/>
    </row>
    <row r="31" spans="1:19" x14ac:dyDescent="0.2">
      <c r="B31" s="224"/>
      <c r="C31" s="224"/>
      <c r="D31" s="224"/>
      <c r="E31" s="224"/>
      <c r="F31" s="224"/>
      <c r="G31" s="224"/>
      <c r="H31" s="224"/>
      <c r="I31" s="224"/>
      <c r="K31" s="145"/>
      <c r="N31" s="262"/>
    </row>
    <row r="32" spans="1:19" x14ac:dyDescent="0.2">
      <c r="B32" s="224"/>
      <c r="C32" s="224"/>
      <c r="D32" s="224"/>
      <c r="E32" s="224"/>
      <c r="F32" s="224"/>
      <c r="G32" s="224"/>
      <c r="H32" s="224"/>
      <c r="I32" s="224"/>
      <c r="K32" s="145"/>
      <c r="N32" s="262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2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2"/>
    </row>
    <row r="35" spans="2:14" ht="14.25" x14ac:dyDescent="0.2">
      <c r="B35" s="271"/>
      <c r="C35" s="224"/>
      <c r="D35" s="224"/>
      <c r="E35" s="224"/>
      <c r="F35" s="224"/>
      <c r="G35" s="224"/>
      <c r="H35" s="224"/>
      <c r="I35" s="224"/>
      <c r="K35" s="145"/>
      <c r="N35" s="262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2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2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2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2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2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2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2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2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2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2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2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2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2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2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2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2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2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2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2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2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2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2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2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2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2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2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2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2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2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2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2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N67" s="262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N68" s="262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N69" s="262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N70" s="262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7.28515625" style="142" customWidth="1"/>
    <col min="10" max="14" width="7.28515625" style="137" customWidth="1"/>
    <col min="15" max="21" width="10.7109375" style="137" customWidth="1"/>
    <col min="22" max="42" width="10.140625" style="137" customWidth="1"/>
    <col min="43" max="16384" width="9.140625" style="137"/>
  </cols>
  <sheetData>
    <row r="2" spans="1:27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  <c r="Q2" s="56"/>
    </row>
    <row r="3" spans="1:27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  <c r="Q3" s="56"/>
    </row>
    <row r="4" spans="1:27" x14ac:dyDescent="0.2"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  <c r="Q4" s="56"/>
    </row>
    <row r="5" spans="1:27" x14ac:dyDescent="0.2">
      <c r="B5" s="56"/>
      <c r="C5" s="51"/>
      <c r="D5" s="51"/>
      <c r="E5" s="51"/>
      <c r="F5" s="51"/>
      <c r="G5" s="51"/>
      <c r="H5" s="51"/>
      <c r="I5" s="51"/>
      <c r="J5" s="56"/>
      <c r="K5" s="56"/>
      <c r="L5" s="56"/>
      <c r="M5" s="56"/>
      <c r="N5" s="56"/>
      <c r="O5" s="56"/>
      <c r="P5" s="56"/>
      <c r="Q5" s="56"/>
    </row>
    <row r="6" spans="1:27" ht="18" x14ac:dyDescent="0.25">
      <c r="B6" s="149" t="s">
        <v>6</v>
      </c>
      <c r="C6" s="51"/>
      <c r="D6" s="51"/>
      <c r="E6" s="51"/>
      <c r="F6" s="51"/>
      <c r="G6" s="51"/>
      <c r="H6" s="51"/>
      <c r="I6" s="51"/>
      <c r="J6" s="24" t="s">
        <v>1151</v>
      </c>
      <c r="K6" s="56"/>
      <c r="L6" s="56"/>
      <c r="M6" s="56"/>
      <c r="N6" s="56"/>
      <c r="O6" s="56"/>
      <c r="P6" s="149"/>
      <c r="Q6" s="56"/>
    </row>
    <row r="7" spans="1:27" x14ac:dyDescent="0.2">
      <c r="B7" s="56"/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56"/>
      <c r="Q7" s="56"/>
    </row>
    <row r="8" spans="1:27" x14ac:dyDescent="0.2">
      <c r="B8" s="25" t="s">
        <v>4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273"/>
      <c r="Q8" s="56"/>
    </row>
    <row r="9" spans="1:27" x14ac:dyDescent="0.2">
      <c r="B9" s="291" t="s">
        <v>1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273"/>
      <c r="Q9" s="56"/>
    </row>
    <row r="10" spans="1:27" x14ac:dyDescent="0.2">
      <c r="B10" s="25" t="s">
        <v>2</v>
      </c>
      <c r="C10" s="51"/>
      <c r="D10" s="51"/>
      <c r="E10" s="51"/>
      <c r="F10" s="51"/>
      <c r="G10" s="51"/>
      <c r="H10" s="51"/>
      <c r="I10" s="51"/>
      <c r="J10" s="56"/>
      <c r="K10" s="56"/>
      <c r="L10" s="56"/>
      <c r="M10" s="56"/>
      <c r="N10" s="56"/>
      <c r="O10" s="56"/>
      <c r="P10" s="273"/>
      <c r="Q10" s="56"/>
    </row>
    <row r="11" spans="1:27" x14ac:dyDescent="0.2">
      <c r="B11" s="25" t="s">
        <v>3</v>
      </c>
      <c r="C11" s="51"/>
      <c r="D11" s="51"/>
      <c r="E11" s="51"/>
      <c r="F11" s="51"/>
      <c r="G11" s="51"/>
      <c r="H11" s="51"/>
      <c r="I11" s="51"/>
      <c r="J11" s="56"/>
      <c r="K11" s="56"/>
      <c r="L11" s="56"/>
      <c r="M11" s="56"/>
      <c r="N11" s="56"/>
      <c r="O11" s="56"/>
      <c r="P11" s="273"/>
      <c r="Q11" s="56"/>
    </row>
    <row r="12" spans="1:27" x14ac:dyDescent="0.2">
      <c r="B12" s="273"/>
      <c r="C12" s="51"/>
      <c r="D12" s="51"/>
      <c r="E12" s="51"/>
      <c r="F12" s="51"/>
      <c r="G12" s="51"/>
      <c r="H12" s="51"/>
      <c r="I12" s="51"/>
      <c r="J12" s="56"/>
      <c r="K12" s="56"/>
      <c r="L12" s="56"/>
      <c r="M12" s="56"/>
      <c r="N12" s="56"/>
      <c r="O12" s="56"/>
      <c r="P12" s="56"/>
      <c r="Q12" s="56"/>
    </row>
    <row r="13" spans="1:27" ht="39" customHeight="1" x14ac:dyDescent="0.2">
      <c r="B13" s="273"/>
      <c r="C13" s="51"/>
      <c r="D13" s="51"/>
      <c r="E13" s="51"/>
      <c r="F13" s="51"/>
      <c r="G13" s="51"/>
      <c r="H13" s="51"/>
      <c r="I13" s="51"/>
      <c r="J13" s="56"/>
      <c r="K13" s="56"/>
      <c r="L13" s="56"/>
      <c r="M13" s="56"/>
      <c r="N13" s="56"/>
      <c r="O13" s="56"/>
      <c r="P13" s="56"/>
      <c r="Q13" s="56"/>
    </row>
    <row r="14" spans="1:27" s="221" customFormat="1" ht="12.75" customHeight="1" x14ac:dyDescent="0.2">
      <c r="B14" s="274"/>
      <c r="C14" s="275"/>
      <c r="D14" s="275"/>
      <c r="E14" s="275"/>
      <c r="F14" s="275"/>
      <c r="G14" s="275"/>
      <c r="H14" s="275"/>
      <c r="I14" s="274"/>
      <c r="J14" s="276"/>
      <c r="K14" s="276"/>
      <c r="L14" s="276"/>
      <c r="M14" s="276"/>
      <c r="N14" s="276"/>
      <c r="O14" s="276"/>
      <c r="P14" s="276"/>
      <c r="Q14" s="276"/>
      <c r="R14" s="256"/>
      <c r="S14" s="256"/>
      <c r="T14" s="256"/>
    </row>
    <row r="15" spans="1:27" s="221" customFormat="1" x14ac:dyDescent="0.2">
      <c r="A15" s="257"/>
      <c r="B15" s="320"/>
      <c r="C15" s="321">
        <v>2000</v>
      </c>
      <c r="D15" s="321">
        <v>2001</v>
      </c>
      <c r="E15" s="321">
        <v>2002</v>
      </c>
      <c r="F15" s="321">
        <v>2003</v>
      </c>
      <c r="G15" s="321">
        <v>2004</v>
      </c>
      <c r="H15" s="321">
        <v>2005</v>
      </c>
      <c r="I15" s="322">
        <v>39082</v>
      </c>
      <c r="J15" s="322">
        <v>39447</v>
      </c>
      <c r="K15" s="322">
        <v>39448</v>
      </c>
      <c r="L15" s="322">
        <v>40178</v>
      </c>
      <c r="M15" s="323">
        <v>40543</v>
      </c>
      <c r="N15" s="323">
        <v>40908</v>
      </c>
      <c r="O15" s="323">
        <v>41274</v>
      </c>
      <c r="P15" s="322">
        <v>41639</v>
      </c>
      <c r="Q15" s="324">
        <v>41882</v>
      </c>
      <c r="R15" s="257"/>
      <c r="S15" s="257"/>
      <c r="T15" s="257"/>
      <c r="U15" s="257"/>
      <c r="V15" s="257"/>
      <c r="W15" s="257"/>
      <c r="X15" s="257"/>
      <c r="Y15" s="257"/>
      <c r="Z15" s="257"/>
      <c r="AA15" s="257"/>
    </row>
    <row r="16" spans="1:27" x14ac:dyDescent="0.2">
      <c r="B16" s="56" t="s">
        <v>522</v>
      </c>
      <c r="C16" s="50">
        <v>55.831616023629408</v>
      </c>
      <c r="D16" s="50">
        <v>74.033547998326426</v>
      </c>
      <c r="E16" s="50">
        <v>93.93715098490317</v>
      </c>
      <c r="F16" s="50">
        <v>114.64956724755694</v>
      </c>
      <c r="G16" s="50">
        <v>136.62021154457284</v>
      </c>
      <c r="H16" s="50">
        <v>159.77779842054943</v>
      </c>
      <c r="I16" s="50">
        <v>209</v>
      </c>
      <c r="J16" s="50">
        <v>235.50159071018251</v>
      </c>
      <c r="K16" s="50">
        <v>263.98657166722467</v>
      </c>
      <c r="L16" s="50">
        <v>293.39683174242759</v>
      </c>
      <c r="M16" s="292">
        <v>323.04324834873717</v>
      </c>
      <c r="N16" s="292">
        <v>354.29697772737427</v>
      </c>
      <c r="O16" s="50">
        <v>387</v>
      </c>
      <c r="P16" s="50">
        <v>421</v>
      </c>
      <c r="Q16" s="50">
        <v>423</v>
      </c>
    </row>
    <row r="17" spans="2:18" x14ac:dyDescent="0.2">
      <c r="B17" s="329" t="s">
        <v>523</v>
      </c>
      <c r="C17" s="330">
        <v>52.735199475111202</v>
      </c>
      <c r="D17" s="330">
        <v>65.023593666597904</v>
      </c>
      <c r="E17" s="330">
        <v>59.275358189472996</v>
      </c>
      <c r="F17" s="330">
        <v>93.920076415257597</v>
      </c>
      <c r="G17" s="330">
        <v>124.75628531142399</v>
      </c>
      <c r="H17" s="330">
        <v>192.35696213467801</v>
      </c>
      <c r="I17" s="330">
        <v>267</v>
      </c>
      <c r="J17" s="330">
        <v>308.29568458589898</v>
      </c>
      <c r="K17" s="330">
        <v>230.23493756186801</v>
      </c>
      <c r="L17" s="331">
        <v>340.16227208294498</v>
      </c>
      <c r="M17" s="332">
        <v>408.47751268748601</v>
      </c>
      <c r="N17" s="332">
        <v>393.15689279941199</v>
      </c>
      <c r="O17" s="330">
        <v>471</v>
      </c>
      <c r="P17" s="330">
        <v>602</v>
      </c>
      <c r="Q17" s="330">
        <v>681</v>
      </c>
    </row>
    <row r="18" spans="2:18" x14ac:dyDescent="0.2">
      <c r="B18" s="56"/>
      <c r="C18" s="277"/>
      <c r="D18" s="277"/>
      <c r="E18" s="277"/>
      <c r="F18" s="277"/>
      <c r="G18" s="277"/>
      <c r="H18" s="277"/>
      <c r="I18" s="277"/>
      <c r="J18" s="56"/>
      <c r="K18" s="50"/>
      <c r="L18" s="56"/>
      <c r="M18" s="56"/>
      <c r="N18" s="292"/>
      <c r="O18" s="56"/>
      <c r="P18" s="56"/>
      <c r="Q18" s="56"/>
    </row>
    <row r="19" spans="2:18" x14ac:dyDescent="0.2">
      <c r="B19" s="224"/>
      <c r="C19" s="224"/>
      <c r="D19" s="224"/>
      <c r="E19" s="224"/>
      <c r="F19" s="224"/>
      <c r="G19" s="224"/>
      <c r="H19" s="224"/>
      <c r="I19" s="224"/>
      <c r="K19" s="141"/>
      <c r="L19" s="288"/>
      <c r="N19" s="262"/>
    </row>
    <row r="20" spans="2:18" x14ac:dyDescent="0.2">
      <c r="B20" s="224"/>
      <c r="C20" s="224"/>
      <c r="D20" s="224"/>
      <c r="E20" s="224"/>
      <c r="F20" s="224"/>
      <c r="G20" s="224"/>
      <c r="H20" s="224"/>
      <c r="I20" s="224"/>
      <c r="K20" s="141"/>
      <c r="N20" s="262"/>
      <c r="P20" s="254"/>
      <c r="Q20" s="254"/>
      <c r="R20" s="254"/>
    </row>
    <row r="21" spans="2:18" x14ac:dyDescent="0.2">
      <c r="B21" s="224"/>
      <c r="C21" s="224"/>
      <c r="D21" s="224"/>
      <c r="E21" s="224"/>
      <c r="F21" s="224"/>
      <c r="G21" s="224"/>
      <c r="H21" s="224"/>
      <c r="I21" s="224"/>
      <c r="K21" s="141"/>
      <c r="N21" s="262"/>
      <c r="P21" s="254"/>
      <c r="Q21" s="174"/>
      <c r="R21" s="254"/>
    </row>
    <row r="22" spans="2:18" x14ac:dyDescent="0.2">
      <c r="B22" s="289"/>
      <c r="C22" s="224"/>
      <c r="D22" s="224"/>
      <c r="E22" s="224"/>
      <c r="F22" s="224"/>
      <c r="G22" s="224"/>
      <c r="H22" s="224"/>
      <c r="I22" s="224"/>
      <c r="K22" s="141"/>
      <c r="L22" s="289"/>
      <c r="N22" s="262"/>
      <c r="P22" s="254"/>
      <c r="Q22" s="174"/>
      <c r="R22" s="254"/>
    </row>
    <row r="23" spans="2:18" x14ac:dyDescent="0.2">
      <c r="B23" s="289"/>
      <c r="C23" s="224"/>
      <c r="D23" s="224"/>
      <c r="E23" s="224"/>
      <c r="F23" s="224"/>
      <c r="G23" s="290"/>
      <c r="H23" s="290"/>
      <c r="I23" s="224"/>
      <c r="K23" s="141"/>
      <c r="N23" s="262"/>
      <c r="P23" s="254"/>
      <c r="Q23" s="254"/>
      <c r="R23" s="254"/>
    </row>
    <row r="24" spans="2:18" x14ac:dyDescent="0.2">
      <c r="B24" s="224"/>
      <c r="C24" s="224"/>
      <c r="D24" s="224"/>
      <c r="E24" s="224"/>
      <c r="F24" s="224"/>
      <c r="G24" s="290"/>
      <c r="H24" s="290"/>
      <c r="K24" s="141"/>
      <c r="N24" s="262"/>
      <c r="P24" s="254"/>
      <c r="Q24" s="254"/>
      <c r="R24" s="254"/>
    </row>
    <row r="25" spans="2:18" x14ac:dyDescent="0.2">
      <c r="B25" s="224"/>
      <c r="C25" s="224"/>
      <c r="D25" s="224"/>
      <c r="E25" s="224"/>
      <c r="F25" s="224"/>
      <c r="G25" s="290"/>
      <c r="H25" s="290"/>
      <c r="K25" s="141"/>
      <c r="N25" s="262"/>
    </row>
    <row r="26" spans="2:18" x14ac:dyDescent="0.2">
      <c r="B26" s="224"/>
      <c r="C26" s="224"/>
      <c r="D26" s="224"/>
      <c r="E26" s="224"/>
      <c r="F26" s="224"/>
      <c r="G26" s="224"/>
      <c r="H26" s="224"/>
      <c r="I26" s="224"/>
      <c r="K26" s="141"/>
      <c r="N26" s="262"/>
    </row>
    <row r="27" spans="2:18" x14ac:dyDescent="0.2">
      <c r="B27" s="224"/>
      <c r="C27" s="224"/>
      <c r="D27" s="224"/>
      <c r="E27" s="224"/>
      <c r="F27" s="224"/>
      <c r="G27" s="224"/>
      <c r="H27" s="224"/>
      <c r="I27" s="224"/>
      <c r="K27" s="141"/>
      <c r="N27" s="262"/>
    </row>
    <row r="28" spans="2:18" x14ac:dyDescent="0.2">
      <c r="B28" s="224"/>
      <c r="C28" s="224"/>
      <c r="D28" s="224"/>
      <c r="E28" s="224"/>
      <c r="F28" s="224"/>
      <c r="G28" s="224"/>
      <c r="H28" s="224"/>
      <c r="I28" s="224"/>
      <c r="K28" s="141"/>
      <c r="N28" s="262"/>
    </row>
    <row r="29" spans="2:18" x14ac:dyDescent="0.2">
      <c r="B29" s="224"/>
      <c r="C29" s="224"/>
      <c r="D29" s="224"/>
      <c r="E29" s="224"/>
      <c r="F29" s="224"/>
      <c r="G29" s="224"/>
      <c r="H29" s="224"/>
      <c r="I29" s="224"/>
      <c r="K29" s="141"/>
      <c r="N29" s="262"/>
    </row>
    <row r="30" spans="2:18" x14ac:dyDescent="0.2">
      <c r="B30" s="224"/>
      <c r="C30" s="224"/>
      <c r="D30" s="224"/>
      <c r="E30" s="224"/>
      <c r="F30" s="224"/>
      <c r="G30" s="224"/>
      <c r="H30" s="224"/>
      <c r="I30" s="224"/>
      <c r="K30" s="141"/>
      <c r="N30" s="262"/>
    </row>
    <row r="31" spans="2:18" x14ac:dyDescent="0.2">
      <c r="B31" s="224"/>
      <c r="C31" s="224"/>
      <c r="D31" s="224"/>
      <c r="E31" s="224"/>
      <c r="F31" s="224"/>
      <c r="G31" s="224"/>
      <c r="H31" s="224"/>
      <c r="I31" s="224"/>
      <c r="K31" s="141"/>
      <c r="N31" s="262"/>
    </row>
    <row r="32" spans="2:18" x14ac:dyDescent="0.2">
      <c r="B32" s="224"/>
      <c r="C32" s="224"/>
      <c r="D32" s="224"/>
      <c r="E32" s="224"/>
      <c r="F32" s="224"/>
      <c r="G32" s="224"/>
      <c r="H32" s="224"/>
      <c r="I32" s="224"/>
      <c r="K32" s="141"/>
      <c r="N32" s="262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2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2"/>
    </row>
    <row r="35" spans="2:14" x14ac:dyDescent="0.2">
      <c r="B35" s="224"/>
      <c r="C35" s="224"/>
      <c r="D35" s="224"/>
      <c r="E35" s="224"/>
      <c r="F35" s="224"/>
      <c r="G35" s="224"/>
      <c r="H35" s="224"/>
      <c r="I35" s="224"/>
      <c r="K35" s="145"/>
      <c r="N35" s="262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2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2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2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2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2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2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2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2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2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2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2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2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2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2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2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2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2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2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2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2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2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2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2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2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2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2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2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2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2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2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2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K67" s="145"/>
      <c r="N67" s="262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K68" s="145"/>
      <c r="N68" s="262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K69" s="145"/>
      <c r="N69" s="262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K70" s="145"/>
      <c r="N70" s="262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  <c r="K71" s="145"/>
      <c r="N71" s="262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  <c r="K72" s="145"/>
      <c r="N72" s="262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  <c r="K73" s="145"/>
      <c r="N73" s="262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  <row r="91" spans="2:9" x14ac:dyDescent="0.2">
      <c r="B91" s="224"/>
      <c r="C91" s="224"/>
      <c r="D91" s="224"/>
      <c r="E91" s="224"/>
      <c r="F91" s="224"/>
      <c r="G91" s="224"/>
      <c r="H91" s="224"/>
      <c r="I91" s="224"/>
    </row>
    <row r="92" spans="2:9" x14ac:dyDescent="0.2">
      <c r="B92" s="224"/>
      <c r="C92" s="224"/>
      <c r="D92" s="224"/>
      <c r="E92" s="224"/>
      <c r="F92" s="224"/>
      <c r="G92" s="224"/>
      <c r="H92" s="224"/>
      <c r="I92" s="224"/>
    </row>
    <row r="93" spans="2:9" x14ac:dyDescent="0.2">
      <c r="B93" s="224"/>
      <c r="C93" s="224"/>
      <c r="D93" s="224"/>
      <c r="E93" s="224"/>
      <c r="F93" s="224"/>
      <c r="G93" s="224"/>
      <c r="H93" s="224"/>
      <c r="I93" s="224"/>
    </row>
    <row r="94" spans="2:9" x14ac:dyDescent="0.2">
      <c r="B94" s="224"/>
      <c r="C94" s="224"/>
      <c r="D94" s="224"/>
      <c r="E94" s="224"/>
      <c r="F94" s="224"/>
      <c r="G94" s="224"/>
      <c r="H94" s="224"/>
      <c r="I94" s="224"/>
    </row>
    <row r="95" spans="2:9" x14ac:dyDescent="0.2">
      <c r="B95" s="224"/>
      <c r="C95" s="224"/>
      <c r="D95" s="224"/>
      <c r="E95" s="224"/>
      <c r="F95" s="224"/>
      <c r="G95" s="224"/>
      <c r="H95" s="224"/>
      <c r="I95" s="224"/>
    </row>
    <row r="96" spans="2:9" x14ac:dyDescent="0.2">
      <c r="B96" s="224"/>
      <c r="C96" s="224"/>
      <c r="D96" s="224"/>
      <c r="E96" s="224"/>
      <c r="F96" s="224"/>
      <c r="G96" s="224"/>
      <c r="H96" s="224"/>
      <c r="I96" s="224"/>
    </row>
    <row r="97" spans="2:9" x14ac:dyDescent="0.2">
      <c r="B97" s="224"/>
      <c r="C97" s="224"/>
      <c r="D97" s="224"/>
      <c r="E97" s="224"/>
      <c r="F97" s="224"/>
      <c r="G97" s="224"/>
      <c r="H97" s="224"/>
      <c r="I97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31"/>
  <sheetViews>
    <sheetView showGridLines="0" showRowColHeaders="0" workbookViewId="0">
      <pane ySplit="23" topLeftCell="A17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37" customWidth="1"/>
    <col min="2" max="2" width="10.140625" style="137" bestFit="1" customWidth="1"/>
    <col min="3" max="7" width="26" style="137" customWidth="1"/>
    <col min="8" max="8" width="6.28515625" style="137" customWidth="1"/>
    <col min="9" max="9" width="26" style="137" customWidth="1"/>
    <col min="10" max="10" width="2.85546875" style="137" customWidth="1"/>
    <col min="11" max="11" width="10.140625" style="137" bestFit="1" customWidth="1"/>
    <col min="12" max="17" width="26" style="137" customWidth="1"/>
    <col min="18" max="43" width="10.140625" style="137" customWidth="1"/>
    <col min="44" max="16384" width="9.140625" style="137"/>
  </cols>
  <sheetData>
    <row r="2" spans="2:11" x14ac:dyDescent="0.2">
      <c r="B2" s="56"/>
      <c r="C2" s="56"/>
      <c r="D2" s="56"/>
      <c r="E2" s="56"/>
      <c r="F2" s="56"/>
      <c r="G2" s="56"/>
      <c r="H2" s="56"/>
    </row>
    <row r="3" spans="2:11" x14ac:dyDescent="0.2">
      <c r="B3" s="56"/>
      <c r="C3" s="56"/>
      <c r="D3" s="56"/>
      <c r="E3" s="56"/>
      <c r="F3" s="56"/>
      <c r="G3" s="56"/>
      <c r="H3" s="56"/>
    </row>
    <row r="4" spans="2:11" x14ac:dyDescent="0.2">
      <c r="B4" s="56"/>
      <c r="C4" s="56"/>
      <c r="D4" s="56"/>
      <c r="E4" s="56"/>
      <c r="F4" s="56"/>
      <c r="G4" s="56"/>
      <c r="H4" s="56"/>
    </row>
    <row r="5" spans="2:11" ht="18" x14ac:dyDescent="0.25">
      <c r="B5" s="272" t="s">
        <v>692</v>
      </c>
      <c r="C5" s="56"/>
      <c r="D5" s="56"/>
      <c r="E5" s="56"/>
      <c r="F5" s="56"/>
      <c r="G5" s="56"/>
      <c r="H5" s="56"/>
      <c r="I5" s="253"/>
      <c r="K5" s="253"/>
    </row>
    <row r="6" spans="2:11" ht="12.75" customHeight="1" x14ac:dyDescent="0.25">
      <c r="B6" s="149"/>
      <c r="C6" s="56"/>
      <c r="D6" s="56"/>
      <c r="E6" s="56"/>
      <c r="F6" s="56"/>
      <c r="G6" s="56"/>
      <c r="H6" s="56"/>
      <c r="I6" s="146"/>
      <c r="K6" s="253"/>
    </row>
    <row r="7" spans="2:11" x14ac:dyDescent="0.2">
      <c r="B7" s="24" t="s">
        <v>1151</v>
      </c>
      <c r="C7" s="56"/>
      <c r="D7" s="56"/>
      <c r="E7" s="56"/>
      <c r="F7" s="56"/>
      <c r="G7" s="56"/>
      <c r="H7" s="56"/>
      <c r="I7" s="146"/>
      <c r="K7" s="146"/>
    </row>
    <row r="8" spans="2:11" x14ac:dyDescent="0.2">
      <c r="B8" s="273"/>
      <c r="C8" s="56"/>
      <c r="D8" s="56"/>
      <c r="E8" s="56"/>
      <c r="F8" s="56"/>
      <c r="G8" s="56"/>
      <c r="H8" s="56"/>
      <c r="I8" s="146"/>
      <c r="K8" s="146"/>
    </row>
    <row r="9" spans="2:11" x14ac:dyDescent="0.2">
      <c r="B9" s="56"/>
      <c r="C9" s="56"/>
      <c r="D9" s="56"/>
      <c r="E9" s="56"/>
      <c r="F9" s="56"/>
      <c r="G9" s="56"/>
      <c r="H9" s="56"/>
      <c r="I9" s="146"/>
    </row>
    <row r="10" spans="2:11" x14ac:dyDescent="0.2">
      <c r="B10" s="25" t="s">
        <v>1146</v>
      </c>
      <c r="C10" s="56"/>
      <c r="D10" s="56"/>
      <c r="E10" s="56"/>
      <c r="F10" s="56"/>
      <c r="G10" s="56"/>
      <c r="H10" s="56"/>
      <c r="I10" s="146"/>
      <c r="K10" s="146"/>
    </row>
    <row r="11" spans="2:11" x14ac:dyDescent="0.2">
      <c r="B11" s="25" t="s">
        <v>1148</v>
      </c>
      <c r="C11" s="56"/>
      <c r="D11" s="56"/>
      <c r="E11" s="56"/>
      <c r="F11" s="56"/>
      <c r="G11" s="56"/>
      <c r="H11" s="56"/>
      <c r="I11" s="146"/>
      <c r="K11" s="146"/>
    </row>
    <row r="12" spans="2:11" x14ac:dyDescent="0.2">
      <c r="B12" s="25" t="s">
        <v>1149</v>
      </c>
      <c r="C12" s="56"/>
      <c r="D12" s="56"/>
      <c r="E12" s="56"/>
      <c r="F12" s="56"/>
      <c r="G12" s="56"/>
      <c r="H12" s="56"/>
      <c r="I12" s="146"/>
    </row>
    <row r="13" spans="2:11" x14ac:dyDescent="0.2">
      <c r="B13" s="25"/>
      <c r="C13" s="56"/>
      <c r="D13" s="56"/>
      <c r="E13" s="56"/>
      <c r="F13" s="56"/>
      <c r="G13" s="56"/>
      <c r="H13" s="56"/>
      <c r="I13" s="146"/>
    </row>
    <row r="14" spans="2:11" x14ac:dyDescent="0.2">
      <c r="B14" s="25" t="s">
        <v>5</v>
      </c>
      <c r="C14" s="56"/>
      <c r="D14" s="56"/>
      <c r="E14" s="56"/>
      <c r="F14" s="56"/>
      <c r="G14" s="56"/>
      <c r="H14" s="56"/>
      <c r="I14" s="293"/>
      <c r="K14" s="146"/>
    </row>
    <row r="15" spans="2:11" x14ac:dyDescent="0.2">
      <c r="B15" s="25" t="s">
        <v>631</v>
      </c>
      <c r="C15" s="56"/>
      <c r="D15" s="56"/>
      <c r="E15" s="56"/>
      <c r="F15" s="56"/>
      <c r="G15" s="56"/>
      <c r="H15" s="56"/>
      <c r="I15" s="293"/>
      <c r="K15" s="146"/>
    </row>
    <row r="16" spans="2:11" x14ac:dyDescent="0.2">
      <c r="B16" s="273"/>
      <c r="C16" s="56"/>
      <c r="D16" s="56"/>
      <c r="E16" s="56"/>
      <c r="F16" s="56"/>
      <c r="G16" s="56"/>
      <c r="H16" s="56"/>
      <c r="I16" s="293"/>
      <c r="K16" s="146"/>
    </row>
    <row r="17" spans="2:22" x14ac:dyDescent="0.2">
      <c r="B17" s="273"/>
      <c r="C17" s="56"/>
      <c r="D17" s="56"/>
      <c r="E17" s="56"/>
      <c r="F17" s="56"/>
      <c r="G17" s="56"/>
      <c r="H17" s="56"/>
      <c r="I17" s="293"/>
      <c r="K17" s="146"/>
    </row>
    <row r="18" spans="2:22" x14ac:dyDescent="0.2">
      <c r="B18" s="273"/>
      <c r="C18" s="56"/>
      <c r="D18" s="56"/>
      <c r="E18" s="56"/>
      <c r="F18" s="56"/>
      <c r="G18" s="56"/>
      <c r="H18" s="56"/>
      <c r="I18" s="146"/>
      <c r="K18" s="146"/>
    </row>
    <row r="19" spans="2:22" x14ac:dyDescent="0.2">
      <c r="B19" s="56"/>
      <c r="C19" s="302"/>
      <c r="D19" s="302"/>
      <c r="E19" s="302"/>
      <c r="F19" s="302"/>
      <c r="G19" s="302"/>
      <c r="H19" s="302"/>
      <c r="I19" s="146"/>
      <c r="L19" s="294"/>
      <c r="M19" s="294"/>
      <c r="N19" s="294"/>
      <c r="O19" s="294"/>
      <c r="P19" s="294"/>
      <c r="Q19" s="294"/>
      <c r="R19" s="294"/>
      <c r="S19" s="294"/>
      <c r="T19" s="294"/>
      <c r="U19" s="294"/>
      <c r="V19" s="254"/>
    </row>
    <row r="20" spans="2:22" x14ac:dyDescent="0.2">
      <c r="B20" s="56"/>
      <c r="C20" s="303"/>
      <c r="D20" s="303"/>
      <c r="E20" s="303"/>
      <c r="F20" s="303"/>
      <c r="G20" s="303"/>
      <c r="H20" s="303"/>
      <c r="I20" s="146"/>
      <c r="L20" s="295"/>
      <c r="M20" s="295"/>
      <c r="N20" s="295"/>
      <c r="O20" s="295"/>
      <c r="P20" s="295"/>
      <c r="Q20" s="295"/>
      <c r="R20" s="295"/>
      <c r="S20" s="295"/>
      <c r="T20" s="295"/>
      <c r="U20" s="295"/>
      <c r="V20" s="254"/>
    </row>
    <row r="21" spans="2:22" x14ac:dyDescent="0.2">
      <c r="B21" s="273"/>
      <c r="C21" s="303"/>
      <c r="D21" s="303"/>
      <c r="E21" s="303"/>
      <c r="F21" s="303"/>
      <c r="G21" s="303"/>
      <c r="H21" s="303"/>
      <c r="I21" s="295"/>
      <c r="K21" s="146"/>
      <c r="L21" s="295"/>
      <c r="M21" s="295"/>
      <c r="N21" s="295"/>
      <c r="O21" s="295"/>
      <c r="P21" s="295"/>
      <c r="Q21" s="295"/>
      <c r="R21" s="295"/>
      <c r="S21" s="295"/>
      <c r="T21" s="295"/>
      <c r="U21" s="295"/>
      <c r="V21" s="254"/>
    </row>
    <row r="22" spans="2:22" s="221" customFormat="1" ht="12.75" customHeight="1" x14ac:dyDescent="0.2">
      <c r="B22" s="318" t="s">
        <v>1147</v>
      </c>
      <c r="C22" s="356" t="s">
        <v>68</v>
      </c>
      <c r="D22" s="356" t="s">
        <v>69</v>
      </c>
      <c r="E22" s="356" t="s">
        <v>509</v>
      </c>
      <c r="F22" s="356" t="s">
        <v>510</v>
      </c>
      <c r="G22" s="276"/>
      <c r="H22" s="276"/>
      <c r="I22" s="256"/>
      <c r="K22" s="256"/>
      <c r="L22" s="355"/>
      <c r="M22" s="355"/>
      <c r="N22" s="355"/>
      <c r="O22" s="355"/>
      <c r="P22" s="256"/>
      <c r="Q22" s="256"/>
    </row>
    <row r="23" spans="2:22" s="221" customFormat="1" x14ac:dyDescent="0.2">
      <c r="B23" s="319"/>
      <c r="C23" s="356"/>
      <c r="D23" s="356"/>
      <c r="E23" s="356"/>
      <c r="F23" s="356"/>
      <c r="G23" s="304"/>
      <c r="H23" s="305"/>
      <c r="I23" s="297"/>
      <c r="K23" s="296"/>
      <c r="L23" s="355"/>
      <c r="M23" s="355"/>
      <c r="N23" s="355"/>
      <c r="O23" s="355"/>
      <c r="P23" s="297"/>
      <c r="Q23" s="298"/>
    </row>
    <row r="24" spans="2:22" x14ac:dyDescent="0.2">
      <c r="B24" s="306">
        <v>36873</v>
      </c>
      <c r="C24" s="250">
        <v>0</v>
      </c>
      <c r="D24" s="250">
        <v>0</v>
      </c>
      <c r="E24" s="250">
        <v>0</v>
      </c>
      <c r="F24" s="250"/>
      <c r="G24" s="56"/>
      <c r="H24" s="50"/>
      <c r="K24" s="225"/>
      <c r="L24" s="224"/>
      <c r="M24" s="224"/>
      <c r="N24" s="224"/>
      <c r="O24" s="224"/>
      <c r="Q24" s="141"/>
    </row>
    <row r="25" spans="2:22" x14ac:dyDescent="0.2">
      <c r="B25" s="306">
        <v>36891</v>
      </c>
      <c r="C25" s="250">
        <v>-4.5388155165690725E-2</v>
      </c>
      <c r="D25" s="250">
        <v>-4.4660831855340755E-2</v>
      </c>
      <c r="E25" s="250">
        <v>-4.5388155165690725E-2</v>
      </c>
      <c r="F25" s="250">
        <v>-4.4660831855340755E-2</v>
      </c>
      <c r="G25" s="56"/>
      <c r="H25" s="50"/>
      <c r="K25" s="225"/>
      <c r="L25" s="224"/>
      <c r="M25" s="224"/>
      <c r="N25" s="224"/>
      <c r="O25" s="224"/>
      <c r="Q25" s="141"/>
    </row>
    <row r="26" spans="2:22" x14ac:dyDescent="0.2">
      <c r="B26" s="306">
        <v>36922</v>
      </c>
      <c r="C26" s="250">
        <v>-2.3061835549637144E-2</v>
      </c>
      <c r="D26" s="250">
        <v>-1.9328789449330031E-2</v>
      </c>
      <c r="E26" s="250">
        <v>-2.3061835549637144E-2</v>
      </c>
      <c r="F26" s="250">
        <v>-1.9328789449330031E-2</v>
      </c>
      <c r="G26" s="56"/>
      <c r="H26" s="50"/>
      <c r="K26" s="225"/>
      <c r="L26" s="224"/>
      <c r="M26" s="224"/>
      <c r="N26" s="224"/>
      <c r="O26" s="224"/>
      <c r="Q26" s="141"/>
    </row>
    <row r="27" spans="2:22" x14ac:dyDescent="0.2">
      <c r="B27" s="306">
        <v>36950</v>
      </c>
      <c r="C27" s="250">
        <v>-9.3336214097018311E-2</v>
      </c>
      <c r="D27" s="250">
        <v>-9.2990949898273945E-2</v>
      </c>
      <c r="E27" s="250">
        <v>-9.3336214097018311E-2</v>
      </c>
      <c r="F27" s="250">
        <v>-9.2990949898273945E-2</v>
      </c>
      <c r="G27" s="56"/>
      <c r="H27" s="50"/>
      <c r="K27" s="225"/>
      <c r="L27" s="224"/>
      <c r="M27" s="224"/>
      <c r="N27" s="224"/>
      <c r="O27" s="224"/>
      <c r="Q27" s="141"/>
    </row>
    <row r="28" spans="2:22" x14ac:dyDescent="0.2">
      <c r="B28" s="306">
        <v>36981</v>
      </c>
      <c r="C28" s="250">
        <v>-0.15455948709528244</v>
      </c>
      <c r="D28" s="250">
        <v>-0.16063029954622343</v>
      </c>
      <c r="E28" s="250">
        <v>-0.15455948709528244</v>
      </c>
      <c r="F28" s="250">
        <v>-0.16063029954622343</v>
      </c>
      <c r="G28" s="56"/>
      <c r="H28" s="50"/>
      <c r="K28" s="225"/>
      <c r="L28" s="224"/>
      <c r="M28" s="224"/>
      <c r="N28" s="224"/>
      <c r="O28" s="224"/>
      <c r="Q28" s="141"/>
    </row>
    <row r="29" spans="2:22" x14ac:dyDescent="0.2">
      <c r="B29" s="306">
        <v>37011</v>
      </c>
      <c r="C29" s="250">
        <v>-0.10298425231858033</v>
      </c>
      <c r="D29" s="250">
        <v>-0.1170998991535821</v>
      </c>
      <c r="E29" s="250">
        <v>-0.10298425231858033</v>
      </c>
      <c r="F29" s="250">
        <v>-0.1170998991535821</v>
      </c>
      <c r="G29" s="56"/>
      <c r="H29" s="50"/>
      <c r="K29" s="225"/>
      <c r="L29" s="224"/>
      <c r="M29" s="224"/>
      <c r="N29" s="224"/>
      <c r="O29" s="224"/>
      <c r="Q29" s="141"/>
    </row>
    <row r="30" spans="2:22" x14ac:dyDescent="0.2">
      <c r="B30" s="306">
        <v>37042</v>
      </c>
      <c r="C30" s="250">
        <v>-7.016137882463358E-2</v>
      </c>
      <c r="D30" s="250">
        <v>-9.0924429539379514E-2</v>
      </c>
      <c r="E30" s="250">
        <v>-7.016137882463358E-2</v>
      </c>
      <c r="F30" s="250">
        <v>-9.0924429539379514E-2</v>
      </c>
      <c r="G30" s="56"/>
      <c r="H30" s="50"/>
      <c r="K30" s="225"/>
      <c r="L30" s="224"/>
      <c r="M30" s="224"/>
      <c r="N30" s="224"/>
      <c r="O30" s="224"/>
      <c r="Q30" s="141"/>
    </row>
    <row r="31" spans="2:22" x14ac:dyDescent="0.2">
      <c r="B31" s="306">
        <v>37072</v>
      </c>
      <c r="C31" s="250">
        <v>-9.557327690967421E-2</v>
      </c>
      <c r="D31" s="250">
        <v>-0.11445061440242799</v>
      </c>
      <c r="E31" s="250">
        <v>-9.557327690967421E-2</v>
      </c>
      <c r="F31" s="250">
        <v>-0.11445061440242799</v>
      </c>
      <c r="G31" s="56"/>
      <c r="H31" s="50"/>
      <c r="K31" s="225"/>
      <c r="L31" s="224"/>
      <c r="M31" s="224"/>
      <c r="N31" s="224"/>
      <c r="O31" s="224"/>
      <c r="Q31" s="141"/>
    </row>
    <row r="32" spans="2:22" x14ac:dyDescent="0.2">
      <c r="B32" s="306">
        <v>37103</v>
      </c>
      <c r="C32" s="250">
        <v>-0.13384481410068805</v>
      </c>
      <c r="D32" s="250">
        <v>-0.14747483201292899</v>
      </c>
      <c r="E32" s="250">
        <v>-0.13384481410068805</v>
      </c>
      <c r="F32" s="250">
        <v>-0.14747483201292899</v>
      </c>
      <c r="G32" s="56"/>
      <c r="H32" s="50"/>
      <c r="K32" s="225"/>
      <c r="L32" s="224"/>
      <c r="M32" s="224"/>
      <c r="N32" s="224"/>
      <c r="O32" s="224"/>
      <c r="Q32" s="141"/>
    </row>
    <row r="33" spans="2:17" x14ac:dyDescent="0.2">
      <c r="B33" s="306">
        <v>37134</v>
      </c>
      <c r="C33" s="250">
        <v>-0.18550338163818569</v>
      </c>
      <c r="D33" s="250">
        <v>-0.20041755738546863</v>
      </c>
      <c r="E33" s="250">
        <v>-0.18550338163818569</v>
      </c>
      <c r="F33" s="250">
        <v>-0.20041755738546863</v>
      </c>
      <c r="G33" s="56"/>
      <c r="H33" s="50"/>
      <c r="K33" s="225"/>
      <c r="L33" s="224"/>
      <c r="M33" s="224"/>
      <c r="N33" s="224"/>
      <c r="O33" s="224"/>
      <c r="Q33" s="141"/>
    </row>
    <row r="34" spans="2:17" x14ac:dyDescent="0.2">
      <c r="B34" s="306">
        <v>37164</v>
      </c>
      <c r="C34" s="250">
        <v>-0.25676123723683508</v>
      </c>
      <c r="D34" s="250">
        <v>-0.27658828092670085</v>
      </c>
      <c r="E34" s="250">
        <v>-0.25676123723683508</v>
      </c>
      <c r="F34" s="250">
        <v>-0.27658828092670085</v>
      </c>
      <c r="G34" s="56"/>
      <c r="H34" s="50"/>
      <c r="K34" s="225"/>
      <c r="L34" s="224"/>
      <c r="M34" s="224"/>
      <c r="N34" s="224"/>
      <c r="O34" s="224"/>
      <c r="Q34" s="141"/>
    </row>
    <row r="35" spans="2:17" x14ac:dyDescent="0.2">
      <c r="B35" s="306">
        <v>37195</v>
      </c>
      <c r="C35" s="250">
        <v>-0.21912568174453229</v>
      </c>
      <c r="D35" s="250">
        <v>-0.23769720027606334</v>
      </c>
      <c r="E35" s="250">
        <v>-0.21912568174453229</v>
      </c>
      <c r="F35" s="250">
        <v>-0.23769720027606334</v>
      </c>
      <c r="G35" s="56"/>
      <c r="H35" s="50"/>
      <c r="K35" s="225"/>
      <c r="L35" s="224"/>
      <c r="M35" s="224"/>
      <c r="N35" s="224"/>
      <c r="O35" s="224"/>
      <c r="Q35" s="141"/>
    </row>
    <row r="36" spans="2:17" x14ac:dyDescent="0.2">
      <c r="B36" s="306">
        <v>37225</v>
      </c>
      <c r="C36" s="250">
        <v>-0.16090624193691538</v>
      </c>
      <c r="D36" s="250">
        <v>-0.18116667814571941</v>
      </c>
      <c r="E36" s="250">
        <v>-0.16090624193691538</v>
      </c>
      <c r="F36" s="250">
        <v>-0.18116667814571941</v>
      </c>
      <c r="G36" s="56"/>
      <c r="H36" s="50"/>
      <c r="K36" s="225"/>
      <c r="L36" s="224"/>
      <c r="M36" s="224"/>
      <c r="N36" s="224"/>
      <c r="O36" s="224"/>
      <c r="Q36" s="141"/>
    </row>
    <row r="37" spans="2:17" x14ac:dyDescent="0.2">
      <c r="B37" s="306">
        <v>37256</v>
      </c>
      <c r="C37" s="250">
        <v>-0.15163030159442259</v>
      </c>
      <c r="D37" s="250">
        <v>-0.17303629027404399</v>
      </c>
      <c r="E37" s="250">
        <v>-0.15163030159442259</v>
      </c>
      <c r="F37" s="250">
        <v>-0.17303629027404399</v>
      </c>
      <c r="G37" s="56"/>
      <c r="H37" s="50"/>
      <c r="K37" s="225"/>
      <c r="L37" s="224"/>
      <c r="M37" s="224"/>
      <c r="N37" s="224"/>
      <c r="O37" s="224"/>
      <c r="Q37" s="141"/>
    </row>
    <row r="38" spans="2:17" x14ac:dyDescent="0.2">
      <c r="B38" s="306">
        <v>37287</v>
      </c>
      <c r="C38" s="250">
        <v>-0.16226125402914071</v>
      </c>
      <c r="D38" s="250">
        <v>-0.17982548286273181</v>
      </c>
      <c r="E38" s="250">
        <v>-0.18662022488362295</v>
      </c>
      <c r="F38" s="250">
        <v>-0.20507862007785627</v>
      </c>
      <c r="G38" s="56"/>
      <c r="H38" s="50"/>
      <c r="K38" s="225"/>
      <c r="L38" s="224"/>
      <c r="M38" s="224"/>
      <c r="N38" s="224"/>
      <c r="O38" s="224"/>
      <c r="Q38" s="141"/>
    </row>
    <row r="39" spans="2:17" x14ac:dyDescent="0.2">
      <c r="B39" s="306">
        <v>37315</v>
      </c>
      <c r="C39" s="250">
        <v>-0.15995282583486503</v>
      </c>
      <c r="D39" s="250">
        <v>-0.17789240716081489</v>
      </c>
      <c r="E39" s="250">
        <v>-0.19577125072951806</v>
      </c>
      <c r="F39" s="250">
        <v>-0.21577248539957083</v>
      </c>
      <c r="G39" s="56"/>
      <c r="H39" s="50"/>
      <c r="K39" s="225"/>
      <c r="L39" s="224"/>
      <c r="M39" s="224"/>
      <c r="N39" s="224"/>
      <c r="O39" s="224"/>
      <c r="Q39" s="141"/>
    </row>
    <row r="40" spans="2:17" x14ac:dyDescent="0.2">
      <c r="B40" s="306">
        <v>37346</v>
      </c>
      <c r="C40" s="250">
        <v>-0.13668758570700124</v>
      </c>
      <c r="D40" s="250">
        <v>-0.1598893652815141</v>
      </c>
      <c r="E40" s="250">
        <v>-0.17796435824374601</v>
      </c>
      <c r="F40" s="250">
        <v>-0.20548652285000768</v>
      </c>
      <c r="G40" s="56"/>
      <c r="H40" s="50"/>
      <c r="K40" s="225"/>
      <c r="L40" s="224"/>
      <c r="M40" s="224"/>
      <c r="N40" s="224"/>
      <c r="O40" s="224"/>
      <c r="Q40" s="141"/>
    </row>
    <row r="41" spans="2:17" x14ac:dyDescent="0.2">
      <c r="B41" s="306">
        <v>37376</v>
      </c>
      <c r="C41" s="250">
        <v>-0.16588858009420038</v>
      </c>
      <c r="D41" s="250">
        <v>-0.1893815764872061</v>
      </c>
      <c r="E41" s="250">
        <v>-0.22660606519990201</v>
      </c>
      <c r="F41" s="250">
        <v>-0.25551269083185868</v>
      </c>
      <c r="G41" s="56"/>
      <c r="H41" s="53"/>
      <c r="K41" s="225"/>
      <c r="L41" s="224"/>
      <c r="M41" s="224"/>
      <c r="N41" s="224"/>
      <c r="O41" s="224"/>
      <c r="Q41" s="145"/>
    </row>
    <row r="42" spans="2:17" x14ac:dyDescent="0.2">
      <c r="B42" s="306">
        <v>37407</v>
      </c>
      <c r="C42" s="250">
        <v>-0.17925892347518058</v>
      </c>
      <c r="D42" s="250">
        <v>-0.202477220739679</v>
      </c>
      <c r="E42" s="250">
        <v>-0.25645158127320089</v>
      </c>
      <c r="F42" s="250">
        <v>-0.28607394152218535</v>
      </c>
      <c r="G42" s="56"/>
      <c r="H42" s="53"/>
      <c r="K42" s="225"/>
      <c r="L42" s="224"/>
      <c r="M42" s="224"/>
      <c r="N42" s="224"/>
      <c r="O42" s="224"/>
      <c r="Q42" s="145"/>
    </row>
    <row r="43" spans="2:17" x14ac:dyDescent="0.2">
      <c r="B43" s="306">
        <v>37437</v>
      </c>
      <c r="C43" s="250">
        <v>-0.22050976223006347</v>
      </c>
      <c r="D43" s="250">
        <v>-0.24061222909381852</v>
      </c>
      <c r="E43" s="250">
        <v>-0.32593737992429506</v>
      </c>
      <c r="F43" s="250">
        <v>-0.35184388618635543</v>
      </c>
      <c r="G43" s="56"/>
      <c r="H43" s="53"/>
      <c r="K43" s="225"/>
      <c r="L43" s="224"/>
      <c r="M43" s="224"/>
      <c r="N43" s="224"/>
      <c r="O43" s="224"/>
      <c r="Q43" s="145"/>
    </row>
    <row r="44" spans="2:17" x14ac:dyDescent="0.2">
      <c r="B44" s="306">
        <v>37468</v>
      </c>
      <c r="C44" s="250">
        <v>-0.24416776840847387</v>
      </c>
      <c r="D44" s="250">
        <v>-0.26110857275586996</v>
      </c>
      <c r="E44" s="250">
        <v>-0.37284385787911678</v>
      </c>
      <c r="F44" s="250">
        <v>-0.39495439392157172</v>
      </c>
      <c r="G44" s="56"/>
      <c r="H44" s="53"/>
      <c r="K44" s="225"/>
      <c r="L44" s="224"/>
      <c r="M44" s="224"/>
      <c r="N44" s="224"/>
      <c r="O44" s="224"/>
      <c r="Q44" s="145"/>
    </row>
    <row r="45" spans="2:17" x14ac:dyDescent="0.2">
      <c r="B45" s="306">
        <v>37499</v>
      </c>
      <c r="C45" s="250">
        <v>-0.23780624183716714</v>
      </c>
      <c r="D45" s="250">
        <v>-0.25420894591188581</v>
      </c>
      <c r="E45" s="250">
        <v>-0.37825195439072901</v>
      </c>
      <c r="F45" s="250">
        <v>-0.40039202796785789</v>
      </c>
      <c r="G45" s="56"/>
      <c r="H45" s="53"/>
      <c r="K45" s="225"/>
      <c r="L45" s="224"/>
      <c r="M45" s="224"/>
      <c r="N45" s="224"/>
      <c r="O45" s="224"/>
      <c r="Q45" s="145"/>
    </row>
    <row r="46" spans="2:17" x14ac:dyDescent="0.2">
      <c r="B46" s="306">
        <v>37529</v>
      </c>
      <c r="C46" s="250">
        <v>-0.27439234057319351</v>
      </c>
      <c r="D46" s="250">
        <v>-0.29238390797011871</v>
      </c>
      <c r="E46" s="250">
        <v>-0.44458184201584461</v>
      </c>
      <c r="F46" s="250">
        <v>-0.46845774097472637</v>
      </c>
      <c r="G46" s="56"/>
      <c r="H46" s="53"/>
      <c r="K46" s="225"/>
      <c r="L46" s="224"/>
      <c r="M46" s="224"/>
      <c r="N46" s="224"/>
      <c r="O46" s="224"/>
      <c r="Q46" s="145"/>
    </row>
    <row r="47" spans="2:17" x14ac:dyDescent="0.2">
      <c r="B47" s="306">
        <v>37560</v>
      </c>
      <c r="C47" s="250">
        <v>-0.23343554860848559</v>
      </c>
      <c r="D47" s="250">
        <v>-0.2529240597264083</v>
      </c>
      <c r="E47" s="250">
        <v>-0.39921608781484508</v>
      </c>
      <c r="F47" s="250">
        <v>-0.42692108303906973</v>
      </c>
      <c r="G47" s="56"/>
      <c r="H47" s="53"/>
      <c r="K47" s="225"/>
      <c r="L47" s="224"/>
      <c r="M47" s="224"/>
      <c r="N47" s="224"/>
      <c r="O47" s="224"/>
      <c r="Q47" s="145"/>
    </row>
    <row r="48" spans="2:17" x14ac:dyDescent="0.2">
      <c r="B48" s="306">
        <v>37590</v>
      </c>
      <c r="C48" s="250">
        <v>-0.20070973309006235</v>
      </c>
      <c r="D48" s="250">
        <v>-0.21912139700742306</v>
      </c>
      <c r="E48" s="250">
        <v>-0.36113506922304062</v>
      </c>
      <c r="F48" s="250">
        <v>-0.3890432569526493</v>
      </c>
      <c r="G48" s="56"/>
      <c r="H48" s="53"/>
      <c r="K48" s="225"/>
      <c r="L48" s="224"/>
      <c r="M48" s="224"/>
      <c r="N48" s="224"/>
      <c r="O48" s="224"/>
      <c r="Q48" s="145"/>
    </row>
    <row r="49" spans="2:17" x14ac:dyDescent="0.2">
      <c r="B49" s="306">
        <v>37621</v>
      </c>
      <c r="C49" s="250">
        <v>-0.22785838594751284</v>
      </c>
      <c r="D49" s="250">
        <v>-0.24546098585877341</v>
      </c>
      <c r="E49" s="250">
        <v>-0.41650742840072186</v>
      </c>
      <c r="F49" s="250">
        <v>-0.44280807503042408</v>
      </c>
      <c r="G49" s="56"/>
      <c r="H49" s="53"/>
      <c r="K49" s="225"/>
      <c r="L49" s="224"/>
      <c r="M49" s="224"/>
      <c r="N49" s="224"/>
      <c r="O49" s="224"/>
      <c r="Q49" s="145"/>
    </row>
    <row r="50" spans="2:17" x14ac:dyDescent="0.2">
      <c r="B50" s="306">
        <v>37652</v>
      </c>
      <c r="C50" s="250">
        <v>-0.23460327412364324</v>
      </c>
      <c r="D50" s="250">
        <v>-0.25253463167868995</v>
      </c>
      <c r="E50" s="250">
        <v>-0.43969955560310947</v>
      </c>
      <c r="F50" s="250">
        <v>-0.46669954078600318</v>
      </c>
      <c r="G50" s="56"/>
      <c r="H50" s="53"/>
      <c r="K50" s="225"/>
      <c r="L50" s="224"/>
      <c r="M50" s="224"/>
      <c r="N50" s="224"/>
      <c r="O50" s="224"/>
      <c r="Q50" s="145"/>
    </row>
    <row r="51" spans="2:17" x14ac:dyDescent="0.2">
      <c r="B51" s="306">
        <v>37680</v>
      </c>
      <c r="C51" s="250">
        <v>-0.23240386065007368</v>
      </c>
      <c r="D51" s="250">
        <v>-0.25269517603713187</v>
      </c>
      <c r="E51" s="250">
        <v>-0.44849588278422881</v>
      </c>
      <c r="F51" s="250">
        <v>-0.47959722847491704</v>
      </c>
      <c r="G51" s="56"/>
      <c r="H51" s="53"/>
      <c r="K51" s="225"/>
      <c r="L51" s="224"/>
      <c r="M51" s="224"/>
      <c r="N51" s="224"/>
      <c r="O51" s="224"/>
      <c r="Q51" s="145"/>
    </row>
    <row r="52" spans="2:17" x14ac:dyDescent="0.2">
      <c r="B52" s="306">
        <v>37711</v>
      </c>
      <c r="C52" s="250">
        <v>-0.22512802037218171</v>
      </c>
      <c r="D52" s="250">
        <v>-0.24654438583516525</v>
      </c>
      <c r="E52" s="250">
        <v>-0.44851136723349694</v>
      </c>
      <c r="F52" s="250">
        <v>-0.4822156403582547</v>
      </c>
      <c r="G52" s="56"/>
      <c r="H52" s="53"/>
      <c r="K52" s="225"/>
      <c r="L52" s="224"/>
      <c r="M52" s="224"/>
      <c r="N52" s="224"/>
      <c r="O52" s="224"/>
      <c r="Q52" s="145"/>
    </row>
    <row r="53" spans="2:17" x14ac:dyDescent="0.2">
      <c r="B53" s="306">
        <v>37741</v>
      </c>
      <c r="C53" s="250">
        <v>-0.19717702713728946</v>
      </c>
      <c r="D53" s="250">
        <v>-0.21738415643477516</v>
      </c>
      <c r="E53" s="250">
        <v>-0.41183682582898196</v>
      </c>
      <c r="F53" s="250">
        <v>-0.44580177240055074</v>
      </c>
      <c r="G53" s="56"/>
      <c r="H53" s="53"/>
      <c r="K53" s="225"/>
      <c r="L53" s="224"/>
      <c r="M53" s="224"/>
      <c r="N53" s="224"/>
      <c r="O53" s="224"/>
      <c r="Q53" s="145"/>
    </row>
    <row r="54" spans="2:17" x14ac:dyDescent="0.2">
      <c r="B54" s="306">
        <v>37772</v>
      </c>
      <c r="C54" s="250">
        <v>-0.18833333094140081</v>
      </c>
      <c r="D54" s="250">
        <v>-0.20771433610726042</v>
      </c>
      <c r="E54" s="250">
        <v>-0.40646780652014425</v>
      </c>
      <c r="F54" s="250">
        <v>-0.44014036902277165</v>
      </c>
      <c r="G54" s="56"/>
      <c r="H54" s="53"/>
      <c r="K54" s="225"/>
      <c r="L54" s="224"/>
      <c r="M54" s="224"/>
      <c r="N54" s="224"/>
      <c r="O54" s="224"/>
      <c r="Q54" s="145"/>
    </row>
    <row r="55" spans="2:17" x14ac:dyDescent="0.2">
      <c r="B55" s="306">
        <v>37802</v>
      </c>
      <c r="C55" s="250">
        <v>-0.16813844327559169</v>
      </c>
      <c r="D55" s="250">
        <v>-0.18641163030864216</v>
      </c>
      <c r="E55" s="250">
        <v>-0.37846552335272365</v>
      </c>
      <c r="F55" s="250">
        <v>-0.41203778532502877</v>
      </c>
      <c r="G55" s="56"/>
      <c r="H55" s="53"/>
      <c r="K55" s="225"/>
      <c r="L55" s="224"/>
      <c r="M55" s="224"/>
      <c r="N55" s="224"/>
      <c r="O55" s="224"/>
      <c r="Q55" s="145"/>
    </row>
    <row r="56" spans="2:17" x14ac:dyDescent="0.2">
      <c r="B56" s="306">
        <v>37833</v>
      </c>
      <c r="C56" s="250">
        <v>-0.1518031259781758</v>
      </c>
      <c r="D56" s="250">
        <v>-0.16879672984135718</v>
      </c>
      <c r="E56" s="250">
        <v>-0.35534931744811826</v>
      </c>
      <c r="F56" s="250">
        <v>-0.38818737606076836</v>
      </c>
      <c r="G56" s="56"/>
      <c r="H56" s="53"/>
      <c r="K56" s="225"/>
      <c r="L56" s="224"/>
      <c r="M56" s="224"/>
      <c r="N56" s="224"/>
      <c r="O56" s="224"/>
      <c r="Q56" s="145"/>
    </row>
    <row r="57" spans="2:17" x14ac:dyDescent="0.2">
      <c r="B57" s="306">
        <v>37864</v>
      </c>
      <c r="C57" s="250">
        <v>-0.13574346501764911</v>
      </c>
      <c r="D57" s="250">
        <v>-0.15240816443373728</v>
      </c>
      <c r="E57" s="250">
        <v>-0.33047415193973351</v>
      </c>
      <c r="F57" s="250">
        <v>-0.36434969177653775</v>
      </c>
      <c r="G57" s="56"/>
      <c r="H57" s="53"/>
      <c r="K57" s="225"/>
      <c r="L57" s="224"/>
      <c r="M57" s="224"/>
      <c r="N57" s="224"/>
      <c r="O57" s="224"/>
      <c r="Q57" s="145"/>
    </row>
    <row r="58" spans="2:17" x14ac:dyDescent="0.2">
      <c r="B58" s="306">
        <v>37894</v>
      </c>
      <c r="C58" s="250">
        <v>-0.14681322947025155</v>
      </c>
      <c r="D58" s="250">
        <v>-0.16496042280154943</v>
      </c>
      <c r="E58" s="250">
        <v>-0.36228741759380223</v>
      </c>
      <c r="F58" s="250">
        <v>-0.39889811482558968</v>
      </c>
      <c r="G58" s="56"/>
      <c r="H58" s="53"/>
      <c r="K58" s="225"/>
      <c r="L58" s="224"/>
      <c r="M58" s="224"/>
      <c r="N58" s="224"/>
      <c r="O58" s="224"/>
      <c r="Q58" s="145"/>
    </row>
    <row r="59" spans="2:17" x14ac:dyDescent="0.2">
      <c r="B59" s="306">
        <v>37925</v>
      </c>
      <c r="C59" s="250">
        <v>-0.1251331817775535</v>
      </c>
      <c r="D59" s="250">
        <v>-0.14341679706964161</v>
      </c>
      <c r="E59" s="250">
        <v>-0.32288254981017206</v>
      </c>
      <c r="F59" s="250">
        <v>-0.36221314390509929</v>
      </c>
      <c r="G59" s="56"/>
      <c r="H59" s="53"/>
      <c r="K59" s="225"/>
      <c r="L59" s="224"/>
      <c r="M59" s="224"/>
      <c r="N59" s="224"/>
      <c r="O59" s="224"/>
      <c r="Q59" s="145"/>
    </row>
    <row r="60" spans="2:17" x14ac:dyDescent="0.2">
      <c r="B60" s="306">
        <v>37955</v>
      </c>
      <c r="C60" s="250">
        <v>-0.12301693246698986</v>
      </c>
      <c r="D60" s="250">
        <v>-0.14019184001357088</v>
      </c>
      <c r="E60" s="250">
        <v>-0.32551293599988529</v>
      </c>
      <c r="F60" s="250">
        <v>-0.36332105025932415</v>
      </c>
      <c r="G60" s="56"/>
      <c r="H60" s="53"/>
      <c r="K60" s="225"/>
      <c r="L60" s="224"/>
      <c r="M60" s="224"/>
      <c r="N60" s="224"/>
      <c r="O60" s="224"/>
      <c r="Q60" s="145"/>
    </row>
    <row r="61" spans="2:17" x14ac:dyDescent="0.2">
      <c r="B61" s="306">
        <v>37986</v>
      </c>
      <c r="C61" s="250">
        <v>-0.1143751986773297</v>
      </c>
      <c r="D61" s="250">
        <v>-0.13155412420909063</v>
      </c>
      <c r="E61" s="250">
        <v>-0.31237214995239981</v>
      </c>
      <c r="F61" s="250">
        <v>-0.35161580686466432</v>
      </c>
      <c r="G61" s="56"/>
      <c r="H61" s="53"/>
      <c r="K61" s="225"/>
      <c r="L61" s="224"/>
      <c r="M61" s="224"/>
      <c r="N61" s="224"/>
      <c r="O61" s="224"/>
      <c r="Q61" s="145"/>
    </row>
    <row r="62" spans="2:17" x14ac:dyDescent="0.2">
      <c r="B62" s="306">
        <v>38017</v>
      </c>
      <c r="C62" s="250">
        <v>-9.8706449952690956E-2</v>
      </c>
      <c r="D62" s="250">
        <v>-0.11510276230671346</v>
      </c>
      <c r="E62" s="250">
        <v>-0.28042428168822753</v>
      </c>
      <c r="F62" s="250">
        <v>-0.32002683021401934</v>
      </c>
      <c r="G62" s="56"/>
      <c r="H62" s="53"/>
      <c r="K62" s="225"/>
      <c r="L62" s="224"/>
      <c r="M62" s="224"/>
      <c r="N62" s="224"/>
      <c r="O62" s="224"/>
      <c r="Q62" s="145"/>
    </row>
    <row r="63" spans="2:17" x14ac:dyDescent="0.2">
      <c r="B63" s="306">
        <v>38046</v>
      </c>
      <c r="C63" s="250">
        <v>-8.9088952368647556E-2</v>
      </c>
      <c r="D63" s="250">
        <v>-0.10451536454155341</v>
      </c>
      <c r="E63" s="250">
        <v>-0.26159113811669987</v>
      </c>
      <c r="F63" s="250">
        <v>-0.30046877743691702</v>
      </c>
      <c r="G63" s="56"/>
      <c r="H63" s="53"/>
      <c r="K63" s="225"/>
      <c r="L63" s="224"/>
      <c r="M63" s="224"/>
      <c r="N63" s="224"/>
      <c r="O63" s="224"/>
      <c r="Q63" s="145"/>
    </row>
    <row r="64" spans="2:17" x14ac:dyDescent="0.2">
      <c r="B64" s="306">
        <v>38077</v>
      </c>
      <c r="C64" s="250">
        <v>-8.7406605538522308E-2</v>
      </c>
      <c r="D64" s="250">
        <v>-0.10454961524634732</v>
      </c>
      <c r="E64" s="250">
        <v>-0.26279025098696795</v>
      </c>
      <c r="F64" s="250">
        <v>-0.30685396898452577</v>
      </c>
      <c r="G64" s="56"/>
      <c r="H64" s="53"/>
      <c r="K64" s="225"/>
      <c r="L64" s="224"/>
      <c r="M64" s="224"/>
      <c r="N64" s="224"/>
      <c r="O64" s="224"/>
      <c r="Q64" s="145"/>
    </row>
    <row r="65" spans="2:17" x14ac:dyDescent="0.2">
      <c r="B65" s="306">
        <v>38107</v>
      </c>
      <c r="C65" s="250">
        <v>-8.6988615271393566E-2</v>
      </c>
      <c r="D65" s="250">
        <v>-0.10371465734584484</v>
      </c>
      <c r="E65" s="250">
        <v>-0.26724240937259902</v>
      </c>
      <c r="F65" s="250">
        <v>-0.31104001768855316</v>
      </c>
      <c r="G65" s="56"/>
      <c r="H65" s="53"/>
      <c r="K65" s="225"/>
      <c r="L65" s="224"/>
      <c r="M65" s="224"/>
      <c r="N65" s="224"/>
      <c r="O65" s="224"/>
      <c r="Q65" s="145"/>
    </row>
    <row r="66" spans="2:17" x14ac:dyDescent="0.2">
      <c r="B66" s="306">
        <v>38138</v>
      </c>
      <c r="C66" s="250">
        <v>-8.9931885662111632E-2</v>
      </c>
      <c r="D66" s="250">
        <v>-0.10685537216643326</v>
      </c>
      <c r="E66" s="250">
        <v>-0.28095073852229646</v>
      </c>
      <c r="F66" s="250">
        <v>-0.32561856126314637</v>
      </c>
      <c r="G66" s="56"/>
      <c r="H66" s="53"/>
      <c r="K66" s="225"/>
      <c r="L66" s="224"/>
      <c r="M66" s="224"/>
      <c r="N66" s="224"/>
      <c r="O66" s="224"/>
      <c r="Q66" s="145"/>
    </row>
    <row r="67" spans="2:17" x14ac:dyDescent="0.2">
      <c r="B67" s="306">
        <v>38168</v>
      </c>
      <c r="C67" s="250">
        <v>-8.1594111492517385E-2</v>
      </c>
      <c r="D67" s="250">
        <v>-9.7162913472718326E-2</v>
      </c>
      <c r="E67" s="250">
        <v>-0.26287547044942672</v>
      </c>
      <c r="F67" s="250">
        <v>-0.3056915958661327</v>
      </c>
      <c r="G67" s="56"/>
      <c r="H67" s="53"/>
      <c r="K67" s="225"/>
      <c r="L67" s="224"/>
      <c r="M67" s="224"/>
      <c r="N67" s="224"/>
      <c r="O67" s="224"/>
      <c r="Q67" s="145"/>
    </row>
    <row r="68" spans="2:17" x14ac:dyDescent="0.2">
      <c r="B68" s="306">
        <v>38199</v>
      </c>
      <c r="C68" s="250">
        <v>-8.5704517293054172E-2</v>
      </c>
      <c r="D68" s="250">
        <v>-0.10048598561228328</v>
      </c>
      <c r="E68" s="250">
        <v>-0.28002496412248912</v>
      </c>
      <c r="F68" s="250">
        <v>-0.32087094461392418</v>
      </c>
      <c r="G68" s="56"/>
      <c r="H68" s="53"/>
      <c r="K68" s="225"/>
      <c r="L68" s="224"/>
      <c r="M68" s="224"/>
      <c r="N68" s="224"/>
      <c r="O68" s="224"/>
      <c r="Q68" s="145"/>
    </row>
    <row r="69" spans="2:17" x14ac:dyDescent="0.2">
      <c r="B69" s="306">
        <v>38230</v>
      </c>
      <c r="C69" s="250">
        <v>-8.5215270792155073E-2</v>
      </c>
      <c r="D69" s="250">
        <v>-9.9406515102145931E-2</v>
      </c>
      <c r="E69" s="250">
        <v>-0.28394579712309564</v>
      </c>
      <c r="F69" s="250">
        <v>-0.32384098096418845</v>
      </c>
      <c r="G69" s="56"/>
      <c r="H69" s="53"/>
      <c r="K69" s="225"/>
      <c r="L69" s="224"/>
      <c r="M69" s="224"/>
      <c r="N69" s="224"/>
      <c r="O69" s="224"/>
      <c r="Q69" s="145"/>
    </row>
    <row r="70" spans="2:17" x14ac:dyDescent="0.2">
      <c r="B70" s="306">
        <v>38260</v>
      </c>
      <c r="C70" s="250">
        <v>-8.159684410507495E-2</v>
      </c>
      <c r="D70" s="250">
        <v>-9.7256122030551784E-2</v>
      </c>
      <c r="E70" s="250">
        <v>-0.27840323907420905</v>
      </c>
      <c r="F70" s="250">
        <v>-0.32347084548463501</v>
      </c>
      <c r="G70" s="56"/>
      <c r="H70" s="53"/>
      <c r="K70" s="225"/>
      <c r="L70" s="224"/>
      <c r="M70" s="224"/>
      <c r="N70" s="224"/>
      <c r="O70" s="224"/>
      <c r="Q70" s="145"/>
    </row>
    <row r="71" spans="2:17" x14ac:dyDescent="0.2">
      <c r="B71" s="306">
        <v>38291</v>
      </c>
      <c r="C71" s="250">
        <v>-7.9882149410125725E-2</v>
      </c>
      <c r="D71" s="250">
        <v>-9.5905139396950667E-2</v>
      </c>
      <c r="E71" s="250">
        <v>-0.27824987083614972</v>
      </c>
      <c r="F71" s="250">
        <v>-0.32525352693472087</v>
      </c>
      <c r="G71" s="56"/>
      <c r="H71" s="53"/>
      <c r="K71" s="225"/>
      <c r="L71" s="224"/>
      <c r="M71" s="224"/>
      <c r="N71" s="224"/>
      <c r="O71" s="224"/>
      <c r="Q71" s="145"/>
    </row>
    <row r="72" spans="2:17" x14ac:dyDescent="0.2">
      <c r="B72" s="306">
        <v>38321</v>
      </c>
      <c r="C72" s="250">
        <v>-7.3719529380124937E-2</v>
      </c>
      <c r="D72" s="250">
        <v>-8.8181181115921548E-2</v>
      </c>
      <c r="E72" s="250">
        <v>-0.26384370438779248</v>
      </c>
      <c r="F72" s="250">
        <v>-0.30784445648773473</v>
      </c>
      <c r="G72" s="56"/>
      <c r="H72" s="53"/>
      <c r="K72" s="225"/>
      <c r="L72" s="224"/>
      <c r="M72" s="224"/>
      <c r="N72" s="224"/>
      <c r="O72" s="224"/>
      <c r="Q72" s="145"/>
    </row>
    <row r="73" spans="2:17" x14ac:dyDescent="0.2">
      <c r="B73" s="306">
        <v>38352</v>
      </c>
      <c r="C73" s="250">
        <v>-6.8696459652047626E-2</v>
      </c>
      <c r="D73" s="250">
        <v>-8.2935944173102905E-2</v>
      </c>
      <c r="E73" s="250">
        <v>-0.2521934119949012</v>
      </c>
      <c r="F73" s="250">
        <v>-0.29689051299592184</v>
      </c>
      <c r="G73" s="56"/>
      <c r="H73" s="53"/>
      <c r="K73" s="225"/>
      <c r="L73" s="224"/>
      <c r="M73" s="224"/>
      <c r="N73" s="224"/>
      <c r="O73" s="224"/>
      <c r="Q73" s="145"/>
    </row>
    <row r="74" spans="2:17" x14ac:dyDescent="0.2">
      <c r="B74" s="306">
        <v>38383</v>
      </c>
      <c r="C74" s="250">
        <v>-6.341088664394734E-2</v>
      </c>
      <c r="D74" s="250">
        <v>-7.6224112759343265E-2</v>
      </c>
      <c r="E74" s="250">
        <v>-0.23887742096441089</v>
      </c>
      <c r="F74" s="250">
        <v>-0.2805077311527554</v>
      </c>
      <c r="G74" s="56"/>
      <c r="H74" s="53"/>
      <c r="K74" s="225"/>
      <c r="L74" s="224"/>
      <c r="M74" s="224"/>
      <c r="N74" s="224"/>
      <c r="O74" s="224"/>
      <c r="Q74" s="145"/>
    </row>
    <row r="75" spans="2:17" x14ac:dyDescent="0.2">
      <c r="B75" s="306">
        <v>38411</v>
      </c>
      <c r="C75" s="250">
        <v>-5.6910768482158702E-2</v>
      </c>
      <c r="D75" s="250">
        <v>-7.0598211042535719E-2</v>
      </c>
      <c r="E75" s="250">
        <v>-0.22044037074748646</v>
      </c>
      <c r="F75" s="250">
        <v>-0.26651033451061856</v>
      </c>
      <c r="G75" s="56"/>
      <c r="H75" s="53"/>
      <c r="K75" s="225"/>
      <c r="L75" s="224"/>
      <c r="M75" s="224"/>
      <c r="N75" s="224"/>
      <c r="O75" s="224"/>
      <c r="Q75" s="145"/>
    </row>
    <row r="76" spans="2:17" x14ac:dyDescent="0.2">
      <c r="B76" s="306">
        <v>38442</v>
      </c>
      <c r="C76" s="250">
        <v>-5.5930861892893091E-2</v>
      </c>
      <c r="D76" s="250">
        <v>-6.9835735237260943E-2</v>
      </c>
      <c r="E76" s="250">
        <v>-0.2207386506537321</v>
      </c>
      <c r="F76" s="250">
        <v>-0.26836327207553767</v>
      </c>
      <c r="G76" s="56"/>
      <c r="H76" s="53"/>
      <c r="K76" s="225"/>
      <c r="L76" s="224"/>
      <c r="M76" s="224"/>
      <c r="N76" s="224"/>
      <c r="O76" s="224"/>
      <c r="Q76" s="145"/>
    </row>
    <row r="77" spans="2:17" x14ac:dyDescent="0.2">
      <c r="B77" s="306">
        <v>38472</v>
      </c>
      <c r="C77" s="250">
        <v>-5.6873786580065921E-2</v>
      </c>
      <c r="D77" s="250">
        <v>-7.0805954993096609E-2</v>
      </c>
      <c r="E77" s="250">
        <v>-0.22788257530025025</v>
      </c>
      <c r="F77" s="250">
        <v>-0.27610546941961367</v>
      </c>
      <c r="G77" s="56"/>
      <c r="H77" s="53"/>
      <c r="K77" s="225"/>
      <c r="L77" s="224"/>
      <c r="M77" s="224"/>
      <c r="N77" s="224"/>
      <c r="O77" s="224"/>
      <c r="Q77" s="145"/>
    </row>
    <row r="78" spans="2:17" x14ac:dyDescent="0.2">
      <c r="B78" s="306">
        <v>38503</v>
      </c>
      <c r="C78" s="250">
        <v>-4.3985259422495315E-2</v>
      </c>
      <c r="D78" s="250">
        <v>-5.791941284542701E-2</v>
      </c>
      <c r="E78" s="250">
        <v>-0.1832471684524668</v>
      </c>
      <c r="F78" s="250">
        <v>-0.23453097093279718</v>
      </c>
      <c r="G78" s="56"/>
      <c r="H78" s="53"/>
      <c r="K78" s="225"/>
      <c r="L78" s="224"/>
      <c r="M78" s="224"/>
      <c r="N78" s="224"/>
      <c r="O78" s="224"/>
      <c r="Q78" s="145"/>
    </row>
    <row r="79" spans="2:17" x14ac:dyDescent="0.2">
      <c r="B79" s="306">
        <v>38533</v>
      </c>
      <c r="C79" s="250">
        <v>-3.3018014505805326E-2</v>
      </c>
      <c r="D79" s="250">
        <v>-4.6928443506298878E-2</v>
      </c>
      <c r="E79" s="250">
        <v>-0.14263136710218371</v>
      </c>
      <c r="F79" s="250">
        <v>-0.19675199763817275</v>
      </c>
      <c r="G79" s="56"/>
      <c r="H79" s="53"/>
      <c r="K79" s="225"/>
      <c r="L79" s="224"/>
      <c r="M79" s="224"/>
      <c r="N79" s="224"/>
      <c r="O79" s="224"/>
      <c r="Q79" s="145"/>
    </row>
    <row r="80" spans="2:17" x14ac:dyDescent="0.2">
      <c r="B80" s="306">
        <v>38564</v>
      </c>
      <c r="C80" s="250">
        <v>-2.5325259264046607E-2</v>
      </c>
      <c r="D80" s="250">
        <v>-3.8343913031174237E-2</v>
      </c>
      <c r="E80" s="250">
        <v>-0.11281950386238349</v>
      </c>
      <c r="F80" s="250">
        <v>-0.16584711404670061</v>
      </c>
      <c r="G80" s="56"/>
      <c r="H80" s="53"/>
      <c r="K80" s="225"/>
      <c r="L80" s="224"/>
      <c r="M80" s="224"/>
      <c r="N80" s="224"/>
      <c r="O80" s="224"/>
      <c r="Q80" s="145"/>
    </row>
    <row r="81" spans="2:17" x14ac:dyDescent="0.2">
      <c r="B81" s="306">
        <v>38595</v>
      </c>
      <c r="C81" s="250">
        <v>-2.746217415188934E-2</v>
      </c>
      <c r="D81" s="250">
        <v>-4.0589498864344042E-2</v>
      </c>
      <c r="E81" s="250">
        <v>-0.12389555584764222</v>
      </c>
      <c r="F81" s="250">
        <v>-0.17773262779984145</v>
      </c>
      <c r="G81" s="56"/>
      <c r="H81" s="53"/>
      <c r="K81" s="225"/>
      <c r="L81" s="224"/>
      <c r="M81" s="224"/>
      <c r="N81" s="224"/>
      <c r="O81" s="224"/>
      <c r="Q81" s="145"/>
    </row>
    <row r="82" spans="2:17" x14ac:dyDescent="0.2">
      <c r="B82" s="306">
        <v>38625</v>
      </c>
      <c r="C82" s="250">
        <v>-1.7256064356471201E-2</v>
      </c>
      <c r="D82" s="250">
        <v>-3.174243636300067E-2</v>
      </c>
      <c r="E82" s="250">
        <v>-8.0690388803733248E-2</v>
      </c>
      <c r="F82" s="250">
        <v>-0.14330388484831758</v>
      </c>
      <c r="G82" s="56"/>
      <c r="H82" s="56"/>
      <c r="K82" s="225"/>
      <c r="L82" s="224"/>
      <c r="M82" s="224"/>
      <c r="N82" s="224"/>
      <c r="O82" s="224"/>
    </row>
    <row r="83" spans="2:17" x14ac:dyDescent="0.2">
      <c r="B83" s="306">
        <v>38656</v>
      </c>
      <c r="C83" s="250">
        <v>-1.9685498604054108E-2</v>
      </c>
      <c r="D83" s="250">
        <v>-3.4242878040501412E-2</v>
      </c>
      <c r="E83" s="250">
        <v>-9.3126559629821304E-2</v>
      </c>
      <c r="F83" s="250">
        <v>-0.1563893314970044</v>
      </c>
      <c r="G83" s="56"/>
      <c r="H83" s="56"/>
      <c r="K83" s="225"/>
      <c r="L83" s="224"/>
      <c r="M83" s="224"/>
      <c r="N83" s="224"/>
      <c r="O83" s="224"/>
    </row>
    <row r="84" spans="2:17" x14ac:dyDescent="0.2">
      <c r="B84" s="306">
        <v>38686</v>
      </c>
      <c r="C84" s="250">
        <v>-9.9800295892689128E-3</v>
      </c>
      <c r="D84" s="250">
        <v>-2.3941612747295116E-2</v>
      </c>
      <c r="E84" s="250">
        <v>-4.8914028745870031E-2</v>
      </c>
      <c r="F84" s="250">
        <v>-0.11306253230933627</v>
      </c>
      <c r="G84" s="56"/>
      <c r="H84" s="56"/>
      <c r="K84" s="225"/>
      <c r="L84" s="224"/>
      <c r="M84" s="224"/>
      <c r="N84" s="224"/>
      <c r="O84" s="224"/>
    </row>
    <row r="85" spans="2:17" x14ac:dyDescent="0.2">
      <c r="B85" s="306">
        <v>38717</v>
      </c>
      <c r="C85" s="250">
        <v>-4.7110674544711406E-3</v>
      </c>
      <c r="D85" s="250">
        <v>-1.8584321752021737E-2</v>
      </c>
      <c r="E85" s="250">
        <v>-2.3718697352962059E-2</v>
      </c>
      <c r="F85" s="250">
        <v>-8.9889644409592573E-2</v>
      </c>
      <c r="G85" s="56"/>
      <c r="H85" s="56"/>
      <c r="K85" s="225"/>
      <c r="L85" s="224"/>
      <c r="M85" s="224"/>
      <c r="N85" s="224"/>
      <c r="O85" s="224"/>
    </row>
    <row r="86" spans="2:17" x14ac:dyDescent="0.2">
      <c r="B86" s="306">
        <v>38748</v>
      </c>
      <c r="C86" s="250">
        <v>-2.0261592519472682E-3</v>
      </c>
      <c r="D86" s="250">
        <v>-1.4184660194154763E-2</v>
      </c>
      <c r="E86" s="250">
        <v>-1.0424394650775493E-2</v>
      </c>
      <c r="F86" s="250">
        <v>-7.0204544063659946E-2</v>
      </c>
      <c r="G86" s="56"/>
      <c r="H86" s="56"/>
      <c r="K86" s="225"/>
      <c r="L86" s="224"/>
      <c r="M86" s="224"/>
      <c r="N86" s="224"/>
      <c r="O86" s="224"/>
    </row>
    <row r="87" spans="2:17" x14ac:dyDescent="0.2">
      <c r="B87" s="306">
        <v>38776</v>
      </c>
      <c r="C87" s="250">
        <v>5.6487653200738563E-3</v>
      </c>
      <c r="D87" s="250">
        <v>-7.305353855676322E-3</v>
      </c>
      <c r="E87" s="250">
        <v>3.0014183035481645E-2</v>
      </c>
      <c r="F87" s="250">
        <v>-3.6722228966105219E-2</v>
      </c>
      <c r="G87" s="56"/>
      <c r="H87" s="56"/>
      <c r="K87" s="225"/>
      <c r="L87" s="224"/>
      <c r="M87" s="224"/>
      <c r="N87" s="224"/>
      <c r="O87" s="224"/>
    </row>
    <row r="88" spans="2:17" x14ac:dyDescent="0.2">
      <c r="B88" s="306">
        <v>38807</v>
      </c>
      <c r="C88" s="250">
        <v>9.2249715902352758E-3</v>
      </c>
      <c r="D88" s="250">
        <v>-4.9091212224618985E-3</v>
      </c>
      <c r="E88" s="250">
        <v>5.0193361401623671E-2</v>
      </c>
      <c r="F88" s="250">
        <v>-2.4759461132572658E-2</v>
      </c>
      <c r="G88" s="56"/>
      <c r="H88" s="56"/>
      <c r="K88" s="225"/>
      <c r="L88" s="224"/>
      <c r="M88" s="224"/>
      <c r="N88" s="224"/>
      <c r="O88" s="224"/>
    </row>
    <row r="89" spans="2:17" x14ac:dyDescent="0.2">
      <c r="B89" s="306">
        <v>38837</v>
      </c>
      <c r="C89" s="250">
        <v>8.0992276958389287E-3</v>
      </c>
      <c r="D89" s="250">
        <v>-6.7395195982034029E-3</v>
      </c>
      <c r="E89" s="250">
        <v>4.4662754434510399E-2</v>
      </c>
      <c r="F89" s="250">
        <v>-3.4774530142283711E-2</v>
      </c>
      <c r="G89" s="56"/>
      <c r="H89" s="56"/>
      <c r="K89" s="225"/>
      <c r="L89" s="224"/>
      <c r="M89" s="224"/>
      <c r="N89" s="224"/>
      <c r="O89" s="224"/>
    </row>
    <row r="90" spans="2:17" x14ac:dyDescent="0.2">
      <c r="B90" s="306">
        <v>38868</v>
      </c>
      <c r="C90" s="250">
        <v>-5.4074952826941303E-3</v>
      </c>
      <c r="D90" s="250">
        <v>-2.0103622327111714E-2</v>
      </c>
      <c r="E90" s="250">
        <v>-2.9381641778342127E-2</v>
      </c>
      <c r="F90" s="250">
        <v>-0.10457422845614006</v>
      </c>
      <c r="G90" s="56"/>
      <c r="H90" s="56"/>
      <c r="K90" s="225"/>
      <c r="L90" s="224"/>
      <c r="M90" s="224"/>
      <c r="N90" s="224"/>
      <c r="O90" s="224"/>
    </row>
    <row r="91" spans="2:17" x14ac:dyDescent="0.2">
      <c r="B91" s="306">
        <v>38898</v>
      </c>
      <c r="C91" s="250">
        <v>-4.8403012667731504E-3</v>
      </c>
      <c r="D91" s="250">
        <v>-1.9273541886137835E-2</v>
      </c>
      <c r="E91" s="250">
        <v>-2.6726971994004423E-2</v>
      </c>
      <c r="F91" s="250">
        <v>-0.10187289427717072</v>
      </c>
      <c r="G91" s="56"/>
      <c r="H91" s="56"/>
      <c r="K91" s="225"/>
      <c r="L91" s="224"/>
      <c r="M91" s="224"/>
      <c r="N91" s="224"/>
      <c r="O91" s="224"/>
    </row>
    <row r="92" spans="2:17" x14ac:dyDescent="0.2">
      <c r="B92" s="307">
        <v>38929</v>
      </c>
      <c r="C92" s="250">
        <v>-4.3741452361311106E-3</v>
      </c>
      <c r="D92" s="250">
        <v>-1.8297318019034781E-2</v>
      </c>
      <c r="E92" s="250">
        <v>-2.4535188841549926E-2</v>
      </c>
      <c r="F92" s="250">
        <v>-9.8298300815212403E-2</v>
      </c>
      <c r="G92" s="56"/>
      <c r="H92" s="56"/>
      <c r="K92" s="301"/>
      <c r="L92" s="224"/>
      <c r="M92" s="224"/>
      <c r="N92" s="224"/>
      <c r="O92" s="224"/>
    </row>
    <row r="93" spans="2:17" x14ac:dyDescent="0.2">
      <c r="B93" s="306">
        <v>38960</v>
      </c>
      <c r="C93" s="250">
        <v>6.9304414696169658E-4</v>
      </c>
      <c r="D93" s="250">
        <v>-1.3213011309038181E-2</v>
      </c>
      <c r="E93" s="250">
        <v>3.9915687660647681E-3</v>
      </c>
      <c r="F93" s="250">
        <v>-7.2548754782877811E-2</v>
      </c>
      <c r="G93" s="56"/>
      <c r="H93" s="56"/>
      <c r="K93" s="225"/>
      <c r="L93" s="224"/>
      <c r="M93" s="224"/>
      <c r="N93" s="224"/>
      <c r="O93" s="224"/>
    </row>
    <row r="94" spans="2:17" x14ac:dyDescent="0.2">
      <c r="B94" s="307">
        <v>38990</v>
      </c>
      <c r="C94" s="250">
        <v>5.45304819675696E-3</v>
      </c>
      <c r="D94" s="250">
        <v>-9.3213483735131719E-3</v>
      </c>
      <c r="E94" s="250">
        <v>3.2231571212107513E-2</v>
      </c>
      <c r="F94" s="250">
        <v>-5.1995407084950984E-2</v>
      </c>
      <c r="G94" s="56"/>
      <c r="H94" s="56"/>
      <c r="K94" s="301"/>
      <c r="L94" s="224"/>
      <c r="M94" s="224"/>
      <c r="N94" s="224"/>
      <c r="O94" s="224"/>
    </row>
    <row r="95" spans="2:17" x14ac:dyDescent="0.2">
      <c r="B95" s="307">
        <v>39021</v>
      </c>
      <c r="C95" s="250">
        <v>9.6585518189129527E-3</v>
      </c>
      <c r="D95" s="250">
        <v>-4.9851276550716417E-3</v>
      </c>
      <c r="E95" s="250">
        <v>5.8520543949904802E-2</v>
      </c>
      <c r="F95" s="250">
        <v>-2.7953483777956367E-2</v>
      </c>
      <c r="G95" s="56"/>
      <c r="H95" s="56"/>
      <c r="K95" s="301"/>
      <c r="L95" s="224"/>
      <c r="M95" s="224"/>
      <c r="N95" s="224"/>
      <c r="O95" s="224"/>
    </row>
    <row r="96" spans="2:17" x14ac:dyDescent="0.2">
      <c r="B96" s="307">
        <v>39051</v>
      </c>
      <c r="C96" s="250">
        <v>8.4141557924484189E-3</v>
      </c>
      <c r="D96" s="250">
        <v>-6.2182206623906389E-3</v>
      </c>
      <c r="E96" s="250">
        <v>5.1558894569992075E-2</v>
      </c>
      <c r="F96" s="250">
        <v>-3.5560096346273329E-2</v>
      </c>
      <c r="G96" s="56"/>
      <c r="H96" s="56"/>
      <c r="K96" s="301"/>
      <c r="L96" s="224"/>
      <c r="M96" s="224"/>
      <c r="N96" s="224"/>
      <c r="O96" s="224"/>
    </row>
    <row r="97" spans="2:17" x14ac:dyDescent="0.2">
      <c r="B97" s="306">
        <v>39082</v>
      </c>
      <c r="C97" s="250">
        <v>1.500756008888593E-2</v>
      </c>
      <c r="D97" s="250">
        <v>4.8259698982211496E-4</v>
      </c>
      <c r="E97" s="250">
        <v>9.4850367645782585E-2</v>
      </c>
      <c r="F97" s="250">
        <v>4.1447878383795711E-3</v>
      </c>
      <c r="G97" s="56"/>
      <c r="H97" s="56"/>
      <c r="K97" s="225"/>
      <c r="L97" s="224"/>
      <c r="M97" s="224"/>
      <c r="N97" s="224"/>
      <c r="O97" s="224"/>
    </row>
    <row r="98" spans="2:17" x14ac:dyDescent="0.2">
      <c r="B98" s="306">
        <v>39113</v>
      </c>
      <c r="C98" s="250">
        <v>1.8518194889937556E-2</v>
      </c>
      <c r="D98" s="250">
        <v>4.9619284156534604E-3</v>
      </c>
      <c r="E98" s="250">
        <v>0.11980107996956058</v>
      </c>
      <c r="F98" s="250">
        <v>3.2145341244179226E-2</v>
      </c>
      <c r="G98" s="56"/>
      <c r="H98" s="56"/>
      <c r="K98" s="225"/>
      <c r="L98" s="224"/>
      <c r="M98" s="224"/>
      <c r="N98" s="224"/>
      <c r="O98" s="224"/>
    </row>
    <row r="99" spans="2:17" x14ac:dyDescent="0.2">
      <c r="B99" s="306">
        <v>39141</v>
      </c>
      <c r="C99" s="250">
        <v>1.7444917265784232E-2</v>
      </c>
      <c r="D99" s="250">
        <v>3.264471702695726E-3</v>
      </c>
      <c r="E99" s="250">
        <v>0.11414872101073859</v>
      </c>
      <c r="F99" s="250">
        <v>2.177297611981488E-2</v>
      </c>
      <c r="G99" s="56"/>
      <c r="H99" s="56"/>
      <c r="K99" s="225"/>
      <c r="L99" s="224"/>
      <c r="M99" s="224"/>
      <c r="N99" s="224"/>
      <c r="O99" s="224"/>
    </row>
    <row r="100" spans="2:17" x14ac:dyDescent="0.2">
      <c r="B100" s="306">
        <v>39172</v>
      </c>
      <c r="C100" s="250">
        <v>2.224375243149157E-2</v>
      </c>
      <c r="D100" s="250">
        <v>7.1303960019744039E-3</v>
      </c>
      <c r="E100" s="250">
        <v>0.14950697704275284</v>
      </c>
      <c r="F100" s="250">
        <v>4.7325921233070556E-2</v>
      </c>
      <c r="G100" s="308"/>
      <c r="H100" s="308"/>
      <c r="I100" s="267"/>
      <c r="K100" s="225"/>
      <c r="L100" s="224"/>
      <c r="M100" s="224"/>
      <c r="N100" s="224"/>
      <c r="O100" s="224"/>
      <c r="P100" s="267"/>
      <c r="Q100" s="267"/>
    </row>
    <row r="101" spans="2:17" x14ac:dyDescent="0.2">
      <c r="B101" s="306">
        <v>39202</v>
      </c>
      <c r="C101" s="250">
        <v>2.5673479879851469E-2</v>
      </c>
      <c r="D101" s="277">
        <v>9.9017579650937382E-3</v>
      </c>
      <c r="E101" s="250">
        <v>0.17663535705172673</v>
      </c>
      <c r="F101" s="250">
        <v>6.6641734695774613E-2</v>
      </c>
      <c r="G101" s="308"/>
      <c r="H101" s="308"/>
      <c r="I101" s="267"/>
      <c r="K101" s="225"/>
      <c r="L101" s="224"/>
      <c r="M101" s="260"/>
      <c r="N101" s="224"/>
      <c r="O101" s="224"/>
      <c r="P101" s="267"/>
      <c r="Q101" s="267"/>
    </row>
    <row r="102" spans="2:17" x14ac:dyDescent="0.2">
      <c r="B102" s="307">
        <v>39233</v>
      </c>
      <c r="C102" s="250">
        <v>2.9137083472588143E-2</v>
      </c>
      <c r="D102" s="277">
        <v>1.3685123987246861E-2</v>
      </c>
      <c r="E102" s="250">
        <v>0.20524677975003369</v>
      </c>
      <c r="F102" s="250">
        <v>9.3748545807426531E-2</v>
      </c>
      <c r="G102" s="308"/>
      <c r="H102" s="308"/>
      <c r="I102" s="267"/>
      <c r="K102" s="300"/>
      <c r="L102" s="224"/>
      <c r="M102" s="260"/>
      <c r="N102" s="224"/>
      <c r="O102" s="224"/>
      <c r="P102" s="267"/>
      <c r="Q102" s="267"/>
    </row>
    <row r="103" spans="2:17" x14ac:dyDescent="0.2">
      <c r="B103" s="307">
        <v>39263</v>
      </c>
      <c r="C103" s="250">
        <v>2.951440349286516E-2</v>
      </c>
      <c r="D103" s="250">
        <v>1.4000369215551034E-2</v>
      </c>
      <c r="E103" s="250">
        <v>0.21105391484399494</v>
      </c>
      <c r="F103" s="250">
        <v>9.7236983719666936E-2</v>
      </c>
      <c r="G103" s="308"/>
      <c r="H103" s="308"/>
      <c r="I103" s="267"/>
      <c r="K103" s="300"/>
      <c r="L103" s="224"/>
      <c r="M103" s="224"/>
      <c r="N103" s="224"/>
      <c r="O103" s="224"/>
      <c r="P103" s="267"/>
      <c r="Q103" s="267"/>
    </row>
    <row r="104" spans="2:17" x14ac:dyDescent="0.2">
      <c r="B104" s="307">
        <v>39294</v>
      </c>
      <c r="C104" s="250">
        <v>2.7093726215310143E-2</v>
      </c>
      <c r="D104" s="250">
        <v>1.205467685719297E-2</v>
      </c>
      <c r="E104" s="250">
        <v>0.19508971689613053</v>
      </c>
      <c r="F104" s="250">
        <v>8.4493656529115002E-2</v>
      </c>
      <c r="G104" s="56"/>
      <c r="H104" s="56"/>
      <c r="K104" s="300"/>
      <c r="L104" s="224"/>
      <c r="M104" s="224"/>
      <c r="N104" s="224"/>
      <c r="O104" s="224"/>
    </row>
    <row r="105" spans="2:17" x14ac:dyDescent="0.2">
      <c r="B105" s="306">
        <v>39325</v>
      </c>
      <c r="C105" s="250">
        <v>2.5893685550976597E-2</v>
      </c>
      <c r="D105" s="250">
        <v>1.1100529078291732E-2</v>
      </c>
      <c r="E105" s="250">
        <v>0.18834052508861676</v>
      </c>
      <c r="F105" s="250">
        <v>7.8667136383606673E-2</v>
      </c>
      <c r="G105" s="56"/>
      <c r="H105" s="56"/>
      <c r="K105" s="299"/>
      <c r="L105" s="224"/>
      <c r="M105" s="224"/>
      <c r="N105" s="224"/>
      <c r="O105" s="224"/>
    </row>
    <row r="106" spans="2:17" x14ac:dyDescent="0.2">
      <c r="B106" s="306">
        <v>39353</v>
      </c>
      <c r="C106" s="250">
        <v>2.6105589192325196E-2</v>
      </c>
      <c r="D106" s="250">
        <v>1.0002874668263884E-2</v>
      </c>
      <c r="E106" s="250">
        <v>0.19255668247413049</v>
      </c>
      <c r="F106" s="250">
        <v>7.1791448805863967E-2</v>
      </c>
      <c r="G106" s="56"/>
      <c r="H106" s="56"/>
      <c r="K106" s="225"/>
      <c r="L106" s="224"/>
      <c r="M106" s="224"/>
      <c r="N106" s="224"/>
      <c r="O106" s="224"/>
    </row>
    <row r="107" spans="2:17" x14ac:dyDescent="0.2">
      <c r="B107" s="306">
        <v>39386</v>
      </c>
      <c r="C107" s="250">
        <v>2.8177334679883703E-2</v>
      </c>
      <c r="D107" s="250">
        <v>1.1454212754854032E-2</v>
      </c>
      <c r="E107" s="250">
        <v>0.21191040166843123</v>
      </c>
      <c r="F107" s="250">
        <v>8.3440063019557087E-2</v>
      </c>
      <c r="G107" s="56"/>
      <c r="H107" s="56"/>
      <c r="K107" s="225"/>
      <c r="L107" s="224"/>
      <c r="M107" s="224"/>
      <c r="N107" s="224"/>
      <c r="O107" s="224"/>
    </row>
    <row r="108" spans="2:17" x14ac:dyDescent="0.2">
      <c r="B108" s="306">
        <v>39416</v>
      </c>
      <c r="C108" s="250">
        <v>2.1492005082166754E-2</v>
      </c>
      <c r="D108" s="250">
        <v>4.1400638306066107E-3</v>
      </c>
      <c r="E108" s="250">
        <v>0.16049908722911277</v>
      </c>
      <c r="F108" s="250">
        <v>3.0813559476205787E-2</v>
      </c>
      <c r="G108" s="56"/>
      <c r="H108" s="56"/>
      <c r="K108" s="225"/>
      <c r="L108" s="224"/>
      <c r="M108" s="224"/>
      <c r="N108" s="224"/>
      <c r="O108" s="224"/>
    </row>
    <row r="109" spans="2:17" x14ac:dyDescent="0.2">
      <c r="B109" s="306">
        <v>39447</v>
      </c>
      <c r="C109" s="250">
        <v>2.0783679984143433E-2</v>
      </c>
      <c r="D109" s="250">
        <v>3.3724263430032764E-3</v>
      </c>
      <c r="E109" s="250">
        <v>0.15685919509504065</v>
      </c>
      <c r="F109" s="250">
        <v>2.560377480921705E-2</v>
      </c>
      <c r="G109" s="56"/>
      <c r="H109" s="56"/>
      <c r="K109" s="225"/>
      <c r="L109" s="224"/>
      <c r="M109" s="224"/>
      <c r="N109" s="224"/>
      <c r="O109" s="224"/>
    </row>
    <row r="110" spans="2:17" x14ac:dyDescent="0.2">
      <c r="B110" s="306">
        <v>39478</v>
      </c>
      <c r="C110" s="250">
        <v>4.0790775493757536E-3</v>
      </c>
      <c r="D110" s="250">
        <v>-1.1808379696149451E-2</v>
      </c>
      <c r="E110" s="250">
        <v>2.9603655926605077E-2</v>
      </c>
      <c r="F110" s="250">
        <v>-8.0385963511766856E-2</v>
      </c>
      <c r="G110" s="250"/>
      <c r="H110" s="250"/>
      <c r="I110" s="224"/>
      <c r="K110" s="225"/>
      <c r="L110" s="224"/>
      <c r="M110" s="224"/>
      <c r="N110" s="224"/>
      <c r="O110" s="224"/>
      <c r="P110" s="224"/>
      <c r="Q110" s="224"/>
    </row>
    <row r="111" spans="2:17" x14ac:dyDescent="0.2">
      <c r="B111" s="306">
        <v>39507</v>
      </c>
      <c r="C111" s="250">
        <v>5.8644386324504527E-3</v>
      </c>
      <c r="D111" s="250">
        <v>-1.0439381179948248E-2</v>
      </c>
      <c r="E111" s="250">
        <v>4.3304412307429985E-2</v>
      </c>
      <c r="F111" s="250">
        <v>-7.1998140742324579E-2</v>
      </c>
      <c r="G111" s="250"/>
      <c r="H111" s="250"/>
      <c r="I111" s="224"/>
      <c r="K111" s="225"/>
      <c r="L111" s="224"/>
      <c r="M111" s="224"/>
      <c r="N111" s="224"/>
      <c r="O111" s="224"/>
      <c r="P111" s="224"/>
      <c r="Q111" s="224"/>
    </row>
    <row r="112" spans="2:17" x14ac:dyDescent="0.2">
      <c r="B112" s="306">
        <v>39538</v>
      </c>
      <c r="C112" s="250">
        <v>-5.1376771948852262E-4</v>
      </c>
      <c r="D112" s="250">
        <v>-1.7817743470440184E-2</v>
      </c>
      <c r="E112" s="250">
        <v>-3.7615058640585453E-3</v>
      </c>
      <c r="F112" s="250">
        <v>-0.12224358596219553</v>
      </c>
      <c r="G112" s="250"/>
      <c r="H112" s="250"/>
      <c r="I112" s="224"/>
      <c r="K112" s="225"/>
      <c r="L112" s="224"/>
      <c r="M112" s="224"/>
      <c r="N112" s="224"/>
      <c r="O112" s="224"/>
      <c r="P112" s="224"/>
      <c r="Q112" s="224"/>
    </row>
    <row r="113" spans="2:17" x14ac:dyDescent="0.2">
      <c r="B113" s="306">
        <v>39568</v>
      </c>
      <c r="C113" s="250">
        <v>6.2290021634821002E-3</v>
      </c>
      <c r="D113" s="250">
        <v>-1.1586518717328853E-2</v>
      </c>
      <c r="E113" s="250">
        <v>4.7132150716817645E-2</v>
      </c>
      <c r="F113" s="250">
        <v>-8.1438488017804955E-2</v>
      </c>
      <c r="G113" s="250"/>
      <c r="H113" s="250"/>
      <c r="I113" s="224"/>
      <c r="K113" s="225"/>
      <c r="L113" s="224"/>
      <c r="M113" s="224"/>
      <c r="N113" s="224"/>
      <c r="O113" s="224"/>
      <c r="P113" s="224"/>
      <c r="Q113" s="224"/>
    </row>
    <row r="114" spans="2:17" x14ac:dyDescent="0.2">
      <c r="B114" s="306">
        <v>39599</v>
      </c>
      <c r="C114" s="250">
        <v>9.0389136859068131E-3</v>
      </c>
      <c r="D114" s="250">
        <v>-9.1529094498647989E-3</v>
      </c>
      <c r="E114" s="250">
        <v>6.9816677234908697E-2</v>
      </c>
      <c r="F114" s="250">
        <v>-6.5222547448493207E-2</v>
      </c>
      <c r="G114" s="250"/>
      <c r="H114" s="250"/>
      <c r="I114" s="224"/>
      <c r="K114" s="225"/>
      <c r="L114" s="224"/>
      <c r="M114" s="224"/>
      <c r="N114" s="224"/>
      <c r="O114" s="224"/>
      <c r="P114" s="224"/>
      <c r="Q114" s="224"/>
    </row>
    <row r="115" spans="2:17" x14ac:dyDescent="0.2">
      <c r="B115" s="306">
        <v>39629</v>
      </c>
      <c r="C115" s="250">
        <v>-3.3928874419889565E-3</v>
      </c>
      <c r="D115" s="250">
        <v>-2.1781821903615661E-2</v>
      </c>
      <c r="E115" s="250">
        <v>-2.5443851449256316E-2</v>
      </c>
      <c r="F115" s="250">
        <v>-0.15248973707534308</v>
      </c>
      <c r="G115" s="250"/>
      <c r="H115" s="250"/>
      <c r="I115" s="224"/>
      <c r="K115" s="225"/>
      <c r="L115" s="224"/>
      <c r="M115" s="224"/>
      <c r="N115" s="224"/>
      <c r="O115" s="224"/>
      <c r="P115" s="224"/>
      <c r="Q115" s="224"/>
    </row>
    <row r="116" spans="2:17" x14ac:dyDescent="0.2">
      <c r="B116" s="306">
        <v>39660</v>
      </c>
      <c r="C116" s="250">
        <v>-4.8172133966993824E-3</v>
      </c>
      <c r="D116" s="250">
        <v>-2.2715193179157933E-2</v>
      </c>
      <c r="E116" s="250">
        <v>-3.6344304655599347E-2</v>
      </c>
      <c r="F116" s="250">
        <v>-0.16024563402450054</v>
      </c>
      <c r="G116" s="250"/>
      <c r="H116" s="250"/>
      <c r="I116" s="224"/>
      <c r="K116" s="225"/>
      <c r="L116" s="224"/>
      <c r="M116" s="224"/>
      <c r="N116" s="224"/>
      <c r="O116" s="224"/>
      <c r="P116" s="224"/>
      <c r="Q116" s="224"/>
    </row>
    <row r="117" spans="2:17" x14ac:dyDescent="0.2">
      <c r="B117" s="306">
        <v>39691</v>
      </c>
      <c r="C117" s="250">
        <v>-3.015438448475849E-3</v>
      </c>
      <c r="D117" s="250">
        <v>-2.0972779360206917E-2</v>
      </c>
      <c r="E117" s="250">
        <v>-2.3133182299815203E-2</v>
      </c>
      <c r="F117" s="250">
        <v>-0.15019897672084725</v>
      </c>
      <c r="G117" s="250"/>
      <c r="H117" s="250"/>
      <c r="I117" s="224"/>
      <c r="K117" s="225"/>
      <c r="L117" s="224"/>
      <c r="M117" s="224"/>
      <c r="N117" s="224"/>
      <c r="O117" s="224"/>
      <c r="P117" s="224"/>
      <c r="Q117" s="224"/>
    </row>
    <row r="118" spans="2:17" x14ac:dyDescent="0.2">
      <c r="B118" s="306">
        <v>39721</v>
      </c>
      <c r="C118" s="250">
        <v>-1.5328195456027816E-2</v>
      </c>
      <c r="D118" s="250">
        <v>-3.4148442908676913E-2</v>
      </c>
      <c r="E118" s="250">
        <v>-0.1139665830023523</v>
      </c>
      <c r="F118" s="250">
        <v>-0.23704936854175285</v>
      </c>
      <c r="G118" s="250"/>
      <c r="H118" s="250"/>
      <c r="I118" s="224"/>
      <c r="K118" s="225"/>
      <c r="L118" s="224"/>
      <c r="M118" s="224"/>
      <c r="N118" s="224"/>
      <c r="O118" s="224"/>
      <c r="P118" s="224"/>
      <c r="Q118" s="224"/>
    </row>
    <row r="119" spans="2:17" x14ac:dyDescent="0.2">
      <c r="B119" s="306">
        <v>39752</v>
      </c>
      <c r="C119" s="250">
        <v>-3.150249419696316E-2</v>
      </c>
      <c r="D119" s="250">
        <v>-5.0009224944316366E-2</v>
      </c>
      <c r="E119" s="250">
        <v>-0.22384848303838767</v>
      </c>
      <c r="F119" s="250">
        <v>-0.33271696718871724</v>
      </c>
      <c r="G119" s="250"/>
      <c r="H119" s="250"/>
      <c r="I119" s="224"/>
      <c r="K119" s="225"/>
      <c r="L119" s="224"/>
      <c r="M119" s="224"/>
      <c r="N119" s="224"/>
      <c r="O119" s="224"/>
      <c r="P119" s="224"/>
      <c r="Q119" s="224"/>
    </row>
    <row r="120" spans="2:17" x14ac:dyDescent="0.2">
      <c r="B120" s="306">
        <v>39782</v>
      </c>
      <c r="C120" s="250">
        <v>-3.4452148187868015E-2</v>
      </c>
      <c r="D120" s="250">
        <v>-5.1726608288675702E-2</v>
      </c>
      <c r="E120" s="250">
        <v>-0.24457663096656557</v>
      </c>
      <c r="F120" s="250">
        <v>-0.34518009950147421</v>
      </c>
      <c r="G120" s="56"/>
      <c r="H120" s="56"/>
      <c r="K120" s="301"/>
      <c r="L120" s="224"/>
      <c r="M120" s="224"/>
      <c r="N120" s="224"/>
      <c r="O120" s="224"/>
    </row>
    <row r="121" spans="2:17" x14ac:dyDescent="0.2">
      <c r="B121" s="306">
        <v>39813</v>
      </c>
      <c r="C121" s="250">
        <v>-3.3168568368584062E-2</v>
      </c>
      <c r="D121" s="250">
        <v>-4.8680964135333737E-2</v>
      </c>
      <c r="E121" s="250">
        <v>-0.23864830860065911</v>
      </c>
      <c r="F121" s="250">
        <v>-0.33105759613830954</v>
      </c>
      <c r="G121" s="56"/>
      <c r="H121" s="56"/>
      <c r="K121" s="301"/>
      <c r="L121" s="224"/>
      <c r="M121" s="224"/>
      <c r="N121" s="224"/>
      <c r="O121" s="224"/>
    </row>
    <row r="122" spans="2:17" x14ac:dyDescent="0.2">
      <c r="B122" s="306">
        <v>39844</v>
      </c>
      <c r="C122" s="250">
        <v>-3.5230663025813347E-2</v>
      </c>
      <c r="D122" s="250">
        <v>-5.0114693864390492E-2</v>
      </c>
      <c r="E122" s="250">
        <v>-0.25390891467117582</v>
      </c>
      <c r="F122" s="250">
        <v>-0.34202320358573213</v>
      </c>
      <c r="G122" s="56"/>
      <c r="H122" s="56"/>
      <c r="K122" s="301"/>
      <c r="L122" s="224"/>
      <c r="M122" s="224"/>
      <c r="N122" s="224"/>
      <c r="O122" s="224"/>
    </row>
    <row r="123" spans="2:17" x14ac:dyDescent="0.2">
      <c r="B123" s="306">
        <v>39872</v>
      </c>
      <c r="C123" s="250">
        <v>-3.5368453768149566E-2</v>
      </c>
      <c r="D123" s="250">
        <v>-5.0126997720250976E-2</v>
      </c>
      <c r="E123" s="250">
        <v>-0.25701157299710631</v>
      </c>
      <c r="F123" s="250">
        <v>-0.34491337548696033</v>
      </c>
      <c r="G123" s="56"/>
      <c r="H123" s="56"/>
      <c r="K123" s="301"/>
      <c r="L123" s="224"/>
      <c r="M123" s="224"/>
      <c r="N123" s="224"/>
      <c r="O123" s="224"/>
    </row>
    <row r="124" spans="2:17" x14ac:dyDescent="0.2">
      <c r="B124" s="306">
        <v>39903</v>
      </c>
      <c r="C124" s="250">
        <v>-3.5117277279205217E-2</v>
      </c>
      <c r="D124" s="250">
        <v>-5.0059759907933876E-2</v>
      </c>
      <c r="E124" s="250">
        <v>-0.2576288552075241</v>
      </c>
      <c r="F124" s="250">
        <v>-0.34731961266069811</v>
      </c>
      <c r="G124" s="56"/>
      <c r="H124" s="56"/>
      <c r="L124" s="224"/>
      <c r="M124" s="224"/>
      <c r="N124" s="224"/>
      <c r="O124" s="224"/>
    </row>
    <row r="125" spans="2:17" x14ac:dyDescent="0.2">
      <c r="B125" s="306">
        <v>39933</v>
      </c>
      <c r="C125" s="250">
        <v>-2.1242112837696281E-2</v>
      </c>
      <c r="D125" s="250">
        <v>-3.6426954167268266E-2</v>
      </c>
      <c r="E125" s="250">
        <v>-0.1653259798016975</v>
      </c>
      <c r="F125" s="250">
        <v>-0.26729644755031057</v>
      </c>
      <c r="G125" s="56"/>
      <c r="H125" s="56"/>
      <c r="L125" s="224"/>
      <c r="M125" s="224"/>
      <c r="N125" s="224"/>
      <c r="O125" s="224"/>
    </row>
    <row r="126" spans="2:17" x14ac:dyDescent="0.2">
      <c r="B126" s="306">
        <v>39964</v>
      </c>
      <c r="C126" s="250">
        <v>-1.6913601228283448E-2</v>
      </c>
      <c r="D126" s="250">
        <v>-3.2088745490252202E-2</v>
      </c>
      <c r="E126" s="250">
        <v>-0.13497363507801818</v>
      </c>
      <c r="F126" s="250">
        <v>-0.24113399210217179</v>
      </c>
      <c r="G126" s="56"/>
      <c r="H126" s="56"/>
      <c r="L126" s="224"/>
      <c r="M126" s="224"/>
      <c r="N126" s="224"/>
      <c r="O126" s="224"/>
    </row>
    <row r="127" spans="2:17" x14ac:dyDescent="0.2">
      <c r="B127" s="306">
        <v>39994</v>
      </c>
      <c r="C127" s="250">
        <v>-1.5144256937690503E-2</v>
      </c>
      <c r="D127" s="250">
        <v>-3.0472775711631206E-2</v>
      </c>
      <c r="E127" s="250">
        <v>-0.12276691325653688</v>
      </c>
      <c r="F127" s="250">
        <v>-0.23227127332009279</v>
      </c>
      <c r="G127" s="56"/>
      <c r="H127" s="56"/>
      <c r="L127" s="224"/>
      <c r="M127" s="224"/>
      <c r="N127" s="224"/>
      <c r="O127" s="224"/>
    </row>
    <row r="128" spans="2:17" x14ac:dyDescent="0.2">
      <c r="B128" s="306">
        <v>40025</v>
      </c>
      <c r="C128" s="250">
        <v>-1.0206632726496134E-2</v>
      </c>
      <c r="D128" s="250">
        <v>-2.5087464817492022E-2</v>
      </c>
      <c r="E128" s="250">
        <v>-8.5073921557098142E-2</v>
      </c>
      <c r="F128" s="250">
        <v>-0.19561217936094266</v>
      </c>
      <c r="G128" s="56"/>
      <c r="H128" s="56"/>
      <c r="L128" s="224"/>
      <c r="M128" s="224"/>
      <c r="N128" s="224"/>
      <c r="O128" s="224"/>
    </row>
    <row r="129" spans="2:15" x14ac:dyDescent="0.2">
      <c r="B129" s="306">
        <v>40056</v>
      </c>
      <c r="C129" s="250">
        <v>-8.1357184729335952E-3</v>
      </c>
      <c r="D129" s="250">
        <v>-2.3139925695490948E-2</v>
      </c>
      <c r="E129" s="250">
        <v>-6.898388992072102E-2</v>
      </c>
      <c r="F129" s="250">
        <v>-0.1831610042153945</v>
      </c>
      <c r="G129" s="56"/>
      <c r="H129" s="56"/>
      <c r="L129" s="224"/>
      <c r="M129" s="224"/>
      <c r="N129" s="224"/>
      <c r="O129" s="224"/>
    </row>
    <row r="130" spans="2:15" x14ac:dyDescent="0.2">
      <c r="B130" s="306">
        <v>40086</v>
      </c>
      <c r="C130" s="250">
        <v>-5.2679940769330136E-3</v>
      </c>
      <c r="D130" s="250">
        <v>-2.0522532130171967E-2</v>
      </c>
      <c r="E130" s="250">
        <v>-4.5585246709528682E-2</v>
      </c>
      <c r="F130" s="250">
        <v>-0.16522471886330359</v>
      </c>
      <c r="G130" s="56"/>
      <c r="H130" s="56"/>
      <c r="L130" s="224"/>
      <c r="M130" s="224"/>
      <c r="N130" s="224"/>
      <c r="O130" s="224"/>
    </row>
    <row r="131" spans="2:15" x14ac:dyDescent="0.2">
      <c r="B131" s="306">
        <v>40117</v>
      </c>
      <c r="C131" s="250">
        <v>-3.0206025293543215E-3</v>
      </c>
      <c r="D131" s="250">
        <v>-1.8448640866734478E-2</v>
      </c>
      <c r="E131" s="250">
        <v>-2.6613904350038076E-2</v>
      </c>
      <c r="F131" s="250">
        <v>-0.15078035492927833</v>
      </c>
      <c r="G131" s="56"/>
      <c r="H131" s="56"/>
      <c r="L131" s="224"/>
      <c r="M131" s="224"/>
      <c r="N131" s="224"/>
      <c r="O131" s="224"/>
    </row>
    <row r="132" spans="2:15" x14ac:dyDescent="0.2">
      <c r="B132" s="306">
        <v>40147</v>
      </c>
      <c r="C132" s="250">
        <v>-1.3160706544280698E-3</v>
      </c>
      <c r="D132" s="250">
        <v>-1.6596231475387579E-2</v>
      </c>
      <c r="E132" s="250">
        <v>-1.1782473478652467E-2</v>
      </c>
      <c r="F132" s="250">
        <v>-0.13761171904076663</v>
      </c>
      <c r="G132" s="56"/>
      <c r="H132" s="56"/>
      <c r="L132" s="224"/>
      <c r="M132" s="224"/>
      <c r="N132" s="224"/>
      <c r="O132" s="224"/>
    </row>
    <row r="133" spans="2:15" x14ac:dyDescent="0.2">
      <c r="B133" s="306">
        <v>40178</v>
      </c>
      <c r="C133" s="250">
        <v>2.7684935362404239E-3</v>
      </c>
      <c r="D133" s="250">
        <v>-1.267439772507517E-2</v>
      </c>
      <c r="E133" s="250">
        <v>2.543037639394119E-2</v>
      </c>
      <c r="F133" s="250">
        <v>-0.10709483284600629</v>
      </c>
      <c r="G133" s="56"/>
      <c r="H133" s="56"/>
      <c r="L133" s="224"/>
      <c r="M133" s="224"/>
      <c r="N133" s="224"/>
      <c r="O133" s="224"/>
    </row>
    <row r="134" spans="2:15" x14ac:dyDescent="0.2">
      <c r="B134" s="306">
        <v>40209</v>
      </c>
      <c r="C134" s="250">
        <v>1.9967911431406637E-3</v>
      </c>
      <c r="D134" s="250">
        <v>-1.2599544982237365E-2</v>
      </c>
      <c r="E134" s="250">
        <v>1.8453875080511217E-2</v>
      </c>
      <c r="F134" s="250">
        <v>-0.1075491744766327</v>
      </c>
      <c r="G134" s="56"/>
      <c r="H134" s="56"/>
      <c r="L134" s="224"/>
      <c r="M134" s="224"/>
      <c r="N134" s="224"/>
      <c r="O134" s="224"/>
    </row>
    <row r="135" spans="2:15" x14ac:dyDescent="0.2">
      <c r="B135" s="306">
        <v>40237</v>
      </c>
      <c r="C135" s="250">
        <v>-3.3425781767004725E-4</v>
      </c>
      <c r="D135" s="250">
        <v>-1.5413098802518621E-2</v>
      </c>
      <c r="E135" s="250">
        <v>-3.0876251228501017E-3</v>
      </c>
      <c r="F135" s="250">
        <v>-0.13163937504483814</v>
      </c>
      <c r="G135" s="56"/>
      <c r="H135" s="56"/>
      <c r="L135" s="224"/>
      <c r="M135" s="224"/>
      <c r="N135" s="224"/>
      <c r="O135" s="224"/>
    </row>
    <row r="136" spans="2:15" x14ac:dyDescent="0.2">
      <c r="B136" s="306">
        <v>40268</v>
      </c>
      <c r="C136" s="309">
        <v>7.2714774332358623E-3</v>
      </c>
      <c r="D136" s="309">
        <v>-8.0466500837836907E-3</v>
      </c>
      <c r="E136" s="309">
        <v>6.9960321678838921E-2</v>
      </c>
      <c r="F136" s="310">
        <v>-7.0261390232101872E-2</v>
      </c>
      <c r="G136" s="56"/>
      <c r="H136" s="56"/>
      <c r="L136" s="224"/>
      <c r="M136" s="224"/>
      <c r="N136" s="224"/>
      <c r="O136" s="224"/>
    </row>
    <row r="137" spans="2:15" x14ac:dyDescent="0.2">
      <c r="B137" s="306">
        <v>40298</v>
      </c>
      <c r="C137" s="309">
        <v>8.9710598371586237E-3</v>
      </c>
      <c r="D137" s="309">
        <v>-6.1150600541195477E-3</v>
      </c>
      <c r="E137" s="309">
        <v>8.7738537739706191E-2</v>
      </c>
      <c r="F137" s="310">
        <v>-5.4938107341510722E-2</v>
      </c>
      <c r="G137" s="56"/>
      <c r="H137" s="56"/>
      <c r="L137" s="224"/>
      <c r="M137" s="224"/>
      <c r="N137" s="224"/>
      <c r="O137" s="224"/>
    </row>
    <row r="138" spans="2:15" x14ac:dyDescent="0.2">
      <c r="B138" s="306">
        <v>40329</v>
      </c>
      <c r="C138" s="250">
        <v>4.9887427577515187E-3</v>
      </c>
      <c r="D138" s="250">
        <v>-1.0100380693534694E-2</v>
      </c>
      <c r="E138" s="250">
        <v>4.8410525516147551E-2</v>
      </c>
      <c r="F138" s="250">
        <v>-9.0791479423306676E-2</v>
      </c>
      <c r="G138" s="56"/>
      <c r="H138" s="56"/>
      <c r="L138" s="224"/>
      <c r="M138" s="224"/>
      <c r="N138" s="224"/>
      <c r="O138" s="224"/>
    </row>
    <row r="139" spans="2:15" x14ac:dyDescent="0.2">
      <c r="B139" s="306">
        <v>40359</v>
      </c>
      <c r="C139" s="250">
        <v>3.1368265438185272E-3</v>
      </c>
      <c r="D139" s="250">
        <v>-1.1810531389113699E-2</v>
      </c>
      <c r="E139" s="250">
        <v>3.0469170916279431E-2</v>
      </c>
      <c r="F139" s="250">
        <v>-0.10649816417563929</v>
      </c>
      <c r="G139" s="56"/>
      <c r="H139" s="56"/>
      <c r="L139" s="224"/>
      <c r="M139" s="224"/>
      <c r="N139" s="224"/>
      <c r="O139" s="224"/>
    </row>
    <row r="140" spans="2:15" x14ac:dyDescent="0.2">
      <c r="B140" s="306">
        <v>40390</v>
      </c>
      <c r="C140" s="250">
        <v>4.7018094765645113E-3</v>
      </c>
      <c r="D140" s="250">
        <v>-9.8220561885055124E-3</v>
      </c>
      <c r="E140" s="250">
        <v>4.6388077815640472E-2</v>
      </c>
      <c r="F140" s="250">
        <v>-8.9901509594197071E-2</v>
      </c>
      <c r="G140" s="56"/>
      <c r="H140" s="56"/>
      <c r="L140" s="224"/>
      <c r="M140" s="224"/>
      <c r="N140" s="224"/>
      <c r="O140" s="224"/>
    </row>
    <row r="141" spans="2:15" x14ac:dyDescent="0.2">
      <c r="B141" s="306">
        <v>40421</v>
      </c>
      <c r="C141" s="250">
        <v>2.652198892256763E-3</v>
      </c>
      <c r="D141" s="250">
        <v>-1.1724756686247506E-2</v>
      </c>
      <c r="E141" s="250">
        <v>2.6161055074352735E-2</v>
      </c>
      <c r="F141" s="250">
        <v>-0.10755310478702085</v>
      </c>
      <c r="G141" s="56"/>
      <c r="H141" s="56"/>
      <c r="L141" s="224"/>
      <c r="M141" s="224"/>
      <c r="N141" s="224"/>
      <c r="O141" s="224"/>
    </row>
    <row r="142" spans="2:15" x14ac:dyDescent="0.2">
      <c r="B142" s="306">
        <v>40451</v>
      </c>
      <c r="C142" s="250">
        <v>6.0150196652901666E-3</v>
      </c>
      <c r="D142" s="250">
        <v>-9.1391080674046998E-3</v>
      </c>
      <c r="E142" s="250">
        <v>6.0743965551832924E-2</v>
      </c>
      <c r="F142" s="250">
        <v>-8.516927199452895E-2</v>
      </c>
      <c r="G142" s="56"/>
      <c r="H142" s="56"/>
      <c r="L142" s="224"/>
      <c r="M142" s="224"/>
      <c r="N142" s="224"/>
      <c r="O142" s="224"/>
    </row>
    <row r="143" spans="2:15" x14ac:dyDescent="0.2">
      <c r="B143" s="306">
        <v>40482</v>
      </c>
      <c r="C143" s="250">
        <v>8.390460303901115E-3</v>
      </c>
      <c r="D143" s="250">
        <v>-6.9928123510089035E-3</v>
      </c>
      <c r="E143" s="250">
        <v>8.6387826673868018E-2</v>
      </c>
      <c r="F143" s="250">
        <v>-6.6027155587180975E-2</v>
      </c>
      <c r="G143" s="56"/>
      <c r="H143" s="56"/>
      <c r="L143" s="224"/>
      <c r="M143" s="224"/>
      <c r="N143" s="224"/>
      <c r="O143" s="224"/>
    </row>
    <row r="144" spans="2:15" x14ac:dyDescent="0.2">
      <c r="B144" s="306">
        <v>40512</v>
      </c>
      <c r="C144" s="250">
        <v>9.7873840817976898E-3</v>
      </c>
      <c r="D144" s="250">
        <v>-5.8196092007823941E-3</v>
      </c>
      <c r="E144" s="250">
        <v>0.10229897799027432</v>
      </c>
      <c r="F144" s="250">
        <v>-5.5470214893192371E-2</v>
      </c>
      <c r="G144" s="56"/>
      <c r="H144" s="56"/>
      <c r="J144" s="224"/>
      <c r="K144" s="224"/>
      <c r="L144" s="224"/>
      <c r="M144" s="224"/>
    </row>
    <row r="145" spans="2:12" x14ac:dyDescent="0.2">
      <c r="B145" s="306">
        <v>40543</v>
      </c>
      <c r="C145" s="250">
        <v>1.3958885208253058E-2</v>
      </c>
      <c r="D145" s="250">
        <v>-2.280479713513639E-3</v>
      </c>
      <c r="E145" s="250">
        <v>0.15001935030402835</v>
      </c>
      <c r="F145" s="250">
        <v>-2.1442414650768571E-2</v>
      </c>
      <c r="G145" s="56"/>
      <c r="H145" s="56"/>
      <c r="J145" s="224"/>
      <c r="L145" s="224"/>
    </row>
    <row r="146" spans="2:12" x14ac:dyDescent="0.2">
      <c r="B146" s="306">
        <v>40574</v>
      </c>
      <c r="C146" s="250">
        <v>1.1408050737646835E-2</v>
      </c>
      <c r="D146" s="250">
        <v>-3.8289314555191023E-3</v>
      </c>
      <c r="E146" s="250">
        <v>0.12223841378123068</v>
      </c>
      <c r="F146" s="250">
        <v>-3.7034031356102282E-2</v>
      </c>
      <c r="G146" s="56"/>
      <c r="H146" s="56"/>
    </row>
    <row r="147" spans="2:12" x14ac:dyDescent="0.2">
      <c r="B147" s="307">
        <v>40602</v>
      </c>
      <c r="C147" s="309">
        <v>1.1757971236948661E-2</v>
      </c>
      <c r="D147" s="309">
        <v>-3.3122408109134138E-3</v>
      </c>
      <c r="E147" s="309">
        <v>0.127289614049932</v>
      </c>
      <c r="F147" s="310">
        <v>-3.2225550291120619E-2</v>
      </c>
      <c r="G147" s="56"/>
      <c r="H147" s="56"/>
    </row>
    <row r="148" spans="2:12" x14ac:dyDescent="0.2">
      <c r="B148" s="307">
        <v>40633</v>
      </c>
      <c r="C148" s="309">
        <v>1.2311686217160611E-2</v>
      </c>
      <c r="D148" s="309">
        <v>-3.9424626729700485E-3</v>
      </c>
      <c r="E148" s="309">
        <v>0.13478587383121199</v>
      </c>
      <c r="F148" s="310">
        <v>-3.8701592804297302E-2</v>
      </c>
      <c r="G148" s="56"/>
      <c r="H148" s="56"/>
    </row>
    <row r="149" spans="2:12" x14ac:dyDescent="0.2">
      <c r="B149" s="307">
        <v>40663</v>
      </c>
      <c r="C149" s="250">
        <v>1.3095883137439257E-2</v>
      </c>
      <c r="D149" s="250">
        <v>-3.4535370714708913E-3</v>
      </c>
      <c r="E149" s="250">
        <v>0.14514347137673544</v>
      </c>
      <c r="F149" s="250">
        <v>-3.4070158198470257E-2</v>
      </c>
      <c r="G149" s="56"/>
      <c r="H149" s="56"/>
    </row>
    <row r="150" spans="2:12" x14ac:dyDescent="0.2">
      <c r="B150" s="307">
        <v>40694</v>
      </c>
      <c r="C150" s="250">
        <v>1.2597298463506323E-2</v>
      </c>
      <c r="D150" s="250">
        <v>-3.9906442982745594E-3</v>
      </c>
      <c r="E150" s="250">
        <v>0.14047567324230759</v>
      </c>
      <c r="F150" s="250">
        <v>-3.9795656173468918E-2</v>
      </c>
      <c r="G150" s="56"/>
      <c r="H150" s="56"/>
    </row>
    <row r="151" spans="2:12" x14ac:dyDescent="0.2">
      <c r="B151" s="307">
        <v>40724</v>
      </c>
      <c r="C151" s="250">
        <v>1.1685370203887935E-2</v>
      </c>
      <c r="D151" s="250">
        <v>-4.5320880057121427E-3</v>
      </c>
      <c r="E151" s="250">
        <v>0.13083147670429729</v>
      </c>
      <c r="F151" s="250">
        <v>-4.5652053038361173E-2</v>
      </c>
      <c r="G151" s="56"/>
      <c r="H151" s="56"/>
    </row>
    <row r="152" spans="2:12" x14ac:dyDescent="0.2">
      <c r="B152" s="311">
        <v>40755</v>
      </c>
      <c r="C152" s="250">
        <v>9.4601042789193013E-3</v>
      </c>
      <c r="D152" s="250">
        <v>-6.5500419435271517E-3</v>
      </c>
      <c r="E152" s="250">
        <v>0.10565007916458669</v>
      </c>
      <c r="F152" s="250">
        <v>-6.6453650253794461E-2</v>
      </c>
      <c r="G152" s="56"/>
      <c r="H152" s="56"/>
    </row>
    <row r="153" spans="2:12" x14ac:dyDescent="0.2">
      <c r="B153" s="311">
        <v>40786</v>
      </c>
      <c r="C153" s="250">
        <v>1.192315922280196E-3</v>
      </c>
      <c r="D153" s="250">
        <v>-1.4593316821186031E-2</v>
      </c>
      <c r="E153" s="250">
        <v>1.289215747942829E-2</v>
      </c>
      <c r="F153" s="250">
        <v>-0.1450478110405623</v>
      </c>
      <c r="G153" s="56"/>
      <c r="H153" s="56"/>
    </row>
    <row r="154" spans="2:12" x14ac:dyDescent="0.2">
      <c r="B154" s="311">
        <v>40816</v>
      </c>
      <c r="C154" s="312">
        <v>-3.2258906758955153E-3</v>
      </c>
      <c r="D154" s="312">
        <v>-1.9457870608243777E-2</v>
      </c>
      <c r="E154" s="312">
        <v>-3.4398096944852075E-2</v>
      </c>
      <c r="F154" s="312">
        <v>-0.19063329206921498</v>
      </c>
      <c r="G154" s="56"/>
      <c r="H154" s="56"/>
    </row>
    <row r="155" spans="2:12" x14ac:dyDescent="0.2">
      <c r="B155" s="311">
        <v>40847</v>
      </c>
      <c r="C155" s="312">
        <v>2.7862013168424848E-3</v>
      </c>
      <c r="D155" s="312">
        <v>-1.3421994319146924E-2</v>
      </c>
      <c r="E155" s="312">
        <v>3.0839724905906474E-2</v>
      </c>
      <c r="F155" s="312">
        <v>-0.13597857273696135</v>
      </c>
      <c r="G155" s="56"/>
      <c r="H155" s="56"/>
    </row>
    <row r="156" spans="2:12" x14ac:dyDescent="0.2">
      <c r="B156" s="311">
        <v>40877</v>
      </c>
      <c r="C156" s="250">
        <v>1.7778001215293937E-3</v>
      </c>
      <c r="D156" s="250">
        <v>-1.4504405073829774E-2</v>
      </c>
      <c r="E156" s="250">
        <v>1.9730563284597435E-2</v>
      </c>
      <c r="F156" s="250">
        <v>-0.14730322455161793</v>
      </c>
      <c r="G156" s="56"/>
      <c r="H156" s="56"/>
    </row>
    <row r="157" spans="2:12" x14ac:dyDescent="0.2">
      <c r="B157" s="311">
        <v>40908</v>
      </c>
      <c r="C157" s="250">
        <v>2.4176334743228889E-3</v>
      </c>
      <c r="D157" s="250">
        <v>-1.3929296295151938E-2</v>
      </c>
      <c r="E157" s="250">
        <v>2.7124447142439667E-2</v>
      </c>
      <c r="F157" s="250">
        <v>-0.14281214732727965</v>
      </c>
      <c r="G157" s="56"/>
      <c r="H157" s="56"/>
    </row>
    <row r="158" spans="2:12" x14ac:dyDescent="0.2">
      <c r="B158" s="311">
        <v>40939</v>
      </c>
      <c r="C158" s="250">
        <v>7.4768586609763599E-3</v>
      </c>
      <c r="D158" s="250">
        <v>-7.9933870494597326E-3</v>
      </c>
      <c r="E158" s="250">
        <v>8.673849924675725E-2</v>
      </c>
      <c r="F158" s="250">
        <v>-8.4539991174849782E-2</v>
      </c>
      <c r="G158" s="56"/>
      <c r="H158" s="56"/>
    </row>
    <row r="159" spans="2:12" x14ac:dyDescent="0.2">
      <c r="B159" s="311">
        <v>40968</v>
      </c>
      <c r="C159" s="250">
        <v>1.0716754603864231E-2</v>
      </c>
      <c r="D159" s="250">
        <v>-5.2778214061410811E-3</v>
      </c>
      <c r="E159" s="250">
        <v>0.12740895915251982</v>
      </c>
      <c r="F159" s="250">
        <v>-5.654200570410628E-2</v>
      </c>
      <c r="G159" s="56"/>
      <c r="H159" s="56"/>
    </row>
    <row r="160" spans="2:12" x14ac:dyDescent="0.2">
      <c r="B160" s="311">
        <v>40999</v>
      </c>
      <c r="C160" s="250">
        <v>1.0469961675287909E-2</v>
      </c>
      <c r="D160" s="250">
        <v>-5.6506496706182352E-3</v>
      </c>
      <c r="E160" s="250">
        <v>0.12529214586913517</v>
      </c>
      <c r="F160" s="250">
        <v>-6.0945849047580158E-2</v>
      </c>
      <c r="G160" s="56"/>
      <c r="H160" s="56"/>
    </row>
    <row r="161" spans="2:8" x14ac:dyDescent="0.2">
      <c r="B161" s="311">
        <v>41029</v>
      </c>
      <c r="C161" s="250">
        <v>1.0484426592469731E-2</v>
      </c>
      <c r="D161" s="250">
        <v>-5.710927296860957E-3</v>
      </c>
      <c r="E161" s="250">
        <v>0.12645335943591696</v>
      </c>
      <c r="F161" s="250">
        <v>-6.2032718869646009E-2</v>
      </c>
      <c r="G161" s="56"/>
      <c r="H161" s="56"/>
    </row>
    <row r="162" spans="2:8" x14ac:dyDescent="0.2">
      <c r="B162" s="313">
        <v>41060</v>
      </c>
      <c r="C162" s="314">
        <v>6.3884371626934389E-3</v>
      </c>
      <c r="D162" s="314">
        <v>-9.5529530528657425E-3</v>
      </c>
      <c r="E162" s="314">
        <v>7.5981590412642186E-2</v>
      </c>
      <c r="F162" s="310">
        <v>-0.10332023030358439</v>
      </c>
      <c r="G162" s="56"/>
      <c r="H162" s="56"/>
    </row>
    <row r="163" spans="2:8" x14ac:dyDescent="0.2">
      <c r="B163" s="313">
        <v>41090</v>
      </c>
      <c r="C163" s="314">
        <v>6.9047494449268054E-3</v>
      </c>
      <c r="D163" s="314">
        <v>-8.716626672028549E-3</v>
      </c>
      <c r="E163" s="314">
        <v>8.2967716131719493E-2</v>
      </c>
      <c r="F163" s="310">
        <v>-9.525959921194882E-2</v>
      </c>
      <c r="G163" s="56"/>
      <c r="H163" s="56"/>
    </row>
    <row r="164" spans="2:8" x14ac:dyDescent="0.2">
      <c r="B164" s="313">
        <v>41121</v>
      </c>
      <c r="C164" s="250">
        <v>8.4113952258388913E-3</v>
      </c>
      <c r="D164" s="250">
        <v>-6.7884113074839769E-3</v>
      </c>
      <c r="E164" s="250">
        <v>0.10265678479880602</v>
      </c>
      <c r="F164" s="250">
        <v>-7.5222879779566765E-2</v>
      </c>
      <c r="G164" s="56"/>
      <c r="H164" s="56"/>
    </row>
    <row r="165" spans="2:8" x14ac:dyDescent="0.2">
      <c r="B165" s="315">
        <v>41152</v>
      </c>
      <c r="C165" s="250">
        <v>8.0000000000000002E-3</v>
      </c>
      <c r="D165" s="250">
        <v>-7.0000000000000001E-3</v>
      </c>
      <c r="E165" s="250">
        <v>9.5000000000000001E-2</v>
      </c>
      <c r="F165" s="250">
        <v>-8.3000000000000004E-2</v>
      </c>
      <c r="G165" s="56"/>
      <c r="H165" s="56"/>
    </row>
    <row r="166" spans="2:8" x14ac:dyDescent="0.2">
      <c r="B166" s="315">
        <v>41182</v>
      </c>
      <c r="C166" s="250">
        <v>9.9494584964721078E-3</v>
      </c>
      <c r="D166" s="250">
        <v>-5.4851731630494172E-3</v>
      </c>
      <c r="E166" s="250">
        <v>0.1242918985969359</v>
      </c>
      <c r="F166" s="250">
        <v>-6.1810356210364903E-2</v>
      </c>
      <c r="G166" s="56"/>
      <c r="H166" s="56"/>
    </row>
    <row r="167" spans="2:8" x14ac:dyDescent="0.2">
      <c r="B167" s="315">
        <v>41213</v>
      </c>
      <c r="C167" s="316">
        <v>9.9967456049194769E-3</v>
      </c>
      <c r="D167" s="316">
        <v>-5.2719741961625433E-3</v>
      </c>
      <c r="E167" s="316">
        <v>0.12584782986895471</v>
      </c>
      <c r="F167" s="245">
        <v>-5.9854970257877227E-2</v>
      </c>
      <c r="G167" s="56"/>
      <c r="H167" s="56"/>
    </row>
    <row r="168" spans="2:8" x14ac:dyDescent="0.2">
      <c r="B168" s="315">
        <v>41243</v>
      </c>
      <c r="C168" s="250">
        <v>1.2E-2</v>
      </c>
      <c r="D168" s="250">
        <v>-3.0000000000000001E-3</v>
      </c>
      <c r="E168" s="250">
        <v>0.14799999999999999</v>
      </c>
      <c r="F168" s="250">
        <v>-3.9E-2</v>
      </c>
      <c r="G168" s="56"/>
      <c r="H168" s="56"/>
    </row>
    <row r="169" spans="2:8" x14ac:dyDescent="0.2">
      <c r="B169" s="317">
        <v>41274</v>
      </c>
      <c r="C169" s="250">
        <v>1.1755018850492904E-2</v>
      </c>
      <c r="D169" s="250">
        <v>-3.3347187598281591E-3</v>
      </c>
      <c r="E169" s="250">
        <v>0.15166814939670425</v>
      </c>
      <c r="F169" s="250">
        <v>-3.8354715849737153E-2</v>
      </c>
      <c r="G169" s="56"/>
      <c r="H169" s="56"/>
    </row>
    <row r="170" spans="2:8" x14ac:dyDescent="0.2">
      <c r="B170" s="315">
        <v>41305</v>
      </c>
      <c r="C170" s="237">
        <v>1.4999999999999999E-2</v>
      </c>
      <c r="D170" s="237">
        <v>0</v>
      </c>
      <c r="E170" s="237">
        <v>0.19400000000000001</v>
      </c>
      <c r="F170" s="237">
        <v>5.0000000000000001E-3</v>
      </c>
      <c r="G170" s="56"/>
      <c r="H170" s="56"/>
    </row>
    <row r="171" spans="2:8" x14ac:dyDescent="0.2">
      <c r="B171" s="315">
        <v>41333</v>
      </c>
      <c r="C171" s="237">
        <v>1.6E-2</v>
      </c>
      <c r="D171" s="237">
        <v>1E-3</v>
      </c>
      <c r="E171" s="237">
        <v>0.20699999999999999</v>
      </c>
      <c r="F171" s="237">
        <v>1.2E-2</v>
      </c>
      <c r="G171" s="56"/>
      <c r="H171" s="56"/>
    </row>
    <row r="172" spans="2:8" x14ac:dyDescent="0.2">
      <c r="B172" s="315">
        <v>41364</v>
      </c>
      <c r="C172" s="250">
        <v>1.7000000000000001E-2</v>
      </c>
      <c r="D172" s="250">
        <v>2E-3</v>
      </c>
      <c r="E172" s="250">
        <v>0.22800000000000001</v>
      </c>
      <c r="F172" s="250">
        <v>2.5999999999999999E-2</v>
      </c>
      <c r="G172" s="56"/>
      <c r="H172" s="56"/>
    </row>
    <row r="173" spans="2:8" x14ac:dyDescent="0.2">
      <c r="B173" s="315">
        <v>41394</v>
      </c>
      <c r="C173" s="250">
        <v>1.7999999999999999E-2</v>
      </c>
      <c r="D173" s="250">
        <v>4.0000000000000001E-3</v>
      </c>
      <c r="E173" s="250">
        <v>0.254</v>
      </c>
      <c r="F173" s="250">
        <v>4.9000000000000002E-2</v>
      </c>
      <c r="G173" s="56"/>
      <c r="H173" s="56"/>
    </row>
    <row r="174" spans="2:8" x14ac:dyDescent="0.2">
      <c r="B174" s="315">
        <v>41425</v>
      </c>
      <c r="C174" s="250">
        <v>0.02</v>
      </c>
      <c r="D174" s="250">
        <v>6.0000000000000001E-3</v>
      </c>
      <c r="E174" s="250">
        <v>0.28599999999999998</v>
      </c>
      <c r="F174" s="250">
        <v>7.3999999999999996E-2</v>
      </c>
      <c r="G174" s="56"/>
      <c r="H174" s="56"/>
    </row>
    <row r="175" spans="2:8" x14ac:dyDescent="0.2">
      <c r="B175" s="315">
        <v>41455</v>
      </c>
      <c r="C175" s="250">
        <v>1.7000000000000001E-2</v>
      </c>
      <c r="D175" s="250">
        <v>3.0000000000000001E-3</v>
      </c>
      <c r="E175" s="250">
        <v>0.24299999999999999</v>
      </c>
      <c r="F175" s="250">
        <v>0.04</v>
      </c>
      <c r="G175" s="56"/>
      <c r="H175" s="56"/>
    </row>
    <row r="176" spans="2:8" x14ac:dyDescent="0.2">
      <c r="B176" s="315">
        <v>41486</v>
      </c>
      <c r="C176" s="316">
        <v>2.0298161417040772E-2</v>
      </c>
      <c r="D176" s="316">
        <v>6.0511896942254673E-3</v>
      </c>
      <c r="E176" s="316">
        <v>0.28986220667725471</v>
      </c>
      <c r="F176" s="245">
        <v>8.0678685039434983E-2</v>
      </c>
      <c r="G176" s="56"/>
      <c r="H176" s="56"/>
    </row>
    <row r="177" spans="2:8" x14ac:dyDescent="0.2">
      <c r="B177" s="315">
        <v>41517</v>
      </c>
      <c r="C177" s="316">
        <v>1.9116423868826615E-2</v>
      </c>
      <c r="D177" s="316">
        <v>4.9055777142639201E-3</v>
      </c>
      <c r="E177" s="316">
        <v>0.27307344187594884</v>
      </c>
      <c r="F177" s="245">
        <v>6.5627049390809988E-2</v>
      </c>
      <c r="G177" s="56"/>
      <c r="H177" s="56"/>
    </row>
    <row r="178" spans="2:8" x14ac:dyDescent="0.2">
      <c r="B178" s="315">
        <v>41547</v>
      </c>
      <c r="C178" s="250">
        <v>2.1000000000000001E-2</v>
      </c>
      <c r="D178" s="250">
        <v>6.0000000000000001E-3</v>
      </c>
      <c r="E178" s="250">
        <v>0.30399999999999999</v>
      </c>
      <c r="F178" s="250">
        <v>8.7999999999999995E-2</v>
      </c>
      <c r="G178" s="56"/>
      <c r="H178" s="56"/>
    </row>
    <row r="179" spans="2:8" x14ac:dyDescent="0.2">
      <c r="B179" s="315">
        <v>41578</v>
      </c>
      <c r="C179" s="250">
        <v>2.4E-2</v>
      </c>
      <c r="D179" s="250">
        <v>0.01</v>
      </c>
      <c r="E179" s="250">
        <v>0.35699999999999998</v>
      </c>
      <c r="F179" s="250">
        <v>0.13400000000000001</v>
      </c>
      <c r="G179" s="56"/>
      <c r="H179" s="56"/>
    </row>
    <row r="180" spans="2:8" x14ac:dyDescent="0.2">
      <c r="B180" s="315">
        <v>41608</v>
      </c>
      <c r="C180" s="250">
        <v>2.5999999999999999E-2</v>
      </c>
      <c r="D180" s="250">
        <v>1.2E-2</v>
      </c>
      <c r="E180" s="250">
        <v>0.39200000000000002</v>
      </c>
      <c r="F180" s="250">
        <v>0.16400000000000001</v>
      </c>
      <c r="G180" s="56"/>
      <c r="H180" s="56"/>
    </row>
    <row r="181" spans="2:8" x14ac:dyDescent="0.2">
      <c r="B181" s="315">
        <v>41639</v>
      </c>
      <c r="C181" s="250">
        <v>2.5999999999999999E-2</v>
      </c>
      <c r="D181" s="250">
        <v>1.0999999999999999E-2</v>
      </c>
      <c r="E181" s="250">
        <v>0.39400000000000002</v>
      </c>
      <c r="F181" s="250">
        <v>0.16300000000000001</v>
      </c>
      <c r="G181" s="56"/>
      <c r="H181" s="56"/>
    </row>
    <row r="182" spans="2:8" x14ac:dyDescent="0.2">
      <c r="B182" s="315">
        <v>41670</v>
      </c>
      <c r="C182" s="250">
        <v>2.3468042798530764E-2</v>
      </c>
      <c r="D182" s="250">
        <v>1.0252919635167501E-2</v>
      </c>
      <c r="E182" s="250">
        <v>0.35720288377253184</v>
      </c>
      <c r="F182" s="250">
        <v>0.1449860225666979</v>
      </c>
      <c r="G182" s="56"/>
      <c r="H182" s="56"/>
    </row>
    <row r="183" spans="2:8" x14ac:dyDescent="0.2">
      <c r="B183" s="315">
        <v>41698</v>
      </c>
      <c r="C183" s="250">
        <v>2.663739494441919E-2</v>
      </c>
      <c r="D183" s="250">
        <v>1.3141621147147342E-2</v>
      </c>
      <c r="E183" s="250">
        <v>0.41669480090607003</v>
      </c>
      <c r="F183" s="250">
        <v>0.1901686095235835</v>
      </c>
      <c r="G183" s="56"/>
      <c r="H183" s="56"/>
    </row>
    <row r="184" spans="2:8" x14ac:dyDescent="0.2">
      <c r="B184" s="315">
        <v>41729</v>
      </c>
      <c r="C184" s="250">
        <v>2.7E-2</v>
      </c>
      <c r="D184" s="250">
        <v>1.4E-2</v>
      </c>
      <c r="E184" s="250">
        <v>0.43</v>
      </c>
      <c r="F184" s="250">
        <v>0.20200000000000001</v>
      </c>
      <c r="G184" s="56"/>
      <c r="H184" s="56"/>
    </row>
    <row r="185" spans="2:8" x14ac:dyDescent="0.2">
      <c r="B185" s="315">
        <v>41759</v>
      </c>
      <c r="C185" s="250">
        <v>2.8000000000000001E-2</v>
      </c>
      <c r="D185" s="250">
        <v>1.4E-2</v>
      </c>
      <c r="E185" s="250">
        <v>0.44800000000000001</v>
      </c>
      <c r="F185" s="250">
        <v>0.21199999999999999</v>
      </c>
      <c r="G185" s="56"/>
      <c r="H185" s="56"/>
    </row>
    <row r="186" spans="2:8" x14ac:dyDescent="0.2">
      <c r="B186" s="315">
        <v>41790</v>
      </c>
      <c r="C186" s="250">
        <v>3.1E-2</v>
      </c>
      <c r="D186" s="250">
        <v>1.7000000000000001E-2</v>
      </c>
      <c r="E186" s="250">
        <v>0.51100000000000001</v>
      </c>
      <c r="F186" s="250">
        <v>0.26400000000000001</v>
      </c>
      <c r="G186" s="56"/>
      <c r="H186" s="56"/>
    </row>
    <row r="187" spans="2:8" x14ac:dyDescent="0.2">
      <c r="B187" s="315">
        <v>41820</v>
      </c>
      <c r="C187" s="250">
        <v>3.2000000000000001E-2</v>
      </c>
      <c r="D187" s="250">
        <v>1.7999999999999999E-2</v>
      </c>
      <c r="E187" s="250">
        <v>0.53600000000000003</v>
      </c>
      <c r="F187" s="250">
        <v>0.28199999999999997</v>
      </c>
      <c r="G187" s="56"/>
      <c r="H187" s="56"/>
    </row>
    <row r="188" spans="2:8" x14ac:dyDescent="0.2">
      <c r="B188" s="315">
        <v>41851</v>
      </c>
      <c r="C188" s="250">
        <v>3.1890572857588895E-2</v>
      </c>
      <c r="D188" s="250">
        <v>1.8506916764109205E-2</v>
      </c>
      <c r="E188" s="250">
        <v>0.53577106018337739</v>
      </c>
      <c r="F188" s="250">
        <v>0.28621499509093384</v>
      </c>
      <c r="G188" s="56"/>
      <c r="H188" s="56"/>
    </row>
    <row r="189" spans="2:8" x14ac:dyDescent="0.2">
      <c r="B189" s="315">
        <v>41882</v>
      </c>
      <c r="C189" s="250">
        <v>3.4000000000000002E-2</v>
      </c>
      <c r="D189" s="250">
        <v>2.1000000000000001E-2</v>
      </c>
      <c r="E189" s="250">
        <v>0.57899999999999996</v>
      </c>
      <c r="F189" s="250">
        <v>0.32400000000000001</v>
      </c>
      <c r="G189" s="56"/>
      <c r="H189" s="56"/>
    </row>
    <row r="190" spans="2:8" x14ac:dyDescent="0.2">
      <c r="B190" s="307"/>
      <c r="C190" s="250"/>
      <c r="D190" s="250"/>
      <c r="E190" s="250"/>
      <c r="F190" s="250"/>
      <c r="G190" s="56"/>
      <c r="H190" s="56"/>
    </row>
    <row r="191" spans="2:8" x14ac:dyDescent="0.2">
      <c r="B191" s="300"/>
      <c r="C191" s="224"/>
      <c r="D191" s="224"/>
      <c r="E191" s="224"/>
      <c r="F191" s="224"/>
    </row>
    <row r="192" spans="2:8" x14ac:dyDescent="0.2">
      <c r="B192" s="300"/>
      <c r="C192" s="224"/>
      <c r="D192" s="224"/>
      <c r="E192" s="224"/>
      <c r="F192" s="224"/>
    </row>
    <row r="193" spans="2:6" x14ac:dyDescent="0.2">
      <c r="B193" s="300"/>
      <c r="C193" s="224"/>
      <c r="D193" s="224"/>
      <c r="E193" s="224"/>
      <c r="F193" s="224"/>
    </row>
    <row r="194" spans="2:6" x14ac:dyDescent="0.2">
      <c r="B194" s="300"/>
      <c r="C194" s="224"/>
      <c r="D194" s="224"/>
      <c r="E194" s="224"/>
      <c r="F194" s="224"/>
    </row>
    <row r="195" spans="2:6" x14ac:dyDescent="0.2">
      <c r="B195" s="300"/>
      <c r="C195" s="224"/>
      <c r="D195" s="224"/>
      <c r="E195" s="224"/>
      <c r="F195" s="224"/>
    </row>
    <row r="196" spans="2:6" x14ac:dyDescent="0.2">
      <c r="B196" s="300"/>
      <c r="C196" s="224"/>
      <c r="D196" s="224"/>
      <c r="E196" s="224"/>
      <c r="F196" s="224"/>
    </row>
    <row r="197" spans="2:6" x14ac:dyDescent="0.2">
      <c r="B197" s="300"/>
      <c r="C197" s="224"/>
      <c r="D197" s="224"/>
      <c r="E197" s="224"/>
      <c r="F197" s="224"/>
    </row>
    <row r="198" spans="2:6" x14ac:dyDescent="0.2">
      <c r="B198" s="300"/>
      <c r="C198" s="224"/>
      <c r="D198" s="224"/>
      <c r="E198" s="224"/>
      <c r="F198" s="224"/>
    </row>
    <row r="199" spans="2:6" x14ac:dyDescent="0.2">
      <c r="B199" s="300"/>
      <c r="C199" s="224"/>
      <c r="D199" s="224"/>
      <c r="E199" s="224"/>
      <c r="F199" s="224"/>
    </row>
    <row r="200" spans="2:6" x14ac:dyDescent="0.2">
      <c r="B200" s="300"/>
      <c r="C200" s="224"/>
      <c r="D200" s="224"/>
      <c r="E200" s="224"/>
      <c r="F200" s="224"/>
    </row>
    <row r="201" spans="2:6" x14ac:dyDescent="0.2">
      <c r="B201" s="300"/>
      <c r="C201" s="224"/>
      <c r="D201" s="224"/>
      <c r="E201" s="224"/>
      <c r="F201" s="224"/>
    </row>
    <row r="202" spans="2:6" x14ac:dyDescent="0.2">
      <c r="B202" s="300"/>
      <c r="C202" s="224"/>
      <c r="D202" s="224"/>
      <c r="E202" s="224"/>
      <c r="F202" s="224"/>
    </row>
    <row r="203" spans="2:6" x14ac:dyDescent="0.2">
      <c r="B203" s="300"/>
      <c r="C203" s="224"/>
      <c r="D203" s="224"/>
      <c r="E203" s="224"/>
      <c r="F203" s="224"/>
    </row>
    <row r="204" spans="2:6" x14ac:dyDescent="0.2">
      <c r="B204" s="300"/>
      <c r="C204" s="224"/>
      <c r="D204" s="224"/>
      <c r="E204" s="224"/>
      <c r="F204" s="224"/>
    </row>
    <row r="205" spans="2:6" x14ac:dyDescent="0.2">
      <c r="B205" s="300"/>
      <c r="C205" s="224"/>
      <c r="D205" s="224"/>
      <c r="E205" s="224"/>
      <c r="F205" s="224"/>
    </row>
    <row r="206" spans="2:6" x14ac:dyDescent="0.2">
      <c r="B206" s="300"/>
      <c r="C206" s="224"/>
      <c r="D206" s="224"/>
      <c r="E206" s="224"/>
      <c r="F206" s="224"/>
    </row>
    <row r="207" spans="2:6" x14ac:dyDescent="0.2">
      <c r="B207" s="300"/>
      <c r="C207" s="224"/>
      <c r="D207" s="224"/>
      <c r="E207" s="224"/>
      <c r="F207" s="224"/>
    </row>
    <row r="208" spans="2:6" x14ac:dyDescent="0.2">
      <c r="B208" s="300"/>
      <c r="C208" s="224"/>
      <c r="D208" s="224"/>
      <c r="E208" s="224"/>
      <c r="F208" s="224"/>
    </row>
    <row r="209" spans="2:6" x14ac:dyDescent="0.2">
      <c r="B209" s="300"/>
      <c r="C209" s="224"/>
      <c r="D209" s="224"/>
      <c r="E209" s="224"/>
      <c r="F209" s="224"/>
    </row>
    <row r="210" spans="2:6" x14ac:dyDescent="0.2">
      <c r="B210" s="300"/>
      <c r="C210" s="224"/>
      <c r="D210" s="224"/>
      <c r="E210" s="224"/>
      <c r="F210" s="224"/>
    </row>
    <row r="211" spans="2:6" x14ac:dyDescent="0.2">
      <c r="B211" s="300"/>
      <c r="C211" s="224"/>
      <c r="D211" s="224"/>
      <c r="E211" s="224"/>
      <c r="F211" s="224"/>
    </row>
    <row r="212" spans="2:6" x14ac:dyDescent="0.2">
      <c r="B212" s="300"/>
      <c r="C212" s="224"/>
      <c r="D212" s="224"/>
      <c r="E212" s="224"/>
      <c r="F212" s="224"/>
    </row>
    <row r="213" spans="2:6" x14ac:dyDescent="0.2">
      <c r="B213" s="300"/>
      <c r="C213" s="224"/>
      <c r="D213" s="224"/>
      <c r="E213" s="224"/>
      <c r="F213" s="224"/>
    </row>
    <row r="214" spans="2:6" x14ac:dyDescent="0.2">
      <c r="B214" s="300"/>
      <c r="C214" s="224"/>
      <c r="D214" s="224"/>
      <c r="E214" s="224"/>
      <c r="F214" s="224"/>
    </row>
    <row r="215" spans="2:6" x14ac:dyDescent="0.2">
      <c r="B215" s="300"/>
      <c r="C215" s="224"/>
      <c r="D215" s="224"/>
      <c r="E215" s="224"/>
      <c r="F215" s="224"/>
    </row>
    <row r="216" spans="2:6" x14ac:dyDescent="0.2">
      <c r="B216" s="300"/>
      <c r="C216" s="224"/>
      <c r="D216" s="224"/>
      <c r="E216" s="224"/>
      <c r="F216" s="224"/>
    </row>
    <row r="217" spans="2:6" x14ac:dyDescent="0.2">
      <c r="B217" s="300"/>
      <c r="C217" s="224"/>
      <c r="D217" s="224"/>
      <c r="E217" s="224"/>
      <c r="F217" s="224"/>
    </row>
    <row r="218" spans="2:6" x14ac:dyDescent="0.2">
      <c r="B218" s="300"/>
      <c r="C218" s="224"/>
      <c r="D218" s="224"/>
      <c r="E218" s="224"/>
      <c r="F218" s="224"/>
    </row>
    <row r="219" spans="2:6" x14ac:dyDescent="0.2">
      <c r="B219" s="300"/>
    </row>
    <row r="220" spans="2:6" x14ac:dyDescent="0.2">
      <c r="B220" s="300"/>
    </row>
    <row r="221" spans="2:6" x14ac:dyDescent="0.2">
      <c r="B221" s="300"/>
    </row>
    <row r="222" spans="2:6" x14ac:dyDescent="0.2">
      <c r="B222" s="300"/>
    </row>
    <row r="223" spans="2:6" x14ac:dyDescent="0.2">
      <c r="B223" s="300"/>
    </row>
    <row r="224" spans="2:6" x14ac:dyDescent="0.2">
      <c r="B224" s="300"/>
    </row>
    <row r="225" spans="2:2" x14ac:dyDescent="0.2">
      <c r="B225" s="300"/>
    </row>
    <row r="226" spans="2:2" x14ac:dyDescent="0.2">
      <c r="B226" s="300"/>
    </row>
    <row r="227" spans="2:2" x14ac:dyDescent="0.2">
      <c r="B227" s="300"/>
    </row>
    <row r="228" spans="2:2" x14ac:dyDescent="0.2">
      <c r="B228" s="300"/>
    </row>
    <row r="229" spans="2:2" x14ac:dyDescent="0.2">
      <c r="B229" s="300"/>
    </row>
    <row r="230" spans="2:2" x14ac:dyDescent="0.2">
      <c r="B230" s="300"/>
    </row>
    <row r="231" spans="2:2" x14ac:dyDescent="0.2">
      <c r="B231" s="300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6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2:S78"/>
  <sheetViews>
    <sheetView showGridLines="0" showRowColHeaders="0" workbookViewId="0"/>
  </sheetViews>
  <sheetFormatPr defaultRowHeight="12.75" x14ac:dyDescent="0.2"/>
  <cols>
    <col min="1" max="1" width="3" style="137" customWidth="1"/>
    <col min="2" max="2" width="2.85546875" style="137" customWidth="1"/>
    <col min="3" max="16384" width="9.140625" style="137"/>
  </cols>
  <sheetData>
    <row r="2" spans="3:19" x14ac:dyDescent="0.2"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</row>
    <row r="3" spans="3:19" x14ac:dyDescent="0.2"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</row>
    <row r="4" spans="3:19" x14ac:dyDescent="0.2">
      <c r="C4" s="56"/>
      <c r="D4" s="56"/>
      <c r="E4" s="56"/>
      <c r="F4" s="150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</row>
    <row r="5" spans="3:19" ht="18" x14ac:dyDescent="0.25">
      <c r="C5" s="149" t="s">
        <v>306</v>
      </c>
      <c r="D5" s="56"/>
      <c r="E5" s="56"/>
      <c r="F5" s="150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</row>
    <row r="6" spans="3:19" x14ac:dyDescent="0.2">
      <c r="C6" s="151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</row>
    <row r="7" spans="3:19" x14ac:dyDescent="0.2">
      <c r="C7" s="151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</row>
    <row r="8" spans="3:19" x14ac:dyDescent="0.2">
      <c r="C8" s="151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</row>
    <row r="9" spans="3:19" x14ac:dyDescent="0.2">
      <c r="C9" s="151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</row>
    <row r="10" spans="3:19" x14ac:dyDescent="0.2">
      <c r="C10" s="152" t="s">
        <v>203</v>
      </c>
      <c r="D10" s="50"/>
      <c r="E10" s="51"/>
      <c r="F10" s="51"/>
      <c r="G10" s="51"/>
      <c r="H10" s="51"/>
      <c r="I10" s="51"/>
      <c r="J10" s="51"/>
      <c r="K10" s="51"/>
      <c r="L10" s="51"/>
      <c r="M10" s="52"/>
      <c r="N10" s="153"/>
      <c r="O10" s="153"/>
      <c r="P10" s="50"/>
      <c r="Q10" s="53"/>
      <c r="R10" s="56"/>
      <c r="S10" s="56"/>
    </row>
    <row r="11" spans="3:19" x14ac:dyDescent="0.2">
      <c r="C11" s="152"/>
      <c r="D11" s="50"/>
      <c r="E11" s="51"/>
      <c r="F11" s="51"/>
      <c r="G11" s="51"/>
      <c r="H11" s="51"/>
      <c r="I11" s="51"/>
      <c r="J11" s="51"/>
      <c r="K11" s="51"/>
      <c r="L11" s="51"/>
      <c r="M11" s="52"/>
      <c r="N11" s="153"/>
      <c r="O11" s="153"/>
      <c r="P11" s="50"/>
      <c r="Q11" s="53"/>
      <c r="R11" s="56"/>
      <c r="S11" s="56"/>
    </row>
    <row r="12" spans="3:19" x14ac:dyDescent="0.2">
      <c r="C12" s="152" t="s">
        <v>307</v>
      </c>
      <c r="D12" s="50"/>
      <c r="E12" s="51"/>
      <c r="F12" s="51"/>
      <c r="G12" s="51"/>
      <c r="H12" s="51"/>
      <c r="I12" s="51"/>
      <c r="J12" s="51"/>
      <c r="K12" s="51"/>
      <c r="L12" s="51"/>
      <c r="M12" s="52"/>
      <c r="N12" s="153"/>
      <c r="O12" s="153"/>
      <c r="P12" s="50"/>
      <c r="Q12" s="53"/>
      <c r="R12" s="56"/>
      <c r="S12" s="56"/>
    </row>
    <row r="13" spans="3:19" x14ac:dyDescent="0.2">
      <c r="C13" s="152"/>
      <c r="D13" s="50"/>
      <c r="E13" s="51"/>
      <c r="F13" s="51"/>
      <c r="G13" s="51"/>
      <c r="H13" s="51"/>
      <c r="I13" s="51"/>
      <c r="J13" s="51"/>
      <c r="K13" s="51"/>
      <c r="L13" s="51"/>
      <c r="M13" s="52"/>
      <c r="N13" s="153"/>
      <c r="O13" s="153"/>
      <c r="P13" s="50"/>
      <c r="Q13" s="53"/>
      <c r="R13" s="56"/>
      <c r="S13" s="56"/>
    </row>
    <row r="14" spans="3:19" x14ac:dyDescent="0.2">
      <c r="C14" s="151" t="s">
        <v>63</v>
      </c>
      <c r="D14" s="51"/>
      <c r="E14" s="51"/>
      <c r="F14" s="51"/>
      <c r="G14" s="51"/>
      <c r="H14" s="51"/>
      <c r="I14" s="51"/>
      <c r="J14" s="51"/>
      <c r="K14" s="51"/>
      <c r="L14" s="51"/>
      <c r="M14" s="52"/>
      <c r="N14" s="53"/>
      <c r="O14" s="53"/>
      <c r="P14" s="50"/>
      <c r="Q14" s="53"/>
      <c r="R14" s="56"/>
      <c r="S14" s="56"/>
    </row>
    <row r="15" spans="3:19" x14ac:dyDescent="0.2">
      <c r="C15" s="151"/>
      <c r="D15" s="51"/>
      <c r="E15" s="51"/>
      <c r="F15" s="51"/>
      <c r="G15" s="51"/>
      <c r="H15" s="51"/>
      <c r="I15" s="51"/>
      <c r="J15" s="51"/>
      <c r="K15" s="51"/>
      <c r="L15" s="51"/>
      <c r="M15" s="52"/>
      <c r="N15" s="53"/>
      <c r="O15" s="53"/>
      <c r="P15" s="50"/>
      <c r="Q15" s="53"/>
      <c r="R15" s="56"/>
      <c r="S15" s="56"/>
    </row>
    <row r="16" spans="3:19" x14ac:dyDescent="0.2">
      <c r="C16" s="151" t="s">
        <v>308</v>
      </c>
      <c r="D16" s="51"/>
      <c r="E16" s="51"/>
      <c r="F16" s="51"/>
      <c r="G16" s="51"/>
      <c r="H16" s="51"/>
      <c r="I16" s="51"/>
      <c r="J16" s="51"/>
      <c r="K16" s="51"/>
      <c r="L16" s="51"/>
      <c r="M16" s="52"/>
      <c r="N16" s="53"/>
      <c r="O16" s="53"/>
      <c r="P16" s="50"/>
      <c r="Q16" s="53"/>
      <c r="R16" s="56"/>
      <c r="S16" s="56"/>
    </row>
    <row r="17" spans="3:19" x14ac:dyDescent="0.2">
      <c r="C17" s="151"/>
      <c r="D17" s="51"/>
      <c r="E17" s="51"/>
      <c r="F17" s="51"/>
      <c r="G17" s="51"/>
      <c r="H17" s="51"/>
      <c r="I17" s="51"/>
      <c r="J17" s="51"/>
      <c r="K17" s="51"/>
      <c r="L17" s="51"/>
      <c r="M17" s="52"/>
      <c r="N17" s="53"/>
      <c r="O17" s="53"/>
      <c r="P17" s="50"/>
      <c r="Q17" s="53"/>
      <c r="R17" s="56"/>
      <c r="S17" s="56"/>
    </row>
    <row r="18" spans="3:19" x14ac:dyDescent="0.2">
      <c r="C18" s="151" t="s">
        <v>64</v>
      </c>
      <c r="D18" s="50"/>
      <c r="E18" s="51"/>
      <c r="F18" s="51"/>
      <c r="G18" s="51"/>
      <c r="H18" s="51"/>
      <c r="I18" s="51"/>
      <c r="J18" s="51"/>
      <c r="K18" s="51"/>
      <c r="L18" s="51"/>
      <c r="M18" s="52"/>
      <c r="N18" s="53"/>
      <c r="O18" s="53"/>
      <c r="P18" s="50"/>
      <c r="Q18" s="53"/>
      <c r="R18" s="56"/>
      <c r="S18" s="56"/>
    </row>
    <row r="19" spans="3:19" x14ac:dyDescent="0.2">
      <c r="C19" s="151" t="s">
        <v>309</v>
      </c>
      <c r="D19" s="50"/>
      <c r="E19" s="51"/>
      <c r="F19" s="51"/>
      <c r="G19" s="51"/>
      <c r="H19" s="51"/>
      <c r="I19" s="51"/>
      <c r="J19" s="51"/>
      <c r="K19" s="51"/>
      <c r="L19" s="51"/>
      <c r="M19" s="52"/>
      <c r="N19" s="53"/>
      <c r="O19" s="53"/>
      <c r="P19" s="50"/>
      <c r="Q19" s="53"/>
      <c r="R19" s="56"/>
      <c r="S19" s="56"/>
    </row>
    <row r="20" spans="3:19" x14ac:dyDescent="0.2">
      <c r="C20" s="151"/>
      <c r="D20" s="50"/>
      <c r="E20" s="51"/>
      <c r="F20" s="51"/>
      <c r="G20" s="51"/>
      <c r="H20" s="51"/>
      <c r="I20" s="51"/>
      <c r="J20" s="51"/>
      <c r="K20" s="51"/>
      <c r="L20" s="51"/>
      <c r="M20" s="52"/>
      <c r="N20" s="53"/>
      <c r="O20" s="53"/>
      <c r="P20" s="50"/>
      <c r="Q20" s="53"/>
      <c r="R20" s="56"/>
      <c r="S20" s="56"/>
    </row>
    <row r="21" spans="3:19" x14ac:dyDescent="0.2">
      <c r="C21" s="151" t="s">
        <v>310</v>
      </c>
      <c r="D21" s="50"/>
      <c r="E21" s="51"/>
      <c r="F21" s="51"/>
      <c r="G21" s="51"/>
      <c r="H21" s="51"/>
      <c r="I21" s="51"/>
      <c r="J21" s="51"/>
      <c r="K21" s="51"/>
      <c r="L21" s="51"/>
      <c r="M21" s="52"/>
      <c r="N21" s="53"/>
      <c r="O21" s="53"/>
      <c r="P21" s="50"/>
      <c r="Q21" s="53"/>
      <c r="R21" s="56"/>
      <c r="S21" s="56"/>
    </row>
    <row r="22" spans="3:19" x14ac:dyDescent="0.2"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</row>
    <row r="23" spans="3:19" x14ac:dyDescent="0.2">
      <c r="C23" s="146"/>
    </row>
    <row r="26" spans="3:19" x14ac:dyDescent="0.2">
      <c r="C26" s="146"/>
    </row>
    <row r="27" spans="3:19" x14ac:dyDescent="0.2">
      <c r="C27" s="147"/>
    </row>
    <row r="29" spans="3:19" x14ac:dyDescent="0.2">
      <c r="C29" s="146"/>
    </row>
    <row r="33" spans="2:4" x14ac:dyDescent="0.2">
      <c r="C33" s="146"/>
    </row>
    <row r="36" spans="2:4" x14ac:dyDescent="0.2">
      <c r="B36" s="146"/>
    </row>
    <row r="40" spans="2:4" x14ac:dyDescent="0.2">
      <c r="B40" s="146"/>
    </row>
    <row r="43" spans="2:4" x14ac:dyDescent="0.2">
      <c r="B43" s="146"/>
    </row>
    <row r="46" spans="2:4" x14ac:dyDescent="0.2">
      <c r="B46" s="146"/>
      <c r="C46" s="146"/>
      <c r="D46" s="146"/>
    </row>
    <row r="50" spans="2:16" x14ac:dyDescent="0.2">
      <c r="B50" s="146"/>
      <c r="C50" s="146"/>
      <c r="D50" s="146"/>
      <c r="E50" s="146"/>
    </row>
    <row r="54" spans="2:16" x14ac:dyDescent="0.2">
      <c r="B54" s="146"/>
      <c r="C54" s="146"/>
    </row>
    <row r="57" spans="2:16" x14ac:dyDescent="0.2">
      <c r="B57" s="146"/>
      <c r="C57" s="146"/>
      <c r="D57" s="146"/>
      <c r="E57" s="146"/>
      <c r="F57" s="146"/>
      <c r="G57" s="146"/>
    </row>
    <row r="59" spans="2:16" x14ac:dyDescent="0.2">
      <c r="B59" s="140"/>
      <c r="C59" s="141"/>
      <c r="D59" s="142"/>
      <c r="E59" s="142"/>
      <c r="F59" s="142"/>
      <c r="G59" s="142"/>
      <c r="H59" s="142"/>
      <c r="I59" s="142"/>
      <c r="J59" s="142"/>
      <c r="K59" s="142"/>
      <c r="L59" s="143"/>
      <c r="M59" s="144"/>
      <c r="N59" s="144"/>
      <c r="O59" s="141"/>
      <c r="P59" s="145"/>
    </row>
    <row r="60" spans="2:16" x14ac:dyDescent="0.2">
      <c r="B60" s="148"/>
      <c r="C60" s="141"/>
      <c r="D60" s="142"/>
      <c r="E60" s="142"/>
      <c r="F60" s="142"/>
      <c r="G60" s="142"/>
      <c r="H60" s="142"/>
      <c r="I60" s="142"/>
      <c r="J60" s="142"/>
      <c r="K60" s="142"/>
      <c r="L60" s="143"/>
      <c r="M60" s="144"/>
      <c r="N60" s="144"/>
      <c r="O60" s="141"/>
      <c r="P60" s="145"/>
    </row>
    <row r="61" spans="2:16" x14ac:dyDescent="0.2">
      <c r="B61" s="148"/>
      <c r="C61" s="141"/>
      <c r="D61" s="142"/>
      <c r="E61" s="142"/>
      <c r="F61" s="142"/>
      <c r="G61" s="142"/>
      <c r="H61" s="142"/>
      <c r="I61" s="142"/>
      <c r="J61" s="142"/>
      <c r="K61" s="142"/>
      <c r="L61" s="143"/>
      <c r="M61" s="144"/>
      <c r="N61" s="144"/>
      <c r="O61" s="141"/>
      <c r="P61" s="145"/>
    </row>
    <row r="62" spans="2:16" x14ac:dyDescent="0.2">
      <c r="B62" s="140"/>
      <c r="C62" s="141"/>
      <c r="D62" s="142"/>
      <c r="E62" s="142"/>
      <c r="F62" s="142"/>
      <c r="G62" s="142"/>
      <c r="H62" s="142"/>
      <c r="I62" s="142"/>
      <c r="J62" s="142"/>
      <c r="K62" s="142"/>
      <c r="L62" s="143"/>
      <c r="M62" s="144"/>
      <c r="N62" s="144"/>
      <c r="O62" s="141"/>
      <c r="P62" s="145"/>
    </row>
    <row r="63" spans="2:16" x14ac:dyDescent="0.2">
      <c r="B63" s="148"/>
      <c r="C63" s="141"/>
      <c r="D63" s="142"/>
      <c r="E63" s="142"/>
      <c r="F63" s="142"/>
      <c r="G63" s="142"/>
      <c r="H63" s="142"/>
      <c r="I63" s="142"/>
      <c r="J63" s="142"/>
      <c r="K63" s="142"/>
      <c r="L63" s="143"/>
      <c r="M63" s="144"/>
      <c r="N63" s="144"/>
      <c r="O63" s="141"/>
      <c r="P63" s="145"/>
    </row>
    <row r="64" spans="2:16" x14ac:dyDescent="0.2">
      <c r="B64" s="148"/>
      <c r="C64" s="141"/>
      <c r="D64" s="142"/>
      <c r="E64" s="142"/>
      <c r="F64" s="142"/>
      <c r="G64" s="142"/>
      <c r="H64" s="142"/>
      <c r="I64" s="142"/>
      <c r="J64" s="142"/>
      <c r="K64" s="142"/>
      <c r="L64" s="143"/>
      <c r="M64" s="144"/>
      <c r="N64" s="144"/>
      <c r="O64" s="141"/>
      <c r="P64" s="145"/>
    </row>
    <row r="65" spans="2:16" x14ac:dyDescent="0.2">
      <c r="B65" s="139"/>
      <c r="C65" s="142"/>
      <c r="D65" s="142"/>
      <c r="E65" s="142"/>
      <c r="F65" s="142"/>
      <c r="G65" s="142"/>
      <c r="H65" s="142"/>
      <c r="I65" s="142"/>
      <c r="J65" s="142"/>
      <c r="K65" s="142"/>
      <c r="L65" s="143"/>
      <c r="M65" s="145"/>
      <c r="N65" s="145"/>
      <c r="O65" s="141"/>
      <c r="P65" s="145"/>
    </row>
    <row r="66" spans="2:16" x14ac:dyDescent="0.2">
      <c r="B66" s="138"/>
      <c r="C66" s="142"/>
      <c r="D66" s="142"/>
      <c r="E66" s="142"/>
      <c r="F66" s="142"/>
      <c r="G66" s="142"/>
      <c r="H66" s="142"/>
      <c r="I66" s="142"/>
      <c r="J66" s="142"/>
      <c r="K66" s="142"/>
      <c r="L66" s="143"/>
      <c r="M66" s="145"/>
      <c r="N66" s="145"/>
      <c r="O66" s="141"/>
      <c r="P66" s="145"/>
    </row>
    <row r="67" spans="2:16" x14ac:dyDescent="0.2">
      <c r="B67" s="138"/>
      <c r="C67" s="142"/>
      <c r="D67" s="142"/>
      <c r="E67" s="142"/>
      <c r="F67" s="142"/>
      <c r="G67" s="142"/>
      <c r="H67" s="142"/>
      <c r="I67" s="142"/>
      <c r="J67" s="142"/>
      <c r="K67" s="142"/>
      <c r="L67" s="143"/>
      <c r="M67" s="145"/>
      <c r="N67" s="145"/>
      <c r="O67" s="141"/>
      <c r="P67" s="145"/>
    </row>
    <row r="68" spans="2:16" x14ac:dyDescent="0.2">
      <c r="B68" s="139"/>
      <c r="C68" s="142"/>
      <c r="D68" s="142"/>
      <c r="E68" s="142"/>
      <c r="F68" s="142"/>
      <c r="G68" s="142"/>
      <c r="H68" s="142"/>
      <c r="I68" s="142"/>
      <c r="J68" s="142"/>
      <c r="K68" s="142"/>
      <c r="L68" s="143"/>
      <c r="M68" s="145"/>
      <c r="N68" s="145"/>
      <c r="O68" s="141"/>
      <c r="P68" s="145"/>
    </row>
    <row r="69" spans="2:16" x14ac:dyDescent="0.2">
      <c r="B69" s="138"/>
      <c r="C69" s="142"/>
      <c r="D69" s="142"/>
      <c r="E69" s="142"/>
      <c r="F69" s="142"/>
      <c r="G69" s="142"/>
      <c r="H69" s="142"/>
      <c r="I69" s="142"/>
      <c r="J69" s="142"/>
      <c r="K69" s="142"/>
      <c r="L69" s="143"/>
      <c r="M69" s="145"/>
      <c r="N69" s="145"/>
      <c r="O69" s="141"/>
      <c r="P69" s="145"/>
    </row>
    <row r="70" spans="2:16" x14ac:dyDescent="0.2">
      <c r="B70" s="138"/>
      <c r="C70" s="142"/>
      <c r="D70" s="142"/>
      <c r="E70" s="142"/>
      <c r="F70" s="142"/>
      <c r="G70" s="142"/>
      <c r="H70" s="142"/>
      <c r="I70" s="142"/>
      <c r="J70" s="142"/>
      <c r="K70" s="142"/>
      <c r="L70" s="143"/>
      <c r="M70" s="145"/>
      <c r="N70" s="145"/>
      <c r="O70" s="141"/>
      <c r="P70" s="145"/>
    </row>
    <row r="71" spans="2:16" x14ac:dyDescent="0.2">
      <c r="B71" s="139"/>
      <c r="C71" s="141"/>
      <c r="D71" s="142"/>
      <c r="E71" s="142"/>
      <c r="F71" s="142"/>
      <c r="G71" s="142"/>
      <c r="H71" s="142"/>
      <c r="I71" s="142"/>
      <c r="J71" s="142"/>
      <c r="K71" s="142"/>
      <c r="L71" s="143"/>
      <c r="M71" s="145"/>
      <c r="N71" s="145"/>
      <c r="O71" s="141"/>
      <c r="P71" s="145"/>
    </row>
    <row r="72" spans="2:16" x14ac:dyDescent="0.2">
      <c r="B72" s="138"/>
      <c r="C72" s="141"/>
      <c r="D72" s="142"/>
      <c r="E72" s="142"/>
      <c r="F72" s="142"/>
      <c r="G72" s="142"/>
      <c r="H72" s="142"/>
      <c r="I72" s="142"/>
      <c r="J72" s="142"/>
      <c r="K72" s="142"/>
      <c r="L72" s="143"/>
      <c r="M72" s="145"/>
      <c r="N72" s="145"/>
      <c r="O72" s="141"/>
      <c r="P72" s="145"/>
    </row>
    <row r="73" spans="2:16" x14ac:dyDescent="0.2">
      <c r="B73" s="138"/>
      <c r="C73" s="141"/>
      <c r="D73" s="142"/>
      <c r="E73" s="142"/>
      <c r="F73" s="142"/>
      <c r="G73" s="142"/>
      <c r="H73" s="142"/>
      <c r="I73" s="142"/>
      <c r="J73" s="142"/>
      <c r="K73" s="142"/>
      <c r="L73" s="143"/>
      <c r="M73" s="145"/>
      <c r="N73" s="145"/>
      <c r="O73" s="141"/>
      <c r="P73" s="145"/>
    </row>
    <row r="74" spans="2:16" x14ac:dyDescent="0.2">
      <c r="B74" s="138"/>
      <c r="C74" s="141"/>
      <c r="D74" s="142"/>
      <c r="E74" s="142"/>
      <c r="F74" s="142"/>
      <c r="G74" s="142"/>
      <c r="H74" s="142"/>
      <c r="I74" s="142"/>
      <c r="J74" s="142"/>
      <c r="K74" s="142"/>
      <c r="L74" s="143"/>
      <c r="M74" s="145"/>
      <c r="N74" s="145"/>
      <c r="O74" s="141"/>
      <c r="P74" s="145"/>
    </row>
    <row r="75" spans="2:16" x14ac:dyDescent="0.2">
      <c r="B75" s="139"/>
      <c r="C75" s="141"/>
      <c r="D75" s="142"/>
      <c r="E75" s="142"/>
      <c r="F75" s="142"/>
      <c r="G75" s="142"/>
      <c r="H75" s="142"/>
      <c r="I75" s="142"/>
      <c r="J75" s="142"/>
      <c r="K75" s="142"/>
      <c r="L75" s="143"/>
      <c r="M75" s="145"/>
      <c r="N75" s="145"/>
      <c r="O75" s="141"/>
      <c r="P75" s="145"/>
    </row>
    <row r="78" spans="2:16" x14ac:dyDescent="0.2">
      <c r="B78" s="139"/>
    </row>
  </sheetData>
  <phoneticPr fontId="6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3:O49"/>
  <sheetViews>
    <sheetView showGridLines="0" showRowColHeaders="0" tabSelected="1" topLeftCell="A10" workbookViewId="0"/>
  </sheetViews>
  <sheetFormatPr defaultRowHeight="12.75" x14ac:dyDescent="0.2"/>
  <cols>
    <col min="1" max="1" width="3" style="118" customWidth="1"/>
    <col min="2" max="16384" width="9.140625" style="118"/>
  </cols>
  <sheetData>
    <row r="3" spans="2:15" x14ac:dyDescent="0.2"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</row>
    <row r="4" spans="2:15" x14ac:dyDescent="0.2"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</row>
    <row r="5" spans="2:15" x14ac:dyDescent="0.2">
      <c r="B5" s="120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</row>
    <row r="6" spans="2:15" x14ac:dyDescent="0.2">
      <c r="B6" s="120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</row>
    <row r="7" spans="2:15" x14ac:dyDescent="0.2">
      <c r="B7" s="119" t="s">
        <v>442</v>
      </c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</row>
    <row r="8" spans="2:15" x14ac:dyDescent="0.2">
      <c r="B8" s="119" t="s">
        <v>444</v>
      </c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</row>
    <row r="9" spans="2:15" x14ac:dyDescent="0.2">
      <c r="B9" s="119" t="s">
        <v>445</v>
      </c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</row>
    <row r="10" spans="2:15" x14ac:dyDescent="0.2">
      <c r="B10" s="119" t="s">
        <v>441</v>
      </c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</row>
    <row r="11" spans="2:15" x14ac:dyDescent="0.2"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</row>
    <row r="12" spans="2:15" x14ac:dyDescent="0.2">
      <c r="B12" s="121" t="s">
        <v>443</v>
      </c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</row>
    <row r="13" spans="2:15" x14ac:dyDescent="0.2">
      <c r="B13" s="121" t="s">
        <v>530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</row>
    <row r="14" spans="2:15" x14ac:dyDescent="0.2"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</row>
    <row r="15" spans="2:15" x14ac:dyDescent="0.2"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</row>
    <row r="16" spans="2:15" x14ac:dyDescent="0.2"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</row>
    <row r="17" spans="2:15" x14ac:dyDescent="0.2"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</row>
    <row r="18" spans="2:15" x14ac:dyDescent="0.2"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</row>
    <row r="19" spans="2:15" x14ac:dyDescent="0.2"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</row>
    <row r="20" spans="2:15" x14ac:dyDescent="0.2"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</row>
    <row r="21" spans="2:15" x14ac:dyDescent="0.2"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</row>
    <row r="22" spans="2:15" x14ac:dyDescent="0.2">
      <c r="B22" s="122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</row>
    <row r="23" spans="2:15" x14ac:dyDescent="0.2"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</row>
    <row r="24" spans="2:15" x14ac:dyDescent="0.2"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</row>
    <row r="25" spans="2:15" x14ac:dyDescent="0.2"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</row>
    <row r="26" spans="2:15" x14ac:dyDescent="0.2"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</row>
    <row r="27" spans="2:15" x14ac:dyDescent="0.2">
      <c r="B27" s="119" t="s">
        <v>317</v>
      </c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</row>
    <row r="28" spans="2:15" x14ac:dyDescent="0.2">
      <c r="B28" s="119" t="s">
        <v>364</v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</row>
    <row r="29" spans="2:15" x14ac:dyDescent="0.2">
      <c r="B29" s="119" t="s">
        <v>365</v>
      </c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</row>
    <row r="30" spans="2:15" x14ac:dyDescent="0.2"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</row>
    <row r="31" spans="2:15" x14ac:dyDescent="0.2"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</row>
    <row r="32" spans="2:15" x14ac:dyDescent="0.2"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</row>
    <row r="33" spans="2:15" x14ac:dyDescent="0.2"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</row>
    <row r="34" spans="2:15" x14ac:dyDescent="0.2"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</row>
    <row r="35" spans="2:15" x14ac:dyDescent="0.2"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</row>
    <row r="36" spans="2:15" x14ac:dyDescent="0.2"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</row>
    <row r="37" spans="2:15" x14ac:dyDescent="0.2"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</row>
    <row r="38" spans="2:15" x14ac:dyDescent="0.2"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</row>
    <row r="39" spans="2:15" x14ac:dyDescent="0.2"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</row>
    <row r="40" spans="2:15" x14ac:dyDescent="0.2"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</row>
    <row r="41" spans="2:15" x14ac:dyDescent="0.2"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</row>
    <row r="42" spans="2:15" x14ac:dyDescent="0.2">
      <c r="B42" s="123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</row>
    <row r="43" spans="2:15" x14ac:dyDescent="0.2">
      <c r="B43" s="123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</row>
    <row r="44" spans="2:15" x14ac:dyDescent="0.2">
      <c r="B44" s="120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</row>
    <row r="45" spans="2:15" x14ac:dyDescent="0.2">
      <c r="B45" s="120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</row>
    <row r="46" spans="2:15" x14ac:dyDescent="0.2"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</row>
    <row r="47" spans="2:15" x14ac:dyDescent="0.2"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</row>
    <row r="48" spans="2:15" x14ac:dyDescent="0.2">
      <c r="B48" s="120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</row>
    <row r="49" spans="2:15" x14ac:dyDescent="0.2"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</row>
  </sheetData>
  <phoneticPr fontId="6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2014-09-15T11:43:35Z</dcterms:modified>
</cp:coreProperties>
</file>